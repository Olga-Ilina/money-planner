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Настройки" sheetId="2" state="visible" r:id="rId2"/>
    <sheet name="Операции" sheetId="3" state="visible" r:id="rId3"/>
    <sheet name="Счета" sheetId="4" state="visible" r:id="rId4"/>
    <sheet name="Журнал" sheetId="5" state="visible" r:id="rId5"/>
    <sheet name="Постоянные" sheetId="6" state="visible" r:id="rId6"/>
    <sheet name="Покупки" sheetId="7" state="visible" r:id="rId7"/>
    <sheet name="Месяц" sheetId="8" state="visible" r:id="rId8"/>
    <sheet name="Прогноз" sheetId="9" state="visible" r:id="rId9"/>
    <sheet name="Статистика" sheetId="10" state="visible" r:id="rId10"/>
    <sheet name="Долги" sheetId="11" state="visible" r:id="rId11"/>
  </sheets>
  <definedNames>
    <definedName name="Расходы_список">Настройки!$J$6:INDEX(Настройки!$J:$J,MAX(6,SUMPRODUCT(MAX((Настройки!$J$6:$J$35&lt;&gt;"")*ROW(Настройки!$J$6:$J$35)))))</definedName>
    <definedName name="Доходы_список">Настройки!$L$6:INDEX(Настройки!$L:$L,MAX(6,SUMPRODUCT(MAX((Настройки!$L$6:$L$17&lt;&gt;"")*ROW(Настройки!$L$6:$L$17)))))</definedName>
    <definedName name="Счета_список">Настройки!$N$6:INDEX(Настройки!$N:$N,MAX(6,SUMPRODUCT(MAX((Настройки!$N$6:$N$17&lt;&gt;"")*ROW(Настройки!$N$6:$N$17)))))</definedName>
    <definedName name="Даты_месяца">Операции!$S$10:INDEX(Операции!$S:$S,9+Операции!$S$9)</definedName>
    <definedName name="_xlnm._FilterDatabase" localSheetId="2" hidden="1">'Операции'!$B$9:$K$1009</definedName>
    <definedName name="_xlnm._FilterDatabase" localSheetId="4" hidden="1">'Журнал'!$B$9:$N$1509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dd.mm.yyyy"/>
    <numFmt numFmtId="165" formatCode="#,##0.00 €;[Red]-#,##0.00 €;–"/>
    <numFmt numFmtId="166" formatCode="#,##0.00 €"/>
    <numFmt numFmtId="167" formatCode="-#,##0.00 €;+#,##0.00 €;&quot;–&quot;"/>
    <numFmt numFmtId="168" formatCode="+#,##0.00 €;-#,##0.00 €;&quot;–&quot;"/>
    <numFmt numFmtId="169" formatCode="#,##0.00 €;-#,##0.00 €;&quot;–&quot;"/>
    <numFmt numFmtId="170" formatCode="#,##0.00;-#,##0.00;&quot;&quot;;@"/>
    <numFmt numFmtId="171" formatCode="#,##0;-#,##0;&quot;–&quot;"/>
    <numFmt numFmtId="172" formatCode="#,##0.00;-#,##0.00;&quot;–&quot;"/>
    <numFmt numFmtId="173" formatCode="#,##0.00 €;-#,##0.00 €;&quot;&quot;"/>
    <numFmt numFmtId="174" formatCode="0%;-0%;&quot;&quot;"/>
    <numFmt numFmtId="175" formatCode="#,##0;-#,##0;&quot;&quot;"/>
    <numFmt numFmtId="176" formatCode="0.0%"/>
  </numFmts>
  <fonts count="6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B7280"/>
      <sz val="9.5"/>
    </font>
    <font>
      <name val="Arial"/>
      <b val="1"/>
      <color rgb="002E3A59"/>
      <sz val="11"/>
    </font>
    <font>
      <name val="Arial"/>
      <b val="1"/>
      <color rgb="001F2937"/>
      <sz val="10"/>
    </font>
    <font>
      <name val="Arial"/>
      <color rgb="000000FF"/>
      <sz val="11"/>
    </font>
    <font>
      <name val="Arial"/>
      <b val="1"/>
      <color rgb="004F46E5"/>
      <sz val="11"/>
    </font>
    <font>
      <name val="Arial"/>
      <color rgb="000000FF"/>
      <sz val="10"/>
    </font>
    <font>
      <name val="Arial"/>
      <color rgb="00FFFFFF"/>
      <sz val="9"/>
    </font>
    <font>
      <name val="Arial"/>
      <b val="1"/>
      <color rgb="006B7280"/>
      <sz val="9.5"/>
    </font>
    <font>
      <name val="Arial"/>
      <b val="1"/>
      <color rgb="004F46E5"/>
      <sz val="10"/>
    </font>
    <font>
      <name val="Arial"/>
      <b val="1"/>
      <color rgb="006B7280"/>
      <sz val="9"/>
    </font>
    <font>
      <name val="Arial"/>
      <b val="1"/>
      <color rgb="00FFFFFF"/>
      <sz val="9.5"/>
    </font>
    <font>
      <name val="Arial"/>
      <color rgb="000000FF"/>
      <sz val="9.5"/>
    </font>
    <font>
      <name val="Arial"/>
      <b val="1"/>
      <color rgb="00C2870B"/>
      <sz val="8.5"/>
    </font>
    <font>
      <name val="Arial"/>
      <b val="1"/>
      <color rgb="00C2870B"/>
      <sz val="13"/>
    </font>
    <font>
      <name val="Arial"/>
      <b val="1"/>
      <color rgb="00CE3B3B"/>
      <sz val="8.5"/>
    </font>
    <font>
      <name val="Arial"/>
      <b val="1"/>
      <color rgb="00CE3B3B"/>
      <sz val="13"/>
    </font>
    <font>
      <name val="Arial"/>
      <b val="1"/>
      <color rgb="000E9F6E"/>
      <sz val="8.5"/>
    </font>
    <font>
      <name val="Arial"/>
      <b val="1"/>
      <color rgb="000E9F6E"/>
      <sz val="13"/>
    </font>
    <font>
      <name val="Arial"/>
      <b val="1"/>
      <color rgb="000E8FA8"/>
      <sz val="8.5"/>
    </font>
    <font>
      <name val="Arial"/>
      <b val="1"/>
      <color rgb="000E8FA8"/>
      <sz val="13"/>
    </font>
    <font>
      <name val="Arial"/>
      <b val="1"/>
      <color rgb="007C5CD6"/>
      <sz val="8.5"/>
    </font>
    <font>
      <name val="Arial"/>
      <b val="1"/>
      <color rgb="007C5CD6"/>
      <sz val="13"/>
    </font>
    <font>
      <name val="Arial"/>
      <b val="1"/>
      <color rgb="006B7280"/>
      <sz val="10"/>
    </font>
    <font>
      <name val="Arial"/>
      <color rgb="006B7280"/>
      <sz val="9"/>
    </font>
    <font>
      <name val="Arial"/>
      <b val="1"/>
      <color rgb="001F2937"/>
      <sz val="9.5"/>
    </font>
    <font>
      <name val="Arial"/>
      <color rgb="000000FF"/>
      <sz val="9"/>
    </font>
    <font>
      <name val="Arial"/>
      <b val="1"/>
      <color rgb="00C2870B"/>
      <sz val="9"/>
    </font>
    <font>
      <name val="Arial"/>
      <b val="1"/>
      <color rgb="000000FF"/>
      <sz val="11"/>
    </font>
    <font>
      <name val="Arial"/>
      <b val="1"/>
      <color rgb="004F46E5"/>
      <sz val="8.5"/>
    </font>
    <font>
      <name val="Arial"/>
      <b val="1"/>
      <color rgb="004F46E5"/>
      <sz val="13"/>
    </font>
    <font>
      <name val="Arial"/>
      <color rgb="000E9F6E"/>
      <sz val="10"/>
    </font>
    <font>
      <name val="Arial"/>
      <color rgb="00CE3B3B"/>
      <sz val="10"/>
    </font>
    <font>
      <name val="Arial"/>
      <color rgb="001F2937"/>
      <sz val="10"/>
    </font>
    <font>
      <name val="Arial"/>
      <b val="1"/>
      <color rgb="00CE3B3B"/>
      <sz val="10"/>
    </font>
    <font>
      <name val="Arial"/>
      <b val="1"/>
      <color rgb="00FFFFFF"/>
      <sz val="10"/>
    </font>
    <font>
      <name val="Arial"/>
      <b val="1"/>
      <color rgb="00CE3B3B"/>
      <sz val="11"/>
    </font>
    <font>
      <name val="Arial"/>
      <b val="1"/>
      <color rgb="002E3A59"/>
      <sz val="10"/>
    </font>
    <font>
      <name val="Arial"/>
      <b val="1"/>
      <color rgb="00FFFFFF"/>
      <sz val="8.5"/>
    </font>
    <font>
      <name val="Arial"/>
      <b val="1"/>
      <color rgb="000E9F6E"/>
      <sz val="10"/>
    </font>
    <font>
      <name val="Arial"/>
      <b val="1"/>
      <color rgb="00AEB7C6"/>
      <sz val="8"/>
    </font>
    <font>
      <name val="Arial"/>
      <b val="1"/>
      <color rgb="006B7280"/>
      <sz val="8.5"/>
    </font>
    <font>
      <name val="Arial"/>
      <color rgb="006B7280"/>
      <sz val="8.5"/>
    </font>
    <font>
      <name val="Arial"/>
      <b val="1"/>
      <color rgb="00D9468C"/>
      <sz val="10"/>
    </font>
    <font>
      <name val="Arial"/>
      <b val="1"/>
      <color rgb="000E9F6E"/>
      <sz val="11"/>
    </font>
    <font>
      <name val="Arial"/>
      <b val="1"/>
      <color rgb="000E9F6E"/>
      <sz val="12"/>
    </font>
    <font>
      <name val="Arial"/>
      <b val="1"/>
      <color rgb="004F46E5"/>
      <sz val="12"/>
    </font>
    <font>
      <name val="Arial"/>
      <b val="1"/>
      <color rgb="00C2870B"/>
      <sz val="12"/>
    </font>
    <font>
      <name val="Arial"/>
      <b val="1"/>
      <color rgb="000E8FA8"/>
      <sz val="12"/>
    </font>
    <font>
      <name val="Arial"/>
      <b val="1"/>
      <color rgb="007C5CD6"/>
      <sz val="12"/>
    </font>
    <font>
      <name val="Arial"/>
      <color rgb="001F2937"/>
      <sz val="9.5"/>
    </font>
    <font>
      <name val="Arial"/>
      <b val="1"/>
      <color rgb="00C2870B"/>
      <sz val="11"/>
    </font>
    <font>
      <name val="Arial"/>
      <color rgb="001F2937"/>
      <sz val="9"/>
    </font>
    <font>
      <name val="Arial"/>
      <b val="1"/>
      <color rgb="00FFFFFF"/>
      <sz val="10.5"/>
    </font>
    <font>
      <name val="Arial"/>
      <b val="1"/>
      <color rgb="00FFFFFF"/>
      <sz val="9"/>
    </font>
    <font>
      <name val="Arial"/>
      <color rgb="000E9F6E"/>
      <sz val="9.5"/>
    </font>
    <font>
      <name val="Arial"/>
      <b val="1"/>
      <color rgb="00CE3B3B"/>
      <sz val="12"/>
    </font>
    <font>
      <name val="Arial"/>
      <b val="1"/>
      <color rgb="000E8FA8"/>
      <sz val="10"/>
    </font>
    <font>
      <name val="Arial"/>
      <b val="1"/>
      <color rgb="00C2870B"/>
      <sz val="10"/>
    </font>
    <font>
      <name val="Arial"/>
      <b val="1"/>
      <color rgb="000E8FA8"/>
      <sz val="11"/>
    </font>
    <font>
      <name val="Arial"/>
      <b val="1"/>
      <color rgb="002E3A59"/>
      <sz val="11.5"/>
    </font>
    <font>
      <name val="Arial"/>
      <color rgb="006B7280"/>
      <sz val="10"/>
    </font>
  </fonts>
  <fills count="18">
    <fill>
      <patternFill/>
    </fill>
    <fill>
      <patternFill patternType="gray125"/>
    </fill>
    <fill>
      <patternFill patternType="solid">
        <fgColor rgb="002E3A59"/>
        <bgColor rgb="002E3A59"/>
      </patternFill>
    </fill>
    <fill>
      <patternFill patternType="solid">
        <fgColor rgb="00F1F4F9"/>
        <bgColor rgb="00F1F4F9"/>
      </patternFill>
    </fill>
    <fill>
      <patternFill patternType="solid">
        <fgColor rgb="00FFF6CC"/>
        <bgColor rgb="00FFF6CC"/>
      </patternFill>
    </fill>
    <fill>
      <patternFill patternType="solid">
        <fgColor rgb="00CE3B3B"/>
        <bgColor rgb="00CE3B3B"/>
      </patternFill>
    </fill>
    <fill>
      <patternFill patternType="solid">
        <fgColor rgb="000E9F6E"/>
        <bgColor rgb="000E9F6E"/>
      </patternFill>
    </fill>
    <fill>
      <patternFill patternType="solid">
        <fgColor rgb="004F46E5"/>
        <bgColor rgb="004F46E5"/>
      </patternFill>
    </fill>
    <fill>
      <patternFill patternType="solid">
        <fgColor rgb="00D9468C"/>
        <bgColor rgb="00D9468C"/>
      </patternFill>
    </fill>
    <fill>
      <patternFill patternType="solid">
        <fgColor rgb="007C5CD6"/>
        <bgColor rgb="007C5CD6"/>
      </patternFill>
    </fill>
    <fill>
      <patternFill patternType="solid">
        <fgColor rgb="000E8FA8"/>
        <bgColor rgb="000E8FA8"/>
      </patternFill>
    </fill>
    <fill>
      <patternFill patternType="solid">
        <fgColor rgb="00FBF1DC"/>
        <bgColor rgb="00FBF1DC"/>
      </patternFill>
    </fill>
    <fill>
      <patternFill patternType="solid">
        <fgColor rgb="00FAE5E5"/>
        <bgColor rgb="00FAE5E5"/>
      </patternFill>
    </fill>
    <fill>
      <patternFill patternType="solid">
        <fgColor rgb="00E3F5EE"/>
        <bgColor rgb="00E3F5EE"/>
      </patternFill>
    </fill>
    <fill>
      <patternFill patternType="solid">
        <fgColor rgb="00E1F2F7"/>
        <bgColor rgb="00E1F2F7"/>
      </patternFill>
    </fill>
    <fill>
      <patternFill patternType="solid">
        <fgColor rgb="00EEE9FA"/>
        <bgColor rgb="00EEE9FA"/>
      </patternFill>
    </fill>
    <fill>
      <patternFill patternType="solid">
        <fgColor rgb="00E8EAFB"/>
        <bgColor rgb="00E8EAFB"/>
      </patternFill>
    </fill>
    <fill>
      <patternFill patternType="solid">
        <fgColor rgb="00C2870B"/>
        <bgColor rgb="00C2870B"/>
      </patternFill>
    </fill>
  </fills>
  <borders count="85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C2870B"/>
      </top>
      <bottom/>
    </border>
    <border>
      <left/>
      <right/>
      <top/>
      <bottom style="thin">
        <color rgb="00C2870B"/>
      </bottom>
    </border>
    <border>
      <left style="thin">
        <color rgb="00C2870B"/>
      </left>
      <right/>
      <top style="thin">
        <color rgb="00C2870B"/>
      </top>
      <bottom/>
    </border>
    <border>
      <left/>
      <right style="thin">
        <color rgb="00C2870B"/>
      </right>
      <top style="thin">
        <color rgb="00C2870B"/>
      </top>
      <bottom/>
    </border>
    <border>
      <left style="thin">
        <color rgb="00C2870B"/>
      </left>
      <right/>
      <top/>
      <bottom style="thin">
        <color rgb="00C2870B"/>
      </bottom>
    </border>
    <border>
      <left/>
      <right style="thin">
        <color rgb="00C2870B"/>
      </right>
      <top/>
      <bottom style="thin">
        <color rgb="00C2870B"/>
      </bottom>
    </border>
    <border>
      <left/>
      <right/>
      <top style="thin">
        <color rgb="00CE3B3B"/>
      </top>
      <bottom/>
    </border>
    <border>
      <left/>
      <right/>
      <top/>
      <bottom style="thin">
        <color rgb="00CE3B3B"/>
      </bottom>
    </border>
    <border>
      <left style="thin">
        <color rgb="00CE3B3B"/>
      </left>
      <right/>
      <top style="thin">
        <color rgb="00CE3B3B"/>
      </top>
      <bottom/>
    </border>
    <border>
      <left style="thin">
        <color rgb="00CE3B3B"/>
      </left>
      <right style="thin">
        <color rgb="00CE3B3B"/>
      </right>
      <top style="thin">
        <color rgb="00CE3B3B"/>
      </top>
      <bottom/>
    </border>
    <border>
      <left style="thin">
        <color rgb="00CE3B3B"/>
      </left>
      <right/>
      <top/>
      <bottom style="thin">
        <color rgb="00CE3B3B"/>
      </bottom>
    </border>
    <border>
      <left style="thin">
        <color rgb="00CE3B3B"/>
      </left>
      <right style="thin">
        <color rgb="00CE3B3B"/>
      </right>
      <top/>
      <bottom style="thin">
        <color rgb="00CE3B3B"/>
      </bottom>
    </border>
    <border>
      <left/>
      <right/>
      <top style="thin">
        <color rgb="000E9F6E"/>
      </top>
      <bottom/>
    </border>
    <border>
      <left/>
      <right/>
      <top/>
      <bottom style="thin">
        <color rgb="000E9F6E"/>
      </bottom>
    </border>
    <border>
      <left style="thin">
        <color rgb="000E9F6E"/>
      </left>
      <right/>
      <top style="thin">
        <color rgb="000E9F6E"/>
      </top>
      <bottom/>
    </border>
    <border>
      <left style="thin">
        <color rgb="000E9F6E"/>
      </left>
      <right style="thin">
        <color rgb="000E9F6E"/>
      </right>
      <top style="thin">
        <color rgb="000E9F6E"/>
      </top>
      <bottom/>
    </border>
    <border>
      <left style="thin">
        <color rgb="000E9F6E"/>
      </left>
      <right/>
      <top/>
      <bottom style="thin">
        <color rgb="000E9F6E"/>
      </bottom>
    </border>
    <border>
      <left style="thin">
        <color rgb="000E9F6E"/>
      </left>
      <right style="thin">
        <color rgb="000E9F6E"/>
      </right>
      <top/>
      <bottom style="thin">
        <color rgb="000E9F6E"/>
      </bottom>
    </border>
    <border>
      <left/>
      <right style="thin">
        <color rgb="00CE3B3B"/>
      </right>
      <top style="thin">
        <color rgb="00CE3B3B"/>
      </top>
      <bottom/>
    </border>
    <border>
      <left/>
      <right style="thin">
        <color rgb="00CE3B3B"/>
      </right>
      <top/>
      <bottom style="thin">
        <color rgb="00CE3B3B"/>
      </bottom>
    </border>
    <border>
      <left/>
      <right/>
      <top style="thin">
        <color rgb="000E8FA8"/>
      </top>
      <bottom/>
    </border>
    <border>
      <left/>
      <right/>
      <top/>
      <bottom style="thin">
        <color rgb="000E8FA8"/>
      </bottom>
    </border>
    <border>
      <left style="thin">
        <color rgb="000E8FA8"/>
      </left>
      <right/>
      <top style="thin">
        <color rgb="000E8FA8"/>
      </top>
      <bottom/>
    </border>
    <border>
      <left/>
      <right style="thin">
        <color rgb="000E8FA8"/>
      </right>
      <top style="thin">
        <color rgb="000E8FA8"/>
      </top>
      <bottom/>
    </border>
    <border>
      <left style="thin">
        <color rgb="000E8FA8"/>
      </left>
      <right/>
      <top/>
      <bottom style="thin">
        <color rgb="000E8FA8"/>
      </bottom>
    </border>
    <border>
      <left/>
      <right style="thin">
        <color rgb="000E8FA8"/>
      </right>
      <top/>
      <bottom style="thin">
        <color rgb="000E8FA8"/>
      </bottom>
    </border>
    <border>
      <left/>
      <right/>
      <top style="thin">
        <color rgb="007C5CD6"/>
      </top>
      <bottom/>
    </border>
    <border>
      <left/>
      <right/>
      <top/>
      <bottom style="thin">
        <color rgb="007C5CD6"/>
      </bottom>
    </border>
    <border>
      <left style="thin">
        <color rgb="007C5CD6"/>
      </left>
      <right/>
      <top style="thin">
        <color rgb="007C5CD6"/>
      </top>
      <bottom/>
    </border>
    <border>
      <left/>
      <right style="thin">
        <color rgb="007C5CD6"/>
      </right>
      <top style="thin">
        <color rgb="007C5CD6"/>
      </top>
      <bottom/>
    </border>
    <border>
      <left style="thin">
        <color rgb="007C5CD6"/>
      </left>
      <right/>
      <top/>
      <bottom style="thin">
        <color rgb="007C5CD6"/>
      </bottom>
    </border>
    <border>
      <left/>
      <right style="thin">
        <color rgb="007C5CD6"/>
      </right>
      <top/>
      <bottom style="thin">
        <color rgb="007C5CD6"/>
      </bottom>
    </border>
    <border>
      <left/>
      <right/>
      <top style="thin">
        <color rgb="004F46E5"/>
      </top>
      <bottom/>
    </border>
    <border>
      <left/>
      <right/>
      <top/>
      <bottom style="thin">
        <color rgb="004F46E5"/>
      </bottom>
    </border>
    <border>
      <left style="thin">
        <color rgb="004F46E5"/>
      </left>
      <right/>
      <top style="thin">
        <color rgb="004F46E5"/>
      </top>
      <bottom/>
    </border>
    <border>
      <left/>
      <right style="thin">
        <color rgb="004F46E5"/>
      </right>
      <top style="thin">
        <color rgb="004F46E5"/>
      </top>
      <bottom/>
    </border>
    <border>
      <left style="thin">
        <color rgb="004F46E5"/>
      </left>
      <right/>
      <top/>
      <bottom style="thin">
        <color rgb="004F46E5"/>
      </bottom>
    </border>
    <border>
      <left/>
      <right style="thin">
        <color rgb="004F46E5"/>
      </right>
      <top/>
      <bottom style="thin">
        <color rgb="004F46E5"/>
      </bottom>
    </border>
    <border>
      <left/>
      <right style="thin">
        <color rgb="000E9F6E"/>
      </right>
      <top style="thin">
        <color rgb="000E9F6E"/>
      </top>
      <bottom/>
    </border>
    <border>
      <left/>
      <right style="thin">
        <color rgb="000E9F6E"/>
      </right>
      <top/>
      <bottom style="thin">
        <color rgb="000E9F6E"/>
      </bottom>
    </border>
    <border>
      <left/>
      <right/>
      <top style="thin">
        <color rgb="00D9DEE7"/>
      </top>
      <bottom/>
    </border>
    <border>
      <left/>
      <right/>
      <top/>
      <bottom style="thin">
        <color rgb="00D9DEE7"/>
      </bottom>
    </border>
    <border>
      <left style="thin">
        <color rgb="00D9DEE7"/>
      </left>
      <right/>
      <top style="thin">
        <color rgb="00D9DEE7"/>
      </top>
      <bottom/>
    </border>
    <border>
      <left/>
      <right style="thin">
        <color rgb="00D9DEE7"/>
      </right>
      <top style="thin">
        <color rgb="00D9DEE7"/>
      </top>
      <bottom/>
    </border>
    <border>
      <left style="thin">
        <color rgb="00D9DEE7"/>
      </left>
      <right/>
      <top/>
      <bottom style="thin">
        <color rgb="00D9DEE7"/>
      </bottom>
    </border>
    <border>
      <left/>
      <right style="thin">
        <color rgb="00D9DEE7"/>
      </right>
      <top/>
      <bottom style="thin">
        <color rgb="00D9DEE7"/>
      </bottom>
    </border>
    <border>
      <left style="thin">
        <color rgb="00C2870B"/>
      </left>
      <right style="thin">
        <color rgb="00C2870B"/>
      </right>
      <top/>
      <bottom style="thin">
        <color rgb="00C2870B"/>
      </bottom>
    </border>
    <border>
      <left/>
      <right style="thin">
        <color rgb="00C2870B"/>
      </right>
      <top/>
      <bottom/>
      <diagonal/>
    </border>
    <border>
      <left/>
      <right style="thin">
        <color rgb="00C2870B"/>
      </right>
      <top/>
      <bottom style="thin">
        <color rgb="00C2870B"/>
      </bottom>
      <diagonal/>
    </border>
    <border>
      <left style="thin">
        <color rgb="007C5CD6"/>
      </left>
      <right style="thin">
        <color rgb="007C5CD6"/>
      </right>
      <top style="thin">
        <color rgb="007C5CD6"/>
      </top>
      <bottom/>
    </border>
    <border>
      <left/>
      <right/>
      <top style="thin">
        <color rgb="007C5CD6"/>
      </top>
      <bottom/>
      <diagonal/>
    </border>
    <border>
      <left/>
      <right style="thin">
        <color rgb="007C5CD6"/>
      </right>
      <top style="thin">
        <color rgb="007C5CD6"/>
      </top>
      <bottom/>
      <diagonal/>
    </border>
    <border>
      <left style="thin">
        <color rgb="00C2870B"/>
      </left>
      <right style="thin">
        <color rgb="00C2870B"/>
      </right>
      <top style="thin">
        <color rgb="00C2870B"/>
      </top>
      <bottom/>
    </border>
    <border>
      <left/>
      <right/>
      <top style="thin">
        <color rgb="00C2870B"/>
      </top>
      <bottom/>
      <diagonal/>
    </border>
    <border>
      <left/>
      <right style="thin">
        <color rgb="00C2870B"/>
      </right>
      <top style="thin">
        <color rgb="00C2870B"/>
      </top>
      <bottom/>
      <diagonal/>
    </border>
    <border>
      <left/>
      <right/>
      <top style="thin">
        <color rgb="00CE3B3B"/>
      </top>
      <bottom/>
      <diagonal/>
    </border>
    <border>
      <left/>
      <right style="thin">
        <color rgb="00CE3B3B"/>
      </right>
      <top style="thin">
        <color rgb="00CE3B3B"/>
      </top>
      <bottom/>
      <diagonal/>
    </border>
    <border>
      <left/>
      <right style="thin">
        <color rgb="00CE3B3B"/>
      </right>
      <top/>
      <bottom/>
      <diagonal/>
    </border>
    <border>
      <left/>
      <right style="thin">
        <color rgb="00CE3B3B"/>
      </right>
      <top/>
      <bottom style="thin">
        <color rgb="00CE3B3B"/>
      </bottom>
      <diagonal/>
    </border>
    <border>
      <left style="thin">
        <color rgb="007C5CD6"/>
      </left>
      <right style="thin">
        <color rgb="007C5CD6"/>
      </right>
      <top/>
      <bottom style="thin">
        <color rgb="007C5CD6"/>
      </bottom>
    </border>
    <border>
      <left/>
      <right style="thin">
        <color rgb="007C5CD6"/>
      </right>
      <top/>
      <bottom/>
      <diagonal/>
    </border>
    <border>
      <left/>
      <right/>
      <top/>
      <bottom style="thin">
        <color rgb="007C5CD6"/>
      </bottom>
      <diagonal/>
    </border>
    <border>
      <left/>
      <right style="thin">
        <color rgb="007C5CD6"/>
      </right>
      <top/>
      <bottom style="thin">
        <color rgb="007C5CD6"/>
      </bottom>
      <diagonal/>
    </border>
    <border>
      <left style="thin">
        <color rgb="004F46E5"/>
      </left>
      <right style="thin">
        <color rgb="004F46E5"/>
      </right>
      <top/>
      <bottom style="thin">
        <color rgb="004F46E5"/>
      </bottom>
    </border>
    <border>
      <left/>
      <right style="thin">
        <color rgb="004F46E5"/>
      </right>
      <top/>
      <bottom/>
      <diagonal/>
    </border>
    <border>
      <left/>
      <right style="thin">
        <color rgb="004F46E5"/>
      </right>
      <top/>
      <bottom style="thin">
        <color rgb="004F46E5"/>
      </bottom>
      <diagonal/>
    </border>
    <border>
      <left style="thin">
        <color rgb="000E8FA8"/>
      </left>
      <right style="thin">
        <color rgb="000E8FA8"/>
      </right>
      <top/>
      <bottom style="thin">
        <color rgb="000E8FA8"/>
      </bottom>
    </border>
    <border>
      <left/>
      <right style="thin">
        <color rgb="000E8FA8"/>
      </right>
      <top/>
      <bottom/>
      <diagonal/>
    </border>
    <border>
      <left/>
      <right style="thin">
        <color rgb="000E8FA8"/>
      </right>
      <top/>
      <bottom style="thin">
        <color rgb="000E8FA8"/>
      </bottom>
      <diagonal/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 style="thin">
        <color rgb="004F46E5"/>
      </left>
      <right style="thin">
        <color rgb="004F46E5"/>
      </right>
      <top style="thin">
        <color rgb="004F46E5"/>
      </top>
      <bottom/>
    </border>
    <border>
      <left/>
      <right/>
      <top style="thin">
        <color rgb="004F46E5"/>
      </top>
      <bottom/>
      <diagonal/>
    </border>
    <border>
      <left/>
      <right style="thin">
        <color rgb="004F46E5"/>
      </right>
      <top style="thin">
        <color rgb="004F46E5"/>
      </top>
      <bottom/>
      <diagonal/>
    </border>
    <border>
      <left/>
      <right/>
      <top style="thin">
        <color rgb="000E9F6E"/>
      </top>
      <bottom/>
      <diagonal/>
    </border>
    <border>
      <left/>
      <right style="thin">
        <color rgb="000E9F6E"/>
      </right>
      <top style="thin">
        <color rgb="000E9F6E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0E9F6E"/>
      </right>
      <top/>
      <bottom/>
      <diagonal/>
    </border>
    <border>
      <left/>
      <right style="thin">
        <color rgb="000E9F6E"/>
      </right>
      <top/>
      <bottom style="thin">
        <color rgb="000E9F6E"/>
      </bottom>
      <diagonal/>
    </border>
    <border>
      <left style="thin">
        <color rgb="000E8FA8"/>
      </left>
      <right style="thin">
        <color rgb="000E8FA8"/>
      </right>
      <top style="thin">
        <color rgb="000E8FA8"/>
      </top>
      <bottom/>
    </border>
    <border>
      <left/>
      <right/>
      <top style="thin">
        <color rgb="000E8FA8"/>
      </top>
      <bottom/>
      <diagonal/>
    </border>
    <border>
      <left/>
      <right style="thin">
        <color rgb="000E8FA8"/>
      </right>
      <top style="thin">
        <color rgb="000E8FA8"/>
      </top>
      <bottom/>
      <diagonal/>
    </border>
  </borders>
  <cellStyleXfs count="1">
    <xf numFmtId="0" fontId="0" fillId="0" borderId="0"/>
  </cellStyleXfs>
  <cellXfs count="28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61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62" fillId="0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" fontId="5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right" vertical="bottom"/>
    </xf>
    <xf numFmtId="0" fontId="14" fillId="11" borderId="4" applyAlignment="1" pivotButton="0" quotePrefix="0" xfId="0">
      <alignment horizontal="center" vertical="center" wrapText="1"/>
    </xf>
    <xf numFmtId="0" fontId="0" fillId="11" borderId="5" pivotButton="0" quotePrefix="0" xfId="0"/>
    <xf numFmtId="0" fontId="16" fillId="12" borderId="11" applyAlignment="1" pivotButton="0" quotePrefix="0" xfId="0">
      <alignment horizontal="center" vertical="center" wrapText="1"/>
    </xf>
    <xf numFmtId="0" fontId="18" fillId="13" borderId="17" applyAlignment="1" pivotButton="0" quotePrefix="0" xfId="0">
      <alignment horizontal="center" vertical="center" wrapText="1"/>
    </xf>
    <xf numFmtId="0" fontId="16" fillId="12" borderId="10" applyAlignment="1" pivotButton="0" quotePrefix="0" xfId="0">
      <alignment horizontal="center" vertical="center" wrapText="1"/>
    </xf>
    <xf numFmtId="0" fontId="0" fillId="12" borderId="20" pivotButton="0" quotePrefix="0" xfId="0"/>
    <xf numFmtId="0" fontId="22" fillId="15" borderId="30" applyAlignment="1" pivotButton="0" quotePrefix="0" xfId="0">
      <alignment horizontal="center" vertical="center" wrapText="1"/>
    </xf>
    <xf numFmtId="0" fontId="0" fillId="15" borderId="28" pivotButton="0" quotePrefix="0" xfId="0"/>
    <xf numFmtId="0" fontId="0" fillId="15" borderId="31" pivotButton="0" quotePrefix="0" xfId="0"/>
    <xf numFmtId="166" fontId="15" fillId="11" borderId="6" applyAlignment="1" pivotButton="0" quotePrefix="0" xfId="0">
      <alignment horizontal="center" vertical="center"/>
    </xf>
    <xf numFmtId="0" fontId="0" fillId="11" borderId="7" pivotButton="0" quotePrefix="0" xfId="0"/>
    <xf numFmtId="166" fontId="17" fillId="12" borderId="13" applyAlignment="1" pivotButton="0" quotePrefix="0" xfId="0">
      <alignment horizontal="center" vertical="center"/>
    </xf>
    <xf numFmtId="166" fontId="19" fillId="13" borderId="19" applyAlignment="1" pivotButton="0" quotePrefix="0" xfId="0">
      <alignment horizontal="center" vertical="center"/>
    </xf>
    <xf numFmtId="1" fontId="17" fillId="12" borderId="12" applyAlignment="1" pivotButton="0" quotePrefix="0" xfId="0">
      <alignment horizontal="center" vertical="center"/>
    </xf>
    <xf numFmtId="0" fontId="0" fillId="12" borderId="21" pivotButton="0" quotePrefix="0" xfId="0"/>
    <xf numFmtId="1" fontId="23" fillId="15" borderId="32" applyAlignment="1" pivotButton="0" quotePrefix="0" xfId="0">
      <alignment horizontal="center" vertical="center"/>
    </xf>
    <xf numFmtId="0" fontId="0" fillId="15" borderId="29" pivotButton="0" quotePrefix="0" xfId="0"/>
    <xf numFmtId="0" fontId="0" fillId="15" borderId="33" pivotButton="0" quotePrefix="0" xfId="0"/>
    <xf numFmtId="0" fontId="4" fillId="0" borderId="0" applyAlignment="1" pivotButton="0" quotePrefix="0" xfId="0">
      <alignment horizontal="right" vertical="center" indent="1"/>
    </xf>
    <xf numFmtId="0" fontId="29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28" fillId="0" borderId="1" applyAlignment="1" pivotButton="0" quotePrefix="0" xfId="0">
      <alignment horizontal="center" vertical="center"/>
    </xf>
    <xf numFmtId="0" fontId="30" fillId="16" borderId="36" applyAlignment="1" pivotButton="0" quotePrefix="0" xfId="0">
      <alignment horizontal="center" vertical="center" wrapText="1"/>
    </xf>
    <xf numFmtId="0" fontId="0" fillId="16" borderId="37" pivotButton="0" quotePrefix="0" xfId="0"/>
    <xf numFmtId="0" fontId="18" fillId="13" borderId="16" applyAlignment="1" pivotButton="0" quotePrefix="0" xfId="0">
      <alignment horizontal="center" vertical="center" wrapText="1"/>
    </xf>
    <xf numFmtId="0" fontId="0" fillId="13" borderId="40" pivotButton="0" quotePrefix="0" xfId="0"/>
    <xf numFmtId="0" fontId="20" fillId="14" borderId="24" applyAlignment="1" pivotButton="0" quotePrefix="0" xfId="0">
      <alignment horizontal="center" vertical="center" wrapText="1"/>
    </xf>
    <xf numFmtId="0" fontId="0" fillId="14" borderId="25" pivotButton="0" quotePrefix="0" xfId="0"/>
    <xf numFmtId="165" fontId="31" fillId="16" borderId="38" applyAlignment="1" pivotButton="0" quotePrefix="0" xfId="0">
      <alignment horizontal="center" vertical="center"/>
    </xf>
    <xf numFmtId="0" fontId="0" fillId="16" borderId="39" pivotButton="0" quotePrefix="0" xfId="0"/>
    <xf numFmtId="165" fontId="19" fillId="13" borderId="18" applyAlignment="1" pivotButton="0" quotePrefix="0" xfId="0">
      <alignment horizontal="center" vertical="center"/>
    </xf>
    <xf numFmtId="0" fontId="0" fillId="13" borderId="41" pivotButton="0" quotePrefix="0" xfId="0"/>
    <xf numFmtId="165" fontId="17" fillId="12" borderId="12" applyAlignment="1" pivotButton="0" quotePrefix="0" xfId="0">
      <alignment horizontal="center" vertical="center"/>
    </xf>
    <xf numFmtId="165" fontId="21" fillId="14" borderId="26" applyAlignment="1" pivotButton="0" quotePrefix="0" xfId="0">
      <alignment horizontal="center" vertical="center"/>
    </xf>
    <xf numFmtId="0" fontId="0" fillId="14" borderId="27" pivotButton="0" quotePrefix="0" xfId="0"/>
    <xf numFmtId="165" fontId="7" fillId="4" borderId="1" applyAlignment="1" pivotButton="0" quotePrefix="0" xfId="0">
      <alignment horizontal="right" vertical="center"/>
    </xf>
    <xf numFmtId="166" fontId="32" fillId="0" borderId="1" applyAlignment="1" pivotButton="0" quotePrefix="0" xfId="0">
      <alignment horizontal="right" vertical="center" indent="1"/>
    </xf>
    <xf numFmtId="167" fontId="33" fillId="0" borderId="1" applyAlignment="1" pivotButton="0" quotePrefix="0" xfId="0">
      <alignment horizontal="right" vertical="center" indent="1"/>
    </xf>
    <xf numFmtId="165" fontId="34" fillId="0" borderId="1" applyAlignment="1" pivotButton="0" quotePrefix="0" xfId="0">
      <alignment horizontal="right" vertical="center" indent="1"/>
    </xf>
    <xf numFmtId="165" fontId="3" fillId="0" borderId="1" applyAlignment="1" pivotButton="0" quotePrefix="0" xfId="0">
      <alignment horizontal="right" vertical="center" indent="1"/>
    </xf>
    <xf numFmtId="165" fontId="35" fillId="0" borderId="1" applyAlignment="1" pivotButton="0" quotePrefix="0" xfId="0">
      <alignment horizontal="right" vertical="center" indent="1"/>
    </xf>
    <xf numFmtId="0" fontId="36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165" fontId="36" fillId="2" borderId="1" applyAlignment="1" pivotButton="0" quotePrefix="0" xfId="0">
      <alignment horizontal="right" vertical="center" indent="1"/>
    </xf>
    <xf numFmtId="0" fontId="3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" fontId="37" fillId="0" borderId="1" applyAlignment="1" pivotButton="0" quotePrefix="0" xfId="0">
      <alignment horizontal="center" vertical="center"/>
    </xf>
    <xf numFmtId="166" fontId="37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1" fontId="7" fillId="4" borderId="1" applyAlignment="1" pivotButton="0" quotePrefix="0" xfId="0">
      <alignment horizontal="center" vertical="center"/>
    </xf>
    <xf numFmtId="164" fontId="35" fillId="0" borderId="1" applyAlignment="1" pivotButton="0" quotePrefix="0" xfId="0">
      <alignment horizontal="center" vertical="center"/>
    </xf>
    <xf numFmtId="166" fontId="35" fillId="0" borderId="1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right" vertical="center" indent="1"/>
    </xf>
    <xf numFmtId="168" fontId="34" fillId="0" borderId="1" applyAlignment="1" pivotButton="0" quotePrefix="0" xfId="0">
      <alignment horizontal="right" vertical="center" indent="1"/>
    </xf>
    <xf numFmtId="165" fontId="38" fillId="0" borderId="1" applyAlignment="1" pivotButton="0" quotePrefix="0" xfId="0">
      <alignment horizontal="right" vertical="center" indent="1"/>
    </xf>
    <xf numFmtId="164" fontId="2" fillId="0" borderId="1" applyAlignment="1" pivotButton="0" quotePrefix="0" xfId="0">
      <alignment horizontal="center" vertical="center"/>
    </xf>
    <xf numFmtId="169" fontId="35" fillId="0" borderId="1" applyAlignment="1" pivotButton="0" quotePrefix="0" xfId="0">
      <alignment horizontal="right" vertical="center" indent="1"/>
    </xf>
    <xf numFmtId="166" fontId="17" fillId="12" borderId="12" applyAlignment="1" pivotButton="0" quotePrefix="0" xfId="0">
      <alignment horizontal="center" vertical="center"/>
    </xf>
    <xf numFmtId="164" fontId="21" fillId="14" borderId="26" applyAlignment="1" pivotButton="0" quotePrefix="0" xfId="0">
      <alignment horizontal="center" vertical="center"/>
    </xf>
    <xf numFmtId="166" fontId="21" fillId="14" borderId="26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 wrapText="1"/>
    </xf>
    <xf numFmtId="0" fontId="42" fillId="3" borderId="0" applyAlignment="1" pivotButton="0" quotePrefix="0" xfId="0">
      <alignment horizontal="center" vertical="center"/>
    </xf>
    <xf numFmtId="164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 indent="1"/>
    </xf>
    <xf numFmtId="170" fontId="40" fillId="13" borderId="1" applyAlignment="1" pivotButton="0" quotePrefix="0" xfId="0">
      <alignment horizontal="center" vertical="center"/>
    </xf>
    <xf numFmtId="164" fontId="43" fillId="0" borderId="0" pivotButton="0" quotePrefix="0" xfId="0"/>
    <xf numFmtId="0" fontId="43" fillId="0" borderId="0" pivotButton="0" quotePrefix="0" xfId="0"/>
    <xf numFmtId="0" fontId="12" fillId="2" borderId="0" applyAlignment="1" pivotButton="0" quotePrefix="0" xfId="0">
      <alignment horizontal="right" vertical="center"/>
    </xf>
    <xf numFmtId="166" fontId="12" fillId="2" borderId="0" applyAlignment="1" pivotButton="0" quotePrefix="0" xfId="0">
      <alignment horizontal="right" vertical="center" indent="1"/>
    </xf>
    <xf numFmtId="0" fontId="41" fillId="2" borderId="0" applyAlignment="1" pivotButton="0" quotePrefix="0" xfId="0">
      <alignment horizontal="left" vertical="center"/>
    </xf>
    <xf numFmtId="171" fontId="39" fillId="2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right" vertical="center"/>
    </xf>
    <xf numFmtId="0" fontId="0" fillId="6" borderId="0" pivotButton="0" quotePrefix="0" xfId="0"/>
    <xf numFmtId="166" fontId="12" fillId="6" borderId="0" applyAlignment="1" pivotButton="0" quotePrefix="0" xfId="0">
      <alignment horizontal="right" vertical="center" indent="1"/>
    </xf>
    <xf numFmtId="171" fontId="39" fillId="6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indent="1"/>
    </xf>
    <xf numFmtId="0" fontId="34" fillId="0" borderId="1" applyAlignment="1" pivotButton="0" quotePrefix="0" xfId="0">
      <alignment horizontal="center" vertical="center"/>
    </xf>
    <xf numFmtId="166" fontId="44" fillId="0" borderId="1" applyAlignment="1" pivotButton="0" quotePrefix="0" xfId="0">
      <alignment horizontal="right" vertical="center" indent="1"/>
    </xf>
    <xf numFmtId="9" fontId="4" fillId="0" borderId="1" applyAlignment="1" pivotButton="0" quotePrefix="0" xfId="0">
      <alignment horizontal="center" vertical="center"/>
    </xf>
    <xf numFmtId="0" fontId="45" fillId="13" borderId="1" applyAlignment="1" pivotButton="0" quotePrefix="0" xfId="0">
      <alignment horizontal="center" vertical="center"/>
    </xf>
    <xf numFmtId="0" fontId="36" fillId="2" borderId="0" applyAlignment="1" pivotButton="0" quotePrefix="0" xfId="0">
      <alignment horizontal="right" vertical="center"/>
    </xf>
    <xf numFmtId="166" fontId="36" fillId="2" borderId="0" applyAlignment="1" pivotButton="0" quotePrefix="0" xfId="0">
      <alignment horizontal="right" vertical="center" indent="1"/>
    </xf>
    <xf numFmtId="0" fontId="29" fillId="4" borderId="1" applyAlignment="1" pivotButton="0" quotePrefix="0" xfId="0">
      <alignment horizontal="center" vertical="center"/>
    </xf>
    <xf numFmtId="164" fontId="40" fillId="0" borderId="1" applyAlignment="1" pivotButton="0" quotePrefix="0" xfId="0">
      <alignment horizontal="center" vertical="center"/>
    </xf>
    <xf numFmtId="0" fontId="18" fillId="13" borderId="44" applyAlignment="1" pivotButton="0" quotePrefix="0" xfId="0">
      <alignment horizontal="center" vertical="center"/>
    </xf>
    <xf numFmtId="0" fontId="18" fillId="13" borderId="42" applyAlignment="1" pivotButton="0" quotePrefix="0" xfId="0">
      <alignment horizontal="center" vertical="center"/>
    </xf>
    <xf numFmtId="0" fontId="30" fillId="16" borderId="42" applyAlignment="1" pivotButton="0" quotePrefix="0" xfId="0">
      <alignment horizontal="center" vertical="center"/>
    </xf>
    <xf numFmtId="0" fontId="14" fillId="11" borderId="42" applyAlignment="1" pivotButton="0" quotePrefix="0" xfId="0">
      <alignment horizontal="center" vertical="center"/>
    </xf>
    <xf numFmtId="0" fontId="20" fillId="14" borderId="42" applyAlignment="1" pivotButton="0" quotePrefix="0" xfId="0">
      <alignment horizontal="center" vertical="center"/>
    </xf>
    <xf numFmtId="0" fontId="22" fillId="15" borderId="45" applyAlignment="1" pivotButton="0" quotePrefix="0" xfId="0">
      <alignment horizontal="center" vertical="center"/>
    </xf>
    <xf numFmtId="166" fontId="46" fillId="13" borderId="46" applyAlignment="1" pivotButton="0" quotePrefix="0" xfId="0">
      <alignment horizontal="center" vertical="center"/>
    </xf>
    <xf numFmtId="166" fontId="46" fillId="13" borderId="43" applyAlignment="1" pivotButton="0" quotePrefix="0" xfId="0">
      <alignment horizontal="center" vertical="center"/>
    </xf>
    <xf numFmtId="166" fontId="47" fillId="16" borderId="43" applyAlignment="1" pivotButton="0" quotePrefix="0" xfId="0">
      <alignment horizontal="center" vertical="center"/>
    </xf>
    <xf numFmtId="166" fontId="48" fillId="11" borderId="43" applyAlignment="1" pivotButton="0" quotePrefix="0" xfId="0">
      <alignment horizontal="center" vertical="center"/>
    </xf>
    <xf numFmtId="165" fontId="49" fillId="14" borderId="43" applyAlignment="1" pivotButton="0" quotePrefix="0" xfId="0">
      <alignment horizontal="center" vertical="center"/>
    </xf>
    <xf numFmtId="9" fontId="50" fillId="15" borderId="47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51" fillId="0" borderId="1" applyAlignment="1" pivotButton="0" quotePrefix="0" xfId="0">
      <alignment horizontal="left" vertical="center" indent="1"/>
    </xf>
    <xf numFmtId="166" fontId="51" fillId="0" borderId="1" applyAlignment="1" pivotButton="0" quotePrefix="0" xfId="0">
      <alignment horizontal="right" vertical="center" indent="1"/>
    </xf>
    <xf numFmtId="165" fontId="26" fillId="0" borderId="1" applyAlignment="1" pivotButton="0" quotePrefix="0" xfId="0">
      <alignment horizontal="right" vertical="center" indent="1"/>
    </xf>
    <xf numFmtId="9" fontId="26" fillId="0" borderId="1" applyAlignment="1" pivotButton="0" quotePrefix="0" xfId="0">
      <alignment horizontal="center" vertical="center"/>
    </xf>
    <xf numFmtId="172" fontId="53" fillId="0" borderId="1" applyAlignment="1" pivotButton="0" quotePrefix="0" xfId="0">
      <alignment horizontal="right" vertical="center" indent="1"/>
    </xf>
    <xf numFmtId="166" fontId="36" fillId="2" borderId="1" applyAlignment="1" pivotButton="0" quotePrefix="0" xfId="0">
      <alignment horizontal="right" vertical="center" indent="1"/>
    </xf>
    <xf numFmtId="9" fontId="3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5" fontId="9" fillId="0" borderId="1" applyAlignment="1" pivotButton="0" quotePrefix="0" xfId="0">
      <alignment horizontal="right" vertical="center" indent="1"/>
    </xf>
    <xf numFmtId="0" fontId="52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73" fontId="26" fillId="0" borderId="1" applyAlignment="1" pivotButton="0" quotePrefix="0" xfId="0">
      <alignment horizontal="right" vertical="center" indent="1"/>
    </xf>
    <xf numFmtId="174" fontId="51" fillId="0" borderId="1" applyAlignment="1" pivotButton="0" quotePrefix="0" xfId="0">
      <alignment horizontal="center" vertical="center"/>
    </xf>
    <xf numFmtId="0" fontId="54" fillId="2" borderId="1" applyAlignment="1" pivotButton="0" quotePrefix="0" xfId="0">
      <alignment horizontal="center" vertical="center"/>
    </xf>
    <xf numFmtId="0" fontId="55" fillId="2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/>
    </xf>
    <xf numFmtId="164" fontId="51" fillId="0" borderId="1" applyAlignment="1" pivotButton="0" quotePrefix="0" xfId="0">
      <alignment horizontal="center" vertical="center"/>
    </xf>
    <xf numFmtId="166" fontId="56" fillId="0" borderId="1" applyAlignment="1" pivotButton="0" quotePrefix="0" xfId="0">
      <alignment horizontal="right" vertical="center" indent="1"/>
    </xf>
    <xf numFmtId="166" fontId="26" fillId="0" borderId="1" applyAlignment="1" pivotButton="0" quotePrefix="0" xfId="0">
      <alignment horizontal="right" vertical="center" indent="1"/>
    </xf>
    <xf numFmtId="165" fontId="10" fillId="0" borderId="1" applyAlignment="1" pivotButton="0" quotePrefix="0" xfId="0">
      <alignment horizontal="right" vertical="center" indent="1"/>
    </xf>
    <xf numFmtId="166" fontId="25" fillId="0" borderId="1" applyAlignment="1" pivotButton="0" quotePrefix="0" xfId="0">
      <alignment horizontal="right" vertical="center" indent="1"/>
    </xf>
    <xf numFmtId="166" fontId="40" fillId="0" borderId="1" applyAlignment="1" pivotButton="0" quotePrefix="0" xfId="0">
      <alignment horizontal="right" vertical="center" indent="1"/>
    </xf>
    <xf numFmtId="166" fontId="34" fillId="0" borderId="1" applyAlignment="1" pivotButton="0" quotePrefix="0" xfId="0">
      <alignment horizontal="right" vertical="center" indent="1"/>
    </xf>
    <xf numFmtId="0" fontId="34" fillId="16" borderId="1" applyAlignment="1" pivotButton="0" quotePrefix="0" xfId="0">
      <alignment horizontal="left" vertical="center" indent="1"/>
    </xf>
    <xf numFmtId="165" fontId="3" fillId="16" borderId="1" applyAlignment="1" pivotButton="0" quotePrefix="0" xfId="0">
      <alignment horizontal="right" vertical="center" indent="1"/>
    </xf>
    <xf numFmtId="165" fontId="6" fillId="16" borderId="1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right" vertical="center" indent="1"/>
    </xf>
    <xf numFmtId="165" fontId="57" fillId="12" borderId="1" applyAlignment="1" pivotButton="0" quotePrefix="0" xfId="0">
      <alignment horizontal="center" vertical="center"/>
    </xf>
    <xf numFmtId="0" fontId="0" fillId="12" borderId="1" pivotButton="0" quotePrefix="0" xfId="0"/>
    <xf numFmtId="164" fontId="48" fillId="11" borderId="1" applyAlignment="1" pivotButton="0" quotePrefix="0" xfId="0">
      <alignment horizontal="center" vertical="center"/>
    </xf>
    <xf numFmtId="0" fontId="0" fillId="11" borderId="1" pivotButton="0" quotePrefix="0" xfId="0"/>
    <xf numFmtId="165" fontId="46" fillId="13" borderId="1" applyAlignment="1" pivotButton="0" quotePrefix="0" xfId="0">
      <alignment horizontal="center" vertical="center"/>
    </xf>
    <xf numFmtId="0" fontId="0" fillId="13" borderId="1" pivotButton="0" quotePrefix="0" xfId="0"/>
    <xf numFmtId="166" fontId="47" fillId="16" borderId="1" applyAlignment="1" pivotButton="0" quotePrefix="0" xfId="0">
      <alignment horizontal="center" vertical="center"/>
    </xf>
    <xf numFmtId="0" fontId="0" fillId="16" borderId="1" pivotButton="0" quotePrefix="0" xfId="0"/>
    <xf numFmtId="1" fontId="57" fillId="12" borderId="1" applyAlignment="1" pivotButton="0" quotePrefix="0" xfId="0">
      <alignment horizontal="center" vertical="center"/>
    </xf>
    <xf numFmtId="164" fontId="58" fillId="0" borderId="1" applyAlignment="1" pivotButton="0" quotePrefix="0" xfId="0">
      <alignment horizontal="center" vertical="center"/>
    </xf>
    <xf numFmtId="166" fontId="59" fillId="0" borderId="1" applyAlignment="1" pivotButton="0" quotePrefix="0" xfId="0">
      <alignment horizontal="right" vertical="center" indent="1"/>
    </xf>
    <xf numFmtId="9" fontId="34" fillId="0" borderId="1" applyAlignment="1" pivotButton="0" quotePrefix="0" xfId="0">
      <alignment horizontal="center" vertical="center"/>
    </xf>
    <xf numFmtId="166" fontId="60" fillId="0" borderId="1" applyAlignment="1" pivotButton="0" quotePrefix="0" xfId="0">
      <alignment horizontal="center" vertical="center"/>
    </xf>
    <xf numFmtId="49" fontId="60" fillId="0" borderId="1" applyAlignment="1" pivotButton="0" quotePrefix="0" xfId="0">
      <alignment horizontal="center" vertical="center"/>
    </xf>
    <xf numFmtId="165" fontId="60" fillId="0" borderId="1" applyAlignment="1" pivotButton="0" quotePrefix="0" xfId="0">
      <alignment horizontal="center" vertical="center"/>
    </xf>
    <xf numFmtId="0" fontId="55" fillId="2" borderId="1" applyAlignment="1" pivotButton="0" quotePrefix="0" xfId="0">
      <alignment horizontal="center" vertical="center"/>
    </xf>
    <xf numFmtId="0" fontId="39" fillId="2" borderId="1" applyAlignment="1" pivotButton="0" quotePrefix="0" xfId="0">
      <alignment horizontal="center" vertical="center" wrapText="1"/>
    </xf>
    <xf numFmtId="175" fontId="53" fillId="0" borderId="1" applyAlignment="1" pivotButton="0" quotePrefix="0" xfId="0">
      <alignment horizontal="right" vertical="center"/>
    </xf>
    <xf numFmtId="175" fontId="26" fillId="0" borderId="1" applyAlignment="1" pivotButton="0" quotePrefix="0" xfId="0">
      <alignment horizontal="right" vertical="center" indent="1"/>
    </xf>
    <xf numFmtId="0" fontId="12" fillId="2" borderId="1" applyAlignment="1" pivotButton="0" quotePrefix="0" xfId="0">
      <alignment horizontal="left" vertical="center" indent="1"/>
    </xf>
    <xf numFmtId="171" fontId="55" fillId="2" borderId="1" applyAlignment="1" pivotButton="0" quotePrefix="0" xfId="0">
      <alignment horizontal="right" vertical="center"/>
    </xf>
    <xf numFmtId="175" fontId="25" fillId="0" borderId="1" applyAlignment="1" pivotButton="0" quotePrefix="0" xfId="0">
      <alignment horizontal="right" vertical="center"/>
    </xf>
    <xf numFmtId="176" fontId="7" fillId="4" borderId="1" applyAlignment="1" pivotButton="0" quotePrefix="0" xfId="0">
      <alignment horizontal="center" vertical="center"/>
    </xf>
    <xf numFmtId="0" fontId="36" fillId="2" borderId="0" applyAlignment="1" pivotButton="0" quotePrefix="0" xfId="0">
      <alignment horizontal="left" vertical="center" indent="1"/>
    </xf>
    <xf numFmtId="9" fontId="36" fillId="2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/>
    </xf>
    <xf numFmtId="0" fontId="14" fillId="11" borderId="54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8" pivotButton="0" quotePrefix="0" xfId="0"/>
    <xf numFmtId="0" fontId="22" fillId="15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6" fontId="15" fillId="11" borderId="48" applyAlignment="1" pivotButton="0" quotePrefix="0" xfId="0">
      <alignment horizontal="center" vertical="center"/>
    </xf>
    <xf numFmtId="0" fontId="0" fillId="0" borderId="50" pivotButton="0" quotePrefix="0" xfId="0"/>
    <xf numFmtId="166" fontId="17" fillId="12" borderId="13" applyAlignment="1" pivotButton="0" quotePrefix="0" xfId="0">
      <alignment horizontal="center" vertical="center"/>
    </xf>
    <xf numFmtId="166" fontId="19" fillId="13" borderId="19" applyAlignment="1" pivotButton="0" quotePrefix="0" xfId="0">
      <alignment horizontal="center" vertical="center"/>
    </xf>
    <xf numFmtId="1" fontId="17" fillId="12" borderId="13" applyAlignment="1" pivotButton="0" quotePrefix="0" xfId="0">
      <alignment horizontal="center" vertical="center"/>
    </xf>
    <xf numFmtId="0" fontId="0" fillId="0" borderId="60" pivotButton="0" quotePrefix="0" xfId="0"/>
    <xf numFmtId="1" fontId="23" fillId="15" borderId="61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64" fontId="0" fillId="0" borderId="0" pivotButton="0" quotePrefix="0" xfId="0"/>
    <xf numFmtId="164" fontId="7" fillId="4" borderId="1" applyAlignment="1" pivotButton="0" quotePrefix="0" xfId="0">
      <alignment horizontal="center" vertical="center"/>
    </xf>
    <xf numFmtId="0" fontId="30" fillId="16" borderId="74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8" pivotButton="0" quotePrefix="0" xfId="0"/>
    <xf numFmtId="0" fontId="20" fillId="14" borderId="82" applyAlignment="1" pivotButton="0" quotePrefix="0" xfId="0">
      <alignment horizontal="center" vertical="center" wrapText="1"/>
    </xf>
    <xf numFmtId="0" fontId="0" fillId="0" borderId="84" pivotButton="0" quotePrefix="0" xfId="0"/>
    <xf numFmtId="165" fontId="31" fillId="16" borderId="65" applyAlignment="1" pivotButton="0" quotePrefix="0" xfId="0">
      <alignment horizontal="center" vertical="center"/>
    </xf>
    <xf numFmtId="0" fontId="0" fillId="0" borderId="67" pivotButton="0" quotePrefix="0" xfId="0"/>
    <xf numFmtId="165" fontId="19" fillId="13" borderId="19" applyAlignment="1" pivotButton="0" quotePrefix="0" xfId="0">
      <alignment horizontal="center" vertical="center"/>
    </xf>
    <xf numFmtId="0" fontId="0" fillId="0" borderId="81" pivotButton="0" quotePrefix="0" xfId="0"/>
    <xf numFmtId="165" fontId="17" fillId="12" borderId="13" applyAlignment="1" pivotButton="0" quotePrefix="0" xfId="0">
      <alignment horizontal="center" vertical="center"/>
    </xf>
    <xf numFmtId="165" fontId="21" fillId="14" borderId="68" applyAlignment="1" pivotButton="0" quotePrefix="0" xfId="0">
      <alignment horizontal="center" vertical="center"/>
    </xf>
    <xf numFmtId="0" fontId="0" fillId="0" borderId="70" pivotButton="0" quotePrefix="0" xfId="0"/>
    <xf numFmtId="165" fontId="7" fillId="4" borderId="1" applyAlignment="1" pivotButton="0" quotePrefix="0" xfId="0">
      <alignment horizontal="right" vertical="center"/>
    </xf>
    <xf numFmtId="166" fontId="32" fillId="0" borderId="1" applyAlignment="1" pivotButton="0" quotePrefix="0" xfId="0">
      <alignment horizontal="right" vertical="center" indent="1"/>
    </xf>
    <xf numFmtId="165" fontId="34" fillId="0" borderId="1" applyAlignment="1" pivotButton="0" quotePrefix="0" xfId="0">
      <alignment horizontal="right" vertical="center" indent="1"/>
    </xf>
    <xf numFmtId="165" fontId="3" fillId="0" borderId="1" applyAlignment="1" pivotButton="0" quotePrefix="0" xfId="0">
      <alignment horizontal="right" vertical="center" indent="1"/>
    </xf>
    <xf numFmtId="165" fontId="35" fillId="0" borderId="1" applyAlignment="1" pivotButton="0" quotePrefix="0" xfId="0">
      <alignment horizontal="right" vertical="center" indent="1"/>
    </xf>
    <xf numFmtId="165" fontId="36" fillId="2" borderId="1" applyAlignment="1" pivotButton="0" quotePrefix="0" xfId="0">
      <alignment horizontal="right" vertical="center" indent="1"/>
    </xf>
    <xf numFmtId="0" fontId="0" fillId="0" borderId="73" pivotButton="0" quotePrefix="0" xfId="0"/>
    <xf numFmtId="166" fontId="37" fillId="0" borderId="1" applyAlignment="1" pivotButton="0" quotePrefix="0" xfId="0">
      <alignment horizontal="center" vertical="center"/>
    </xf>
    <xf numFmtId="0" fontId="0" fillId="0" borderId="79" pivotButton="0" quotePrefix="0" xfId="0"/>
    <xf numFmtId="164" fontId="35" fillId="0" borderId="1" applyAlignment="1" pivotButton="0" quotePrefix="0" xfId="0">
      <alignment horizontal="center" vertical="center"/>
    </xf>
    <xf numFmtId="166" fontId="35" fillId="0" borderId="1" applyAlignment="1" pivotButton="0" quotePrefix="0" xfId="0">
      <alignment horizontal="right" vertical="center" indent="1"/>
    </xf>
    <xf numFmtId="164" fontId="4" fillId="0" borderId="1" applyAlignment="1" pivotButton="0" quotePrefix="0" xfId="0">
      <alignment horizontal="center" vertical="center"/>
    </xf>
    <xf numFmtId="165" fontId="38" fillId="0" borderId="1" applyAlignment="1" pivotButton="0" quotePrefix="0" xfId="0">
      <alignment horizontal="right" vertical="center" indent="1"/>
    </xf>
    <xf numFmtId="164" fontId="2" fillId="0" borderId="1" applyAlignment="1" pivotButton="0" quotePrefix="0" xfId="0">
      <alignment horizontal="center" vertical="center"/>
    </xf>
    <xf numFmtId="164" fontId="21" fillId="14" borderId="68" applyAlignment="1" pivotButton="0" quotePrefix="0" xfId="0">
      <alignment horizontal="center" vertical="center"/>
    </xf>
    <xf numFmtId="166" fontId="21" fillId="14" borderId="68" applyAlignment="1" pivotButton="0" quotePrefix="0" xfId="0">
      <alignment horizontal="center" vertical="center"/>
    </xf>
    <xf numFmtId="164" fontId="27" fillId="4" borderId="1" applyAlignment="1" pivotButton="0" quotePrefix="0" xfId="0">
      <alignment horizontal="center" vertical="center"/>
    </xf>
    <xf numFmtId="164" fontId="43" fillId="0" borderId="0" pivotButton="0" quotePrefix="0" xfId="0"/>
    <xf numFmtId="166" fontId="12" fillId="2" borderId="0" applyAlignment="1" pivotButton="0" quotePrefix="0" xfId="0">
      <alignment horizontal="right" vertical="center" indent="1"/>
    </xf>
    <xf numFmtId="166" fontId="12" fillId="6" borderId="0" applyAlignment="1" pivotButton="0" quotePrefix="0" xfId="0">
      <alignment horizontal="right" vertical="center" indent="1"/>
    </xf>
    <xf numFmtId="166" fontId="4" fillId="0" borderId="1" applyAlignment="1" pivotButton="0" quotePrefix="0" xfId="0">
      <alignment horizontal="right" vertical="center" indent="1"/>
    </xf>
    <xf numFmtId="166" fontId="44" fillId="0" borderId="1" applyAlignment="1" pivotButton="0" quotePrefix="0" xfId="0">
      <alignment horizontal="right" vertical="center" indent="1"/>
    </xf>
    <xf numFmtId="166" fontId="36" fillId="2" borderId="0" applyAlignment="1" pivotButton="0" quotePrefix="0" xfId="0">
      <alignment horizontal="right" vertical="center" indent="1"/>
    </xf>
    <xf numFmtId="164" fontId="40" fillId="0" borderId="1" applyAlignment="1" pivotButton="0" quotePrefix="0" xfId="0">
      <alignment horizontal="center" vertical="center"/>
    </xf>
    <xf numFmtId="166" fontId="46" fillId="13" borderId="46" applyAlignment="1" pivotButton="0" quotePrefix="0" xfId="0">
      <alignment horizontal="center" vertical="center"/>
    </xf>
    <xf numFmtId="166" fontId="46" fillId="13" borderId="43" applyAlignment="1" pivotButton="0" quotePrefix="0" xfId="0">
      <alignment horizontal="center" vertical="center"/>
    </xf>
    <xf numFmtId="166" fontId="47" fillId="16" borderId="43" applyAlignment="1" pivotButton="0" quotePrefix="0" xfId="0">
      <alignment horizontal="center" vertical="center"/>
    </xf>
    <xf numFmtId="166" fontId="48" fillId="11" borderId="43" applyAlignment="1" pivotButton="0" quotePrefix="0" xfId="0">
      <alignment horizontal="center" vertical="center"/>
    </xf>
    <xf numFmtId="165" fontId="49" fillId="14" borderId="43" applyAlignment="1" pivotButton="0" quotePrefix="0" xfId="0">
      <alignment horizontal="center" vertical="center"/>
    </xf>
    <xf numFmtId="166" fontId="51" fillId="0" borderId="1" applyAlignment="1" pivotButton="0" quotePrefix="0" xfId="0">
      <alignment horizontal="right" vertical="center" indent="1"/>
    </xf>
    <xf numFmtId="165" fontId="26" fillId="0" borderId="1" applyAlignment="1" pivotButton="0" quotePrefix="0" xfId="0">
      <alignment horizontal="right" vertical="center" indent="1"/>
    </xf>
    <xf numFmtId="172" fontId="53" fillId="0" borderId="1" applyAlignment="1" pivotButton="0" quotePrefix="0" xfId="0">
      <alignment horizontal="right" vertical="center" indent="1"/>
    </xf>
    <xf numFmtId="166" fontId="36" fillId="2" borderId="1" applyAlignment="1" pivotButton="0" quotePrefix="0" xfId="0">
      <alignment horizontal="right" vertical="center" indent="1"/>
    </xf>
    <xf numFmtId="165" fontId="9" fillId="0" borderId="1" applyAlignment="1" pivotButton="0" quotePrefix="0" xfId="0">
      <alignment horizontal="right" vertical="center" indent="1"/>
    </xf>
    <xf numFmtId="173" fontId="26" fillId="0" borderId="1" applyAlignment="1" pivotButton="0" quotePrefix="0" xfId="0">
      <alignment horizontal="right" vertical="center" indent="1"/>
    </xf>
    <xf numFmtId="174" fontId="51" fillId="0" borderId="1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4" fontId="51" fillId="0" borderId="1" applyAlignment="1" pivotButton="0" quotePrefix="0" xfId="0">
      <alignment horizontal="center" vertical="center"/>
    </xf>
    <xf numFmtId="166" fontId="56" fillId="0" borderId="1" applyAlignment="1" pivotButton="0" quotePrefix="0" xfId="0">
      <alignment horizontal="right" vertical="center" indent="1"/>
    </xf>
    <xf numFmtId="166" fontId="26" fillId="0" borderId="1" applyAlignment="1" pivotButton="0" quotePrefix="0" xfId="0">
      <alignment horizontal="right" vertical="center" indent="1"/>
    </xf>
    <xf numFmtId="165" fontId="10" fillId="0" borderId="1" applyAlignment="1" pivotButton="0" quotePrefix="0" xfId="0">
      <alignment horizontal="right" vertical="center" indent="1"/>
    </xf>
    <xf numFmtId="166" fontId="25" fillId="0" borderId="1" applyAlignment="1" pivotButton="0" quotePrefix="0" xfId="0">
      <alignment horizontal="right" vertical="center" indent="1"/>
    </xf>
    <xf numFmtId="166" fontId="40" fillId="0" borderId="1" applyAlignment="1" pivotButton="0" quotePrefix="0" xfId="0">
      <alignment horizontal="right" vertical="center" indent="1"/>
    </xf>
    <xf numFmtId="166" fontId="34" fillId="0" borderId="1" applyAlignment="1" pivotButton="0" quotePrefix="0" xfId="0">
      <alignment horizontal="right" vertical="center" indent="1"/>
    </xf>
    <xf numFmtId="165" fontId="3" fillId="16" borderId="1" applyAlignment="1" pivotButton="0" quotePrefix="0" xfId="0">
      <alignment horizontal="right" vertical="center" indent="1"/>
    </xf>
    <xf numFmtId="165" fontId="6" fillId="16" borderId="1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right" vertical="center" indent="1"/>
    </xf>
    <xf numFmtId="165" fontId="57" fillId="12" borderId="1" applyAlignment="1" pivotButton="0" quotePrefix="0" xfId="0">
      <alignment horizontal="center" vertical="center"/>
    </xf>
    <xf numFmtId="164" fontId="48" fillId="11" borderId="1" applyAlignment="1" pivotButton="0" quotePrefix="0" xfId="0">
      <alignment horizontal="center" vertical="center"/>
    </xf>
    <xf numFmtId="165" fontId="46" fillId="13" borderId="1" applyAlignment="1" pivotButton="0" quotePrefix="0" xfId="0">
      <alignment horizontal="center" vertical="center"/>
    </xf>
    <xf numFmtId="166" fontId="47" fillId="16" borderId="1" applyAlignment="1" pivotButton="0" quotePrefix="0" xfId="0">
      <alignment horizontal="center" vertical="center"/>
    </xf>
    <xf numFmtId="164" fontId="58" fillId="0" borderId="1" applyAlignment="1" pivotButton="0" quotePrefix="0" xfId="0">
      <alignment horizontal="center" vertical="center"/>
    </xf>
    <xf numFmtId="166" fontId="59" fillId="0" borderId="1" applyAlignment="1" pivotButton="0" quotePrefix="0" xfId="0">
      <alignment horizontal="right" vertical="center" indent="1"/>
    </xf>
    <xf numFmtId="166" fontId="60" fillId="0" borderId="1" applyAlignment="1" pivotButton="0" quotePrefix="0" xfId="0">
      <alignment horizontal="center" vertical="center"/>
    </xf>
    <xf numFmtId="165" fontId="6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7">
    <dxf>
      <font>
        <name val="Arial"/>
        <i val="1"/>
        <color rgb="006B7280"/>
        <sz val="10"/>
      </font>
    </dxf>
    <dxf>
      <font>
        <b val="1"/>
        <color rgb="00CE3B3B"/>
      </font>
      <numFmt numFmtId="200" formatCode="-#,##0.00 €;-#,##0.00 €;&quot;–&quot;"/>
    </dxf>
    <dxf>
      <font>
        <name val="Arial"/>
        <b val="1"/>
        <color rgb="000E9F6E"/>
        <sz val="10"/>
      </font>
    </dxf>
    <dxf>
      <fill>
        <patternFill patternType="solid">
          <fgColor rgb="00FAE5E5"/>
          <bgColor rgb="00FAE5E5"/>
        </patternFill>
      </fill>
    </dxf>
    <dxf>
      <fill>
        <patternFill patternType="solid">
          <fgColor rgb="00FBF1DC"/>
          <bgColor rgb="00FBF1DC"/>
        </patternFill>
      </fill>
    </dxf>
    <dxf>
      <font>
        <name val="Arial"/>
        <b val="1"/>
        <color rgb="00CE3B3B"/>
        <sz val="11"/>
      </font>
    </dxf>
    <dxf>
      <fill>
        <patternFill patternType="solid">
          <fgColor rgb="00E3F5EE"/>
          <bgColor rgb="00E3F5EE"/>
        </patternFill>
      </fill>
    </dxf>
    <dxf>
      <font>
        <name val="Arial"/>
        <strike val="1"/>
        <color rgb="009AA3B0"/>
        <sz val="10"/>
      </font>
    </dxf>
    <dxf>
      <font>
        <name val="Arial"/>
        <b val="1"/>
        <color rgb="000E8FA8"/>
        <sz val="9"/>
      </font>
      <fill>
        <patternFill patternType="solid">
          <fgColor rgb="00E1F2F7"/>
          <bgColor rgb="00E1F2F7"/>
        </patternFill>
      </fill>
    </dxf>
    <dxf>
      <fill>
        <patternFill patternType="solid">
          <fgColor rgb="00E5E7EB"/>
          <bgColor rgb="00E5E7EB"/>
        </patternFill>
      </fill>
    </dxf>
    <dxf>
      <font>
        <name val="Arial"/>
        <b val="1"/>
        <color rgb="00C2870B"/>
        <sz val="9"/>
      </font>
      <fill>
        <patternFill patternType="solid">
          <fgColor rgb="00FBF1DC"/>
          <bgColor rgb="00FBF1DC"/>
        </patternFill>
      </fill>
    </dxf>
    <dxf>
      <font>
        <name val="Arial"/>
        <b val="1"/>
        <color rgb="000E9F6E"/>
        <sz val="9.5"/>
      </font>
      <fill>
        <patternFill patternType="solid">
          <fgColor rgb="00E3F5EE"/>
          <bgColor rgb="00E3F5EE"/>
        </patternFill>
      </fill>
    </dxf>
    <dxf>
      <font>
        <name val="Arial"/>
        <b val="1"/>
        <color rgb="00CE3B3B"/>
        <sz val="9.5"/>
      </font>
      <fill>
        <patternFill patternType="solid">
          <fgColor rgb="00FAE5E5"/>
          <bgColor rgb="00FAE5E5"/>
        </patternFill>
      </fill>
    </dxf>
    <dxf>
      <font>
        <name val="Arial"/>
        <b val="1"/>
        <color rgb="00CE3B3B"/>
        <sz val="9.5"/>
      </font>
    </dxf>
    <dxf>
      <font>
        <name val="Arial"/>
        <b val="1"/>
        <color rgb="00CE3B3B"/>
        <sz val="11"/>
      </font>
      <fill>
        <patternFill patternType="solid">
          <fgColor rgb="00FAE5E5"/>
          <bgColor rgb="00FAE5E5"/>
        </patternFill>
      </fill>
    </dxf>
    <dxf>
      <font>
        <name val="Arial"/>
        <b val="1"/>
        <color rgb="00CE3B3B"/>
        <sz val="10"/>
      </font>
    </dxf>
    <dxf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Остатки по счетам сейчас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spPr>
          <invertIfNegative val="0"/>
          <cat>
            <numRef>
              <f>'Счета'!$B$10:$B$15</f>
            </numRef>
          </cat>
          <val>
            <numRef>
              <f>'Счета'!$H$10:$H$15</f>
            </numRef>
          </val>
        </ser>
        <dLbls>
          <numFmt formatCode="#,##0 €;-#,##0 €;0 €"/>
          <showLegendKey val="0"/>
          <showVal val="1"/>
          <showCatName val="0"/>
          <showSerName val="0"/>
          <showPercent val="0"/>
          <showBubbleSize val="0"/>
          <showLeaderLines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Отложено и сколько ещё нужно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'Покупки'!F6</f>
            </strRef>
          </tx>
          <spPr>
            <a:solidFill>
              <a:srgbClr val="0E8FA8"/>
            </a:solidFill>
            <a:ln>
              <a:solidFill>
                <a:srgbClr val="0E8FA8"/>
              </a:solidFill>
              <a:prstDash val="solid"/>
            </a:ln>
          </spPr>
          <cat>
            <numRef>
              <f>'Покупки'!$C$7:$C$18</f>
            </numRef>
          </cat>
          <val>
            <numRef>
              <f>'Покупки'!$F$7:$F$18</f>
            </numRef>
          </val>
        </ser>
        <ser>
          <idx val="1"/>
          <order val="1"/>
          <tx>
            <strRef>
              <f>'Покупки'!H6</f>
            </strRef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'Покупки'!$C$7:$C$18</f>
            </numRef>
          </cat>
          <val>
            <numRef>
              <f>'Покупки'!$H$7:$H$18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Куда ушли деньги (факт)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Факт</v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'Месяц'!$B$49:$B$56</f>
            </numRef>
          </cat>
          <val>
            <numRef>
              <f>'Месяц'!$C$49:$C$56</f>
            </numRef>
          </val>
        </ser>
        <dLbls>
          <numFmt formatCode="#,##0 €;;"/>
          <showLegendKey val="0"/>
          <showVal val="1"/>
          <showCatName val="0"/>
          <showSerName val="0"/>
          <showPercent val="0"/>
          <showBubbleSize val="0"/>
          <showLeaderLines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Траты по дням (факт)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'Месяц'!J11</f>
            </strRef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'Месяц'!$I$12:$I$42</f>
            </numRef>
          </cat>
          <val>
            <numRef>
              <f>'Месяц'!$J$12:$J$42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Остаток денег по неделям и подушка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'Прогноз'!P5</f>
            </strRef>
          </tx>
          <spPr>
            <a:ln>
              <a:solidFill>
                <a:srgbClr val="4F46E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'Прогноз'!$I$6:$I$18</f>
            </numRef>
          </cat>
          <val>
            <numRef>
              <f>'Прогноз'!$P$6:$P$18</f>
            </numRef>
          </val>
          <smooth val="0"/>
        </ser>
        <ser>
          <idx val="1"/>
          <order val="1"/>
          <tx>
            <strRef>
              <f>'Прогноз'!Q5</f>
            </strRef>
          </tx>
          <spPr>
            <a:ln>
              <a:solidFill>
                <a:srgbClr val="C287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'Прогноз'!$I$6:$I$18</f>
            </numRef>
          </cat>
          <val>
            <numRef>
              <f>'Прогноз'!$Q$6:$Q$18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Из чего состоят расходы месяца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'Прогноз'!B9</f>
            </strRef>
          </tx>
          <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spPr>
          <cat>
            <numRef>
              <f>'Прогноз'!$C$5:$E$5</f>
            </numRef>
          </cat>
          <val>
            <numRef>
              <f>'Прогноз'!$C$9:$E$9</f>
            </numRef>
          </val>
        </ser>
        <ser>
          <idx val="1"/>
          <order val="1"/>
          <tx>
            <strRef>
              <f>'Прогноз'!B10</f>
            </strRef>
          </tx>
          <spPr>
            <a:solidFill>
              <a:srgbClr val="0E8FA8"/>
            </a:solidFill>
            <a:ln>
              <a:solidFill>
                <a:srgbClr val="0E8FA8"/>
              </a:solidFill>
              <a:prstDash val="solid"/>
            </a:ln>
          </spPr>
          <cat>
            <numRef>
              <f>'Прогноз'!$C$5:$E$5</f>
            </numRef>
          </cat>
          <val>
            <numRef>
              <f>'Прогноз'!$C$10:$E$10</f>
            </numRef>
          </val>
        </ser>
        <ser>
          <idx val="2"/>
          <order val="2"/>
          <tx>
            <strRef>
              <f>'Прогноз'!B11</f>
            </strRef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'Прогноз'!$C$5:$E$5</f>
            </numRef>
          </cat>
          <val>
            <numRef>
              <f>'Прогноз'!$C$11:$E$11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Доходы и расходы по месяцам (факт)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'Статистика'!D6</f>
            </strRef>
          </tx>
          <spPr>
            <a:solidFill>
              <a:srgbClr val="0E8FA8"/>
            </a:solidFill>
            <a:ln>
              <a:solidFill>
                <a:srgbClr val="0E8FA8"/>
              </a:solidFill>
              <a:prstDash val="solid"/>
            </a:ln>
          </spPr>
          <cat>
            <numRef>
              <f>'Статистика'!$B$7:$B$18</f>
            </numRef>
          </cat>
          <val>
            <numRef>
              <f>'Статистика'!$D$7:$D$18</f>
            </numRef>
          </val>
        </ser>
        <ser>
          <idx val="1"/>
          <order val="1"/>
          <tx>
            <strRef>
              <f>'Статистика'!F6</f>
            </strRef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'Статистика'!$B$7:$B$18</f>
            </numRef>
          </cat>
          <val>
            <numRef>
              <f>'Статистика'!$F$7:$F$18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Расходы: план и факт по месяцам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'Статистика'!E6</f>
            </strRef>
          </tx>
          <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spPr>
          <cat>
            <numRef>
              <f>'Статистика'!$B$7:$B$18</f>
            </numRef>
          </cat>
          <val>
            <numRef>
              <f>'Статистика'!$E$7:$E$18</f>
            </numRef>
          </val>
        </ser>
        <ser>
          <idx val="1"/>
          <order val="1"/>
          <tx>
            <strRef>
              <f>'Статистика'!F6</f>
            </strRef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'Статистика'!$B$7:$B$18</f>
            </numRef>
          </cat>
          <val>
            <numRef>
              <f>'Статистика'!$F$7:$F$18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Главные статьи за год (факт)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Факт</v>
          </tx>
          <spPr>
            <a:solidFill>
              <a:srgbClr val="C2870B"/>
            </a:solidFill>
            <a:ln>
              <a:solidFill>
                <a:srgbClr val="C2870B"/>
              </a:solidFill>
              <a:prstDash val="solid"/>
            </a:ln>
          </spPr>
          <cat>
            <numRef>
              <f>'Статистика'!$B$63:$B$70</f>
            </numRef>
          </cat>
          <val>
            <numRef>
              <f>'Статистика'!$C$63:$C$70</f>
            </numRef>
          </val>
        </ser>
        <dLbls>
          <numFmt formatCode="#,##0 €;;"/>
          <showLegendKey val="0"/>
          <showVal val="1"/>
          <showCatName val="0"/>
          <showSerName val="0"/>
          <showPercent val="0"/>
          <showBubbleSize val="0"/>
          <showLeaderLines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21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4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22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41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C2870B"/>
    <outlinePr summaryBelow="1" summaryRight="1"/>
    <pageSetUpPr/>
  </sheetPr>
  <dimension ref="B2:C2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78" customWidth="1" min="3" max="3"/>
    <col width="2.5" customWidth="1" min="4" max="4"/>
  </cols>
  <sheetData>
    <row r="2" ht="34" customHeight="1">
      <c r="B2" s="1" t="inlineStr">
        <is>
          <t>Трекер и планер расходов</t>
        </is>
      </c>
    </row>
    <row r="3" ht="20" customHeight="1">
      <c r="B3" s="3" t="inlineStr">
        <is>
          <t>План и факт в одном файле · помесячная статистика за учётный год · всё считается формулами</t>
        </is>
      </c>
    </row>
    <row r="5" ht="24" customHeight="1">
      <c r="B5" s="4" t="inlineStr">
        <is>
          <t>Куда что вносить</t>
        </is>
      </c>
    </row>
    <row r="6" ht="30" customHeight="1">
      <c r="B6" s="5" t="inlineStr">
        <is>
          <t>Операции</t>
        </is>
      </c>
      <c r="C6" s="6" t="inlineStr">
        <is>
          <t>Каждый день: что потратила, что пришло, откуда и куда. Тип «Перевод» — снятие наличных, погашение кредитки, перевод между картами: он меняет только остатки счетов.</t>
        </is>
      </c>
    </row>
    <row r="7" ht="30" customHeight="1">
      <c r="B7" s="5" t="inlineStr">
        <is>
          <t>Журнал</t>
        </is>
      </c>
      <c r="C7" s="6" t="inlineStr">
        <is>
          <t>Запланированные разовые траты: дата, категория, что, сумма, статус «Запланировано». Заплатила — «Оплачено», счёт (и сумма факт, если отличалась). В «Операции» её не вносишь.</t>
        </is>
      </c>
    </row>
    <row r="8" ht="45" customHeight="1">
      <c r="B8" s="5" t="inlineStr">
        <is>
          <t>Постоянные</t>
        </is>
      </c>
      <c r="C8" s="6" t="inlineStr">
        <is>
          <t>Аренда, связь, подписки, зарплата — один раз строкой. Каждый месяц: ✓ — оплачено по плану, число — оплачено столько, пусто — ещё нет. «Действует с / по» — для подписок, которые начинаются или заканчиваются.</t>
        </is>
      </c>
    </row>
    <row r="9" ht="18" customHeight="1">
      <c r="B9" s="5" t="inlineStr">
        <is>
          <t>Покупки</t>
        </is>
      </c>
      <c r="C9" s="6" t="inlineStr">
        <is>
          <t>Крупные покупки с датой. Купила — ✓ в «Куплено», цена факт и счёт.</t>
        </is>
      </c>
    </row>
    <row r="10" ht="18" customHeight="1">
      <c r="B10" s="5" t="inlineStr">
        <is>
          <t>Долги</t>
        </is>
      </c>
      <c r="C10" s="6" t="inlineStr">
        <is>
          <t>Кредиты и рассрочки с прогрессом погашения.</t>
        </is>
      </c>
    </row>
    <row r="11" ht="30" customHeight="1">
      <c r="B11" s="5" t="inlineStr">
        <is>
          <t>Правило</t>
        </is>
      </c>
      <c r="C11" s="6" t="inlineStr">
        <is>
          <t>Каждая трата живёт в одном месте. Если в «Операциях» или «Журнале» появится то, что уже есть в другом месте, колонка «Возможный дубль» подсветится жёлтым.</t>
        </is>
      </c>
    </row>
    <row r="13" ht="24" customHeight="1">
      <c r="B13" s="4" t="inlineStr">
        <is>
          <t>Что смотреть</t>
        </is>
      </c>
    </row>
    <row r="14" ht="30" customHeight="1">
      <c r="B14" s="5" t="inlineStr">
        <is>
          <t>Счета</t>
        </is>
      </c>
      <c r="C14" s="6" t="inlineStr">
        <is>
          <t>Сколько сейчас на каждой карте, в наличных и сколько долга по кредитке. Остатки на начало вводишь один раз; внизу — проверка, нет ли оплат без счёта.</t>
        </is>
      </c>
    </row>
    <row r="15" ht="30" customHeight="1">
      <c r="B15" s="5" t="inlineStr">
        <is>
          <t>Месяц</t>
        </is>
      </c>
      <c r="C15" s="6" t="inlineStr">
        <is>
          <t>Выбери любой месяц учётного года: по категориям лимит, план, факт, остаток лимита; куда ушли деньги и траты по дням.</t>
        </is>
      </c>
    </row>
    <row r="16" ht="18" customHeight="1">
      <c r="B16" s="5" t="inlineStr">
        <is>
          <t>Прогноз</t>
        </is>
      </c>
      <c r="C16" s="6" t="inlineStr">
        <is>
          <t>Три месяца вперёд по неделям: хватит ли денег и где остаток опускается ниже подушки.</t>
        </is>
      </c>
    </row>
    <row r="17" ht="30" customHeight="1">
      <c r="B17" s="5" t="inlineStr">
        <is>
          <t>Статистика</t>
        </is>
      </c>
      <c r="C17" s="6" t="inlineStr">
        <is>
          <t>12 месяцев подряд: доход и расход план/факт, баланс, накоплено, самый дорогой месяц; таблица «категория × месяц» с подсветкой и главные статьи за год.</t>
        </is>
      </c>
    </row>
    <row r="19" ht="24" customHeight="1">
      <c r="B19" s="4" t="inlineStr">
        <is>
          <t>Настройки</t>
        </is>
      </c>
    </row>
    <row r="20" ht="18" customHeight="1">
      <c r="B20" s="5" t="inlineStr">
        <is>
          <t>Прогноз с</t>
        </is>
      </c>
      <c r="C20" s="6" t="inlineStr">
        <is>
          <t>Месяц начала прогноза — сдвигай как хочешь.</t>
        </is>
      </c>
    </row>
    <row r="21" ht="30" customHeight="1">
      <c r="B21" s="5" t="inlineStr">
        <is>
          <t>Учёт с</t>
        </is>
      </c>
      <c r="C21" s="6" t="inlineStr">
        <is>
          <t>Начало учётного года (сейчас октябрь 2026). Отметки ✓ на «Постоянных» привязаны к нему — меняй только в новом файле через год.</t>
        </is>
      </c>
    </row>
    <row r="22" ht="18" customHeight="1">
      <c r="B22" s="5" t="inlineStr">
        <is>
          <t>Списки</t>
        </is>
      </c>
      <c r="C22" s="6" t="inlineStr">
        <is>
          <t>Категории, счета, статусы. Новая строка в конце списка сразу появляется в меню.</t>
        </is>
      </c>
    </row>
    <row r="23" ht="18" customHeight="1">
      <c r="B23" s="5" t="inlineStr">
        <is>
          <t>Деньги на старте</t>
        </is>
      </c>
      <c r="C23" s="6" t="inlineStr">
        <is>
          <t>Больше не вводятся: считаются по остаткам счетов.</t>
        </is>
      </c>
    </row>
    <row r="25" ht="24" customHeight="1">
      <c r="B25" s="4" t="inlineStr">
        <is>
          <t>Цвета</t>
        </is>
      </c>
    </row>
    <row r="26" ht="18" customHeight="1">
      <c r="B26" s="5" t="inlineStr">
        <is>
          <t>Жёлтая заливка, синий текст</t>
        </is>
      </c>
      <c r="C26" s="6" t="inlineStr">
        <is>
          <t>Ячейки для ввода. Всё остальное — формулы.</t>
        </is>
      </c>
    </row>
    <row r="27" ht="18" customHeight="1">
      <c r="B27" s="5" t="inlineStr">
        <is>
          <t>Зелёная строка журнала</t>
        </is>
      </c>
      <c r="C27" s="6" t="inlineStr">
        <is>
          <t>Оплачено. Красная — просрочено. Жёлтая — срок в ближайшие 7 дней.</t>
        </is>
      </c>
    </row>
    <row r="28" ht="18" customHeight="1">
      <c r="B28" s="5" t="inlineStr">
        <is>
          <t>Оранжевая клетка месяца</t>
        </is>
      </c>
      <c r="C28" s="6" t="inlineStr">
        <is>
          <t>В «Постоянных» вписана сумма, отличная от плана.</t>
        </is>
      </c>
    </row>
    <row r="29" ht="18" customHeight="1">
      <c r="B29" s="5" t="inlineStr">
        <is>
          <t>Серая клетка месяца</t>
        </is>
      </c>
      <c r="C29" s="6" t="inlineStr">
        <is>
          <t>Платёж в этом месяце не действует (вне «с / по»).</t>
        </is>
      </c>
    </row>
  </sheetData>
  <mergeCells count="6">
    <mergeCell ref="B13:C13"/>
    <mergeCell ref="B2:C2"/>
    <mergeCell ref="B25:C25"/>
    <mergeCell ref="B3:C3"/>
    <mergeCell ref="B19:C19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3A59"/>
    <outlinePr summaryBelow="1" summaryRight="1"/>
    <pageSetUpPr/>
  </sheetPr>
  <dimension ref="B2:X35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  <col width="8" customWidth="1" min="4" max="4"/>
    <col width="18" customWidth="1" min="5" max="5"/>
    <col width="13" customWidth="1" min="6" max="6"/>
    <col width="13" customWidth="1" min="7" max="7"/>
    <col width="2.5" customWidth="1" min="8" max="8"/>
    <col width="2.5" customWidth="1" min="9" max="9"/>
    <col width="24" customWidth="1" min="10" max="10"/>
    <col width="2.5" customWidth="1" min="11" max="11"/>
    <col width="22" customWidth="1" min="12" max="12"/>
    <col width="2.5" customWidth="1" min="13" max="13"/>
    <col width="26" customWidth="1" min="14" max="14"/>
    <col width="2.5" customWidth="1" min="15" max="15"/>
    <col width="16" customWidth="1" min="16" max="16"/>
    <col width="2.5" customWidth="1" min="17" max="17"/>
    <col width="16" customWidth="1" min="18" max="18"/>
    <col width="2.5" customWidth="1" min="19" max="19"/>
    <col width="11" customWidth="1" min="20" max="20"/>
    <col width="2.5" customWidth="1" min="21" max="21"/>
    <col width="12" customWidth="1" min="22" max="22"/>
    <col width="2.5" customWidth="1" min="23" max="23"/>
    <col width="16" customWidth="1" min="24" max="24"/>
    <col width="2.5" customWidth="1" min="25" max="25"/>
  </cols>
  <sheetData>
    <row r="1" ht="6" customHeight="1"/>
    <row r="2" ht="34" customHeight="1">
      <c r="B2" s="1" t="inlineStr">
        <is>
          <t>Настройки</t>
        </is>
      </c>
    </row>
    <row r="3" ht="20" customHeight="1">
      <c r="B3" s="3" t="inlineStr">
        <is>
          <t>Период прогноза, учётный год и деньги на старте</t>
        </is>
      </c>
    </row>
    <row r="4">
      <c r="J4" s="7" t="inlineStr">
        <is>
          <t>Списки для меню — правь под себя; новая строка сразу появляется в меню</t>
        </is>
      </c>
    </row>
    <row r="5" ht="24" customHeight="1">
      <c r="B5" s="8" t="inlineStr">
        <is>
          <t>Период и деньги</t>
        </is>
      </c>
      <c r="J5" s="10" t="inlineStr">
        <is>
          <t>Категории расходов</t>
        </is>
      </c>
      <c r="L5" s="11" t="inlineStr">
        <is>
          <t>Категории доходов</t>
        </is>
      </c>
      <c r="N5" s="12" t="inlineStr">
        <is>
          <t>Счета</t>
        </is>
      </c>
      <c r="P5" s="13" t="inlineStr">
        <is>
          <t>Статус</t>
        </is>
      </c>
      <c r="R5" s="14" t="inlineStr">
        <is>
          <t>Приоритет</t>
        </is>
      </c>
      <c r="T5" s="13" t="inlineStr">
        <is>
          <t>Тип</t>
        </is>
      </c>
      <c r="V5" s="15" t="inlineStr">
        <is>
          <t>Месяцы</t>
        </is>
      </c>
      <c r="X5" s="16" t="inlineStr">
        <is>
          <t>Месяцы учёта</t>
        </is>
      </c>
    </row>
    <row r="6" ht="21" customHeight="1">
      <c r="B6" s="17" t="inlineStr">
        <is>
          <t>Прогноз: год начала</t>
        </is>
      </c>
      <c r="C6" s="18" t="n">
        <v>2026</v>
      </c>
      <c r="E6" s="19" t="inlineStr">
        <is>
          <t>Горизонт прогноза</t>
        </is>
      </c>
      <c r="F6" s="194">
        <f>DATE($C$6,$D$7,1)</f>
        <v/>
      </c>
      <c r="G6" s="194">
        <f>DATE($C$6,$D$7+3,1)-1</f>
        <v/>
      </c>
      <c r="J6" s="21" t="inlineStr">
        <is>
          <t>Жильё</t>
        </is>
      </c>
      <c r="L6" s="21" t="inlineStr">
        <is>
          <t>Зарплата</t>
        </is>
      </c>
      <c r="N6" s="21" t="inlineStr">
        <is>
          <t>Карта</t>
        </is>
      </c>
      <c r="P6" s="21" t="inlineStr">
        <is>
          <t>Запланировано</t>
        </is>
      </c>
      <c r="R6" s="21" t="inlineStr">
        <is>
          <t>Обязательно</t>
        </is>
      </c>
      <c r="T6" s="21" t="inlineStr">
        <is>
          <t>Расход</t>
        </is>
      </c>
      <c r="V6" s="21" t="inlineStr">
        <is>
          <t>Январь</t>
        </is>
      </c>
      <c r="X6" s="22">
        <f>INDEX($V$6:$V$17,MONTH(DATE($C$8,$D$9+0,1)))&amp;" "&amp;YEAR(DATE($C$8,$D$9+0,1))</f>
        <v/>
      </c>
    </row>
    <row r="7" ht="21" customHeight="1">
      <c r="B7" s="17" t="inlineStr">
        <is>
          <t>Прогноз: месяц начала</t>
        </is>
      </c>
      <c r="C7" s="23" t="inlineStr">
        <is>
          <t>Октябрь</t>
        </is>
      </c>
      <c r="D7" s="24">
        <f>IFERROR(MATCH($C$7,$V$6:$V$17,0),1)</f>
        <v/>
      </c>
      <c r="J7" s="21" t="inlineStr">
        <is>
          <t>Продукты</t>
        </is>
      </c>
      <c r="L7" s="21" t="inlineStr">
        <is>
          <t>Премия</t>
        </is>
      </c>
      <c r="N7" s="21" t="inlineStr">
        <is>
          <t>Наличные</t>
        </is>
      </c>
      <c r="P7" s="21" t="inlineStr">
        <is>
          <t>Оплачено</t>
        </is>
      </c>
      <c r="R7" s="21" t="inlineStr">
        <is>
          <t>Желательно</t>
        </is>
      </c>
      <c r="T7" s="21" t="inlineStr">
        <is>
          <t>Доход</t>
        </is>
      </c>
      <c r="V7" s="21" t="inlineStr">
        <is>
          <t>Февраль</t>
        </is>
      </c>
      <c r="X7" s="22">
        <f>INDEX($V$6:$V$17,MONTH(DATE($C$8,$D$9+1,1)))&amp;" "&amp;YEAR(DATE($C$8,$D$9+1,1))</f>
        <v/>
      </c>
    </row>
    <row r="8" ht="21" customHeight="1">
      <c r="B8" s="17" t="inlineStr">
        <is>
          <t>Учёт: год начала</t>
        </is>
      </c>
      <c r="C8" s="18" t="n">
        <v>2026</v>
      </c>
      <c r="E8" s="19" t="inlineStr">
        <is>
          <t>Учётный год</t>
        </is>
      </c>
      <c r="F8" s="194">
        <f>DATE($C$8,$D$9,1)</f>
        <v/>
      </c>
      <c r="G8" s="194">
        <f>DATE($C$8,$D$9+12,1)-1</f>
        <v/>
      </c>
      <c r="J8" s="21" t="inlineStr">
        <is>
          <t>Транспорт</t>
        </is>
      </c>
      <c r="L8" s="21" t="n"/>
      <c r="N8" s="21" t="inlineStr">
        <is>
          <t>Кредитка</t>
        </is>
      </c>
      <c r="P8" s="21" t="inlineStr">
        <is>
          <t>Перенесено</t>
        </is>
      </c>
      <c r="R8" s="21" t="inlineStr">
        <is>
          <t>Можно отложить</t>
        </is>
      </c>
      <c r="V8" s="21" t="inlineStr">
        <is>
          <t>Март</t>
        </is>
      </c>
      <c r="X8" s="22">
        <f>INDEX($V$6:$V$17,MONTH(DATE($C$8,$D$9+2,1)))&amp;" "&amp;YEAR(DATE($C$8,$D$9+2,1))</f>
        <v/>
      </c>
    </row>
    <row r="9" ht="21" customHeight="1">
      <c r="B9" s="17" t="inlineStr">
        <is>
          <t>Учёт: месяц начала</t>
        </is>
      </c>
      <c r="C9" s="23" t="inlineStr">
        <is>
          <t>Октябрь</t>
        </is>
      </c>
      <c r="D9" s="24">
        <f>IFERROR(MATCH($C$9,$V$6:$V$17,0),1)</f>
        <v/>
      </c>
      <c r="J9" s="21" t="inlineStr">
        <is>
          <t>Подписки</t>
        </is>
      </c>
      <c r="L9" s="21" t="n"/>
      <c r="N9" s="21" t="n"/>
      <c r="P9" s="21" t="inlineStr">
        <is>
          <t>Отменено</t>
        </is>
      </c>
      <c r="V9" s="21" t="inlineStr">
        <is>
          <t>Апрель</t>
        </is>
      </c>
      <c r="X9" s="22">
        <f>INDEX($V$6:$V$17,MONTH(DATE($C$8,$D$9+3,1)))&amp;" "&amp;YEAR(DATE($C$8,$D$9+3,1))</f>
        <v/>
      </c>
    </row>
    <row r="10" ht="21" customHeight="1">
      <c r="B10" s="17" t="inlineStr">
        <is>
          <t>Деньги на старте прогноза (по счетам)</t>
        </is>
      </c>
      <c r="C10" s="195">
        <f>SUM(Счета!$D$10:$D$21)+SUMIFS(Операции!$Q$10:$Q$1009,Операции!$D$10:$D$1009,"Доход",Операции!$C$10:$C$1009,"&gt;="&amp;Счета!$C$4,Операции!$C$10:$C$1009,"&lt;"&amp;DATE(Настройки!$C$6,Настройки!$D$7,1))-SUMIFS(Операции!$Q$10:$Q$1009,Операции!$D$10:$D$1009,"Расход",Операции!$C$10:$C$1009,"&gt;="&amp;Счета!$C$4,Операции!$C$10:$C$1009,"&lt;"&amp;DATE(Настройки!$C$6,Настройки!$D$7,1))+SUMIFS(Журнал!$P$10:$P$1509,Журнал!$D$10:$D$1509,"Доход",Журнал!$R$10:$R$1509,"&gt;="&amp;DATE(YEAR(Счета!$C$4),MONTH(Счета!$C$4),1),Журнал!$R$10:$R$1509,"&lt;"&amp;DATE(Настройки!$C$6,Настройки!$D$7,1))-SUMIFS(Журнал!$P$10:$P$1509,Журнал!$D$10:$D$1509,"&lt;&gt;Доход",Журнал!$R$10:$R$1509,"&gt;="&amp;DATE(YEAR(Счета!$C$4),MONTH(Счета!$C$4),1),Журнал!$R$10:$R$1509,"&lt;"&amp;DATE(Настройки!$C$6,Настройки!$D$7,1))+SUMIFS(Постоянные!$AC$8:$AC$367,Постоянные!$Z$8:$Z$367,"Доход",Постоянные!$Y$8:$Y$367,"&gt;="&amp;Счета!$C$4,Постоянные!$Y$8:$Y$367,"&lt;"&amp;DATE(Настройки!$C$6,Настройки!$D$7,1))-SUMIFS(Постоянные!$AC$8:$AC$367,Постоянные!$Z$8:$Z$367,"Расход",Постоянные!$Y$8:$Y$367,"&gt;="&amp;Счета!$C$4,Постоянные!$Y$8:$Y$367,"&lt;"&amp;DATE(Настройки!$C$6,Настройки!$D$7,1))-SUMIFS(Покупки!$S$7:$S$18,Покупки!$G$7:$G$18,"&gt;="&amp;Счета!$C$4,Покупки!$G$7:$G$18,"&lt;"&amp;DATE(Настройки!$C$6,Настройки!$D$7,1))</f>
        <v/>
      </c>
      <c r="J10" s="21" t="inlineStr">
        <is>
          <t>Техника</t>
        </is>
      </c>
      <c r="L10" s="21" t="n"/>
      <c r="N10" s="21" t="n"/>
      <c r="V10" s="21" t="inlineStr">
        <is>
          <t>Май</t>
        </is>
      </c>
      <c r="X10" s="22">
        <f>INDEX($V$6:$V$17,MONTH(DATE($C$8,$D$9+4,1)))&amp;" "&amp;YEAR(DATE($C$8,$D$9+4,1))</f>
        <v/>
      </c>
    </row>
    <row r="11" ht="21" customHeight="1">
      <c r="B11" s="17" t="inlineStr">
        <is>
          <t>Неприкосновенный запас (подушка)</t>
        </is>
      </c>
      <c r="C11" s="196" t="n">
        <v>100</v>
      </c>
      <c r="J11" s="21" t="n"/>
      <c r="L11" s="21" t="n"/>
      <c r="N11" s="21" t="n"/>
      <c r="V11" s="21" t="inlineStr">
        <is>
          <t>Июнь</t>
        </is>
      </c>
      <c r="X11" s="22">
        <f>INDEX($V$6:$V$17,MONTH(DATE($C$8,$D$9+5,1)))&amp;" "&amp;YEAR(DATE($C$8,$D$9+5,1))</f>
        <v/>
      </c>
    </row>
    <row r="12">
      <c r="J12" s="21" t="n"/>
      <c r="L12" s="21" t="n"/>
      <c r="N12" s="21" t="n"/>
      <c r="V12" s="21" t="inlineStr">
        <is>
          <t>Июль</t>
        </is>
      </c>
      <c r="X12" s="22">
        <f>INDEX($V$6:$V$17,MONTH(DATE($C$8,$D$9+6,1)))&amp;" "&amp;YEAR(DATE($C$8,$D$9+6,1))</f>
        <v/>
      </c>
    </row>
    <row r="13" ht="44" customHeight="1">
      <c r="B13" s="27" t="inlineStr">
        <is>
          <t>Прогноз — три месяца вперёд, сдвигай его как угодно. Учётный год — 12 месяцев статистики; отметки ✓ на «Постоянных» привязаны к нему, поэтому его начало меняют только при переходе на новый файл.</t>
        </is>
      </c>
      <c r="J13" s="21" t="n"/>
      <c r="L13" s="21" t="n"/>
      <c r="N13" s="21" t="n"/>
      <c r="V13" s="21" t="inlineStr">
        <is>
          <t>Август</t>
        </is>
      </c>
      <c r="X13" s="22">
        <f>INDEX($V$6:$V$17,MONTH(DATE($C$8,$D$9+7,1)))&amp;" "&amp;YEAR(DATE($C$8,$D$9+7,1))</f>
        <v/>
      </c>
    </row>
    <row r="14">
      <c r="J14" s="21" t="n"/>
      <c r="L14" s="21" t="n"/>
      <c r="N14" s="21" t="n"/>
      <c r="V14" s="21" t="inlineStr">
        <is>
          <t>Сентябрь</t>
        </is>
      </c>
      <c r="X14" s="22">
        <f>INDEX($V$6:$V$17,MONTH(DATE($C$8,$D$9+8,1)))&amp;" "&amp;YEAR(DATE($C$8,$D$9+8,1))</f>
        <v/>
      </c>
    </row>
    <row r="15">
      <c r="J15" s="21" t="n"/>
      <c r="L15" s="21" t="n"/>
      <c r="N15" s="21" t="n"/>
      <c r="V15" s="21" t="inlineStr">
        <is>
          <t>Октябрь</t>
        </is>
      </c>
      <c r="X15" s="22">
        <f>INDEX($V$6:$V$17,MONTH(DATE($C$8,$D$9+9,1)))&amp;" "&amp;YEAR(DATE($C$8,$D$9+9,1))</f>
        <v/>
      </c>
    </row>
    <row r="16">
      <c r="J16" s="21" t="n"/>
      <c r="L16" s="21" t="n"/>
      <c r="N16" s="21" t="n"/>
      <c r="V16" s="21" t="inlineStr">
        <is>
          <t>Ноябрь</t>
        </is>
      </c>
      <c r="X16" s="22">
        <f>INDEX($V$6:$V$17,MONTH(DATE($C$8,$D$9+10,1)))&amp;" "&amp;YEAR(DATE($C$8,$D$9+10,1))</f>
        <v/>
      </c>
    </row>
    <row r="17">
      <c r="J17" s="21" t="n"/>
      <c r="L17" s="21" t="n"/>
      <c r="N17" s="21" t="n"/>
      <c r="V17" s="21" t="inlineStr">
        <is>
          <t>Декабрь</t>
        </is>
      </c>
      <c r="X17" s="22">
        <f>INDEX($V$6:$V$17,MONTH(DATE($C$8,$D$9+11,1)))&amp;" "&amp;YEAR(DATE($C$8,$D$9+11,1))</f>
        <v/>
      </c>
    </row>
    <row r="18">
      <c r="J18" s="21" t="n"/>
    </row>
    <row r="19">
      <c r="J19" s="21" t="n"/>
    </row>
    <row r="20">
      <c r="J20" s="21" t="n"/>
    </row>
    <row r="21">
      <c r="J21" s="21" t="n"/>
    </row>
    <row r="22">
      <c r="J22" s="21" t="n"/>
    </row>
    <row r="23">
      <c r="J23" s="21" t="n"/>
    </row>
    <row r="24">
      <c r="J24" s="21" t="n"/>
    </row>
    <row r="25">
      <c r="J25" s="21" t="n"/>
    </row>
    <row r="26">
      <c r="J26" s="21" t="n"/>
    </row>
    <row r="27">
      <c r="J27" s="21" t="n"/>
    </row>
    <row r="28">
      <c r="J28" s="21" t="n"/>
    </row>
    <row r="29">
      <c r="J29" s="21" t="n"/>
    </row>
    <row r="30">
      <c r="J30" s="21" t="n"/>
    </row>
    <row r="31">
      <c r="J31" s="21" t="n"/>
    </row>
    <row r="32">
      <c r="J32" s="21" t="n"/>
    </row>
    <row r="33">
      <c r="J33" s="21" t="n"/>
    </row>
    <row r="34">
      <c r="J34" s="21" t="n"/>
    </row>
    <row r="35">
      <c r="J35" s="21" t="n"/>
    </row>
  </sheetData>
  <mergeCells count="5">
    <mergeCell ref="B3:G3"/>
    <mergeCell ref="B2:G2"/>
    <mergeCell ref="B5:G5"/>
    <mergeCell ref="B13:G13"/>
    <mergeCell ref="J4:X4"/>
  </mergeCells>
  <dataValidations count="1">
    <dataValidation sqref="C7 C9" showDropDown="0" showInputMessage="0" showErrorMessage="0" allowBlank="1" type="list">
      <formula1>Настройки!$V$6:$V$17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8FA8"/>
    <outlinePr summaryBelow="1" summaryRight="1"/>
    <pageSetUpPr/>
  </sheetPr>
  <dimension ref="B2:S1011"/>
  <sheetViews>
    <sheetView showGridLines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2" customWidth="1" min="3" max="3"/>
    <col width="10" customWidth="1" min="4" max="4"/>
    <col width="20" customWidth="1" min="5" max="5"/>
    <col width="30" customWidth="1" min="6" max="6"/>
    <col width="13" customWidth="1" min="7" max="7"/>
    <col width="22" customWidth="1" min="8" max="8"/>
    <col width="22" customWidth="1" min="9" max="9"/>
    <col width="14" customWidth="1" min="10" max="10"/>
    <col width="18" customWidth="1" min="11" max="11"/>
    <col width="2.5" customWidth="1" min="12" max="12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6" customHeight="1"/>
    <row r="2" ht="34" customHeight="1">
      <c r="B2" s="1" t="inlineStr">
        <is>
          <t>Операции</t>
        </is>
      </c>
    </row>
    <row r="3" ht="20" customHeight="1">
      <c r="B3" s="3" t="inlineStr">
        <is>
          <t>Каждый день: трата, поступление или перевод между счетами (снятие наличных, погашение кредитки)</t>
        </is>
      </c>
    </row>
    <row r="5" ht="26" customHeight="1">
      <c r="B5" s="28" t="inlineStr">
        <is>
          <t>Сводка:</t>
        </is>
      </c>
      <c r="C5" s="197" t="inlineStr">
        <is>
          <t>Потрачено сегодня</t>
        </is>
      </c>
      <c r="D5" s="198" t="n"/>
      <c r="E5" s="31" t="inlineStr">
        <is>
          <t>Потрачено за выбранный месяц</t>
        </is>
      </c>
      <c r="F5" s="32" t="inlineStr">
        <is>
          <t>Поступило за выбранный месяц</t>
        </is>
      </c>
      <c r="G5" s="31" t="inlineStr">
        <is>
          <t>Строк без счёта</t>
        </is>
      </c>
      <c r="H5" s="199" t="n"/>
      <c r="I5" s="200" t="inlineStr">
        <is>
          <t>Возможных дублей</t>
        </is>
      </c>
      <c r="J5" s="201" t="n"/>
      <c r="K5" s="202" t="n"/>
    </row>
    <row r="6" ht="30" customHeight="1">
      <c r="C6" s="203">
        <f>SUMIFS($Q$10:$Q$1009,$D$10:$D$1009,"Расход",$C$10:$C$1009,TODAY())</f>
        <v/>
      </c>
      <c r="D6" s="204" t="n"/>
      <c r="E6" s="205">
        <f>SUMIFS($Q$10:$Q$1009,$D$10:$D$1009,"Расход",$P$10:$P$1009,$S$8)</f>
        <v/>
      </c>
      <c r="F6" s="206">
        <f>SUMIFS($Q$10:$Q$1009,$D$10:$D$1009,"Доход",$P$10:$P$1009,$S$8)</f>
        <v/>
      </c>
      <c r="G6" s="207">
        <f>COUNTIFS($G$10:$G$1009,"&lt;&gt;",$H$10:$H$1009,"")</f>
        <v/>
      </c>
      <c r="H6" s="208" t="n"/>
      <c r="I6" s="209">
        <f>COUNTIF($K$10:$K$1009,"?*")</f>
        <v/>
      </c>
      <c r="J6" s="210" t="n"/>
      <c r="K6" s="211" t="n"/>
    </row>
    <row r="7" ht="24" customHeight="1">
      <c r="C7" s="47" t="inlineStr">
        <is>
          <t>Месяц</t>
        </is>
      </c>
      <c r="D7" s="48" t="inlineStr">
        <is>
          <t>Октябрь 2026</t>
        </is>
      </c>
      <c r="F7" s="50" t="inlineStr">
        <is>
          <t>← выбери месяц: в колонке «Дата» появятся его дни (другую дату можно вписать вручную)</t>
        </is>
      </c>
    </row>
    <row r="8">
      <c r="S8" s="212">
        <f>IFERROR(DATE(Настройки!$C$8,Настройки!$D$9+MATCH($D$7,Настройки!$X$6:$X$17,0)-1,1),DATE(YEAR(TODAY()),MONTH(TODAY()),1))</f>
        <v/>
      </c>
    </row>
    <row r="9" ht="34" customHeight="1">
      <c r="B9" s="52" t="inlineStr">
        <is>
          <t>№</t>
        </is>
      </c>
      <c r="C9" s="52" t="inlineStr">
        <is>
          <t>Дата</t>
        </is>
      </c>
      <c r="D9" s="52" t="inlineStr">
        <is>
          <t>Тип</t>
        </is>
      </c>
      <c r="E9" s="52" t="inlineStr">
        <is>
          <t>Категория</t>
        </is>
      </c>
      <c r="F9" s="52" t="inlineStr">
        <is>
          <t>Что</t>
        </is>
      </c>
      <c r="G9" s="52" t="inlineStr">
        <is>
          <t>Сумма</t>
        </is>
      </c>
      <c r="H9" s="52" t="inlineStr">
        <is>
          <t>Счёт</t>
        </is>
      </c>
      <c r="I9" s="52" t="inlineStr">
        <is>
          <t>На счёт
(для перевода)</t>
        </is>
      </c>
      <c r="J9" s="52" t="inlineStr">
        <is>
          <t>Месяц</t>
        </is>
      </c>
      <c r="K9" s="52" t="inlineStr">
        <is>
          <t>Возможный
дубль</t>
        </is>
      </c>
      <c r="S9">
        <f>DAY(DATE(YEAR($S$8),MONTH($S$8)+1,1)-1)</f>
        <v/>
      </c>
    </row>
    <row r="10" ht="19" customHeight="1">
      <c r="B10" s="53">
        <f>IF(AND($C10="",$F10=""),"",ROW()-9)</f>
        <v/>
      </c>
      <c r="C10" s="213" t="n">
        <v>46307</v>
      </c>
      <c r="D10" s="55" t="inlineStr">
        <is>
          <t>Расход</t>
        </is>
      </c>
      <c r="E10" s="55" t="inlineStr">
        <is>
          <t>Продукты</t>
        </is>
      </c>
      <c r="F10" s="56" t="inlineStr">
        <is>
          <t>Магазин</t>
        </is>
      </c>
      <c r="G10" s="196" t="n">
        <v>-30</v>
      </c>
      <c r="H10" s="21" t="inlineStr">
        <is>
          <t>Кредитка</t>
        </is>
      </c>
      <c r="I10" s="21" t="n"/>
      <c r="J10" s="53">
        <f>IF($C10="","",INDEX(Настройки!$V$6:$V$17,MONTH($C10))&amp;" "&amp;YEAR($C10))</f>
        <v/>
      </c>
      <c r="K10" s="57">
        <f>IF(OR($F10="",$D10="Перевод"),"",IF(AND(N($G10)&lt;&gt;0,COUNTIFS(Журнал!$C$10:$C$1509,$C10,Журнал!$P$10:$P$1509,$G10)&gt;0),"есть в Журнале",IF(COUNTIF(Постоянные!$C$8:$C$37,$F10)&gt;0,"есть в Постоянных",IF(COUNTIF(Покупки!$C$7:$C$18,$F10)&gt;0,"есть в Покупках",""))))</f>
        <v/>
      </c>
      <c r="P10">
        <f>IF($C10="","",DATE(YEAR($C10),MONTH($C10),1))</f>
        <v/>
      </c>
      <c r="Q10">
        <f>IF(ISNUMBER($G10),ABS($G10),0)</f>
        <v/>
      </c>
      <c r="R10">
        <f>IF(AND($D10="Расход",COUNTIFS(Счета!$B$10:$B$21,$H10,Счета!$C$10:$C$21,"Кредитная")&gt;0),1,0)</f>
        <v/>
      </c>
      <c r="S10" s="212">
        <f>IF(1&lt;=$S$9,DATE(YEAR($S$8),MONTH($S$8),1),"")</f>
        <v/>
      </c>
    </row>
    <row r="11" ht="19" customHeight="1">
      <c r="B11" s="53">
        <f>IF(AND($C11="",$F11=""),"",ROW()-9)</f>
        <v/>
      </c>
      <c r="C11" s="213" t="n">
        <v>46308</v>
      </c>
      <c r="D11" s="55" t="inlineStr">
        <is>
          <t>Перевод</t>
        </is>
      </c>
      <c r="E11" s="55" t="n"/>
      <c r="F11" s="56" t="inlineStr">
        <is>
          <t>Снятие</t>
        </is>
      </c>
      <c r="G11" s="196" t="n">
        <v>100</v>
      </c>
      <c r="H11" s="21" t="inlineStr">
        <is>
          <t>Карта</t>
        </is>
      </c>
      <c r="I11" s="21" t="inlineStr">
        <is>
          <t>Наличные</t>
        </is>
      </c>
      <c r="J11" s="53">
        <f>IF($C11="","",INDEX(Настройки!$V$6:$V$17,MONTH($C11))&amp;" "&amp;YEAR($C11))</f>
        <v/>
      </c>
      <c r="K11" s="57">
        <f>IF(OR($F11="",$D11="Перевод"),"",IF(AND(N($G11)&lt;&gt;0,COUNTIFS(Журнал!$C$10:$C$1509,$C11,Журнал!$P$10:$P$1509,$G11)&gt;0),"есть в Журнале",IF(COUNTIF(Постоянные!$C$8:$C$37,$F11)&gt;0,"есть в Постоянных",IF(COUNTIF(Покупки!$C$7:$C$18,$F11)&gt;0,"есть в Покупках",""))))</f>
        <v/>
      </c>
      <c r="P11">
        <f>IF($C11="","",DATE(YEAR($C11),MONTH($C11),1))</f>
        <v/>
      </c>
      <c r="Q11">
        <f>IF(ISNUMBER($G11),ABS($G11),0)</f>
        <v/>
      </c>
      <c r="R11">
        <f>IF(AND($D11="Расход",COUNTIFS(Счета!$B$10:$B$21,$H11,Счета!$C$10:$C$21,"Кредитная")&gt;0),1,0)</f>
        <v/>
      </c>
      <c r="S11" s="212">
        <f>IF(2&lt;=$S$9,DATE(YEAR($S$8),MONTH($S$8),2),"")</f>
        <v/>
      </c>
    </row>
    <row r="12" ht="19" customHeight="1">
      <c r="B12" s="53">
        <f>IF(AND($C12="",$F12=""),"",ROW()-9)</f>
        <v/>
      </c>
      <c r="C12" s="213" t="n">
        <v>46309</v>
      </c>
      <c r="D12" s="55" t="inlineStr">
        <is>
          <t>Расход</t>
        </is>
      </c>
      <c r="E12" s="55" t="inlineStr">
        <is>
          <t>Транспорт</t>
        </is>
      </c>
      <c r="F12" s="56" t="inlineStr">
        <is>
          <t>Билет</t>
        </is>
      </c>
      <c r="G12" s="196" t="n">
        <v>20</v>
      </c>
      <c r="H12" s="21" t="inlineStr">
        <is>
          <t>Наличные</t>
        </is>
      </c>
      <c r="I12" s="21" t="n"/>
      <c r="J12" s="53">
        <f>IF($C12="","",INDEX(Настройки!$V$6:$V$17,MONTH($C12))&amp;" "&amp;YEAR($C12))</f>
        <v/>
      </c>
      <c r="K12" s="57">
        <f>IF(OR($F12="",$D12="Перевод"),"",IF(AND(N($G12)&lt;&gt;0,COUNTIFS(Журнал!$C$10:$C$1509,$C12,Журнал!$P$10:$P$1509,$G12)&gt;0),"есть в Журнале",IF(COUNTIF(Постоянные!$C$8:$C$37,$F12)&gt;0,"есть в Постоянных",IF(COUNTIF(Покупки!$C$7:$C$18,$F12)&gt;0,"есть в Покупках",""))))</f>
        <v/>
      </c>
      <c r="P12">
        <f>IF($C12="","",DATE(YEAR($C12),MONTH($C12),1))</f>
        <v/>
      </c>
      <c r="Q12">
        <f>IF(ISNUMBER($G12),ABS($G12),0)</f>
        <v/>
      </c>
      <c r="R12">
        <f>IF(AND($D12="Расход",COUNTIFS(Счета!$B$10:$B$21,$H12,Счета!$C$10:$C$21,"Кредитная")&gt;0),1,0)</f>
        <v/>
      </c>
      <c r="S12" s="212">
        <f>IF(3&lt;=$S$9,DATE(YEAR($S$8),MONTH($S$8),3),"")</f>
        <v/>
      </c>
    </row>
    <row r="13" ht="19" customHeight="1">
      <c r="B13" s="53">
        <f>IF(AND($C13="",$F13=""),"",ROW()-9)</f>
        <v/>
      </c>
      <c r="C13" s="213" t="n">
        <v>46315</v>
      </c>
      <c r="D13" s="55" t="inlineStr">
        <is>
          <t>Перевод</t>
        </is>
      </c>
      <c r="E13" s="55" t="n"/>
      <c r="F13" s="56" t="inlineStr">
        <is>
          <t>Погашение кредитки</t>
        </is>
      </c>
      <c r="G13" s="196" t="n">
        <v>30</v>
      </c>
      <c r="H13" s="21" t="inlineStr">
        <is>
          <t>Карта</t>
        </is>
      </c>
      <c r="I13" s="21" t="inlineStr">
        <is>
          <t>Кредитка</t>
        </is>
      </c>
      <c r="J13" s="53">
        <f>IF($C13="","",INDEX(Настройки!$V$6:$V$17,MONTH($C13))&amp;" "&amp;YEAR($C13))</f>
        <v/>
      </c>
      <c r="K13" s="57">
        <f>IF(OR($F13="",$D13="Перевод"),"",IF(AND(N($G13)&lt;&gt;0,COUNTIFS(Журнал!$C$10:$C$1509,$C13,Журнал!$P$10:$P$1509,$G13)&gt;0),"есть в Журнале",IF(COUNTIF(Постоянные!$C$8:$C$37,$F13)&gt;0,"есть в Постоянных",IF(COUNTIF(Покупки!$C$7:$C$18,$F13)&gt;0,"есть в Покупках",""))))</f>
        <v/>
      </c>
      <c r="P13">
        <f>IF($C13="","",DATE(YEAR($C13),MONTH($C13),1))</f>
        <v/>
      </c>
      <c r="Q13">
        <f>IF(ISNUMBER($G13),ABS($G13),0)</f>
        <v/>
      </c>
      <c r="R13">
        <f>IF(AND($D13="Расход",COUNTIFS(Счета!$B$10:$B$21,$H13,Счета!$C$10:$C$21,"Кредитная")&gt;0),1,0)</f>
        <v/>
      </c>
      <c r="S13" s="212">
        <f>IF(4&lt;=$S$9,DATE(YEAR($S$8),MONTH($S$8),4),"")</f>
        <v/>
      </c>
    </row>
    <row r="14" ht="19" customHeight="1">
      <c r="B14" s="53">
        <f>IF(AND($C14="",$F14=""),"",ROW()-9)</f>
        <v/>
      </c>
      <c r="C14" s="213" t="n">
        <v>46316</v>
      </c>
      <c r="D14" s="55" t="inlineStr">
        <is>
          <t>Доход</t>
        </is>
      </c>
      <c r="E14" s="55" t="inlineStr">
        <is>
          <t>Премия</t>
        </is>
      </c>
      <c r="F14" s="56" t="inlineStr">
        <is>
          <t>Кэшбэк</t>
        </is>
      </c>
      <c r="G14" s="196" t="n">
        <v>5</v>
      </c>
      <c r="H14" s="21" t="inlineStr">
        <is>
          <t>Карта</t>
        </is>
      </c>
      <c r="I14" s="21" t="n"/>
      <c r="J14" s="53">
        <f>IF($C14="","",INDEX(Настройки!$V$6:$V$17,MONTH($C14))&amp;" "&amp;YEAR($C14))</f>
        <v/>
      </c>
      <c r="K14" s="57">
        <f>IF(OR($F14="",$D14="Перевод"),"",IF(AND(N($G14)&lt;&gt;0,COUNTIFS(Журнал!$C$10:$C$1509,$C14,Журнал!$P$10:$P$1509,$G14)&gt;0),"есть в Журнале",IF(COUNTIF(Постоянные!$C$8:$C$37,$F14)&gt;0,"есть в Постоянных",IF(COUNTIF(Покупки!$C$7:$C$18,$F14)&gt;0,"есть в Покупках",""))))</f>
        <v/>
      </c>
      <c r="P14">
        <f>IF($C14="","",DATE(YEAR($C14),MONTH($C14),1))</f>
        <v/>
      </c>
      <c r="Q14">
        <f>IF(ISNUMBER($G14),ABS($G14),0)</f>
        <v/>
      </c>
      <c r="R14">
        <f>IF(AND($D14="Расход",COUNTIFS(Счета!$B$10:$B$21,$H14,Счета!$C$10:$C$21,"Кредитная")&gt;0),1,0)</f>
        <v/>
      </c>
      <c r="S14" s="212">
        <f>IF(5&lt;=$S$9,DATE(YEAR($S$8),MONTH($S$8),5),"")</f>
        <v/>
      </c>
    </row>
    <row r="15" ht="19" customHeight="1">
      <c r="B15" s="53">
        <f>IF(AND($C15="",$F15=""),"",ROW()-9)</f>
        <v/>
      </c>
      <c r="C15" s="213" t="n">
        <v>46301</v>
      </c>
      <c r="D15" s="55" t="inlineStr">
        <is>
          <t>Расход</t>
        </is>
      </c>
      <c r="E15" s="55" t="inlineStr">
        <is>
          <t>Продукты</t>
        </is>
      </c>
      <c r="F15" s="56" t="inlineStr">
        <is>
          <t>Кафе</t>
        </is>
      </c>
      <c r="G15" s="196" t="n">
        <v>100</v>
      </c>
      <c r="H15" s="21" t="inlineStr">
        <is>
          <t>Карта</t>
        </is>
      </c>
      <c r="I15" s="21" t="n"/>
      <c r="J15" s="53">
        <f>IF($C15="","",INDEX(Настройки!$V$6:$V$17,MONTH($C15))&amp;" "&amp;YEAR($C15))</f>
        <v/>
      </c>
      <c r="K15" s="57">
        <f>IF(OR($F15="",$D15="Перевод"),"",IF(AND(N($G15)&lt;&gt;0,COUNTIFS(Журнал!$C$10:$C$1509,$C15,Журнал!$P$10:$P$1509,$G15)&gt;0),"есть в Журнале",IF(COUNTIF(Постоянные!$C$8:$C$37,$F15)&gt;0,"есть в Постоянных",IF(COUNTIF(Покупки!$C$7:$C$18,$F15)&gt;0,"есть в Покупках",""))))</f>
        <v/>
      </c>
      <c r="P15">
        <f>IF($C15="","",DATE(YEAR($C15),MONTH($C15),1))</f>
        <v/>
      </c>
      <c r="Q15">
        <f>IF(ISNUMBER($G15),ABS($G15),0)</f>
        <v/>
      </c>
      <c r="R15">
        <f>IF(AND($D15="Расход",COUNTIFS(Счета!$B$10:$B$21,$H15,Счета!$C$10:$C$21,"Кредитная")&gt;0),1,0)</f>
        <v/>
      </c>
      <c r="S15" s="212">
        <f>IF(6&lt;=$S$9,DATE(YEAR($S$8),MONTH($S$8),6),"")</f>
        <v/>
      </c>
    </row>
    <row r="16" ht="19" customHeight="1">
      <c r="B16" s="53">
        <f>IF(AND($C16="",$F16=""),"",ROW()-9)</f>
        <v/>
      </c>
      <c r="C16" s="213" t="n"/>
      <c r="D16" s="55" t="n"/>
      <c r="E16" s="55" t="n"/>
      <c r="F16" s="56" t="n"/>
      <c r="G16" s="196" t="n"/>
      <c r="H16" s="21" t="n"/>
      <c r="I16" s="21" t="n"/>
      <c r="J16" s="53">
        <f>IF($C16="","",INDEX(Настройки!$V$6:$V$17,MONTH($C16))&amp;" "&amp;YEAR($C16))</f>
        <v/>
      </c>
      <c r="K16" s="57">
        <f>IF(OR($F16="",$D16="Перевод"),"",IF(AND(N($G16)&lt;&gt;0,COUNTIFS(Журнал!$C$10:$C$1509,$C16,Журнал!$P$10:$P$1509,$G16)&gt;0),"есть в Журнале",IF(COUNTIF(Постоянные!$C$8:$C$37,$F16)&gt;0,"есть в Постоянных",IF(COUNTIF(Покупки!$C$7:$C$18,$F16)&gt;0,"есть в Покупках",""))))</f>
        <v/>
      </c>
      <c r="P16">
        <f>IF($C16="","",DATE(YEAR($C16),MONTH($C16),1))</f>
        <v/>
      </c>
      <c r="Q16">
        <f>IF(ISNUMBER($G16),ABS($G16),0)</f>
        <v/>
      </c>
      <c r="R16">
        <f>IF(AND($D16="Расход",COUNTIFS(Счета!$B$10:$B$21,$H16,Счета!$C$10:$C$21,"Кредитная")&gt;0),1,0)</f>
        <v/>
      </c>
      <c r="S16" s="212">
        <f>IF(7&lt;=$S$9,DATE(YEAR($S$8),MONTH($S$8),7),"")</f>
        <v/>
      </c>
    </row>
    <row r="17" ht="19" customHeight="1">
      <c r="B17" s="53">
        <f>IF(AND($C17="",$F17=""),"",ROW()-9)</f>
        <v/>
      </c>
      <c r="C17" s="213" t="n"/>
      <c r="D17" s="55" t="n"/>
      <c r="E17" s="55" t="n"/>
      <c r="F17" s="56" t="n"/>
      <c r="G17" s="196" t="n"/>
      <c r="H17" s="21" t="n"/>
      <c r="I17" s="21" t="n"/>
      <c r="J17" s="53">
        <f>IF($C17="","",INDEX(Настройки!$V$6:$V$17,MONTH($C17))&amp;" "&amp;YEAR($C17))</f>
        <v/>
      </c>
      <c r="K17" s="57">
        <f>IF(OR($F17="",$D17="Перевод"),"",IF(AND(N($G17)&lt;&gt;0,COUNTIFS(Журнал!$C$10:$C$1509,$C17,Журнал!$P$10:$P$1509,$G17)&gt;0),"есть в Журнале",IF(COUNTIF(Постоянные!$C$8:$C$37,$F17)&gt;0,"есть в Постоянных",IF(COUNTIF(Покупки!$C$7:$C$18,$F17)&gt;0,"есть в Покупках",""))))</f>
        <v/>
      </c>
      <c r="P17">
        <f>IF($C17="","",DATE(YEAR($C17),MONTH($C17),1))</f>
        <v/>
      </c>
      <c r="Q17">
        <f>IF(ISNUMBER($G17),ABS($G17),0)</f>
        <v/>
      </c>
      <c r="R17">
        <f>IF(AND($D17="Расход",COUNTIFS(Счета!$B$10:$B$21,$H17,Счета!$C$10:$C$21,"Кредитная")&gt;0),1,0)</f>
        <v/>
      </c>
      <c r="S17" s="212">
        <f>IF(8&lt;=$S$9,DATE(YEAR($S$8),MONTH($S$8),8),"")</f>
        <v/>
      </c>
    </row>
    <row r="18" ht="19" customHeight="1">
      <c r="B18" s="53">
        <f>IF(AND($C18="",$F18=""),"",ROW()-9)</f>
        <v/>
      </c>
      <c r="C18" s="213" t="n"/>
      <c r="D18" s="55" t="n"/>
      <c r="E18" s="55" t="n"/>
      <c r="F18" s="56" t="n"/>
      <c r="G18" s="196" t="n"/>
      <c r="H18" s="21" t="n"/>
      <c r="I18" s="21" t="n"/>
      <c r="J18" s="53">
        <f>IF($C18="","",INDEX(Настройки!$V$6:$V$17,MONTH($C18))&amp;" "&amp;YEAR($C18))</f>
        <v/>
      </c>
      <c r="K18" s="57">
        <f>IF(OR($F18="",$D18="Перевод"),"",IF(AND(N($G18)&lt;&gt;0,COUNTIFS(Журнал!$C$10:$C$1509,$C18,Журнал!$P$10:$P$1509,$G18)&gt;0),"есть в Журнале",IF(COUNTIF(Постоянные!$C$8:$C$37,$F18)&gt;0,"есть в Постоянных",IF(COUNTIF(Покупки!$C$7:$C$18,$F18)&gt;0,"есть в Покупках",""))))</f>
        <v/>
      </c>
      <c r="P18">
        <f>IF($C18="","",DATE(YEAR($C18),MONTH($C18),1))</f>
        <v/>
      </c>
      <c r="Q18">
        <f>IF(ISNUMBER($G18),ABS($G18),0)</f>
        <v/>
      </c>
      <c r="R18">
        <f>IF(AND($D18="Расход",COUNTIFS(Счета!$B$10:$B$21,$H18,Счета!$C$10:$C$21,"Кредитная")&gt;0),1,0)</f>
        <v/>
      </c>
      <c r="S18" s="212">
        <f>IF(9&lt;=$S$9,DATE(YEAR($S$8),MONTH($S$8),9),"")</f>
        <v/>
      </c>
    </row>
    <row r="19" ht="19" customHeight="1">
      <c r="B19" s="53">
        <f>IF(AND($C19="",$F19=""),"",ROW()-9)</f>
        <v/>
      </c>
      <c r="C19" s="213" t="n"/>
      <c r="D19" s="55" t="n"/>
      <c r="E19" s="55" t="n"/>
      <c r="F19" s="56" t="n"/>
      <c r="G19" s="196" t="n"/>
      <c r="H19" s="21" t="n"/>
      <c r="I19" s="21" t="n"/>
      <c r="J19" s="53">
        <f>IF($C19="","",INDEX(Настройки!$V$6:$V$17,MONTH($C19))&amp;" "&amp;YEAR($C19))</f>
        <v/>
      </c>
      <c r="K19" s="57">
        <f>IF(OR($F19="",$D19="Перевод"),"",IF(AND(N($G19)&lt;&gt;0,COUNTIFS(Журнал!$C$10:$C$1509,$C19,Журнал!$P$10:$P$1509,$G19)&gt;0),"есть в Журнале",IF(COUNTIF(Постоянные!$C$8:$C$37,$F19)&gt;0,"есть в Постоянных",IF(COUNTIF(Покупки!$C$7:$C$18,$F19)&gt;0,"есть в Покупках",""))))</f>
        <v/>
      </c>
      <c r="P19">
        <f>IF($C19="","",DATE(YEAR($C19),MONTH($C19),1))</f>
        <v/>
      </c>
      <c r="Q19">
        <f>IF(ISNUMBER($G19),ABS($G19),0)</f>
        <v/>
      </c>
      <c r="R19">
        <f>IF(AND($D19="Расход",COUNTIFS(Счета!$B$10:$B$21,$H19,Счета!$C$10:$C$21,"Кредитная")&gt;0),1,0)</f>
        <v/>
      </c>
      <c r="S19" s="212">
        <f>IF(10&lt;=$S$9,DATE(YEAR($S$8),MONTH($S$8),10),"")</f>
        <v/>
      </c>
    </row>
    <row r="20" ht="19" customHeight="1">
      <c r="B20" s="53">
        <f>IF(AND($C20="",$F20=""),"",ROW()-9)</f>
        <v/>
      </c>
      <c r="C20" s="213" t="n"/>
      <c r="D20" s="55" t="n"/>
      <c r="E20" s="55" t="n"/>
      <c r="F20" s="56" t="n"/>
      <c r="G20" s="196" t="n"/>
      <c r="H20" s="21" t="n"/>
      <c r="I20" s="21" t="n"/>
      <c r="J20" s="53">
        <f>IF($C20="","",INDEX(Настройки!$V$6:$V$17,MONTH($C20))&amp;" "&amp;YEAR($C20))</f>
        <v/>
      </c>
      <c r="K20" s="57">
        <f>IF(OR($F20="",$D20="Перевод"),"",IF(AND(N($G20)&lt;&gt;0,COUNTIFS(Журнал!$C$10:$C$1509,$C20,Журнал!$P$10:$P$1509,$G20)&gt;0),"есть в Журнале",IF(COUNTIF(Постоянные!$C$8:$C$37,$F20)&gt;0,"есть в Постоянных",IF(COUNTIF(Покупки!$C$7:$C$18,$F20)&gt;0,"есть в Покупках",""))))</f>
        <v/>
      </c>
      <c r="P20">
        <f>IF($C20="","",DATE(YEAR($C20),MONTH($C20),1))</f>
        <v/>
      </c>
      <c r="Q20">
        <f>IF(ISNUMBER($G20),ABS($G20),0)</f>
        <v/>
      </c>
      <c r="R20">
        <f>IF(AND($D20="Расход",COUNTIFS(Счета!$B$10:$B$21,$H20,Счета!$C$10:$C$21,"Кредитная")&gt;0),1,0)</f>
        <v/>
      </c>
      <c r="S20" s="212">
        <f>IF(11&lt;=$S$9,DATE(YEAR($S$8),MONTH($S$8),11),"")</f>
        <v/>
      </c>
    </row>
    <row r="21" ht="19" customHeight="1">
      <c r="B21" s="53">
        <f>IF(AND($C21="",$F21=""),"",ROW()-9)</f>
        <v/>
      </c>
      <c r="C21" s="213" t="n"/>
      <c r="D21" s="55" t="n"/>
      <c r="E21" s="55" t="n"/>
      <c r="F21" s="56" t="n"/>
      <c r="G21" s="196" t="n"/>
      <c r="H21" s="21" t="n"/>
      <c r="I21" s="21" t="n"/>
      <c r="J21" s="53">
        <f>IF($C21="","",INDEX(Настройки!$V$6:$V$17,MONTH($C21))&amp;" "&amp;YEAR($C21))</f>
        <v/>
      </c>
      <c r="K21" s="57">
        <f>IF(OR($F21="",$D21="Перевод"),"",IF(AND(N($G21)&lt;&gt;0,COUNTIFS(Журнал!$C$10:$C$1509,$C21,Журнал!$P$10:$P$1509,$G21)&gt;0),"есть в Журнале",IF(COUNTIF(Постоянные!$C$8:$C$37,$F21)&gt;0,"есть в Постоянных",IF(COUNTIF(Покупки!$C$7:$C$18,$F21)&gt;0,"есть в Покупках",""))))</f>
        <v/>
      </c>
      <c r="P21">
        <f>IF($C21="","",DATE(YEAR($C21),MONTH($C21),1))</f>
        <v/>
      </c>
      <c r="Q21">
        <f>IF(ISNUMBER($G21),ABS($G21),0)</f>
        <v/>
      </c>
      <c r="R21">
        <f>IF(AND($D21="Расход",COUNTIFS(Счета!$B$10:$B$21,$H21,Счета!$C$10:$C$21,"Кредитная")&gt;0),1,0)</f>
        <v/>
      </c>
      <c r="S21" s="212">
        <f>IF(12&lt;=$S$9,DATE(YEAR($S$8),MONTH($S$8),12),"")</f>
        <v/>
      </c>
    </row>
    <row r="22" ht="19" customHeight="1">
      <c r="B22" s="53">
        <f>IF(AND($C22="",$F22=""),"",ROW()-9)</f>
        <v/>
      </c>
      <c r="C22" s="213" t="n"/>
      <c r="D22" s="55" t="n"/>
      <c r="E22" s="55" t="n"/>
      <c r="F22" s="56" t="n"/>
      <c r="G22" s="196" t="n"/>
      <c r="H22" s="21" t="n"/>
      <c r="I22" s="21" t="n"/>
      <c r="J22" s="53">
        <f>IF($C22="","",INDEX(Настройки!$V$6:$V$17,MONTH($C22))&amp;" "&amp;YEAR($C22))</f>
        <v/>
      </c>
      <c r="K22" s="57">
        <f>IF(OR($F22="",$D22="Перевод"),"",IF(AND(N($G22)&lt;&gt;0,COUNTIFS(Журнал!$C$10:$C$1509,$C22,Журнал!$P$10:$P$1509,$G22)&gt;0),"есть в Журнале",IF(COUNTIF(Постоянные!$C$8:$C$37,$F22)&gt;0,"есть в Постоянных",IF(COUNTIF(Покупки!$C$7:$C$18,$F22)&gt;0,"есть в Покупках",""))))</f>
        <v/>
      </c>
      <c r="P22">
        <f>IF($C22="","",DATE(YEAR($C22),MONTH($C22),1))</f>
        <v/>
      </c>
      <c r="Q22">
        <f>IF(ISNUMBER($G22),ABS($G22),0)</f>
        <v/>
      </c>
      <c r="R22">
        <f>IF(AND($D22="Расход",COUNTIFS(Счета!$B$10:$B$21,$H22,Счета!$C$10:$C$21,"Кредитная")&gt;0),1,0)</f>
        <v/>
      </c>
      <c r="S22" s="212">
        <f>IF(13&lt;=$S$9,DATE(YEAR($S$8),MONTH($S$8),13),"")</f>
        <v/>
      </c>
    </row>
    <row r="23" ht="19" customHeight="1">
      <c r="B23" s="53">
        <f>IF(AND($C23="",$F23=""),"",ROW()-9)</f>
        <v/>
      </c>
      <c r="C23" s="213" t="n"/>
      <c r="D23" s="55" t="n"/>
      <c r="E23" s="55" t="n"/>
      <c r="F23" s="56" t="n"/>
      <c r="G23" s="196" t="n"/>
      <c r="H23" s="21" t="n"/>
      <c r="I23" s="21" t="n"/>
      <c r="J23" s="53">
        <f>IF($C23="","",INDEX(Настройки!$V$6:$V$17,MONTH($C23))&amp;" "&amp;YEAR($C23))</f>
        <v/>
      </c>
      <c r="K23" s="57">
        <f>IF(OR($F23="",$D23="Перевод"),"",IF(AND(N($G23)&lt;&gt;0,COUNTIFS(Журнал!$C$10:$C$1509,$C23,Журнал!$P$10:$P$1509,$G23)&gt;0),"есть в Журнале",IF(COUNTIF(Постоянные!$C$8:$C$37,$F23)&gt;0,"есть в Постоянных",IF(COUNTIF(Покупки!$C$7:$C$18,$F23)&gt;0,"есть в Покупках",""))))</f>
        <v/>
      </c>
      <c r="P23">
        <f>IF($C23="","",DATE(YEAR($C23),MONTH($C23),1))</f>
        <v/>
      </c>
      <c r="Q23">
        <f>IF(ISNUMBER($G23),ABS($G23),0)</f>
        <v/>
      </c>
      <c r="R23">
        <f>IF(AND($D23="Расход",COUNTIFS(Счета!$B$10:$B$21,$H23,Счета!$C$10:$C$21,"Кредитная")&gt;0),1,0)</f>
        <v/>
      </c>
      <c r="S23" s="212">
        <f>IF(14&lt;=$S$9,DATE(YEAR($S$8),MONTH($S$8),14),"")</f>
        <v/>
      </c>
    </row>
    <row r="24" ht="19" customHeight="1">
      <c r="B24" s="53">
        <f>IF(AND($C24="",$F24=""),"",ROW()-9)</f>
        <v/>
      </c>
      <c r="C24" s="213" t="n"/>
      <c r="D24" s="55" t="n"/>
      <c r="E24" s="55" t="n"/>
      <c r="F24" s="56" t="n"/>
      <c r="G24" s="196" t="n"/>
      <c r="H24" s="21" t="n"/>
      <c r="I24" s="21" t="n"/>
      <c r="J24" s="53">
        <f>IF($C24="","",INDEX(Настройки!$V$6:$V$17,MONTH($C24))&amp;" "&amp;YEAR($C24))</f>
        <v/>
      </c>
      <c r="K24" s="57">
        <f>IF(OR($F24="",$D24="Перевод"),"",IF(AND(N($G24)&lt;&gt;0,COUNTIFS(Журнал!$C$10:$C$1509,$C24,Журнал!$P$10:$P$1509,$G24)&gt;0),"есть в Журнале",IF(COUNTIF(Постоянные!$C$8:$C$37,$F24)&gt;0,"есть в Постоянных",IF(COUNTIF(Покупки!$C$7:$C$18,$F24)&gt;0,"есть в Покупках",""))))</f>
        <v/>
      </c>
      <c r="P24">
        <f>IF($C24="","",DATE(YEAR($C24),MONTH($C24),1))</f>
        <v/>
      </c>
      <c r="Q24">
        <f>IF(ISNUMBER($G24),ABS($G24),0)</f>
        <v/>
      </c>
      <c r="R24">
        <f>IF(AND($D24="Расход",COUNTIFS(Счета!$B$10:$B$21,$H24,Счета!$C$10:$C$21,"Кредитная")&gt;0),1,0)</f>
        <v/>
      </c>
      <c r="S24" s="212">
        <f>IF(15&lt;=$S$9,DATE(YEAR($S$8),MONTH($S$8),15),"")</f>
        <v/>
      </c>
    </row>
    <row r="25" ht="19" customHeight="1">
      <c r="B25" s="53">
        <f>IF(AND($C25="",$F25=""),"",ROW()-9)</f>
        <v/>
      </c>
      <c r="C25" s="213" t="n"/>
      <c r="D25" s="55" t="n"/>
      <c r="E25" s="55" t="n"/>
      <c r="F25" s="56" t="n"/>
      <c r="G25" s="196" t="n"/>
      <c r="H25" s="21" t="n"/>
      <c r="I25" s="21" t="n"/>
      <c r="J25" s="53">
        <f>IF($C25="","",INDEX(Настройки!$V$6:$V$17,MONTH($C25))&amp;" "&amp;YEAR($C25))</f>
        <v/>
      </c>
      <c r="K25" s="57">
        <f>IF(OR($F25="",$D25="Перевод"),"",IF(AND(N($G25)&lt;&gt;0,COUNTIFS(Журнал!$C$10:$C$1509,$C25,Журнал!$P$10:$P$1509,$G25)&gt;0),"есть в Журнале",IF(COUNTIF(Постоянные!$C$8:$C$37,$F25)&gt;0,"есть в Постоянных",IF(COUNTIF(Покупки!$C$7:$C$18,$F25)&gt;0,"есть в Покупках",""))))</f>
        <v/>
      </c>
      <c r="P25">
        <f>IF($C25="","",DATE(YEAR($C25),MONTH($C25),1))</f>
        <v/>
      </c>
      <c r="Q25">
        <f>IF(ISNUMBER($G25),ABS($G25),0)</f>
        <v/>
      </c>
      <c r="R25">
        <f>IF(AND($D25="Расход",COUNTIFS(Счета!$B$10:$B$21,$H25,Счета!$C$10:$C$21,"Кредитная")&gt;0),1,0)</f>
        <v/>
      </c>
      <c r="S25" s="212">
        <f>IF(16&lt;=$S$9,DATE(YEAR($S$8),MONTH($S$8),16),"")</f>
        <v/>
      </c>
    </row>
    <row r="26" ht="19" customHeight="1">
      <c r="B26" s="53">
        <f>IF(AND($C26="",$F26=""),"",ROW()-9)</f>
        <v/>
      </c>
      <c r="C26" s="213" t="n"/>
      <c r="D26" s="55" t="n"/>
      <c r="E26" s="55" t="n"/>
      <c r="F26" s="56" t="n"/>
      <c r="G26" s="196" t="n"/>
      <c r="H26" s="21" t="n"/>
      <c r="I26" s="21" t="n"/>
      <c r="J26" s="53">
        <f>IF($C26="","",INDEX(Настройки!$V$6:$V$17,MONTH($C26))&amp;" "&amp;YEAR($C26))</f>
        <v/>
      </c>
      <c r="K26" s="57">
        <f>IF(OR($F26="",$D26="Перевод"),"",IF(AND(N($G26)&lt;&gt;0,COUNTIFS(Журнал!$C$10:$C$1509,$C26,Журнал!$P$10:$P$1509,$G26)&gt;0),"есть в Журнале",IF(COUNTIF(Постоянные!$C$8:$C$37,$F26)&gt;0,"есть в Постоянных",IF(COUNTIF(Покупки!$C$7:$C$18,$F26)&gt;0,"есть в Покупках",""))))</f>
        <v/>
      </c>
      <c r="P26">
        <f>IF($C26="","",DATE(YEAR($C26),MONTH($C26),1))</f>
        <v/>
      </c>
      <c r="Q26">
        <f>IF(ISNUMBER($G26),ABS($G26),0)</f>
        <v/>
      </c>
      <c r="R26">
        <f>IF(AND($D26="Расход",COUNTIFS(Счета!$B$10:$B$21,$H26,Счета!$C$10:$C$21,"Кредитная")&gt;0),1,0)</f>
        <v/>
      </c>
      <c r="S26" s="212">
        <f>IF(17&lt;=$S$9,DATE(YEAR($S$8),MONTH($S$8),17),"")</f>
        <v/>
      </c>
    </row>
    <row r="27" ht="19" customHeight="1">
      <c r="B27" s="53">
        <f>IF(AND($C27="",$F27=""),"",ROW()-9)</f>
        <v/>
      </c>
      <c r="C27" s="213" t="n"/>
      <c r="D27" s="55" t="n"/>
      <c r="E27" s="55" t="n"/>
      <c r="F27" s="56" t="n"/>
      <c r="G27" s="196" t="n"/>
      <c r="H27" s="21" t="n"/>
      <c r="I27" s="21" t="n"/>
      <c r="J27" s="53">
        <f>IF($C27="","",INDEX(Настройки!$V$6:$V$17,MONTH($C27))&amp;" "&amp;YEAR($C27))</f>
        <v/>
      </c>
      <c r="K27" s="57">
        <f>IF(OR($F27="",$D27="Перевод"),"",IF(AND(N($G27)&lt;&gt;0,COUNTIFS(Журнал!$C$10:$C$1509,$C27,Журнал!$P$10:$P$1509,$G27)&gt;0),"есть в Журнале",IF(COUNTIF(Постоянные!$C$8:$C$37,$F27)&gt;0,"есть в Постоянных",IF(COUNTIF(Покупки!$C$7:$C$18,$F27)&gt;0,"есть в Покупках",""))))</f>
        <v/>
      </c>
      <c r="P27">
        <f>IF($C27="","",DATE(YEAR($C27),MONTH($C27),1))</f>
        <v/>
      </c>
      <c r="Q27">
        <f>IF(ISNUMBER($G27),ABS($G27),0)</f>
        <v/>
      </c>
      <c r="R27">
        <f>IF(AND($D27="Расход",COUNTIFS(Счета!$B$10:$B$21,$H27,Счета!$C$10:$C$21,"Кредитная")&gt;0),1,0)</f>
        <v/>
      </c>
      <c r="S27" s="212">
        <f>IF(18&lt;=$S$9,DATE(YEAR($S$8),MONTH($S$8),18),"")</f>
        <v/>
      </c>
    </row>
    <row r="28" ht="19" customHeight="1">
      <c r="B28" s="53">
        <f>IF(AND($C28="",$F28=""),"",ROW()-9)</f>
        <v/>
      </c>
      <c r="C28" s="213" t="n"/>
      <c r="D28" s="55" t="n"/>
      <c r="E28" s="55" t="n"/>
      <c r="F28" s="56" t="n"/>
      <c r="G28" s="196" t="n"/>
      <c r="H28" s="21" t="n"/>
      <c r="I28" s="21" t="n"/>
      <c r="J28" s="53">
        <f>IF($C28="","",INDEX(Настройки!$V$6:$V$17,MONTH($C28))&amp;" "&amp;YEAR($C28))</f>
        <v/>
      </c>
      <c r="K28" s="57">
        <f>IF(OR($F28="",$D28="Перевод"),"",IF(AND(N($G28)&lt;&gt;0,COUNTIFS(Журнал!$C$10:$C$1509,$C28,Журнал!$P$10:$P$1509,$G28)&gt;0),"есть в Журнале",IF(COUNTIF(Постоянные!$C$8:$C$37,$F28)&gt;0,"есть в Постоянных",IF(COUNTIF(Покупки!$C$7:$C$18,$F28)&gt;0,"есть в Покупках",""))))</f>
        <v/>
      </c>
      <c r="P28">
        <f>IF($C28="","",DATE(YEAR($C28),MONTH($C28),1))</f>
        <v/>
      </c>
      <c r="Q28">
        <f>IF(ISNUMBER($G28),ABS($G28),0)</f>
        <v/>
      </c>
      <c r="R28">
        <f>IF(AND($D28="Расход",COUNTIFS(Счета!$B$10:$B$21,$H28,Счета!$C$10:$C$21,"Кредитная")&gt;0),1,0)</f>
        <v/>
      </c>
      <c r="S28" s="212">
        <f>IF(19&lt;=$S$9,DATE(YEAR($S$8),MONTH($S$8),19),"")</f>
        <v/>
      </c>
    </row>
    <row r="29" ht="19" customHeight="1">
      <c r="B29" s="53">
        <f>IF(AND($C29="",$F29=""),"",ROW()-9)</f>
        <v/>
      </c>
      <c r="C29" s="213" t="n"/>
      <c r="D29" s="55" t="n"/>
      <c r="E29" s="55" t="n"/>
      <c r="F29" s="56" t="n"/>
      <c r="G29" s="196" t="n"/>
      <c r="H29" s="21" t="n"/>
      <c r="I29" s="21" t="n"/>
      <c r="J29" s="53">
        <f>IF($C29="","",INDEX(Настройки!$V$6:$V$17,MONTH($C29))&amp;" "&amp;YEAR($C29))</f>
        <v/>
      </c>
      <c r="K29" s="57">
        <f>IF(OR($F29="",$D29="Перевод"),"",IF(AND(N($G29)&lt;&gt;0,COUNTIFS(Журнал!$C$10:$C$1509,$C29,Журнал!$P$10:$P$1509,$G29)&gt;0),"есть в Журнале",IF(COUNTIF(Постоянные!$C$8:$C$37,$F29)&gt;0,"есть в Постоянных",IF(COUNTIF(Покупки!$C$7:$C$18,$F29)&gt;0,"есть в Покупках",""))))</f>
        <v/>
      </c>
      <c r="P29">
        <f>IF($C29="","",DATE(YEAR($C29),MONTH($C29),1))</f>
        <v/>
      </c>
      <c r="Q29">
        <f>IF(ISNUMBER($G29),ABS($G29),0)</f>
        <v/>
      </c>
      <c r="R29">
        <f>IF(AND($D29="Расход",COUNTIFS(Счета!$B$10:$B$21,$H29,Счета!$C$10:$C$21,"Кредитная")&gt;0),1,0)</f>
        <v/>
      </c>
      <c r="S29" s="212">
        <f>IF(20&lt;=$S$9,DATE(YEAR($S$8),MONTH($S$8),20),"")</f>
        <v/>
      </c>
    </row>
    <row r="30" ht="19" customHeight="1">
      <c r="B30" s="53">
        <f>IF(AND($C30="",$F30=""),"",ROW()-9)</f>
        <v/>
      </c>
      <c r="C30" s="213" t="n"/>
      <c r="D30" s="55" t="n"/>
      <c r="E30" s="55" t="n"/>
      <c r="F30" s="56" t="n"/>
      <c r="G30" s="196" t="n"/>
      <c r="H30" s="21" t="n"/>
      <c r="I30" s="21" t="n"/>
      <c r="J30" s="53">
        <f>IF($C30="","",INDEX(Настройки!$V$6:$V$17,MONTH($C30))&amp;" "&amp;YEAR($C30))</f>
        <v/>
      </c>
      <c r="K30" s="57">
        <f>IF(OR($F30="",$D30="Перевод"),"",IF(AND(N($G30)&lt;&gt;0,COUNTIFS(Журнал!$C$10:$C$1509,$C30,Журнал!$P$10:$P$1509,$G30)&gt;0),"есть в Журнале",IF(COUNTIF(Постоянные!$C$8:$C$37,$F30)&gt;0,"есть в Постоянных",IF(COUNTIF(Покупки!$C$7:$C$18,$F30)&gt;0,"есть в Покупках",""))))</f>
        <v/>
      </c>
      <c r="P30">
        <f>IF($C30="","",DATE(YEAR($C30),MONTH($C30),1))</f>
        <v/>
      </c>
      <c r="Q30">
        <f>IF(ISNUMBER($G30),ABS($G30),0)</f>
        <v/>
      </c>
      <c r="R30">
        <f>IF(AND($D30="Расход",COUNTIFS(Счета!$B$10:$B$21,$H30,Счета!$C$10:$C$21,"Кредитная")&gt;0),1,0)</f>
        <v/>
      </c>
      <c r="S30" s="212">
        <f>IF(21&lt;=$S$9,DATE(YEAR($S$8),MONTH($S$8),21),"")</f>
        <v/>
      </c>
    </row>
    <row r="31" ht="19" customHeight="1">
      <c r="B31" s="53">
        <f>IF(AND($C31="",$F31=""),"",ROW()-9)</f>
        <v/>
      </c>
      <c r="C31" s="213" t="n"/>
      <c r="D31" s="55" t="n"/>
      <c r="E31" s="55" t="n"/>
      <c r="F31" s="56" t="n"/>
      <c r="G31" s="196" t="n"/>
      <c r="H31" s="21" t="n"/>
      <c r="I31" s="21" t="n"/>
      <c r="J31" s="53">
        <f>IF($C31="","",INDEX(Настройки!$V$6:$V$17,MONTH($C31))&amp;" "&amp;YEAR($C31))</f>
        <v/>
      </c>
      <c r="K31" s="57">
        <f>IF(OR($F31="",$D31="Перевод"),"",IF(AND(N($G31)&lt;&gt;0,COUNTIFS(Журнал!$C$10:$C$1509,$C31,Журнал!$P$10:$P$1509,$G31)&gt;0),"есть в Журнале",IF(COUNTIF(Постоянные!$C$8:$C$37,$F31)&gt;0,"есть в Постоянных",IF(COUNTIF(Покупки!$C$7:$C$18,$F31)&gt;0,"есть в Покупках",""))))</f>
        <v/>
      </c>
      <c r="P31">
        <f>IF($C31="","",DATE(YEAR($C31),MONTH($C31),1))</f>
        <v/>
      </c>
      <c r="Q31">
        <f>IF(ISNUMBER($G31),ABS($G31),0)</f>
        <v/>
      </c>
      <c r="R31">
        <f>IF(AND($D31="Расход",COUNTIFS(Счета!$B$10:$B$21,$H31,Счета!$C$10:$C$21,"Кредитная")&gt;0),1,0)</f>
        <v/>
      </c>
      <c r="S31" s="212">
        <f>IF(22&lt;=$S$9,DATE(YEAR($S$8),MONTH($S$8),22),"")</f>
        <v/>
      </c>
    </row>
    <row r="32" ht="19" customHeight="1">
      <c r="B32" s="53">
        <f>IF(AND($C32="",$F32=""),"",ROW()-9)</f>
        <v/>
      </c>
      <c r="C32" s="213" t="n"/>
      <c r="D32" s="55" t="n"/>
      <c r="E32" s="55" t="n"/>
      <c r="F32" s="56" t="n"/>
      <c r="G32" s="196" t="n"/>
      <c r="H32" s="21" t="n"/>
      <c r="I32" s="21" t="n"/>
      <c r="J32" s="53">
        <f>IF($C32="","",INDEX(Настройки!$V$6:$V$17,MONTH($C32))&amp;" "&amp;YEAR($C32))</f>
        <v/>
      </c>
      <c r="K32" s="57">
        <f>IF(OR($F32="",$D32="Перевод"),"",IF(AND(N($G32)&lt;&gt;0,COUNTIFS(Журнал!$C$10:$C$1509,$C32,Журнал!$P$10:$P$1509,$G32)&gt;0),"есть в Журнале",IF(COUNTIF(Постоянные!$C$8:$C$37,$F32)&gt;0,"есть в Постоянных",IF(COUNTIF(Покупки!$C$7:$C$18,$F32)&gt;0,"есть в Покупках",""))))</f>
        <v/>
      </c>
      <c r="P32">
        <f>IF($C32="","",DATE(YEAR($C32),MONTH($C32),1))</f>
        <v/>
      </c>
      <c r="Q32">
        <f>IF(ISNUMBER($G32),ABS($G32),0)</f>
        <v/>
      </c>
      <c r="R32">
        <f>IF(AND($D32="Расход",COUNTIFS(Счета!$B$10:$B$21,$H32,Счета!$C$10:$C$21,"Кредитная")&gt;0),1,0)</f>
        <v/>
      </c>
      <c r="S32" s="212">
        <f>IF(23&lt;=$S$9,DATE(YEAR($S$8),MONTH($S$8),23),"")</f>
        <v/>
      </c>
    </row>
    <row r="33" ht="19" customHeight="1">
      <c r="B33" s="53">
        <f>IF(AND($C33="",$F33=""),"",ROW()-9)</f>
        <v/>
      </c>
      <c r="C33" s="213" t="n"/>
      <c r="D33" s="55" t="n"/>
      <c r="E33" s="55" t="n"/>
      <c r="F33" s="56" t="n"/>
      <c r="G33" s="196" t="n"/>
      <c r="H33" s="21" t="n"/>
      <c r="I33" s="21" t="n"/>
      <c r="J33" s="53">
        <f>IF($C33="","",INDEX(Настройки!$V$6:$V$17,MONTH($C33))&amp;" "&amp;YEAR($C33))</f>
        <v/>
      </c>
      <c r="K33" s="57">
        <f>IF(OR($F33="",$D33="Перевод"),"",IF(AND(N($G33)&lt;&gt;0,COUNTIFS(Журнал!$C$10:$C$1509,$C33,Журнал!$P$10:$P$1509,$G33)&gt;0),"есть в Журнале",IF(COUNTIF(Постоянные!$C$8:$C$37,$F33)&gt;0,"есть в Постоянных",IF(COUNTIF(Покупки!$C$7:$C$18,$F33)&gt;0,"есть в Покупках",""))))</f>
        <v/>
      </c>
      <c r="P33">
        <f>IF($C33="","",DATE(YEAR($C33),MONTH($C33),1))</f>
        <v/>
      </c>
      <c r="Q33">
        <f>IF(ISNUMBER($G33),ABS($G33),0)</f>
        <v/>
      </c>
      <c r="R33">
        <f>IF(AND($D33="Расход",COUNTIFS(Счета!$B$10:$B$21,$H33,Счета!$C$10:$C$21,"Кредитная")&gt;0),1,0)</f>
        <v/>
      </c>
      <c r="S33" s="212">
        <f>IF(24&lt;=$S$9,DATE(YEAR($S$8),MONTH($S$8),24),"")</f>
        <v/>
      </c>
    </row>
    <row r="34" ht="19" customHeight="1">
      <c r="B34" s="53">
        <f>IF(AND($C34="",$F34=""),"",ROW()-9)</f>
        <v/>
      </c>
      <c r="C34" s="213" t="n"/>
      <c r="D34" s="55" t="n"/>
      <c r="E34" s="55" t="n"/>
      <c r="F34" s="56" t="n"/>
      <c r="G34" s="196" t="n"/>
      <c r="H34" s="21" t="n"/>
      <c r="I34" s="21" t="n"/>
      <c r="J34" s="53">
        <f>IF($C34="","",INDEX(Настройки!$V$6:$V$17,MONTH($C34))&amp;" "&amp;YEAR($C34))</f>
        <v/>
      </c>
      <c r="K34" s="57">
        <f>IF(OR($F34="",$D34="Перевод"),"",IF(AND(N($G34)&lt;&gt;0,COUNTIFS(Журнал!$C$10:$C$1509,$C34,Журнал!$P$10:$P$1509,$G34)&gt;0),"есть в Журнале",IF(COUNTIF(Постоянные!$C$8:$C$37,$F34)&gt;0,"есть в Постоянных",IF(COUNTIF(Покупки!$C$7:$C$18,$F34)&gt;0,"есть в Покупках",""))))</f>
        <v/>
      </c>
      <c r="P34">
        <f>IF($C34="","",DATE(YEAR($C34),MONTH($C34),1))</f>
        <v/>
      </c>
      <c r="Q34">
        <f>IF(ISNUMBER($G34),ABS($G34),0)</f>
        <v/>
      </c>
      <c r="R34">
        <f>IF(AND($D34="Расход",COUNTIFS(Счета!$B$10:$B$21,$H34,Счета!$C$10:$C$21,"Кредитная")&gt;0),1,0)</f>
        <v/>
      </c>
      <c r="S34" s="212">
        <f>IF(25&lt;=$S$9,DATE(YEAR($S$8),MONTH($S$8),25),"")</f>
        <v/>
      </c>
    </row>
    <row r="35" ht="19" customHeight="1">
      <c r="B35" s="53">
        <f>IF(AND($C35="",$F35=""),"",ROW()-9)</f>
        <v/>
      </c>
      <c r="C35" s="213" t="n"/>
      <c r="D35" s="55" t="n"/>
      <c r="E35" s="55" t="n"/>
      <c r="F35" s="56" t="n"/>
      <c r="G35" s="196" t="n"/>
      <c r="H35" s="21" t="n"/>
      <c r="I35" s="21" t="n"/>
      <c r="J35" s="53">
        <f>IF($C35="","",INDEX(Настройки!$V$6:$V$17,MONTH($C35))&amp;" "&amp;YEAR($C35))</f>
        <v/>
      </c>
      <c r="K35" s="57">
        <f>IF(OR($F35="",$D35="Перевод"),"",IF(AND(N($G35)&lt;&gt;0,COUNTIFS(Журнал!$C$10:$C$1509,$C35,Журнал!$P$10:$P$1509,$G35)&gt;0),"есть в Журнале",IF(COUNTIF(Постоянные!$C$8:$C$37,$F35)&gt;0,"есть в Постоянных",IF(COUNTIF(Покупки!$C$7:$C$18,$F35)&gt;0,"есть в Покупках",""))))</f>
        <v/>
      </c>
      <c r="P35">
        <f>IF($C35="","",DATE(YEAR($C35),MONTH($C35),1))</f>
        <v/>
      </c>
      <c r="Q35">
        <f>IF(ISNUMBER($G35),ABS($G35),0)</f>
        <v/>
      </c>
      <c r="R35">
        <f>IF(AND($D35="Расход",COUNTIFS(Счета!$B$10:$B$21,$H35,Счета!$C$10:$C$21,"Кредитная")&gt;0),1,0)</f>
        <v/>
      </c>
      <c r="S35" s="212">
        <f>IF(26&lt;=$S$9,DATE(YEAR($S$8),MONTH($S$8),26),"")</f>
        <v/>
      </c>
    </row>
    <row r="36" ht="19" customHeight="1">
      <c r="B36" s="53">
        <f>IF(AND($C36="",$F36=""),"",ROW()-9)</f>
        <v/>
      </c>
      <c r="C36" s="213" t="n"/>
      <c r="D36" s="55" t="n"/>
      <c r="E36" s="55" t="n"/>
      <c r="F36" s="56" t="n"/>
      <c r="G36" s="196" t="n"/>
      <c r="H36" s="21" t="n"/>
      <c r="I36" s="21" t="n"/>
      <c r="J36" s="53">
        <f>IF($C36="","",INDEX(Настройки!$V$6:$V$17,MONTH($C36))&amp;" "&amp;YEAR($C36))</f>
        <v/>
      </c>
      <c r="K36" s="57">
        <f>IF(OR($F36="",$D36="Перевод"),"",IF(AND(N($G36)&lt;&gt;0,COUNTIFS(Журнал!$C$10:$C$1509,$C36,Журнал!$P$10:$P$1509,$G36)&gt;0),"есть в Журнале",IF(COUNTIF(Постоянные!$C$8:$C$37,$F36)&gt;0,"есть в Постоянных",IF(COUNTIF(Покупки!$C$7:$C$18,$F36)&gt;0,"есть в Покупках",""))))</f>
        <v/>
      </c>
      <c r="P36">
        <f>IF($C36="","",DATE(YEAR($C36),MONTH($C36),1))</f>
        <v/>
      </c>
      <c r="Q36">
        <f>IF(ISNUMBER($G36),ABS($G36),0)</f>
        <v/>
      </c>
      <c r="R36">
        <f>IF(AND($D36="Расход",COUNTIFS(Счета!$B$10:$B$21,$H36,Счета!$C$10:$C$21,"Кредитная")&gt;0),1,0)</f>
        <v/>
      </c>
      <c r="S36" s="212">
        <f>IF(27&lt;=$S$9,DATE(YEAR($S$8),MONTH($S$8),27),"")</f>
        <v/>
      </c>
    </row>
    <row r="37" ht="19" customHeight="1">
      <c r="B37" s="53">
        <f>IF(AND($C37="",$F37=""),"",ROW()-9)</f>
        <v/>
      </c>
      <c r="C37" s="213" t="n"/>
      <c r="D37" s="55" t="n"/>
      <c r="E37" s="55" t="n"/>
      <c r="F37" s="56" t="n"/>
      <c r="G37" s="196" t="n"/>
      <c r="H37" s="21" t="n"/>
      <c r="I37" s="21" t="n"/>
      <c r="J37" s="53">
        <f>IF($C37="","",INDEX(Настройки!$V$6:$V$17,MONTH($C37))&amp;" "&amp;YEAR($C37))</f>
        <v/>
      </c>
      <c r="K37" s="57">
        <f>IF(OR($F37="",$D37="Перевод"),"",IF(AND(N($G37)&lt;&gt;0,COUNTIFS(Журнал!$C$10:$C$1509,$C37,Журнал!$P$10:$P$1509,$G37)&gt;0),"есть в Журнале",IF(COUNTIF(Постоянные!$C$8:$C$37,$F37)&gt;0,"есть в Постоянных",IF(COUNTIF(Покупки!$C$7:$C$18,$F37)&gt;0,"есть в Покупках",""))))</f>
        <v/>
      </c>
      <c r="P37">
        <f>IF($C37="","",DATE(YEAR($C37),MONTH($C37),1))</f>
        <v/>
      </c>
      <c r="Q37">
        <f>IF(ISNUMBER($G37),ABS($G37),0)</f>
        <v/>
      </c>
      <c r="R37">
        <f>IF(AND($D37="Расход",COUNTIFS(Счета!$B$10:$B$21,$H37,Счета!$C$10:$C$21,"Кредитная")&gt;0),1,0)</f>
        <v/>
      </c>
      <c r="S37" s="212">
        <f>IF(28&lt;=$S$9,DATE(YEAR($S$8),MONTH($S$8),28),"")</f>
        <v/>
      </c>
    </row>
    <row r="38" ht="19" customHeight="1">
      <c r="B38" s="53">
        <f>IF(AND($C38="",$F38=""),"",ROW()-9)</f>
        <v/>
      </c>
      <c r="C38" s="213" t="n"/>
      <c r="D38" s="55" t="n"/>
      <c r="E38" s="55" t="n"/>
      <c r="F38" s="56" t="n"/>
      <c r="G38" s="196" t="n"/>
      <c r="H38" s="21" t="n"/>
      <c r="I38" s="21" t="n"/>
      <c r="J38" s="53">
        <f>IF($C38="","",INDEX(Настройки!$V$6:$V$17,MONTH($C38))&amp;" "&amp;YEAR($C38))</f>
        <v/>
      </c>
      <c r="K38" s="57">
        <f>IF(OR($F38="",$D38="Перевод"),"",IF(AND(N($G38)&lt;&gt;0,COUNTIFS(Журнал!$C$10:$C$1509,$C38,Журнал!$P$10:$P$1509,$G38)&gt;0),"есть в Журнале",IF(COUNTIF(Постоянные!$C$8:$C$37,$F38)&gt;0,"есть в Постоянных",IF(COUNTIF(Покупки!$C$7:$C$18,$F38)&gt;0,"есть в Покупках",""))))</f>
        <v/>
      </c>
      <c r="P38">
        <f>IF($C38="","",DATE(YEAR($C38),MONTH($C38),1))</f>
        <v/>
      </c>
      <c r="Q38">
        <f>IF(ISNUMBER($G38),ABS($G38),0)</f>
        <v/>
      </c>
      <c r="R38">
        <f>IF(AND($D38="Расход",COUNTIFS(Счета!$B$10:$B$21,$H38,Счета!$C$10:$C$21,"Кредитная")&gt;0),1,0)</f>
        <v/>
      </c>
      <c r="S38" s="212">
        <f>IF(29&lt;=$S$9,DATE(YEAR($S$8),MONTH($S$8),29),"")</f>
        <v/>
      </c>
    </row>
    <row r="39" ht="19" customHeight="1">
      <c r="B39" s="53">
        <f>IF(AND($C39="",$F39=""),"",ROW()-9)</f>
        <v/>
      </c>
      <c r="C39" s="213" t="n"/>
      <c r="D39" s="55" t="n"/>
      <c r="E39" s="55" t="n"/>
      <c r="F39" s="56" t="n"/>
      <c r="G39" s="196" t="n"/>
      <c r="H39" s="21" t="n"/>
      <c r="I39" s="21" t="n"/>
      <c r="J39" s="53">
        <f>IF($C39="","",INDEX(Настройки!$V$6:$V$17,MONTH($C39))&amp;" "&amp;YEAR($C39))</f>
        <v/>
      </c>
      <c r="K39" s="57">
        <f>IF(OR($F39="",$D39="Перевод"),"",IF(AND(N($G39)&lt;&gt;0,COUNTIFS(Журнал!$C$10:$C$1509,$C39,Журнал!$P$10:$P$1509,$G39)&gt;0),"есть в Журнале",IF(COUNTIF(Постоянные!$C$8:$C$37,$F39)&gt;0,"есть в Постоянных",IF(COUNTIF(Покупки!$C$7:$C$18,$F39)&gt;0,"есть в Покупках",""))))</f>
        <v/>
      </c>
      <c r="P39">
        <f>IF($C39="","",DATE(YEAR($C39),MONTH($C39),1))</f>
        <v/>
      </c>
      <c r="Q39">
        <f>IF(ISNUMBER($G39),ABS($G39),0)</f>
        <v/>
      </c>
      <c r="R39">
        <f>IF(AND($D39="Расход",COUNTIFS(Счета!$B$10:$B$21,$H39,Счета!$C$10:$C$21,"Кредитная")&gt;0),1,0)</f>
        <v/>
      </c>
      <c r="S39" s="212">
        <f>IF(30&lt;=$S$9,DATE(YEAR($S$8),MONTH($S$8),30),"")</f>
        <v/>
      </c>
    </row>
    <row r="40" ht="19" customHeight="1">
      <c r="B40" s="53">
        <f>IF(AND($C40="",$F40=""),"",ROW()-9)</f>
        <v/>
      </c>
      <c r="C40" s="213" t="n"/>
      <c r="D40" s="55" t="n"/>
      <c r="E40" s="55" t="n"/>
      <c r="F40" s="56" t="n"/>
      <c r="G40" s="196" t="n"/>
      <c r="H40" s="21" t="n"/>
      <c r="I40" s="21" t="n"/>
      <c r="J40" s="53">
        <f>IF($C40="","",INDEX(Настройки!$V$6:$V$17,MONTH($C40))&amp;" "&amp;YEAR($C40))</f>
        <v/>
      </c>
      <c r="K40" s="57">
        <f>IF(OR($F40="",$D40="Перевод"),"",IF(AND(N($G40)&lt;&gt;0,COUNTIFS(Журнал!$C$10:$C$1509,$C40,Журнал!$P$10:$P$1509,$G40)&gt;0),"есть в Журнале",IF(COUNTIF(Постоянные!$C$8:$C$37,$F40)&gt;0,"есть в Постоянных",IF(COUNTIF(Покупки!$C$7:$C$18,$F40)&gt;0,"есть в Покупках",""))))</f>
        <v/>
      </c>
      <c r="P40">
        <f>IF($C40="","",DATE(YEAR($C40),MONTH($C40),1))</f>
        <v/>
      </c>
      <c r="Q40">
        <f>IF(ISNUMBER($G40),ABS($G40),0)</f>
        <v/>
      </c>
      <c r="R40">
        <f>IF(AND($D40="Расход",COUNTIFS(Счета!$B$10:$B$21,$H40,Счета!$C$10:$C$21,"Кредитная")&gt;0),1,0)</f>
        <v/>
      </c>
      <c r="S40" s="212">
        <f>IF(31&lt;=$S$9,DATE(YEAR($S$8),MONTH($S$8),31),"")</f>
        <v/>
      </c>
    </row>
    <row r="41" ht="19" customHeight="1">
      <c r="B41" s="53">
        <f>IF(AND($C41="",$F41=""),"",ROW()-9)</f>
        <v/>
      </c>
      <c r="C41" s="213" t="n"/>
      <c r="D41" s="55" t="n"/>
      <c r="E41" s="55" t="n"/>
      <c r="F41" s="56" t="n"/>
      <c r="G41" s="196" t="n"/>
      <c r="H41" s="21" t="n"/>
      <c r="I41" s="21" t="n"/>
      <c r="J41" s="53">
        <f>IF($C41="","",INDEX(Настройки!$V$6:$V$17,MONTH($C41))&amp;" "&amp;YEAR($C41))</f>
        <v/>
      </c>
      <c r="K41" s="57">
        <f>IF(OR($F41="",$D41="Перевод"),"",IF(AND(N($G41)&lt;&gt;0,COUNTIFS(Журнал!$C$10:$C$1509,$C41,Журнал!$P$10:$P$1509,$G41)&gt;0),"есть в Журнале",IF(COUNTIF(Постоянные!$C$8:$C$37,$F41)&gt;0,"есть в Постоянных",IF(COUNTIF(Покупки!$C$7:$C$18,$F41)&gt;0,"есть в Покупках",""))))</f>
        <v/>
      </c>
      <c r="P41">
        <f>IF($C41="","",DATE(YEAR($C41),MONTH($C41),1))</f>
        <v/>
      </c>
      <c r="Q41">
        <f>IF(ISNUMBER($G41),ABS($G41),0)</f>
        <v/>
      </c>
      <c r="R41">
        <f>IF(AND($D41="Расход",COUNTIFS(Счета!$B$10:$B$21,$H41,Счета!$C$10:$C$21,"Кредитная")&gt;0),1,0)</f>
        <v/>
      </c>
    </row>
    <row r="42" ht="19" customHeight="1">
      <c r="B42" s="53">
        <f>IF(AND($C42="",$F42=""),"",ROW()-9)</f>
        <v/>
      </c>
      <c r="C42" s="213" t="n"/>
      <c r="D42" s="55" t="n"/>
      <c r="E42" s="55" t="n"/>
      <c r="F42" s="56" t="n"/>
      <c r="G42" s="196" t="n"/>
      <c r="H42" s="21" t="n"/>
      <c r="I42" s="21" t="n"/>
      <c r="J42" s="53">
        <f>IF($C42="","",INDEX(Настройки!$V$6:$V$17,MONTH($C42))&amp;" "&amp;YEAR($C42))</f>
        <v/>
      </c>
      <c r="K42" s="57">
        <f>IF(OR($F42="",$D42="Перевод"),"",IF(AND(N($G42)&lt;&gt;0,COUNTIFS(Журнал!$C$10:$C$1509,$C42,Журнал!$P$10:$P$1509,$G42)&gt;0),"есть в Журнале",IF(COUNTIF(Постоянные!$C$8:$C$37,$F42)&gt;0,"есть в Постоянных",IF(COUNTIF(Покупки!$C$7:$C$18,$F42)&gt;0,"есть в Покупках",""))))</f>
        <v/>
      </c>
      <c r="P42">
        <f>IF($C42="","",DATE(YEAR($C42),MONTH($C42),1))</f>
        <v/>
      </c>
      <c r="Q42">
        <f>IF(ISNUMBER($G42),ABS($G42),0)</f>
        <v/>
      </c>
      <c r="R42">
        <f>IF(AND($D42="Расход",COUNTIFS(Счета!$B$10:$B$21,$H42,Счета!$C$10:$C$21,"Кредитная")&gt;0),1,0)</f>
        <v/>
      </c>
    </row>
    <row r="43" ht="19" customHeight="1">
      <c r="B43" s="53">
        <f>IF(AND($C43="",$F43=""),"",ROW()-9)</f>
        <v/>
      </c>
      <c r="C43" s="213" t="n"/>
      <c r="D43" s="55" t="n"/>
      <c r="E43" s="55" t="n"/>
      <c r="F43" s="56" t="n"/>
      <c r="G43" s="196" t="n"/>
      <c r="H43" s="21" t="n"/>
      <c r="I43" s="21" t="n"/>
      <c r="J43" s="53">
        <f>IF($C43="","",INDEX(Настройки!$V$6:$V$17,MONTH($C43))&amp;" "&amp;YEAR($C43))</f>
        <v/>
      </c>
      <c r="K43" s="57">
        <f>IF(OR($F43="",$D43="Перевод"),"",IF(AND(N($G43)&lt;&gt;0,COUNTIFS(Журнал!$C$10:$C$1509,$C43,Журнал!$P$10:$P$1509,$G43)&gt;0),"есть в Журнале",IF(COUNTIF(Постоянные!$C$8:$C$37,$F43)&gt;0,"есть в Постоянных",IF(COUNTIF(Покупки!$C$7:$C$18,$F43)&gt;0,"есть в Покупках",""))))</f>
        <v/>
      </c>
      <c r="P43">
        <f>IF($C43="","",DATE(YEAR($C43),MONTH($C43),1))</f>
        <v/>
      </c>
      <c r="Q43">
        <f>IF(ISNUMBER($G43),ABS($G43),0)</f>
        <v/>
      </c>
      <c r="R43">
        <f>IF(AND($D43="Расход",COUNTIFS(Счета!$B$10:$B$21,$H43,Счета!$C$10:$C$21,"Кредитная")&gt;0),1,0)</f>
        <v/>
      </c>
    </row>
    <row r="44" ht="19" customHeight="1">
      <c r="B44" s="53">
        <f>IF(AND($C44="",$F44=""),"",ROW()-9)</f>
        <v/>
      </c>
      <c r="C44" s="213" t="n"/>
      <c r="D44" s="55" t="n"/>
      <c r="E44" s="55" t="n"/>
      <c r="F44" s="56" t="n"/>
      <c r="G44" s="196" t="n"/>
      <c r="H44" s="21" t="n"/>
      <c r="I44" s="21" t="n"/>
      <c r="J44" s="53">
        <f>IF($C44="","",INDEX(Настройки!$V$6:$V$17,MONTH($C44))&amp;" "&amp;YEAR($C44))</f>
        <v/>
      </c>
      <c r="K44" s="57">
        <f>IF(OR($F44="",$D44="Перевод"),"",IF(AND(N($G44)&lt;&gt;0,COUNTIFS(Журнал!$C$10:$C$1509,$C44,Журнал!$P$10:$P$1509,$G44)&gt;0),"есть в Журнале",IF(COUNTIF(Постоянные!$C$8:$C$37,$F44)&gt;0,"есть в Постоянных",IF(COUNTIF(Покупки!$C$7:$C$18,$F44)&gt;0,"есть в Покупках",""))))</f>
        <v/>
      </c>
      <c r="P44">
        <f>IF($C44="","",DATE(YEAR($C44),MONTH($C44),1))</f>
        <v/>
      </c>
      <c r="Q44">
        <f>IF(ISNUMBER($G44),ABS($G44),0)</f>
        <v/>
      </c>
      <c r="R44">
        <f>IF(AND($D44="Расход",COUNTIFS(Счета!$B$10:$B$21,$H44,Счета!$C$10:$C$21,"Кредитная")&gt;0),1,0)</f>
        <v/>
      </c>
    </row>
    <row r="45" ht="19" customHeight="1">
      <c r="B45" s="53">
        <f>IF(AND($C45="",$F45=""),"",ROW()-9)</f>
        <v/>
      </c>
      <c r="C45" s="213" t="n"/>
      <c r="D45" s="55" t="n"/>
      <c r="E45" s="55" t="n"/>
      <c r="F45" s="56" t="n"/>
      <c r="G45" s="196" t="n"/>
      <c r="H45" s="21" t="n"/>
      <c r="I45" s="21" t="n"/>
      <c r="J45" s="53">
        <f>IF($C45="","",INDEX(Настройки!$V$6:$V$17,MONTH($C45))&amp;" "&amp;YEAR($C45))</f>
        <v/>
      </c>
      <c r="K45" s="57">
        <f>IF(OR($F45="",$D45="Перевод"),"",IF(AND(N($G45)&lt;&gt;0,COUNTIFS(Журнал!$C$10:$C$1509,$C45,Журнал!$P$10:$P$1509,$G45)&gt;0),"есть в Журнале",IF(COUNTIF(Постоянные!$C$8:$C$37,$F45)&gt;0,"есть в Постоянных",IF(COUNTIF(Покупки!$C$7:$C$18,$F45)&gt;0,"есть в Покупках",""))))</f>
        <v/>
      </c>
      <c r="P45">
        <f>IF($C45="","",DATE(YEAR($C45),MONTH($C45),1))</f>
        <v/>
      </c>
      <c r="Q45">
        <f>IF(ISNUMBER($G45),ABS($G45),0)</f>
        <v/>
      </c>
      <c r="R45">
        <f>IF(AND($D45="Расход",COUNTIFS(Счета!$B$10:$B$21,$H45,Счета!$C$10:$C$21,"Кредитная")&gt;0),1,0)</f>
        <v/>
      </c>
    </row>
    <row r="46" ht="19" customHeight="1">
      <c r="B46" s="53">
        <f>IF(AND($C46="",$F46=""),"",ROW()-9)</f>
        <v/>
      </c>
      <c r="C46" s="213" t="n"/>
      <c r="D46" s="55" t="n"/>
      <c r="E46" s="55" t="n"/>
      <c r="F46" s="56" t="n"/>
      <c r="G46" s="196" t="n"/>
      <c r="H46" s="21" t="n"/>
      <c r="I46" s="21" t="n"/>
      <c r="J46" s="53">
        <f>IF($C46="","",INDEX(Настройки!$V$6:$V$17,MONTH($C46))&amp;" "&amp;YEAR($C46))</f>
        <v/>
      </c>
      <c r="K46" s="57">
        <f>IF(OR($F46="",$D46="Перевод"),"",IF(AND(N($G46)&lt;&gt;0,COUNTIFS(Журнал!$C$10:$C$1509,$C46,Журнал!$P$10:$P$1509,$G46)&gt;0),"есть в Журнале",IF(COUNTIF(Постоянные!$C$8:$C$37,$F46)&gt;0,"есть в Постоянных",IF(COUNTIF(Покупки!$C$7:$C$18,$F46)&gt;0,"есть в Покупках",""))))</f>
        <v/>
      </c>
      <c r="P46">
        <f>IF($C46="","",DATE(YEAR($C46),MONTH($C46),1))</f>
        <v/>
      </c>
      <c r="Q46">
        <f>IF(ISNUMBER($G46),ABS($G46),0)</f>
        <v/>
      </c>
      <c r="R46">
        <f>IF(AND($D46="Расход",COUNTIFS(Счета!$B$10:$B$21,$H46,Счета!$C$10:$C$21,"Кредитная")&gt;0),1,0)</f>
        <v/>
      </c>
    </row>
    <row r="47" ht="19" customHeight="1">
      <c r="B47" s="53">
        <f>IF(AND($C47="",$F47=""),"",ROW()-9)</f>
        <v/>
      </c>
      <c r="C47" s="213" t="n"/>
      <c r="D47" s="55" t="n"/>
      <c r="E47" s="55" t="n"/>
      <c r="F47" s="56" t="n"/>
      <c r="G47" s="196" t="n"/>
      <c r="H47" s="21" t="n"/>
      <c r="I47" s="21" t="n"/>
      <c r="J47" s="53">
        <f>IF($C47="","",INDEX(Настройки!$V$6:$V$17,MONTH($C47))&amp;" "&amp;YEAR($C47))</f>
        <v/>
      </c>
      <c r="K47" s="57">
        <f>IF(OR($F47="",$D47="Перевод"),"",IF(AND(N($G47)&lt;&gt;0,COUNTIFS(Журнал!$C$10:$C$1509,$C47,Журнал!$P$10:$P$1509,$G47)&gt;0),"есть в Журнале",IF(COUNTIF(Постоянные!$C$8:$C$37,$F47)&gt;0,"есть в Постоянных",IF(COUNTIF(Покупки!$C$7:$C$18,$F47)&gt;0,"есть в Покупках",""))))</f>
        <v/>
      </c>
      <c r="P47">
        <f>IF($C47="","",DATE(YEAR($C47),MONTH($C47),1))</f>
        <v/>
      </c>
      <c r="Q47">
        <f>IF(ISNUMBER($G47),ABS($G47),0)</f>
        <v/>
      </c>
      <c r="R47">
        <f>IF(AND($D47="Расход",COUNTIFS(Счета!$B$10:$B$21,$H47,Счета!$C$10:$C$21,"Кредитная")&gt;0),1,0)</f>
        <v/>
      </c>
    </row>
    <row r="48" ht="19" customHeight="1">
      <c r="B48" s="53">
        <f>IF(AND($C48="",$F48=""),"",ROW()-9)</f>
        <v/>
      </c>
      <c r="C48" s="213" t="n"/>
      <c r="D48" s="55" t="n"/>
      <c r="E48" s="55" t="n"/>
      <c r="F48" s="56" t="n"/>
      <c r="G48" s="196" t="n"/>
      <c r="H48" s="21" t="n"/>
      <c r="I48" s="21" t="n"/>
      <c r="J48" s="53">
        <f>IF($C48="","",INDEX(Настройки!$V$6:$V$17,MONTH($C48))&amp;" "&amp;YEAR($C48))</f>
        <v/>
      </c>
      <c r="K48" s="57">
        <f>IF(OR($F48="",$D48="Перевод"),"",IF(AND(N($G48)&lt;&gt;0,COUNTIFS(Журнал!$C$10:$C$1509,$C48,Журнал!$P$10:$P$1509,$G48)&gt;0),"есть в Журнале",IF(COUNTIF(Постоянные!$C$8:$C$37,$F48)&gt;0,"есть в Постоянных",IF(COUNTIF(Покупки!$C$7:$C$18,$F48)&gt;0,"есть в Покупках",""))))</f>
        <v/>
      </c>
      <c r="P48">
        <f>IF($C48="","",DATE(YEAR($C48),MONTH($C48),1))</f>
        <v/>
      </c>
      <c r="Q48">
        <f>IF(ISNUMBER($G48),ABS($G48),0)</f>
        <v/>
      </c>
      <c r="R48">
        <f>IF(AND($D48="Расход",COUNTIFS(Счета!$B$10:$B$21,$H48,Счета!$C$10:$C$21,"Кредитная")&gt;0),1,0)</f>
        <v/>
      </c>
    </row>
    <row r="49" ht="19" customHeight="1">
      <c r="B49" s="53">
        <f>IF(AND($C49="",$F49=""),"",ROW()-9)</f>
        <v/>
      </c>
      <c r="C49" s="213" t="n"/>
      <c r="D49" s="55" t="n"/>
      <c r="E49" s="55" t="n"/>
      <c r="F49" s="56" t="n"/>
      <c r="G49" s="196" t="n"/>
      <c r="H49" s="21" t="n"/>
      <c r="I49" s="21" t="n"/>
      <c r="J49" s="53">
        <f>IF($C49="","",INDEX(Настройки!$V$6:$V$17,MONTH($C49))&amp;" "&amp;YEAR($C49))</f>
        <v/>
      </c>
      <c r="K49" s="57">
        <f>IF(OR($F49="",$D49="Перевод"),"",IF(AND(N($G49)&lt;&gt;0,COUNTIFS(Журнал!$C$10:$C$1509,$C49,Журнал!$P$10:$P$1509,$G49)&gt;0),"есть в Журнале",IF(COUNTIF(Постоянные!$C$8:$C$37,$F49)&gt;0,"есть в Постоянных",IF(COUNTIF(Покупки!$C$7:$C$18,$F49)&gt;0,"есть в Покупках",""))))</f>
        <v/>
      </c>
      <c r="P49">
        <f>IF($C49="","",DATE(YEAR($C49),MONTH($C49),1))</f>
        <v/>
      </c>
      <c r="Q49">
        <f>IF(ISNUMBER($G49),ABS($G49),0)</f>
        <v/>
      </c>
      <c r="R49">
        <f>IF(AND($D49="Расход",COUNTIFS(Счета!$B$10:$B$21,$H49,Счета!$C$10:$C$21,"Кредитная")&gt;0),1,0)</f>
        <v/>
      </c>
    </row>
    <row r="50" ht="19" customHeight="1">
      <c r="B50" s="53">
        <f>IF(AND($C50="",$F50=""),"",ROW()-9)</f>
        <v/>
      </c>
      <c r="C50" s="213" t="n"/>
      <c r="D50" s="55" t="n"/>
      <c r="E50" s="55" t="n"/>
      <c r="F50" s="56" t="n"/>
      <c r="G50" s="196" t="n"/>
      <c r="H50" s="21" t="n"/>
      <c r="I50" s="21" t="n"/>
      <c r="J50" s="53">
        <f>IF($C50="","",INDEX(Настройки!$V$6:$V$17,MONTH($C50))&amp;" "&amp;YEAR($C50))</f>
        <v/>
      </c>
      <c r="K50" s="57">
        <f>IF(OR($F50="",$D50="Перевод"),"",IF(AND(N($G50)&lt;&gt;0,COUNTIFS(Журнал!$C$10:$C$1509,$C50,Журнал!$P$10:$P$1509,$G50)&gt;0),"есть в Журнале",IF(COUNTIF(Постоянные!$C$8:$C$37,$F50)&gt;0,"есть в Постоянных",IF(COUNTIF(Покупки!$C$7:$C$18,$F50)&gt;0,"есть в Покупках",""))))</f>
        <v/>
      </c>
      <c r="P50">
        <f>IF($C50="","",DATE(YEAR($C50),MONTH($C50),1))</f>
        <v/>
      </c>
      <c r="Q50">
        <f>IF(ISNUMBER($G50),ABS($G50),0)</f>
        <v/>
      </c>
      <c r="R50">
        <f>IF(AND($D50="Расход",COUNTIFS(Счета!$B$10:$B$21,$H50,Счета!$C$10:$C$21,"Кредитная")&gt;0),1,0)</f>
        <v/>
      </c>
    </row>
    <row r="51" ht="19" customHeight="1">
      <c r="B51" s="53">
        <f>IF(AND($C51="",$F51=""),"",ROW()-9)</f>
        <v/>
      </c>
      <c r="C51" s="213" t="n"/>
      <c r="D51" s="55" t="n"/>
      <c r="E51" s="55" t="n"/>
      <c r="F51" s="56" t="n"/>
      <c r="G51" s="196" t="n"/>
      <c r="H51" s="21" t="n"/>
      <c r="I51" s="21" t="n"/>
      <c r="J51" s="53">
        <f>IF($C51="","",INDEX(Настройки!$V$6:$V$17,MONTH($C51))&amp;" "&amp;YEAR($C51))</f>
        <v/>
      </c>
      <c r="K51" s="57">
        <f>IF(OR($F51="",$D51="Перевод"),"",IF(AND(N($G51)&lt;&gt;0,COUNTIFS(Журнал!$C$10:$C$1509,$C51,Журнал!$P$10:$P$1509,$G51)&gt;0),"есть в Журнале",IF(COUNTIF(Постоянные!$C$8:$C$37,$F51)&gt;0,"есть в Постоянных",IF(COUNTIF(Покупки!$C$7:$C$18,$F51)&gt;0,"есть в Покупках",""))))</f>
        <v/>
      </c>
      <c r="P51">
        <f>IF($C51="","",DATE(YEAR($C51),MONTH($C51),1))</f>
        <v/>
      </c>
      <c r="Q51">
        <f>IF(ISNUMBER($G51),ABS($G51),0)</f>
        <v/>
      </c>
      <c r="R51">
        <f>IF(AND($D51="Расход",COUNTIFS(Счета!$B$10:$B$21,$H51,Счета!$C$10:$C$21,"Кредитная")&gt;0),1,0)</f>
        <v/>
      </c>
    </row>
    <row r="52" ht="19" customHeight="1">
      <c r="B52" s="53">
        <f>IF(AND($C52="",$F52=""),"",ROW()-9)</f>
        <v/>
      </c>
      <c r="C52" s="213" t="n"/>
      <c r="D52" s="55" t="n"/>
      <c r="E52" s="55" t="n"/>
      <c r="F52" s="56" t="n"/>
      <c r="G52" s="196" t="n"/>
      <c r="H52" s="21" t="n"/>
      <c r="I52" s="21" t="n"/>
      <c r="J52" s="53">
        <f>IF($C52="","",INDEX(Настройки!$V$6:$V$17,MONTH($C52))&amp;" "&amp;YEAR($C52))</f>
        <v/>
      </c>
      <c r="K52" s="57">
        <f>IF(OR($F52="",$D52="Перевод"),"",IF(AND(N($G52)&lt;&gt;0,COUNTIFS(Журнал!$C$10:$C$1509,$C52,Журнал!$P$10:$P$1509,$G52)&gt;0),"есть в Журнале",IF(COUNTIF(Постоянные!$C$8:$C$37,$F52)&gt;0,"есть в Постоянных",IF(COUNTIF(Покупки!$C$7:$C$18,$F52)&gt;0,"есть в Покупках",""))))</f>
        <v/>
      </c>
      <c r="P52">
        <f>IF($C52="","",DATE(YEAR($C52),MONTH($C52),1))</f>
        <v/>
      </c>
      <c r="Q52">
        <f>IF(ISNUMBER($G52),ABS($G52),0)</f>
        <v/>
      </c>
      <c r="R52">
        <f>IF(AND($D52="Расход",COUNTIFS(Счета!$B$10:$B$21,$H52,Счета!$C$10:$C$21,"Кредитная")&gt;0),1,0)</f>
        <v/>
      </c>
    </row>
    <row r="53" ht="19" customHeight="1">
      <c r="B53" s="53">
        <f>IF(AND($C53="",$F53=""),"",ROW()-9)</f>
        <v/>
      </c>
      <c r="C53" s="213" t="n"/>
      <c r="D53" s="55" t="n"/>
      <c r="E53" s="55" t="n"/>
      <c r="F53" s="56" t="n"/>
      <c r="G53" s="196" t="n"/>
      <c r="H53" s="21" t="n"/>
      <c r="I53" s="21" t="n"/>
      <c r="J53" s="53">
        <f>IF($C53="","",INDEX(Настройки!$V$6:$V$17,MONTH($C53))&amp;" "&amp;YEAR($C53))</f>
        <v/>
      </c>
      <c r="K53" s="57">
        <f>IF(OR($F53="",$D53="Перевод"),"",IF(AND(N($G53)&lt;&gt;0,COUNTIFS(Журнал!$C$10:$C$1509,$C53,Журнал!$P$10:$P$1509,$G53)&gt;0),"есть в Журнале",IF(COUNTIF(Постоянные!$C$8:$C$37,$F53)&gt;0,"есть в Постоянных",IF(COUNTIF(Покупки!$C$7:$C$18,$F53)&gt;0,"есть в Покупках",""))))</f>
        <v/>
      </c>
      <c r="P53">
        <f>IF($C53="","",DATE(YEAR($C53),MONTH($C53),1))</f>
        <v/>
      </c>
      <c r="Q53">
        <f>IF(ISNUMBER($G53),ABS($G53),0)</f>
        <v/>
      </c>
      <c r="R53">
        <f>IF(AND($D53="Расход",COUNTIFS(Счета!$B$10:$B$21,$H53,Счета!$C$10:$C$21,"Кредитная")&gt;0),1,0)</f>
        <v/>
      </c>
    </row>
    <row r="54" ht="19" customHeight="1">
      <c r="B54" s="53">
        <f>IF(AND($C54="",$F54=""),"",ROW()-9)</f>
        <v/>
      </c>
      <c r="C54" s="213" t="n"/>
      <c r="D54" s="55" t="n"/>
      <c r="E54" s="55" t="n"/>
      <c r="F54" s="56" t="n"/>
      <c r="G54" s="196" t="n"/>
      <c r="H54" s="21" t="n"/>
      <c r="I54" s="21" t="n"/>
      <c r="J54" s="53">
        <f>IF($C54="","",INDEX(Настройки!$V$6:$V$17,MONTH($C54))&amp;" "&amp;YEAR($C54))</f>
        <v/>
      </c>
      <c r="K54" s="57">
        <f>IF(OR($F54="",$D54="Перевод"),"",IF(AND(N($G54)&lt;&gt;0,COUNTIFS(Журнал!$C$10:$C$1509,$C54,Журнал!$P$10:$P$1509,$G54)&gt;0),"есть в Журнале",IF(COUNTIF(Постоянные!$C$8:$C$37,$F54)&gt;0,"есть в Постоянных",IF(COUNTIF(Покупки!$C$7:$C$18,$F54)&gt;0,"есть в Покупках",""))))</f>
        <v/>
      </c>
      <c r="P54">
        <f>IF($C54="","",DATE(YEAR($C54),MONTH($C54),1))</f>
        <v/>
      </c>
      <c r="Q54">
        <f>IF(ISNUMBER($G54),ABS($G54),0)</f>
        <v/>
      </c>
      <c r="R54">
        <f>IF(AND($D54="Расход",COUNTIFS(Счета!$B$10:$B$21,$H54,Счета!$C$10:$C$21,"Кредитная")&gt;0),1,0)</f>
        <v/>
      </c>
    </row>
    <row r="55" ht="19" customHeight="1">
      <c r="B55" s="53">
        <f>IF(AND($C55="",$F55=""),"",ROW()-9)</f>
        <v/>
      </c>
      <c r="C55" s="213" t="n"/>
      <c r="D55" s="55" t="n"/>
      <c r="E55" s="55" t="n"/>
      <c r="F55" s="56" t="n"/>
      <c r="G55" s="196" t="n"/>
      <c r="H55" s="21" t="n"/>
      <c r="I55" s="21" t="n"/>
      <c r="J55" s="53">
        <f>IF($C55="","",INDEX(Настройки!$V$6:$V$17,MONTH($C55))&amp;" "&amp;YEAR($C55))</f>
        <v/>
      </c>
      <c r="K55" s="57">
        <f>IF(OR($F55="",$D55="Перевод"),"",IF(AND(N($G55)&lt;&gt;0,COUNTIFS(Журнал!$C$10:$C$1509,$C55,Журнал!$P$10:$P$1509,$G55)&gt;0),"есть в Журнале",IF(COUNTIF(Постоянные!$C$8:$C$37,$F55)&gt;0,"есть в Постоянных",IF(COUNTIF(Покупки!$C$7:$C$18,$F55)&gt;0,"есть в Покупках",""))))</f>
        <v/>
      </c>
      <c r="P55">
        <f>IF($C55="","",DATE(YEAR($C55),MONTH($C55),1))</f>
        <v/>
      </c>
      <c r="Q55">
        <f>IF(ISNUMBER($G55),ABS($G55),0)</f>
        <v/>
      </c>
      <c r="R55">
        <f>IF(AND($D55="Расход",COUNTIFS(Счета!$B$10:$B$21,$H55,Счета!$C$10:$C$21,"Кредитная")&gt;0),1,0)</f>
        <v/>
      </c>
    </row>
    <row r="56" ht="19" customHeight="1">
      <c r="B56" s="53">
        <f>IF(AND($C56="",$F56=""),"",ROW()-9)</f>
        <v/>
      </c>
      <c r="C56" s="213" t="n"/>
      <c r="D56" s="55" t="n"/>
      <c r="E56" s="55" t="n"/>
      <c r="F56" s="56" t="n"/>
      <c r="G56" s="196" t="n"/>
      <c r="H56" s="21" t="n"/>
      <c r="I56" s="21" t="n"/>
      <c r="J56" s="53">
        <f>IF($C56="","",INDEX(Настройки!$V$6:$V$17,MONTH($C56))&amp;" "&amp;YEAR($C56))</f>
        <v/>
      </c>
      <c r="K56" s="57">
        <f>IF(OR($F56="",$D56="Перевод"),"",IF(AND(N($G56)&lt;&gt;0,COUNTIFS(Журнал!$C$10:$C$1509,$C56,Журнал!$P$10:$P$1509,$G56)&gt;0),"есть в Журнале",IF(COUNTIF(Постоянные!$C$8:$C$37,$F56)&gt;0,"есть в Постоянных",IF(COUNTIF(Покупки!$C$7:$C$18,$F56)&gt;0,"есть в Покупках",""))))</f>
        <v/>
      </c>
      <c r="P56">
        <f>IF($C56="","",DATE(YEAR($C56),MONTH($C56),1))</f>
        <v/>
      </c>
      <c r="Q56">
        <f>IF(ISNUMBER($G56),ABS($G56),0)</f>
        <v/>
      </c>
      <c r="R56">
        <f>IF(AND($D56="Расход",COUNTIFS(Счета!$B$10:$B$21,$H56,Счета!$C$10:$C$21,"Кредитная")&gt;0),1,0)</f>
        <v/>
      </c>
    </row>
    <row r="57" ht="19" customHeight="1">
      <c r="B57" s="53">
        <f>IF(AND($C57="",$F57=""),"",ROW()-9)</f>
        <v/>
      </c>
      <c r="C57" s="213" t="n"/>
      <c r="D57" s="55" t="n"/>
      <c r="E57" s="55" t="n"/>
      <c r="F57" s="56" t="n"/>
      <c r="G57" s="196" t="n"/>
      <c r="H57" s="21" t="n"/>
      <c r="I57" s="21" t="n"/>
      <c r="J57" s="53">
        <f>IF($C57="","",INDEX(Настройки!$V$6:$V$17,MONTH($C57))&amp;" "&amp;YEAR($C57))</f>
        <v/>
      </c>
      <c r="K57" s="57">
        <f>IF(OR($F57="",$D57="Перевод"),"",IF(AND(N($G57)&lt;&gt;0,COUNTIFS(Журнал!$C$10:$C$1509,$C57,Журнал!$P$10:$P$1509,$G57)&gt;0),"есть в Журнале",IF(COUNTIF(Постоянные!$C$8:$C$37,$F57)&gt;0,"есть в Постоянных",IF(COUNTIF(Покупки!$C$7:$C$18,$F57)&gt;0,"есть в Покупках",""))))</f>
        <v/>
      </c>
      <c r="P57">
        <f>IF($C57="","",DATE(YEAR($C57),MONTH($C57),1))</f>
        <v/>
      </c>
      <c r="Q57">
        <f>IF(ISNUMBER($G57),ABS($G57),0)</f>
        <v/>
      </c>
      <c r="R57">
        <f>IF(AND($D57="Расход",COUNTIFS(Счета!$B$10:$B$21,$H57,Счета!$C$10:$C$21,"Кредитная")&gt;0),1,0)</f>
        <v/>
      </c>
    </row>
    <row r="58" ht="19" customHeight="1">
      <c r="B58" s="53">
        <f>IF(AND($C58="",$F58=""),"",ROW()-9)</f>
        <v/>
      </c>
      <c r="C58" s="213" t="n"/>
      <c r="D58" s="55" t="n"/>
      <c r="E58" s="55" t="n"/>
      <c r="F58" s="56" t="n"/>
      <c r="G58" s="196" t="n"/>
      <c r="H58" s="21" t="n"/>
      <c r="I58" s="21" t="n"/>
      <c r="J58" s="53">
        <f>IF($C58="","",INDEX(Настройки!$V$6:$V$17,MONTH($C58))&amp;" "&amp;YEAR($C58))</f>
        <v/>
      </c>
      <c r="K58" s="57">
        <f>IF(OR($F58="",$D58="Перевод"),"",IF(AND(N($G58)&lt;&gt;0,COUNTIFS(Журнал!$C$10:$C$1509,$C58,Журнал!$P$10:$P$1509,$G58)&gt;0),"есть в Журнале",IF(COUNTIF(Постоянные!$C$8:$C$37,$F58)&gt;0,"есть в Постоянных",IF(COUNTIF(Покупки!$C$7:$C$18,$F58)&gt;0,"есть в Покупках",""))))</f>
        <v/>
      </c>
      <c r="P58">
        <f>IF($C58="","",DATE(YEAR($C58),MONTH($C58),1))</f>
        <v/>
      </c>
      <c r="Q58">
        <f>IF(ISNUMBER($G58),ABS($G58),0)</f>
        <v/>
      </c>
      <c r="R58">
        <f>IF(AND($D58="Расход",COUNTIFS(Счета!$B$10:$B$21,$H58,Счета!$C$10:$C$21,"Кредитная")&gt;0),1,0)</f>
        <v/>
      </c>
    </row>
    <row r="59" ht="19" customHeight="1">
      <c r="B59" s="53">
        <f>IF(AND($C59="",$F59=""),"",ROW()-9)</f>
        <v/>
      </c>
      <c r="C59" s="213" t="n"/>
      <c r="D59" s="55" t="n"/>
      <c r="E59" s="55" t="n"/>
      <c r="F59" s="56" t="n"/>
      <c r="G59" s="196" t="n"/>
      <c r="H59" s="21" t="n"/>
      <c r="I59" s="21" t="n"/>
      <c r="J59" s="53">
        <f>IF($C59="","",INDEX(Настройки!$V$6:$V$17,MONTH($C59))&amp;" "&amp;YEAR($C59))</f>
        <v/>
      </c>
      <c r="K59" s="57">
        <f>IF(OR($F59="",$D59="Перевод"),"",IF(AND(N($G59)&lt;&gt;0,COUNTIFS(Журнал!$C$10:$C$1509,$C59,Журнал!$P$10:$P$1509,$G59)&gt;0),"есть в Журнале",IF(COUNTIF(Постоянные!$C$8:$C$37,$F59)&gt;0,"есть в Постоянных",IF(COUNTIF(Покупки!$C$7:$C$18,$F59)&gt;0,"есть в Покупках",""))))</f>
        <v/>
      </c>
      <c r="P59">
        <f>IF($C59="","",DATE(YEAR($C59),MONTH($C59),1))</f>
        <v/>
      </c>
      <c r="Q59">
        <f>IF(ISNUMBER($G59),ABS($G59),0)</f>
        <v/>
      </c>
      <c r="R59">
        <f>IF(AND($D59="Расход",COUNTIFS(Счета!$B$10:$B$21,$H59,Счета!$C$10:$C$21,"Кредитная")&gt;0),1,0)</f>
        <v/>
      </c>
    </row>
    <row r="60" ht="19" customHeight="1">
      <c r="B60" s="53">
        <f>IF(AND($C60="",$F60=""),"",ROW()-9)</f>
        <v/>
      </c>
      <c r="C60" s="213" t="n"/>
      <c r="D60" s="55" t="n"/>
      <c r="E60" s="55" t="n"/>
      <c r="F60" s="56" t="n"/>
      <c r="G60" s="196" t="n"/>
      <c r="H60" s="21" t="n"/>
      <c r="I60" s="21" t="n"/>
      <c r="J60" s="53">
        <f>IF($C60="","",INDEX(Настройки!$V$6:$V$17,MONTH($C60))&amp;" "&amp;YEAR($C60))</f>
        <v/>
      </c>
      <c r="K60" s="57">
        <f>IF(OR($F60="",$D60="Перевод"),"",IF(AND(N($G60)&lt;&gt;0,COUNTIFS(Журнал!$C$10:$C$1509,$C60,Журнал!$P$10:$P$1509,$G60)&gt;0),"есть в Журнале",IF(COUNTIF(Постоянные!$C$8:$C$37,$F60)&gt;0,"есть в Постоянных",IF(COUNTIF(Покупки!$C$7:$C$18,$F60)&gt;0,"есть в Покупках",""))))</f>
        <v/>
      </c>
      <c r="P60">
        <f>IF($C60="","",DATE(YEAR($C60),MONTH($C60),1))</f>
        <v/>
      </c>
      <c r="Q60">
        <f>IF(ISNUMBER($G60),ABS($G60),0)</f>
        <v/>
      </c>
      <c r="R60">
        <f>IF(AND($D60="Расход",COUNTIFS(Счета!$B$10:$B$21,$H60,Счета!$C$10:$C$21,"Кредитная")&gt;0),1,0)</f>
        <v/>
      </c>
    </row>
    <row r="61" ht="19" customHeight="1">
      <c r="B61" s="53">
        <f>IF(AND($C61="",$F61=""),"",ROW()-9)</f>
        <v/>
      </c>
      <c r="C61" s="213" t="n"/>
      <c r="D61" s="55" t="n"/>
      <c r="E61" s="55" t="n"/>
      <c r="F61" s="56" t="n"/>
      <c r="G61" s="196" t="n"/>
      <c r="H61" s="21" t="n"/>
      <c r="I61" s="21" t="n"/>
      <c r="J61" s="53">
        <f>IF($C61="","",INDEX(Настройки!$V$6:$V$17,MONTH($C61))&amp;" "&amp;YEAR($C61))</f>
        <v/>
      </c>
      <c r="K61" s="57">
        <f>IF(OR($F61="",$D61="Перевод"),"",IF(AND(N($G61)&lt;&gt;0,COUNTIFS(Журнал!$C$10:$C$1509,$C61,Журнал!$P$10:$P$1509,$G61)&gt;0),"есть в Журнале",IF(COUNTIF(Постоянные!$C$8:$C$37,$F61)&gt;0,"есть в Постоянных",IF(COUNTIF(Покупки!$C$7:$C$18,$F61)&gt;0,"есть в Покупках",""))))</f>
        <v/>
      </c>
      <c r="P61">
        <f>IF($C61="","",DATE(YEAR($C61),MONTH($C61),1))</f>
        <v/>
      </c>
      <c r="Q61">
        <f>IF(ISNUMBER($G61),ABS($G61),0)</f>
        <v/>
      </c>
      <c r="R61">
        <f>IF(AND($D61="Расход",COUNTIFS(Счета!$B$10:$B$21,$H61,Счета!$C$10:$C$21,"Кредитная")&gt;0),1,0)</f>
        <v/>
      </c>
    </row>
    <row r="62" ht="19" customHeight="1">
      <c r="B62" s="53">
        <f>IF(AND($C62="",$F62=""),"",ROW()-9)</f>
        <v/>
      </c>
      <c r="C62" s="213" t="n"/>
      <c r="D62" s="55" t="n"/>
      <c r="E62" s="55" t="n"/>
      <c r="F62" s="56" t="n"/>
      <c r="G62" s="196" t="n"/>
      <c r="H62" s="21" t="n"/>
      <c r="I62" s="21" t="n"/>
      <c r="J62" s="53">
        <f>IF($C62="","",INDEX(Настройки!$V$6:$V$17,MONTH($C62))&amp;" "&amp;YEAR($C62))</f>
        <v/>
      </c>
      <c r="K62" s="57">
        <f>IF(OR($F62="",$D62="Перевод"),"",IF(AND(N($G62)&lt;&gt;0,COUNTIFS(Журнал!$C$10:$C$1509,$C62,Журнал!$P$10:$P$1509,$G62)&gt;0),"есть в Журнале",IF(COUNTIF(Постоянные!$C$8:$C$37,$F62)&gt;0,"есть в Постоянных",IF(COUNTIF(Покупки!$C$7:$C$18,$F62)&gt;0,"есть в Покупках",""))))</f>
        <v/>
      </c>
      <c r="P62">
        <f>IF($C62="","",DATE(YEAR($C62),MONTH($C62),1))</f>
        <v/>
      </c>
      <c r="Q62">
        <f>IF(ISNUMBER($G62),ABS($G62),0)</f>
        <v/>
      </c>
      <c r="R62">
        <f>IF(AND($D62="Расход",COUNTIFS(Счета!$B$10:$B$21,$H62,Счета!$C$10:$C$21,"Кредитная")&gt;0),1,0)</f>
        <v/>
      </c>
    </row>
    <row r="63" ht="19" customHeight="1">
      <c r="B63" s="53">
        <f>IF(AND($C63="",$F63=""),"",ROW()-9)</f>
        <v/>
      </c>
      <c r="C63" s="213" t="n"/>
      <c r="D63" s="55" t="n"/>
      <c r="E63" s="55" t="n"/>
      <c r="F63" s="56" t="n"/>
      <c r="G63" s="196" t="n"/>
      <c r="H63" s="21" t="n"/>
      <c r="I63" s="21" t="n"/>
      <c r="J63" s="53">
        <f>IF($C63="","",INDEX(Настройки!$V$6:$V$17,MONTH($C63))&amp;" "&amp;YEAR($C63))</f>
        <v/>
      </c>
      <c r="K63" s="57">
        <f>IF(OR($F63="",$D63="Перевод"),"",IF(AND(N($G63)&lt;&gt;0,COUNTIFS(Журнал!$C$10:$C$1509,$C63,Журнал!$P$10:$P$1509,$G63)&gt;0),"есть в Журнале",IF(COUNTIF(Постоянные!$C$8:$C$37,$F63)&gt;0,"есть в Постоянных",IF(COUNTIF(Покупки!$C$7:$C$18,$F63)&gt;0,"есть в Покупках",""))))</f>
        <v/>
      </c>
      <c r="P63">
        <f>IF($C63="","",DATE(YEAR($C63),MONTH($C63),1))</f>
        <v/>
      </c>
      <c r="Q63">
        <f>IF(ISNUMBER($G63),ABS($G63),0)</f>
        <v/>
      </c>
      <c r="R63">
        <f>IF(AND($D63="Расход",COUNTIFS(Счета!$B$10:$B$21,$H63,Счета!$C$10:$C$21,"Кредитная")&gt;0),1,0)</f>
        <v/>
      </c>
    </row>
    <row r="64" ht="19" customHeight="1">
      <c r="B64" s="53">
        <f>IF(AND($C64="",$F64=""),"",ROW()-9)</f>
        <v/>
      </c>
      <c r="C64" s="213" t="n"/>
      <c r="D64" s="55" t="n"/>
      <c r="E64" s="55" t="n"/>
      <c r="F64" s="56" t="n"/>
      <c r="G64" s="196" t="n"/>
      <c r="H64" s="21" t="n"/>
      <c r="I64" s="21" t="n"/>
      <c r="J64" s="53">
        <f>IF($C64="","",INDEX(Настройки!$V$6:$V$17,MONTH($C64))&amp;" "&amp;YEAR($C64))</f>
        <v/>
      </c>
      <c r="K64" s="57">
        <f>IF(OR($F64="",$D64="Перевод"),"",IF(AND(N($G64)&lt;&gt;0,COUNTIFS(Журнал!$C$10:$C$1509,$C64,Журнал!$P$10:$P$1509,$G64)&gt;0),"есть в Журнале",IF(COUNTIF(Постоянные!$C$8:$C$37,$F64)&gt;0,"есть в Постоянных",IF(COUNTIF(Покупки!$C$7:$C$18,$F64)&gt;0,"есть в Покупках",""))))</f>
        <v/>
      </c>
      <c r="P64">
        <f>IF($C64="","",DATE(YEAR($C64),MONTH($C64),1))</f>
        <v/>
      </c>
      <c r="Q64">
        <f>IF(ISNUMBER($G64),ABS($G64),0)</f>
        <v/>
      </c>
      <c r="R64">
        <f>IF(AND($D64="Расход",COUNTIFS(Счета!$B$10:$B$21,$H64,Счета!$C$10:$C$21,"Кредитная")&gt;0),1,0)</f>
        <v/>
      </c>
    </row>
    <row r="65" ht="19" customHeight="1">
      <c r="B65" s="53">
        <f>IF(AND($C65="",$F65=""),"",ROW()-9)</f>
        <v/>
      </c>
      <c r="C65" s="213" t="n"/>
      <c r="D65" s="55" t="n"/>
      <c r="E65" s="55" t="n"/>
      <c r="F65" s="56" t="n"/>
      <c r="G65" s="196" t="n"/>
      <c r="H65" s="21" t="n"/>
      <c r="I65" s="21" t="n"/>
      <c r="J65" s="53">
        <f>IF($C65="","",INDEX(Настройки!$V$6:$V$17,MONTH($C65))&amp;" "&amp;YEAR($C65))</f>
        <v/>
      </c>
      <c r="K65" s="57">
        <f>IF(OR($F65="",$D65="Перевод"),"",IF(AND(N($G65)&lt;&gt;0,COUNTIFS(Журнал!$C$10:$C$1509,$C65,Журнал!$P$10:$P$1509,$G65)&gt;0),"есть в Журнале",IF(COUNTIF(Постоянные!$C$8:$C$37,$F65)&gt;0,"есть в Постоянных",IF(COUNTIF(Покупки!$C$7:$C$18,$F65)&gt;0,"есть в Покупках",""))))</f>
        <v/>
      </c>
      <c r="P65">
        <f>IF($C65="","",DATE(YEAR($C65),MONTH($C65),1))</f>
        <v/>
      </c>
      <c r="Q65">
        <f>IF(ISNUMBER($G65),ABS($G65),0)</f>
        <v/>
      </c>
      <c r="R65">
        <f>IF(AND($D65="Расход",COUNTIFS(Счета!$B$10:$B$21,$H65,Счета!$C$10:$C$21,"Кредитная")&gt;0),1,0)</f>
        <v/>
      </c>
    </row>
    <row r="66" ht="19" customHeight="1">
      <c r="B66" s="53">
        <f>IF(AND($C66="",$F66=""),"",ROW()-9)</f>
        <v/>
      </c>
      <c r="C66" s="213" t="n"/>
      <c r="D66" s="55" t="n"/>
      <c r="E66" s="55" t="n"/>
      <c r="F66" s="56" t="n"/>
      <c r="G66" s="196" t="n"/>
      <c r="H66" s="21" t="n"/>
      <c r="I66" s="21" t="n"/>
      <c r="J66" s="53">
        <f>IF($C66="","",INDEX(Настройки!$V$6:$V$17,MONTH($C66))&amp;" "&amp;YEAR($C66))</f>
        <v/>
      </c>
      <c r="K66" s="57">
        <f>IF(OR($F66="",$D66="Перевод"),"",IF(AND(N($G66)&lt;&gt;0,COUNTIFS(Журнал!$C$10:$C$1509,$C66,Журнал!$P$10:$P$1509,$G66)&gt;0),"есть в Журнале",IF(COUNTIF(Постоянные!$C$8:$C$37,$F66)&gt;0,"есть в Постоянных",IF(COUNTIF(Покупки!$C$7:$C$18,$F66)&gt;0,"есть в Покупках",""))))</f>
        <v/>
      </c>
      <c r="P66">
        <f>IF($C66="","",DATE(YEAR($C66),MONTH($C66),1))</f>
        <v/>
      </c>
      <c r="Q66">
        <f>IF(ISNUMBER($G66),ABS($G66),0)</f>
        <v/>
      </c>
      <c r="R66">
        <f>IF(AND($D66="Расход",COUNTIFS(Счета!$B$10:$B$21,$H66,Счета!$C$10:$C$21,"Кредитная")&gt;0),1,0)</f>
        <v/>
      </c>
    </row>
    <row r="67" ht="19" customHeight="1">
      <c r="B67" s="53">
        <f>IF(AND($C67="",$F67=""),"",ROW()-9)</f>
        <v/>
      </c>
      <c r="C67" s="213" t="n"/>
      <c r="D67" s="55" t="n"/>
      <c r="E67" s="55" t="n"/>
      <c r="F67" s="56" t="n"/>
      <c r="G67" s="196" t="n"/>
      <c r="H67" s="21" t="n"/>
      <c r="I67" s="21" t="n"/>
      <c r="J67" s="53">
        <f>IF($C67="","",INDEX(Настройки!$V$6:$V$17,MONTH($C67))&amp;" "&amp;YEAR($C67))</f>
        <v/>
      </c>
      <c r="K67" s="57">
        <f>IF(OR($F67="",$D67="Перевод"),"",IF(AND(N($G67)&lt;&gt;0,COUNTIFS(Журнал!$C$10:$C$1509,$C67,Журнал!$P$10:$P$1509,$G67)&gt;0),"есть в Журнале",IF(COUNTIF(Постоянные!$C$8:$C$37,$F67)&gt;0,"есть в Постоянных",IF(COUNTIF(Покупки!$C$7:$C$18,$F67)&gt;0,"есть в Покупках",""))))</f>
        <v/>
      </c>
      <c r="P67">
        <f>IF($C67="","",DATE(YEAR($C67),MONTH($C67),1))</f>
        <v/>
      </c>
      <c r="Q67">
        <f>IF(ISNUMBER($G67),ABS($G67),0)</f>
        <v/>
      </c>
      <c r="R67">
        <f>IF(AND($D67="Расход",COUNTIFS(Счета!$B$10:$B$21,$H67,Счета!$C$10:$C$21,"Кредитная")&gt;0),1,0)</f>
        <v/>
      </c>
    </row>
    <row r="68" ht="19" customHeight="1">
      <c r="B68" s="53">
        <f>IF(AND($C68="",$F68=""),"",ROW()-9)</f>
        <v/>
      </c>
      <c r="C68" s="213" t="n"/>
      <c r="D68" s="55" t="n"/>
      <c r="E68" s="55" t="n"/>
      <c r="F68" s="56" t="n"/>
      <c r="G68" s="196" t="n"/>
      <c r="H68" s="21" t="n"/>
      <c r="I68" s="21" t="n"/>
      <c r="J68" s="53">
        <f>IF($C68="","",INDEX(Настройки!$V$6:$V$17,MONTH($C68))&amp;" "&amp;YEAR($C68))</f>
        <v/>
      </c>
      <c r="K68" s="57">
        <f>IF(OR($F68="",$D68="Перевод"),"",IF(AND(N($G68)&lt;&gt;0,COUNTIFS(Журнал!$C$10:$C$1509,$C68,Журнал!$P$10:$P$1509,$G68)&gt;0),"есть в Журнале",IF(COUNTIF(Постоянные!$C$8:$C$37,$F68)&gt;0,"есть в Постоянных",IF(COUNTIF(Покупки!$C$7:$C$18,$F68)&gt;0,"есть в Покупках",""))))</f>
        <v/>
      </c>
      <c r="P68">
        <f>IF($C68="","",DATE(YEAR($C68),MONTH($C68),1))</f>
        <v/>
      </c>
      <c r="Q68">
        <f>IF(ISNUMBER($G68),ABS($G68),0)</f>
        <v/>
      </c>
      <c r="R68">
        <f>IF(AND($D68="Расход",COUNTIFS(Счета!$B$10:$B$21,$H68,Счета!$C$10:$C$21,"Кредитная")&gt;0),1,0)</f>
        <v/>
      </c>
    </row>
    <row r="69" ht="19" customHeight="1">
      <c r="B69" s="53">
        <f>IF(AND($C69="",$F69=""),"",ROW()-9)</f>
        <v/>
      </c>
      <c r="C69" s="213" t="n"/>
      <c r="D69" s="55" t="n"/>
      <c r="E69" s="55" t="n"/>
      <c r="F69" s="56" t="n"/>
      <c r="G69" s="196" t="n"/>
      <c r="H69" s="21" t="n"/>
      <c r="I69" s="21" t="n"/>
      <c r="J69" s="53">
        <f>IF($C69="","",INDEX(Настройки!$V$6:$V$17,MONTH($C69))&amp;" "&amp;YEAR($C69))</f>
        <v/>
      </c>
      <c r="K69" s="57">
        <f>IF(OR($F69="",$D69="Перевод"),"",IF(AND(N($G69)&lt;&gt;0,COUNTIFS(Журнал!$C$10:$C$1509,$C69,Журнал!$P$10:$P$1509,$G69)&gt;0),"есть в Журнале",IF(COUNTIF(Постоянные!$C$8:$C$37,$F69)&gt;0,"есть в Постоянных",IF(COUNTIF(Покупки!$C$7:$C$18,$F69)&gt;0,"есть в Покупках",""))))</f>
        <v/>
      </c>
      <c r="P69">
        <f>IF($C69="","",DATE(YEAR($C69),MONTH($C69),1))</f>
        <v/>
      </c>
      <c r="Q69">
        <f>IF(ISNUMBER($G69),ABS($G69),0)</f>
        <v/>
      </c>
      <c r="R69">
        <f>IF(AND($D69="Расход",COUNTIFS(Счета!$B$10:$B$21,$H69,Счета!$C$10:$C$21,"Кредитная")&gt;0),1,0)</f>
        <v/>
      </c>
    </row>
    <row r="70" ht="19" customHeight="1">
      <c r="B70" s="53">
        <f>IF(AND($C70="",$F70=""),"",ROW()-9)</f>
        <v/>
      </c>
      <c r="C70" s="213" t="n"/>
      <c r="D70" s="55" t="n"/>
      <c r="E70" s="55" t="n"/>
      <c r="F70" s="56" t="n"/>
      <c r="G70" s="196" t="n"/>
      <c r="H70" s="21" t="n"/>
      <c r="I70" s="21" t="n"/>
      <c r="J70" s="53">
        <f>IF($C70="","",INDEX(Настройки!$V$6:$V$17,MONTH($C70))&amp;" "&amp;YEAR($C70))</f>
        <v/>
      </c>
      <c r="K70" s="57">
        <f>IF(OR($F70="",$D70="Перевод"),"",IF(AND(N($G70)&lt;&gt;0,COUNTIFS(Журнал!$C$10:$C$1509,$C70,Журнал!$P$10:$P$1509,$G70)&gt;0),"есть в Журнале",IF(COUNTIF(Постоянные!$C$8:$C$37,$F70)&gt;0,"есть в Постоянных",IF(COUNTIF(Покупки!$C$7:$C$18,$F70)&gt;0,"есть в Покупках",""))))</f>
        <v/>
      </c>
      <c r="P70">
        <f>IF($C70="","",DATE(YEAR($C70),MONTH($C70),1))</f>
        <v/>
      </c>
      <c r="Q70">
        <f>IF(ISNUMBER($G70),ABS($G70),0)</f>
        <v/>
      </c>
      <c r="R70">
        <f>IF(AND($D70="Расход",COUNTIFS(Счета!$B$10:$B$21,$H70,Счета!$C$10:$C$21,"Кредитная")&gt;0),1,0)</f>
        <v/>
      </c>
    </row>
    <row r="71" ht="19" customHeight="1">
      <c r="B71" s="53">
        <f>IF(AND($C71="",$F71=""),"",ROW()-9)</f>
        <v/>
      </c>
      <c r="C71" s="213" t="n"/>
      <c r="D71" s="55" t="n"/>
      <c r="E71" s="55" t="n"/>
      <c r="F71" s="56" t="n"/>
      <c r="G71" s="196" t="n"/>
      <c r="H71" s="21" t="n"/>
      <c r="I71" s="21" t="n"/>
      <c r="J71" s="53">
        <f>IF($C71="","",INDEX(Настройки!$V$6:$V$17,MONTH($C71))&amp;" "&amp;YEAR($C71))</f>
        <v/>
      </c>
      <c r="K71" s="57">
        <f>IF(OR($F71="",$D71="Перевод"),"",IF(AND(N($G71)&lt;&gt;0,COUNTIFS(Журнал!$C$10:$C$1509,$C71,Журнал!$P$10:$P$1509,$G71)&gt;0),"есть в Журнале",IF(COUNTIF(Постоянные!$C$8:$C$37,$F71)&gt;0,"есть в Постоянных",IF(COUNTIF(Покупки!$C$7:$C$18,$F71)&gt;0,"есть в Покупках",""))))</f>
        <v/>
      </c>
      <c r="P71">
        <f>IF($C71="","",DATE(YEAR($C71),MONTH($C71),1))</f>
        <v/>
      </c>
      <c r="Q71">
        <f>IF(ISNUMBER($G71),ABS($G71),0)</f>
        <v/>
      </c>
      <c r="R71">
        <f>IF(AND($D71="Расход",COUNTIFS(Счета!$B$10:$B$21,$H71,Счета!$C$10:$C$21,"Кредитная")&gt;0),1,0)</f>
        <v/>
      </c>
    </row>
    <row r="72" ht="19" customHeight="1">
      <c r="B72" s="53">
        <f>IF(AND($C72="",$F72=""),"",ROW()-9)</f>
        <v/>
      </c>
      <c r="C72" s="213" t="n"/>
      <c r="D72" s="55" t="n"/>
      <c r="E72" s="55" t="n"/>
      <c r="F72" s="56" t="n"/>
      <c r="G72" s="196" t="n"/>
      <c r="H72" s="21" t="n"/>
      <c r="I72" s="21" t="n"/>
      <c r="J72" s="53">
        <f>IF($C72="","",INDEX(Настройки!$V$6:$V$17,MONTH($C72))&amp;" "&amp;YEAR($C72))</f>
        <v/>
      </c>
      <c r="K72" s="57">
        <f>IF(OR($F72="",$D72="Перевод"),"",IF(AND(N($G72)&lt;&gt;0,COUNTIFS(Журнал!$C$10:$C$1509,$C72,Журнал!$P$10:$P$1509,$G72)&gt;0),"есть в Журнале",IF(COUNTIF(Постоянные!$C$8:$C$37,$F72)&gt;0,"есть в Постоянных",IF(COUNTIF(Покупки!$C$7:$C$18,$F72)&gt;0,"есть в Покупках",""))))</f>
        <v/>
      </c>
      <c r="P72">
        <f>IF($C72="","",DATE(YEAR($C72),MONTH($C72),1))</f>
        <v/>
      </c>
      <c r="Q72">
        <f>IF(ISNUMBER($G72),ABS($G72),0)</f>
        <v/>
      </c>
      <c r="R72">
        <f>IF(AND($D72="Расход",COUNTIFS(Счета!$B$10:$B$21,$H72,Счета!$C$10:$C$21,"Кредитная")&gt;0),1,0)</f>
        <v/>
      </c>
    </row>
    <row r="73" ht="19" customHeight="1">
      <c r="B73" s="53">
        <f>IF(AND($C73="",$F73=""),"",ROW()-9)</f>
        <v/>
      </c>
      <c r="C73" s="213" t="n"/>
      <c r="D73" s="55" t="n"/>
      <c r="E73" s="55" t="n"/>
      <c r="F73" s="56" t="n"/>
      <c r="G73" s="196" t="n"/>
      <c r="H73" s="21" t="n"/>
      <c r="I73" s="21" t="n"/>
      <c r="J73" s="53">
        <f>IF($C73="","",INDEX(Настройки!$V$6:$V$17,MONTH($C73))&amp;" "&amp;YEAR($C73))</f>
        <v/>
      </c>
      <c r="K73" s="57">
        <f>IF(OR($F73="",$D73="Перевод"),"",IF(AND(N($G73)&lt;&gt;0,COUNTIFS(Журнал!$C$10:$C$1509,$C73,Журнал!$P$10:$P$1509,$G73)&gt;0),"есть в Журнале",IF(COUNTIF(Постоянные!$C$8:$C$37,$F73)&gt;0,"есть в Постоянных",IF(COUNTIF(Покупки!$C$7:$C$18,$F73)&gt;0,"есть в Покупках",""))))</f>
        <v/>
      </c>
      <c r="P73">
        <f>IF($C73="","",DATE(YEAR($C73),MONTH($C73),1))</f>
        <v/>
      </c>
      <c r="Q73">
        <f>IF(ISNUMBER($G73),ABS($G73),0)</f>
        <v/>
      </c>
      <c r="R73">
        <f>IF(AND($D73="Расход",COUNTIFS(Счета!$B$10:$B$21,$H73,Счета!$C$10:$C$21,"Кредитная")&gt;0),1,0)</f>
        <v/>
      </c>
    </row>
    <row r="74" ht="19" customHeight="1">
      <c r="B74" s="53">
        <f>IF(AND($C74="",$F74=""),"",ROW()-9)</f>
        <v/>
      </c>
      <c r="C74" s="213" t="n"/>
      <c r="D74" s="55" t="n"/>
      <c r="E74" s="55" t="n"/>
      <c r="F74" s="56" t="n"/>
      <c r="G74" s="196" t="n"/>
      <c r="H74" s="21" t="n"/>
      <c r="I74" s="21" t="n"/>
      <c r="J74" s="53">
        <f>IF($C74="","",INDEX(Настройки!$V$6:$V$17,MONTH($C74))&amp;" "&amp;YEAR($C74))</f>
        <v/>
      </c>
      <c r="K74" s="57">
        <f>IF(OR($F74="",$D74="Перевод"),"",IF(AND(N($G74)&lt;&gt;0,COUNTIFS(Журнал!$C$10:$C$1509,$C74,Журнал!$P$10:$P$1509,$G74)&gt;0),"есть в Журнале",IF(COUNTIF(Постоянные!$C$8:$C$37,$F74)&gt;0,"есть в Постоянных",IF(COUNTIF(Покупки!$C$7:$C$18,$F74)&gt;0,"есть в Покупках",""))))</f>
        <v/>
      </c>
      <c r="P74">
        <f>IF($C74="","",DATE(YEAR($C74),MONTH($C74),1))</f>
        <v/>
      </c>
      <c r="Q74">
        <f>IF(ISNUMBER($G74),ABS($G74),0)</f>
        <v/>
      </c>
      <c r="R74">
        <f>IF(AND($D74="Расход",COUNTIFS(Счета!$B$10:$B$21,$H74,Счета!$C$10:$C$21,"Кредитная")&gt;0),1,0)</f>
        <v/>
      </c>
    </row>
    <row r="75" ht="19" customHeight="1">
      <c r="B75" s="53">
        <f>IF(AND($C75="",$F75=""),"",ROW()-9)</f>
        <v/>
      </c>
      <c r="C75" s="213" t="n"/>
      <c r="D75" s="55" t="n"/>
      <c r="E75" s="55" t="n"/>
      <c r="F75" s="56" t="n"/>
      <c r="G75" s="196" t="n"/>
      <c r="H75" s="21" t="n"/>
      <c r="I75" s="21" t="n"/>
      <c r="J75" s="53">
        <f>IF($C75="","",INDEX(Настройки!$V$6:$V$17,MONTH($C75))&amp;" "&amp;YEAR($C75))</f>
        <v/>
      </c>
      <c r="K75" s="57">
        <f>IF(OR($F75="",$D75="Перевод"),"",IF(AND(N($G75)&lt;&gt;0,COUNTIFS(Журнал!$C$10:$C$1509,$C75,Журнал!$P$10:$P$1509,$G75)&gt;0),"есть в Журнале",IF(COUNTIF(Постоянные!$C$8:$C$37,$F75)&gt;0,"есть в Постоянных",IF(COUNTIF(Покупки!$C$7:$C$18,$F75)&gt;0,"есть в Покупках",""))))</f>
        <v/>
      </c>
      <c r="P75">
        <f>IF($C75="","",DATE(YEAR($C75),MONTH($C75),1))</f>
        <v/>
      </c>
      <c r="Q75">
        <f>IF(ISNUMBER($G75),ABS($G75),0)</f>
        <v/>
      </c>
      <c r="R75">
        <f>IF(AND($D75="Расход",COUNTIFS(Счета!$B$10:$B$21,$H75,Счета!$C$10:$C$21,"Кредитная")&gt;0),1,0)</f>
        <v/>
      </c>
    </row>
    <row r="76" ht="19" customHeight="1">
      <c r="B76" s="53">
        <f>IF(AND($C76="",$F76=""),"",ROW()-9)</f>
        <v/>
      </c>
      <c r="C76" s="213" t="n"/>
      <c r="D76" s="55" t="n"/>
      <c r="E76" s="55" t="n"/>
      <c r="F76" s="56" t="n"/>
      <c r="G76" s="196" t="n"/>
      <c r="H76" s="21" t="n"/>
      <c r="I76" s="21" t="n"/>
      <c r="J76" s="53">
        <f>IF($C76="","",INDEX(Настройки!$V$6:$V$17,MONTH($C76))&amp;" "&amp;YEAR($C76))</f>
        <v/>
      </c>
      <c r="K76" s="57">
        <f>IF(OR($F76="",$D76="Перевод"),"",IF(AND(N($G76)&lt;&gt;0,COUNTIFS(Журнал!$C$10:$C$1509,$C76,Журнал!$P$10:$P$1509,$G76)&gt;0),"есть в Журнале",IF(COUNTIF(Постоянные!$C$8:$C$37,$F76)&gt;0,"есть в Постоянных",IF(COUNTIF(Покупки!$C$7:$C$18,$F76)&gt;0,"есть в Покупках",""))))</f>
        <v/>
      </c>
      <c r="P76">
        <f>IF($C76="","",DATE(YEAR($C76),MONTH($C76),1))</f>
        <v/>
      </c>
      <c r="Q76">
        <f>IF(ISNUMBER($G76),ABS($G76),0)</f>
        <v/>
      </c>
      <c r="R76">
        <f>IF(AND($D76="Расход",COUNTIFS(Счета!$B$10:$B$21,$H76,Счета!$C$10:$C$21,"Кредитная")&gt;0),1,0)</f>
        <v/>
      </c>
    </row>
    <row r="77" ht="19" customHeight="1">
      <c r="B77" s="53">
        <f>IF(AND($C77="",$F77=""),"",ROW()-9)</f>
        <v/>
      </c>
      <c r="C77" s="213" t="n"/>
      <c r="D77" s="55" t="n"/>
      <c r="E77" s="55" t="n"/>
      <c r="F77" s="56" t="n"/>
      <c r="G77" s="196" t="n"/>
      <c r="H77" s="21" t="n"/>
      <c r="I77" s="21" t="n"/>
      <c r="J77" s="53">
        <f>IF($C77="","",INDEX(Настройки!$V$6:$V$17,MONTH($C77))&amp;" "&amp;YEAR($C77))</f>
        <v/>
      </c>
      <c r="K77" s="57">
        <f>IF(OR($F77="",$D77="Перевод"),"",IF(AND(N($G77)&lt;&gt;0,COUNTIFS(Журнал!$C$10:$C$1509,$C77,Журнал!$P$10:$P$1509,$G77)&gt;0),"есть в Журнале",IF(COUNTIF(Постоянные!$C$8:$C$37,$F77)&gt;0,"есть в Постоянных",IF(COUNTIF(Покупки!$C$7:$C$18,$F77)&gt;0,"есть в Покупках",""))))</f>
        <v/>
      </c>
      <c r="P77">
        <f>IF($C77="","",DATE(YEAR($C77),MONTH($C77),1))</f>
        <v/>
      </c>
      <c r="Q77">
        <f>IF(ISNUMBER($G77),ABS($G77),0)</f>
        <v/>
      </c>
      <c r="R77">
        <f>IF(AND($D77="Расход",COUNTIFS(Счета!$B$10:$B$21,$H77,Счета!$C$10:$C$21,"Кредитная")&gt;0),1,0)</f>
        <v/>
      </c>
    </row>
    <row r="78" ht="19" customHeight="1">
      <c r="B78" s="53">
        <f>IF(AND($C78="",$F78=""),"",ROW()-9)</f>
        <v/>
      </c>
      <c r="C78" s="213" t="n"/>
      <c r="D78" s="55" t="n"/>
      <c r="E78" s="55" t="n"/>
      <c r="F78" s="56" t="n"/>
      <c r="G78" s="196" t="n"/>
      <c r="H78" s="21" t="n"/>
      <c r="I78" s="21" t="n"/>
      <c r="J78" s="53">
        <f>IF($C78="","",INDEX(Настройки!$V$6:$V$17,MONTH($C78))&amp;" "&amp;YEAR($C78))</f>
        <v/>
      </c>
      <c r="K78" s="57">
        <f>IF(OR($F78="",$D78="Перевод"),"",IF(AND(N($G78)&lt;&gt;0,COUNTIFS(Журнал!$C$10:$C$1509,$C78,Журнал!$P$10:$P$1509,$G78)&gt;0),"есть в Журнале",IF(COUNTIF(Постоянные!$C$8:$C$37,$F78)&gt;0,"есть в Постоянных",IF(COUNTIF(Покупки!$C$7:$C$18,$F78)&gt;0,"есть в Покупках",""))))</f>
        <v/>
      </c>
      <c r="P78">
        <f>IF($C78="","",DATE(YEAR($C78),MONTH($C78),1))</f>
        <v/>
      </c>
      <c r="Q78">
        <f>IF(ISNUMBER($G78),ABS($G78),0)</f>
        <v/>
      </c>
      <c r="R78">
        <f>IF(AND($D78="Расход",COUNTIFS(Счета!$B$10:$B$21,$H78,Счета!$C$10:$C$21,"Кредитная")&gt;0),1,0)</f>
        <v/>
      </c>
    </row>
    <row r="79" ht="19" customHeight="1">
      <c r="B79" s="53">
        <f>IF(AND($C79="",$F79=""),"",ROW()-9)</f>
        <v/>
      </c>
      <c r="C79" s="213" t="n"/>
      <c r="D79" s="55" t="n"/>
      <c r="E79" s="55" t="n"/>
      <c r="F79" s="56" t="n"/>
      <c r="G79" s="196" t="n"/>
      <c r="H79" s="21" t="n"/>
      <c r="I79" s="21" t="n"/>
      <c r="J79" s="53">
        <f>IF($C79="","",INDEX(Настройки!$V$6:$V$17,MONTH($C79))&amp;" "&amp;YEAR($C79))</f>
        <v/>
      </c>
      <c r="K79" s="57">
        <f>IF(OR($F79="",$D79="Перевод"),"",IF(AND(N($G79)&lt;&gt;0,COUNTIFS(Журнал!$C$10:$C$1509,$C79,Журнал!$P$10:$P$1509,$G79)&gt;0),"есть в Журнале",IF(COUNTIF(Постоянные!$C$8:$C$37,$F79)&gt;0,"есть в Постоянных",IF(COUNTIF(Покупки!$C$7:$C$18,$F79)&gt;0,"есть в Покупках",""))))</f>
        <v/>
      </c>
      <c r="P79">
        <f>IF($C79="","",DATE(YEAR($C79),MONTH($C79),1))</f>
        <v/>
      </c>
      <c r="Q79">
        <f>IF(ISNUMBER($G79),ABS($G79),0)</f>
        <v/>
      </c>
      <c r="R79">
        <f>IF(AND($D79="Расход",COUNTIFS(Счета!$B$10:$B$21,$H79,Счета!$C$10:$C$21,"Кредитная")&gt;0),1,0)</f>
        <v/>
      </c>
    </row>
    <row r="80" ht="19" customHeight="1">
      <c r="B80" s="53">
        <f>IF(AND($C80="",$F80=""),"",ROW()-9)</f>
        <v/>
      </c>
      <c r="C80" s="213" t="n"/>
      <c r="D80" s="55" t="n"/>
      <c r="E80" s="55" t="n"/>
      <c r="F80" s="56" t="n"/>
      <c r="G80" s="196" t="n"/>
      <c r="H80" s="21" t="n"/>
      <c r="I80" s="21" t="n"/>
      <c r="J80" s="53">
        <f>IF($C80="","",INDEX(Настройки!$V$6:$V$17,MONTH($C80))&amp;" "&amp;YEAR($C80))</f>
        <v/>
      </c>
      <c r="K80" s="57">
        <f>IF(OR($F80="",$D80="Перевод"),"",IF(AND(N($G80)&lt;&gt;0,COUNTIFS(Журнал!$C$10:$C$1509,$C80,Журнал!$P$10:$P$1509,$G80)&gt;0),"есть в Журнале",IF(COUNTIF(Постоянные!$C$8:$C$37,$F80)&gt;0,"есть в Постоянных",IF(COUNTIF(Покупки!$C$7:$C$18,$F80)&gt;0,"есть в Покупках",""))))</f>
        <v/>
      </c>
      <c r="P80">
        <f>IF($C80="","",DATE(YEAR($C80),MONTH($C80),1))</f>
        <v/>
      </c>
      <c r="Q80">
        <f>IF(ISNUMBER($G80),ABS($G80),0)</f>
        <v/>
      </c>
      <c r="R80">
        <f>IF(AND($D80="Расход",COUNTIFS(Счета!$B$10:$B$21,$H80,Счета!$C$10:$C$21,"Кредитная")&gt;0),1,0)</f>
        <v/>
      </c>
    </row>
    <row r="81" ht="19" customHeight="1">
      <c r="B81" s="53">
        <f>IF(AND($C81="",$F81=""),"",ROW()-9)</f>
        <v/>
      </c>
      <c r="C81" s="213" t="n"/>
      <c r="D81" s="55" t="n"/>
      <c r="E81" s="55" t="n"/>
      <c r="F81" s="56" t="n"/>
      <c r="G81" s="196" t="n"/>
      <c r="H81" s="21" t="n"/>
      <c r="I81" s="21" t="n"/>
      <c r="J81" s="53">
        <f>IF($C81="","",INDEX(Настройки!$V$6:$V$17,MONTH($C81))&amp;" "&amp;YEAR($C81))</f>
        <v/>
      </c>
      <c r="K81" s="57">
        <f>IF(OR($F81="",$D81="Перевод"),"",IF(AND(N($G81)&lt;&gt;0,COUNTIFS(Журнал!$C$10:$C$1509,$C81,Журнал!$P$10:$P$1509,$G81)&gt;0),"есть в Журнале",IF(COUNTIF(Постоянные!$C$8:$C$37,$F81)&gt;0,"есть в Постоянных",IF(COUNTIF(Покупки!$C$7:$C$18,$F81)&gt;0,"есть в Покупках",""))))</f>
        <v/>
      </c>
      <c r="P81">
        <f>IF($C81="","",DATE(YEAR($C81),MONTH($C81),1))</f>
        <v/>
      </c>
      <c r="Q81">
        <f>IF(ISNUMBER($G81),ABS($G81),0)</f>
        <v/>
      </c>
      <c r="R81">
        <f>IF(AND($D81="Расход",COUNTIFS(Счета!$B$10:$B$21,$H81,Счета!$C$10:$C$21,"Кредитная")&gt;0),1,0)</f>
        <v/>
      </c>
    </row>
    <row r="82" ht="19" customHeight="1">
      <c r="B82" s="53">
        <f>IF(AND($C82="",$F82=""),"",ROW()-9)</f>
        <v/>
      </c>
      <c r="C82" s="213" t="n"/>
      <c r="D82" s="55" t="n"/>
      <c r="E82" s="55" t="n"/>
      <c r="F82" s="56" t="n"/>
      <c r="G82" s="196" t="n"/>
      <c r="H82" s="21" t="n"/>
      <c r="I82" s="21" t="n"/>
      <c r="J82" s="53">
        <f>IF($C82="","",INDEX(Настройки!$V$6:$V$17,MONTH($C82))&amp;" "&amp;YEAR($C82))</f>
        <v/>
      </c>
      <c r="K82" s="57">
        <f>IF(OR($F82="",$D82="Перевод"),"",IF(AND(N($G82)&lt;&gt;0,COUNTIFS(Журнал!$C$10:$C$1509,$C82,Журнал!$P$10:$P$1509,$G82)&gt;0),"есть в Журнале",IF(COUNTIF(Постоянные!$C$8:$C$37,$F82)&gt;0,"есть в Постоянных",IF(COUNTIF(Покупки!$C$7:$C$18,$F82)&gt;0,"есть в Покупках",""))))</f>
        <v/>
      </c>
      <c r="P82">
        <f>IF($C82="","",DATE(YEAR($C82),MONTH($C82),1))</f>
        <v/>
      </c>
      <c r="Q82">
        <f>IF(ISNUMBER($G82),ABS($G82),0)</f>
        <v/>
      </c>
      <c r="R82">
        <f>IF(AND($D82="Расход",COUNTIFS(Счета!$B$10:$B$21,$H82,Счета!$C$10:$C$21,"Кредитная")&gt;0),1,0)</f>
        <v/>
      </c>
    </row>
    <row r="83" ht="19" customHeight="1">
      <c r="B83" s="53">
        <f>IF(AND($C83="",$F83=""),"",ROW()-9)</f>
        <v/>
      </c>
      <c r="C83" s="213" t="n"/>
      <c r="D83" s="55" t="n"/>
      <c r="E83" s="55" t="n"/>
      <c r="F83" s="56" t="n"/>
      <c r="G83" s="196" t="n"/>
      <c r="H83" s="21" t="n"/>
      <c r="I83" s="21" t="n"/>
      <c r="J83" s="53">
        <f>IF($C83="","",INDEX(Настройки!$V$6:$V$17,MONTH($C83))&amp;" "&amp;YEAR($C83))</f>
        <v/>
      </c>
      <c r="K83" s="57">
        <f>IF(OR($F83="",$D83="Перевод"),"",IF(AND(N($G83)&lt;&gt;0,COUNTIFS(Журнал!$C$10:$C$1509,$C83,Журнал!$P$10:$P$1509,$G83)&gt;0),"есть в Журнале",IF(COUNTIF(Постоянные!$C$8:$C$37,$F83)&gt;0,"есть в Постоянных",IF(COUNTIF(Покупки!$C$7:$C$18,$F83)&gt;0,"есть в Покупках",""))))</f>
        <v/>
      </c>
      <c r="P83">
        <f>IF($C83="","",DATE(YEAR($C83),MONTH($C83),1))</f>
        <v/>
      </c>
      <c r="Q83">
        <f>IF(ISNUMBER($G83),ABS($G83),0)</f>
        <v/>
      </c>
      <c r="R83">
        <f>IF(AND($D83="Расход",COUNTIFS(Счета!$B$10:$B$21,$H83,Счета!$C$10:$C$21,"Кредитная")&gt;0),1,0)</f>
        <v/>
      </c>
    </row>
    <row r="84" ht="19" customHeight="1">
      <c r="B84" s="53">
        <f>IF(AND($C84="",$F84=""),"",ROW()-9)</f>
        <v/>
      </c>
      <c r="C84" s="213" t="n"/>
      <c r="D84" s="55" t="n"/>
      <c r="E84" s="55" t="n"/>
      <c r="F84" s="56" t="n"/>
      <c r="G84" s="196" t="n"/>
      <c r="H84" s="21" t="n"/>
      <c r="I84" s="21" t="n"/>
      <c r="J84" s="53">
        <f>IF($C84="","",INDEX(Настройки!$V$6:$V$17,MONTH($C84))&amp;" "&amp;YEAR($C84))</f>
        <v/>
      </c>
      <c r="K84" s="57">
        <f>IF(OR($F84="",$D84="Перевод"),"",IF(AND(N($G84)&lt;&gt;0,COUNTIFS(Журнал!$C$10:$C$1509,$C84,Журнал!$P$10:$P$1509,$G84)&gt;0),"есть в Журнале",IF(COUNTIF(Постоянные!$C$8:$C$37,$F84)&gt;0,"есть в Постоянных",IF(COUNTIF(Покупки!$C$7:$C$18,$F84)&gt;0,"есть в Покупках",""))))</f>
        <v/>
      </c>
      <c r="P84">
        <f>IF($C84="","",DATE(YEAR($C84),MONTH($C84),1))</f>
        <v/>
      </c>
      <c r="Q84">
        <f>IF(ISNUMBER($G84),ABS($G84),0)</f>
        <v/>
      </c>
      <c r="R84">
        <f>IF(AND($D84="Расход",COUNTIFS(Счета!$B$10:$B$21,$H84,Счета!$C$10:$C$21,"Кредитная")&gt;0),1,0)</f>
        <v/>
      </c>
    </row>
    <row r="85" ht="19" customHeight="1">
      <c r="B85" s="53">
        <f>IF(AND($C85="",$F85=""),"",ROW()-9)</f>
        <v/>
      </c>
      <c r="C85" s="213" t="n"/>
      <c r="D85" s="55" t="n"/>
      <c r="E85" s="55" t="n"/>
      <c r="F85" s="56" t="n"/>
      <c r="G85" s="196" t="n"/>
      <c r="H85" s="21" t="n"/>
      <c r="I85" s="21" t="n"/>
      <c r="J85" s="53">
        <f>IF($C85="","",INDEX(Настройки!$V$6:$V$17,MONTH($C85))&amp;" "&amp;YEAR($C85))</f>
        <v/>
      </c>
      <c r="K85" s="57">
        <f>IF(OR($F85="",$D85="Перевод"),"",IF(AND(N($G85)&lt;&gt;0,COUNTIFS(Журнал!$C$10:$C$1509,$C85,Журнал!$P$10:$P$1509,$G85)&gt;0),"есть в Журнале",IF(COUNTIF(Постоянные!$C$8:$C$37,$F85)&gt;0,"есть в Постоянных",IF(COUNTIF(Покупки!$C$7:$C$18,$F85)&gt;0,"есть в Покупках",""))))</f>
        <v/>
      </c>
      <c r="P85">
        <f>IF($C85="","",DATE(YEAR($C85),MONTH($C85),1))</f>
        <v/>
      </c>
      <c r="Q85">
        <f>IF(ISNUMBER($G85),ABS($G85),0)</f>
        <v/>
      </c>
      <c r="R85">
        <f>IF(AND($D85="Расход",COUNTIFS(Счета!$B$10:$B$21,$H85,Счета!$C$10:$C$21,"Кредитная")&gt;0),1,0)</f>
        <v/>
      </c>
    </row>
    <row r="86" ht="19" customHeight="1">
      <c r="B86" s="53">
        <f>IF(AND($C86="",$F86=""),"",ROW()-9)</f>
        <v/>
      </c>
      <c r="C86" s="213" t="n"/>
      <c r="D86" s="55" t="n"/>
      <c r="E86" s="55" t="n"/>
      <c r="F86" s="56" t="n"/>
      <c r="G86" s="196" t="n"/>
      <c r="H86" s="21" t="n"/>
      <c r="I86" s="21" t="n"/>
      <c r="J86" s="53">
        <f>IF($C86="","",INDEX(Настройки!$V$6:$V$17,MONTH($C86))&amp;" "&amp;YEAR($C86))</f>
        <v/>
      </c>
      <c r="K86" s="57">
        <f>IF(OR($F86="",$D86="Перевод"),"",IF(AND(N($G86)&lt;&gt;0,COUNTIFS(Журнал!$C$10:$C$1509,$C86,Журнал!$P$10:$P$1509,$G86)&gt;0),"есть в Журнале",IF(COUNTIF(Постоянные!$C$8:$C$37,$F86)&gt;0,"есть в Постоянных",IF(COUNTIF(Покупки!$C$7:$C$18,$F86)&gt;0,"есть в Покупках",""))))</f>
        <v/>
      </c>
      <c r="P86">
        <f>IF($C86="","",DATE(YEAR($C86),MONTH($C86),1))</f>
        <v/>
      </c>
      <c r="Q86">
        <f>IF(ISNUMBER($G86),ABS($G86),0)</f>
        <v/>
      </c>
      <c r="R86">
        <f>IF(AND($D86="Расход",COUNTIFS(Счета!$B$10:$B$21,$H86,Счета!$C$10:$C$21,"Кредитная")&gt;0),1,0)</f>
        <v/>
      </c>
    </row>
    <row r="87" ht="19" customHeight="1">
      <c r="B87" s="53">
        <f>IF(AND($C87="",$F87=""),"",ROW()-9)</f>
        <v/>
      </c>
      <c r="C87" s="213" t="n"/>
      <c r="D87" s="55" t="n"/>
      <c r="E87" s="55" t="n"/>
      <c r="F87" s="56" t="n"/>
      <c r="G87" s="196" t="n"/>
      <c r="H87" s="21" t="n"/>
      <c r="I87" s="21" t="n"/>
      <c r="J87" s="53">
        <f>IF($C87="","",INDEX(Настройки!$V$6:$V$17,MONTH($C87))&amp;" "&amp;YEAR($C87))</f>
        <v/>
      </c>
      <c r="K87" s="57">
        <f>IF(OR($F87="",$D87="Перевод"),"",IF(AND(N($G87)&lt;&gt;0,COUNTIFS(Журнал!$C$10:$C$1509,$C87,Журнал!$P$10:$P$1509,$G87)&gt;0),"есть в Журнале",IF(COUNTIF(Постоянные!$C$8:$C$37,$F87)&gt;0,"есть в Постоянных",IF(COUNTIF(Покупки!$C$7:$C$18,$F87)&gt;0,"есть в Покупках",""))))</f>
        <v/>
      </c>
      <c r="P87">
        <f>IF($C87="","",DATE(YEAR($C87),MONTH($C87),1))</f>
        <v/>
      </c>
      <c r="Q87">
        <f>IF(ISNUMBER($G87),ABS($G87),0)</f>
        <v/>
      </c>
      <c r="R87">
        <f>IF(AND($D87="Расход",COUNTIFS(Счета!$B$10:$B$21,$H87,Счета!$C$10:$C$21,"Кредитная")&gt;0),1,0)</f>
        <v/>
      </c>
    </row>
    <row r="88" ht="19" customHeight="1">
      <c r="B88" s="53">
        <f>IF(AND($C88="",$F88=""),"",ROW()-9)</f>
        <v/>
      </c>
      <c r="C88" s="213" t="n"/>
      <c r="D88" s="55" t="n"/>
      <c r="E88" s="55" t="n"/>
      <c r="F88" s="56" t="n"/>
      <c r="G88" s="196" t="n"/>
      <c r="H88" s="21" t="n"/>
      <c r="I88" s="21" t="n"/>
      <c r="J88" s="53">
        <f>IF($C88="","",INDEX(Настройки!$V$6:$V$17,MONTH($C88))&amp;" "&amp;YEAR($C88))</f>
        <v/>
      </c>
      <c r="K88" s="57">
        <f>IF(OR($F88="",$D88="Перевод"),"",IF(AND(N($G88)&lt;&gt;0,COUNTIFS(Журнал!$C$10:$C$1509,$C88,Журнал!$P$10:$P$1509,$G88)&gt;0),"есть в Журнале",IF(COUNTIF(Постоянные!$C$8:$C$37,$F88)&gt;0,"есть в Постоянных",IF(COUNTIF(Покупки!$C$7:$C$18,$F88)&gt;0,"есть в Покупках",""))))</f>
        <v/>
      </c>
      <c r="P88">
        <f>IF($C88="","",DATE(YEAR($C88),MONTH($C88),1))</f>
        <v/>
      </c>
      <c r="Q88">
        <f>IF(ISNUMBER($G88),ABS($G88),0)</f>
        <v/>
      </c>
      <c r="R88">
        <f>IF(AND($D88="Расход",COUNTIFS(Счета!$B$10:$B$21,$H88,Счета!$C$10:$C$21,"Кредитная")&gt;0),1,0)</f>
        <v/>
      </c>
    </row>
    <row r="89" ht="19" customHeight="1">
      <c r="B89" s="53">
        <f>IF(AND($C89="",$F89=""),"",ROW()-9)</f>
        <v/>
      </c>
      <c r="C89" s="213" t="n"/>
      <c r="D89" s="55" t="n"/>
      <c r="E89" s="55" t="n"/>
      <c r="F89" s="56" t="n"/>
      <c r="G89" s="196" t="n"/>
      <c r="H89" s="21" t="n"/>
      <c r="I89" s="21" t="n"/>
      <c r="J89" s="53">
        <f>IF($C89="","",INDEX(Настройки!$V$6:$V$17,MONTH($C89))&amp;" "&amp;YEAR($C89))</f>
        <v/>
      </c>
      <c r="K89" s="57">
        <f>IF(OR($F89="",$D89="Перевод"),"",IF(AND(N($G89)&lt;&gt;0,COUNTIFS(Журнал!$C$10:$C$1509,$C89,Журнал!$P$10:$P$1509,$G89)&gt;0),"есть в Журнале",IF(COUNTIF(Постоянные!$C$8:$C$37,$F89)&gt;0,"есть в Постоянных",IF(COUNTIF(Покупки!$C$7:$C$18,$F89)&gt;0,"есть в Покупках",""))))</f>
        <v/>
      </c>
      <c r="P89">
        <f>IF($C89="","",DATE(YEAR($C89),MONTH($C89),1))</f>
        <v/>
      </c>
      <c r="Q89">
        <f>IF(ISNUMBER($G89),ABS($G89),0)</f>
        <v/>
      </c>
      <c r="R89">
        <f>IF(AND($D89="Расход",COUNTIFS(Счета!$B$10:$B$21,$H89,Счета!$C$10:$C$21,"Кредитная")&gt;0),1,0)</f>
        <v/>
      </c>
    </row>
    <row r="90" ht="19" customHeight="1">
      <c r="B90" s="53">
        <f>IF(AND($C90="",$F90=""),"",ROW()-9)</f>
        <v/>
      </c>
      <c r="C90" s="213" t="n"/>
      <c r="D90" s="55" t="n"/>
      <c r="E90" s="55" t="n"/>
      <c r="F90" s="56" t="n"/>
      <c r="G90" s="196" t="n"/>
      <c r="H90" s="21" t="n"/>
      <c r="I90" s="21" t="n"/>
      <c r="J90" s="53">
        <f>IF($C90="","",INDEX(Настройки!$V$6:$V$17,MONTH($C90))&amp;" "&amp;YEAR($C90))</f>
        <v/>
      </c>
      <c r="K90" s="57">
        <f>IF(OR($F90="",$D90="Перевод"),"",IF(AND(N($G90)&lt;&gt;0,COUNTIFS(Журнал!$C$10:$C$1509,$C90,Журнал!$P$10:$P$1509,$G90)&gt;0),"есть в Журнале",IF(COUNTIF(Постоянные!$C$8:$C$37,$F90)&gt;0,"есть в Постоянных",IF(COUNTIF(Покупки!$C$7:$C$18,$F90)&gt;0,"есть в Покупках",""))))</f>
        <v/>
      </c>
      <c r="P90">
        <f>IF($C90="","",DATE(YEAR($C90),MONTH($C90),1))</f>
        <v/>
      </c>
      <c r="Q90">
        <f>IF(ISNUMBER($G90),ABS($G90),0)</f>
        <v/>
      </c>
      <c r="R90">
        <f>IF(AND($D90="Расход",COUNTIFS(Счета!$B$10:$B$21,$H90,Счета!$C$10:$C$21,"Кредитная")&gt;0),1,0)</f>
        <v/>
      </c>
    </row>
    <row r="91" ht="19" customHeight="1">
      <c r="B91" s="53">
        <f>IF(AND($C91="",$F91=""),"",ROW()-9)</f>
        <v/>
      </c>
      <c r="C91" s="213" t="n"/>
      <c r="D91" s="55" t="n"/>
      <c r="E91" s="55" t="n"/>
      <c r="F91" s="56" t="n"/>
      <c r="G91" s="196" t="n"/>
      <c r="H91" s="21" t="n"/>
      <c r="I91" s="21" t="n"/>
      <c r="J91" s="53">
        <f>IF($C91="","",INDEX(Настройки!$V$6:$V$17,MONTH($C91))&amp;" "&amp;YEAR($C91))</f>
        <v/>
      </c>
      <c r="K91" s="57">
        <f>IF(OR($F91="",$D91="Перевод"),"",IF(AND(N($G91)&lt;&gt;0,COUNTIFS(Журнал!$C$10:$C$1509,$C91,Журнал!$P$10:$P$1509,$G91)&gt;0),"есть в Журнале",IF(COUNTIF(Постоянные!$C$8:$C$37,$F91)&gt;0,"есть в Постоянных",IF(COUNTIF(Покупки!$C$7:$C$18,$F91)&gt;0,"есть в Покупках",""))))</f>
        <v/>
      </c>
      <c r="P91">
        <f>IF($C91="","",DATE(YEAR($C91),MONTH($C91),1))</f>
        <v/>
      </c>
      <c r="Q91">
        <f>IF(ISNUMBER($G91),ABS($G91),0)</f>
        <v/>
      </c>
      <c r="R91">
        <f>IF(AND($D91="Расход",COUNTIFS(Счета!$B$10:$B$21,$H91,Счета!$C$10:$C$21,"Кредитная")&gt;0),1,0)</f>
        <v/>
      </c>
    </row>
    <row r="92" ht="19" customHeight="1">
      <c r="B92" s="53">
        <f>IF(AND($C92="",$F92=""),"",ROW()-9)</f>
        <v/>
      </c>
      <c r="C92" s="213" t="n"/>
      <c r="D92" s="55" t="n"/>
      <c r="E92" s="55" t="n"/>
      <c r="F92" s="56" t="n"/>
      <c r="G92" s="196" t="n"/>
      <c r="H92" s="21" t="n"/>
      <c r="I92" s="21" t="n"/>
      <c r="J92" s="53">
        <f>IF($C92="","",INDEX(Настройки!$V$6:$V$17,MONTH($C92))&amp;" "&amp;YEAR($C92))</f>
        <v/>
      </c>
      <c r="K92" s="57">
        <f>IF(OR($F92="",$D92="Перевод"),"",IF(AND(N($G92)&lt;&gt;0,COUNTIFS(Журнал!$C$10:$C$1509,$C92,Журнал!$P$10:$P$1509,$G92)&gt;0),"есть в Журнале",IF(COUNTIF(Постоянные!$C$8:$C$37,$F92)&gt;0,"есть в Постоянных",IF(COUNTIF(Покупки!$C$7:$C$18,$F92)&gt;0,"есть в Покупках",""))))</f>
        <v/>
      </c>
      <c r="P92">
        <f>IF($C92="","",DATE(YEAR($C92),MONTH($C92),1))</f>
        <v/>
      </c>
      <c r="Q92">
        <f>IF(ISNUMBER($G92),ABS($G92),0)</f>
        <v/>
      </c>
      <c r="R92">
        <f>IF(AND($D92="Расход",COUNTIFS(Счета!$B$10:$B$21,$H92,Счета!$C$10:$C$21,"Кредитная")&gt;0),1,0)</f>
        <v/>
      </c>
    </row>
    <row r="93" ht="19" customHeight="1">
      <c r="B93" s="53">
        <f>IF(AND($C93="",$F93=""),"",ROW()-9)</f>
        <v/>
      </c>
      <c r="C93" s="213" t="n"/>
      <c r="D93" s="55" t="n"/>
      <c r="E93" s="55" t="n"/>
      <c r="F93" s="56" t="n"/>
      <c r="G93" s="196" t="n"/>
      <c r="H93" s="21" t="n"/>
      <c r="I93" s="21" t="n"/>
      <c r="J93" s="53">
        <f>IF($C93="","",INDEX(Настройки!$V$6:$V$17,MONTH($C93))&amp;" "&amp;YEAR($C93))</f>
        <v/>
      </c>
      <c r="K93" s="57">
        <f>IF(OR($F93="",$D93="Перевод"),"",IF(AND(N($G93)&lt;&gt;0,COUNTIFS(Журнал!$C$10:$C$1509,$C93,Журнал!$P$10:$P$1509,$G93)&gt;0),"есть в Журнале",IF(COUNTIF(Постоянные!$C$8:$C$37,$F93)&gt;0,"есть в Постоянных",IF(COUNTIF(Покупки!$C$7:$C$18,$F93)&gt;0,"есть в Покупках",""))))</f>
        <v/>
      </c>
      <c r="P93">
        <f>IF($C93="","",DATE(YEAR($C93),MONTH($C93),1))</f>
        <v/>
      </c>
      <c r="Q93">
        <f>IF(ISNUMBER($G93),ABS($G93),0)</f>
        <v/>
      </c>
      <c r="R93">
        <f>IF(AND($D93="Расход",COUNTIFS(Счета!$B$10:$B$21,$H93,Счета!$C$10:$C$21,"Кредитная")&gt;0),1,0)</f>
        <v/>
      </c>
    </row>
    <row r="94" ht="19" customHeight="1">
      <c r="B94" s="53">
        <f>IF(AND($C94="",$F94=""),"",ROW()-9)</f>
        <v/>
      </c>
      <c r="C94" s="213" t="n"/>
      <c r="D94" s="55" t="n"/>
      <c r="E94" s="55" t="n"/>
      <c r="F94" s="56" t="n"/>
      <c r="G94" s="196" t="n"/>
      <c r="H94" s="21" t="n"/>
      <c r="I94" s="21" t="n"/>
      <c r="J94" s="53">
        <f>IF($C94="","",INDEX(Настройки!$V$6:$V$17,MONTH($C94))&amp;" "&amp;YEAR($C94))</f>
        <v/>
      </c>
      <c r="K94" s="57">
        <f>IF(OR($F94="",$D94="Перевод"),"",IF(AND(N($G94)&lt;&gt;0,COUNTIFS(Журнал!$C$10:$C$1509,$C94,Журнал!$P$10:$P$1509,$G94)&gt;0),"есть в Журнале",IF(COUNTIF(Постоянные!$C$8:$C$37,$F94)&gt;0,"есть в Постоянных",IF(COUNTIF(Покупки!$C$7:$C$18,$F94)&gt;0,"есть в Покупках",""))))</f>
        <v/>
      </c>
      <c r="P94">
        <f>IF($C94="","",DATE(YEAR($C94),MONTH($C94),1))</f>
        <v/>
      </c>
      <c r="Q94">
        <f>IF(ISNUMBER($G94),ABS($G94),0)</f>
        <v/>
      </c>
      <c r="R94">
        <f>IF(AND($D94="Расход",COUNTIFS(Счета!$B$10:$B$21,$H94,Счета!$C$10:$C$21,"Кредитная")&gt;0),1,0)</f>
        <v/>
      </c>
    </row>
    <row r="95" ht="19" customHeight="1">
      <c r="B95" s="53">
        <f>IF(AND($C95="",$F95=""),"",ROW()-9)</f>
        <v/>
      </c>
      <c r="C95" s="213" t="n"/>
      <c r="D95" s="55" t="n"/>
      <c r="E95" s="55" t="n"/>
      <c r="F95" s="56" t="n"/>
      <c r="G95" s="196" t="n"/>
      <c r="H95" s="21" t="n"/>
      <c r="I95" s="21" t="n"/>
      <c r="J95" s="53">
        <f>IF($C95="","",INDEX(Настройки!$V$6:$V$17,MONTH($C95))&amp;" "&amp;YEAR($C95))</f>
        <v/>
      </c>
      <c r="K95" s="57">
        <f>IF(OR($F95="",$D95="Перевод"),"",IF(AND(N($G95)&lt;&gt;0,COUNTIFS(Журнал!$C$10:$C$1509,$C95,Журнал!$P$10:$P$1509,$G95)&gt;0),"есть в Журнале",IF(COUNTIF(Постоянные!$C$8:$C$37,$F95)&gt;0,"есть в Постоянных",IF(COUNTIF(Покупки!$C$7:$C$18,$F95)&gt;0,"есть в Покупках",""))))</f>
        <v/>
      </c>
      <c r="P95">
        <f>IF($C95="","",DATE(YEAR($C95),MONTH($C95),1))</f>
        <v/>
      </c>
      <c r="Q95">
        <f>IF(ISNUMBER($G95),ABS($G95),0)</f>
        <v/>
      </c>
      <c r="R95">
        <f>IF(AND($D95="Расход",COUNTIFS(Счета!$B$10:$B$21,$H95,Счета!$C$10:$C$21,"Кредитная")&gt;0),1,0)</f>
        <v/>
      </c>
    </row>
    <row r="96" ht="19" customHeight="1">
      <c r="B96" s="53">
        <f>IF(AND($C96="",$F96=""),"",ROW()-9)</f>
        <v/>
      </c>
      <c r="C96" s="213" t="n"/>
      <c r="D96" s="55" t="n"/>
      <c r="E96" s="55" t="n"/>
      <c r="F96" s="56" t="n"/>
      <c r="G96" s="196" t="n"/>
      <c r="H96" s="21" t="n"/>
      <c r="I96" s="21" t="n"/>
      <c r="J96" s="53">
        <f>IF($C96="","",INDEX(Настройки!$V$6:$V$17,MONTH($C96))&amp;" "&amp;YEAR($C96))</f>
        <v/>
      </c>
      <c r="K96" s="57">
        <f>IF(OR($F96="",$D96="Перевод"),"",IF(AND(N($G96)&lt;&gt;0,COUNTIFS(Журнал!$C$10:$C$1509,$C96,Журнал!$P$10:$P$1509,$G96)&gt;0),"есть в Журнале",IF(COUNTIF(Постоянные!$C$8:$C$37,$F96)&gt;0,"есть в Постоянных",IF(COUNTIF(Покупки!$C$7:$C$18,$F96)&gt;0,"есть в Покупках",""))))</f>
        <v/>
      </c>
      <c r="P96">
        <f>IF($C96="","",DATE(YEAR($C96),MONTH($C96),1))</f>
        <v/>
      </c>
      <c r="Q96">
        <f>IF(ISNUMBER($G96),ABS($G96),0)</f>
        <v/>
      </c>
      <c r="R96">
        <f>IF(AND($D96="Расход",COUNTIFS(Счета!$B$10:$B$21,$H96,Счета!$C$10:$C$21,"Кредитная")&gt;0),1,0)</f>
        <v/>
      </c>
    </row>
    <row r="97" ht="19" customHeight="1">
      <c r="B97" s="53">
        <f>IF(AND($C97="",$F97=""),"",ROW()-9)</f>
        <v/>
      </c>
      <c r="C97" s="213" t="n"/>
      <c r="D97" s="55" t="n"/>
      <c r="E97" s="55" t="n"/>
      <c r="F97" s="56" t="n"/>
      <c r="G97" s="196" t="n"/>
      <c r="H97" s="21" t="n"/>
      <c r="I97" s="21" t="n"/>
      <c r="J97" s="53">
        <f>IF($C97="","",INDEX(Настройки!$V$6:$V$17,MONTH($C97))&amp;" "&amp;YEAR($C97))</f>
        <v/>
      </c>
      <c r="K97" s="57">
        <f>IF(OR($F97="",$D97="Перевод"),"",IF(AND(N($G97)&lt;&gt;0,COUNTIFS(Журнал!$C$10:$C$1509,$C97,Журнал!$P$10:$P$1509,$G97)&gt;0),"есть в Журнале",IF(COUNTIF(Постоянные!$C$8:$C$37,$F97)&gt;0,"есть в Постоянных",IF(COUNTIF(Покупки!$C$7:$C$18,$F97)&gt;0,"есть в Покупках",""))))</f>
        <v/>
      </c>
      <c r="P97">
        <f>IF($C97="","",DATE(YEAR($C97),MONTH($C97),1))</f>
        <v/>
      </c>
      <c r="Q97">
        <f>IF(ISNUMBER($G97),ABS($G97),0)</f>
        <v/>
      </c>
      <c r="R97">
        <f>IF(AND($D97="Расход",COUNTIFS(Счета!$B$10:$B$21,$H97,Счета!$C$10:$C$21,"Кредитная")&gt;0),1,0)</f>
        <v/>
      </c>
    </row>
    <row r="98" ht="19" customHeight="1">
      <c r="B98" s="53">
        <f>IF(AND($C98="",$F98=""),"",ROW()-9)</f>
        <v/>
      </c>
      <c r="C98" s="213" t="n"/>
      <c r="D98" s="55" t="n"/>
      <c r="E98" s="55" t="n"/>
      <c r="F98" s="56" t="n"/>
      <c r="G98" s="196" t="n"/>
      <c r="H98" s="21" t="n"/>
      <c r="I98" s="21" t="n"/>
      <c r="J98" s="53">
        <f>IF($C98="","",INDEX(Настройки!$V$6:$V$17,MONTH($C98))&amp;" "&amp;YEAR($C98))</f>
        <v/>
      </c>
      <c r="K98" s="57">
        <f>IF(OR($F98="",$D98="Перевод"),"",IF(AND(N($G98)&lt;&gt;0,COUNTIFS(Журнал!$C$10:$C$1509,$C98,Журнал!$P$10:$P$1509,$G98)&gt;0),"есть в Журнале",IF(COUNTIF(Постоянные!$C$8:$C$37,$F98)&gt;0,"есть в Постоянных",IF(COUNTIF(Покупки!$C$7:$C$18,$F98)&gt;0,"есть в Покупках",""))))</f>
        <v/>
      </c>
      <c r="P98">
        <f>IF($C98="","",DATE(YEAR($C98),MONTH($C98),1))</f>
        <v/>
      </c>
      <c r="Q98">
        <f>IF(ISNUMBER($G98),ABS($G98),0)</f>
        <v/>
      </c>
      <c r="R98">
        <f>IF(AND($D98="Расход",COUNTIFS(Счета!$B$10:$B$21,$H98,Счета!$C$10:$C$21,"Кредитная")&gt;0),1,0)</f>
        <v/>
      </c>
    </row>
    <row r="99" ht="19" customHeight="1">
      <c r="B99" s="53">
        <f>IF(AND($C99="",$F99=""),"",ROW()-9)</f>
        <v/>
      </c>
      <c r="C99" s="213" t="n"/>
      <c r="D99" s="55" t="n"/>
      <c r="E99" s="55" t="n"/>
      <c r="F99" s="56" t="n"/>
      <c r="G99" s="196" t="n"/>
      <c r="H99" s="21" t="n"/>
      <c r="I99" s="21" t="n"/>
      <c r="J99" s="53">
        <f>IF($C99="","",INDEX(Настройки!$V$6:$V$17,MONTH($C99))&amp;" "&amp;YEAR($C99))</f>
        <v/>
      </c>
      <c r="K99" s="57">
        <f>IF(OR($F99="",$D99="Перевод"),"",IF(AND(N($G99)&lt;&gt;0,COUNTIFS(Журнал!$C$10:$C$1509,$C99,Журнал!$P$10:$P$1509,$G99)&gt;0),"есть в Журнале",IF(COUNTIF(Постоянные!$C$8:$C$37,$F99)&gt;0,"есть в Постоянных",IF(COUNTIF(Покупки!$C$7:$C$18,$F99)&gt;0,"есть в Покупках",""))))</f>
        <v/>
      </c>
      <c r="P99">
        <f>IF($C99="","",DATE(YEAR($C99),MONTH($C99),1))</f>
        <v/>
      </c>
      <c r="Q99">
        <f>IF(ISNUMBER($G99),ABS($G99),0)</f>
        <v/>
      </c>
      <c r="R99">
        <f>IF(AND($D99="Расход",COUNTIFS(Счета!$B$10:$B$21,$H99,Счета!$C$10:$C$21,"Кредитная")&gt;0),1,0)</f>
        <v/>
      </c>
    </row>
    <row r="100" ht="19" customHeight="1">
      <c r="B100" s="53">
        <f>IF(AND($C100="",$F100=""),"",ROW()-9)</f>
        <v/>
      </c>
      <c r="C100" s="213" t="n"/>
      <c r="D100" s="55" t="n"/>
      <c r="E100" s="55" t="n"/>
      <c r="F100" s="56" t="n"/>
      <c r="G100" s="196" t="n"/>
      <c r="H100" s="21" t="n"/>
      <c r="I100" s="21" t="n"/>
      <c r="J100" s="53">
        <f>IF($C100="","",INDEX(Настройки!$V$6:$V$17,MONTH($C100))&amp;" "&amp;YEAR($C100))</f>
        <v/>
      </c>
      <c r="K100" s="57">
        <f>IF(OR($F100="",$D100="Перевод"),"",IF(AND(N($G100)&lt;&gt;0,COUNTIFS(Журнал!$C$10:$C$1509,$C100,Журнал!$P$10:$P$1509,$G100)&gt;0),"есть в Журнале",IF(COUNTIF(Постоянные!$C$8:$C$37,$F100)&gt;0,"есть в Постоянных",IF(COUNTIF(Покупки!$C$7:$C$18,$F100)&gt;0,"есть в Покупках",""))))</f>
        <v/>
      </c>
      <c r="P100">
        <f>IF($C100="","",DATE(YEAR($C100),MONTH($C100),1))</f>
        <v/>
      </c>
      <c r="Q100">
        <f>IF(ISNUMBER($G100),ABS($G100),0)</f>
        <v/>
      </c>
      <c r="R100">
        <f>IF(AND($D100="Расход",COUNTIFS(Счета!$B$10:$B$21,$H100,Счета!$C$10:$C$21,"Кредитная")&gt;0),1,0)</f>
        <v/>
      </c>
    </row>
    <row r="101" ht="19" customHeight="1">
      <c r="B101" s="53">
        <f>IF(AND($C101="",$F101=""),"",ROW()-9)</f>
        <v/>
      </c>
      <c r="C101" s="213" t="n"/>
      <c r="D101" s="55" t="n"/>
      <c r="E101" s="55" t="n"/>
      <c r="F101" s="56" t="n"/>
      <c r="G101" s="196" t="n"/>
      <c r="H101" s="21" t="n"/>
      <c r="I101" s="21" t="n"/>
      <c r="J101" s="53">
        <f>IF($C101="","",INDEX(Настройки!$V$6:$V$17,MONTH($C101))&amp;" "&amp;YEAR($C101))</f>
        <v/>
      </c>
      <c r="K101" s="57">
        <f>IF(OR($F101="",$D101="Перевод"),"",IF(AND(N($G101)&lt;&gt;0,COUNTIFS(Журнал!$C$10:$C$1509,$C101,Журнал!$P$10:$P$1509,$G101)&gt;0),"есть в Журнале",IF(COUNTIF(Постоянные!$C$8:$C$37,$F101)&gt;0,"есть в Постоянных",IF(COUNTIF(Покупки!$C$7:$C$18,$F101)&gt;0,"есть в Покупках",""))))</f>
        <v/>
      </c>
      <c r="P101">
        <f>IF($C101="","",DATE(YEAR($C101),MONTH($C101),1))</f>
        <v/>
      </c>
      <c r="Q101">
        <f>IF(ISNUMBER($G101),ABS($G101),0)</f>
        <v/>
      </c>
      <c r="R101">
        <f>IF(AND($D101="Расход",COUNTIFS(Счета!$B$10:$B$21,$H101,Счета!$C$10:$C$21,"Кредитная")&gt;0),1,0)</f>
        <v/>
      </c>
    </row>
    <row r="102" ht="19" customHeight="1">
      <c r="B102" s="53">
        <f>IF(AND($C102="",$F102=""),"",ROW()-9)</f>
        <v/>
      </c>
      <c r="C102" s="213" t="n"/>
      <c r="D102" s="55" t="n"/>
      <c r="E102" s="55" t="n"/>
      <c r="F102" s="56" t="n"/>
      <c r="G102" s="196" t="n"/>
      <c r="H102" s="21" t="n"/>
      <c r="I102" s="21" t="n"/>
      <c r="J102" s="53">
        <f>IF($C102="","",INDEX(Настройки!$V$6:$V$17,MONTH($C102))&amp;" "&amp;YEAR($C102))</f>
        <v/>
      </c>
      <c r="K102" s="57">
        <f>IF(OR($F102="",$D102="Перевод"),"",IF(AND(N($G102)&lt;&gt;0,COUNTIFS(Журнал!$C$10:$C$1509,$C102,Журнал!$P$10:$P$1509,$G102)&gt;0),"есть в Журнале",IF(COUNTIF(Постоянные!$C$8:$C$37,$F102)&gt;0,"есть в Постоянных",IF(COUNTIF(Покупки!$C$7:$C$18,$F102)&gt;0,"есть в Покупках",""))))</f>
        <v/>
      </c>
      <c r="P102">
        <f>IF($C102="","",DATE(YEAR($C102),MONTH($C102),1))</f>
        <v/>
      </c>
      <c r="Q102">
        <f>IF(ISNUMBER($G102),ABS($G102),0)</f>
        <v/>
      </c>
      <c r="R102">
        <f>IF(AND($D102="Расход",COUNTIFS(Счета!$B$10:$B$21,$H102,Счета!$C$10:$C$21,"Кредитная")&gt;0),1,0)</f>
        <v/>
      </c>
    </row>
    <row r="103" ht="19" customHeight="1">
      <c r="B103" s="53">
        <f>IF(AND($C103="",$F103=""),"",ROW()-9)</f>
        <v/>
      </c>
      <c r="C103" s="213" t="n"/>
      <c r="D103" s="55" t="n"/>
      <c r="E103" s="55" t="n"/>
      <c r="F103" s="56" t="n"/>
      <c r="G103" s="196" t="n"/>
      <c r="H103" s="21" t="n"/>
      <c r="I103" s="21" t="n"/>
      <c r="J103" s="53">
        <f>IF($C103="","",INDEX(Настройки!$V$6:$V$17,MONTH($C103))&amp;" "&amp;YEAR($C103))</f>
        <v/>
      </c>
      <c r="K103" s="57">
        <f>IF(OR($F103="",$D103="Перевод"),"",IF(AND(N($G103)&lt;&gt;0,COUNTIFS(Журнал!$C$10:$C$1509,$C103,Журнал!$P$10:$P$1509,$G103)&gt;0),"есть в Журнале",IF(COUNTIF(Постоянные!$C$8:$C$37,$F103)&gt;0,"есть в Постоянных",IF(COUNTIF(Покупки!$C$7:$C$18,$F103)&gt;0,"есть в Покупках",""))))</f>
        <v/>
      </c>
      <c r="P103">
        <f>IF($C103="","",DATE(YEAR($C103),MONTH($C103),1))</f>
        <v/>
      </c>
      <c r="Q103">
        <f>IF(ISNUMBER($G103),ABS($G103),0)</f>
        <v/>
      </c>
      <c r="R103">
        <f>IF(AND($D103="Расход",COUNTIFS(Счета!$B$10:$B$21,$H103,Счета!$C$10:$C$21,"Кредитная")&gt;0),1,0)</f>
        <v/>
      </c>
    </row>
    <row r="104" ht="19" customHeight="1">
      <c r="B104" s="53">
        <f>IF(AND($C104="",$F104=""),"",ROW()-9)</f>
        <v/>
      </c>
      <c r="C104" s="213" t="n"/>
      <c r="D104" s="55" t="n"/>
      <c r="E104" s="55" t="n"/>
      <c r="F104" s="56" t="n"/>
      <c r="G104" s="196" t="n"/>
      <c r="H104" s="21" t="n"/>
      <c r="I104" s="21" t="n"/>
      <c r="J104" s="53">
        <f>IF($C104="","",INDEX(Настройки!$V$6:$V$17,MONTH($C104))&amp;" "&amp;YEAR($C104))</f>
        <v/>
      </c>
      <c r="K104" s="57">
        <f>IF(OR($F104="",$D104="Перевод"),"",IF(AND(N($G104)&lt;&gt;0,COUNTIFS(Журнал!$C$10:$C$1509,$C104,Журнал!$P$10:$P$1509,$G104)&gt;0),"есть в Журнале",IF(COUNTIF(Постоянные!$C$8:$C$37,$F104)&gt;0,"есть в Постоянных",IF(COUNTIF(Покупки!$C$7:$C$18,$F104)&gt;0,"есть в Покупках",""))))</f>
        <v/>
      </c>
      <c r="P104">
        <f>IF($C104="","",DATE(YEAR($C104),MONTH($C104),1))</f>
        <v/>
      </c>
      <c r="Q104">
        <f>IF(ISNUMBER($G104),ABS($G104),0)</f>
        <v/>
      </c>
      <c r="R104">
        <f>IF(AND($D104="Расход",COUNTIFS(Счета!$B$10:$B$21,$H104,Счета!$C$10:$C$21,"Кредитная")&gt;0),1,0)</f>
        <v/>
      </c>
    </row>
    <row r="105" ht="19" customHeight="1">
      <c r="B105" s="53">
        <f>IF(AND($C105="",$F105=""),"",ROW()-9)</f>
        <v/>
      </c>
      <c r="C105" s="213" t="n"/>
      <c r="D105" s="55" t="n"/>
      <c r="E105" s="55" t="n"/>
      <c r="F105" s="56" t="n"/>
      <c r="G105" s="196" t="n"/>
      <c r="H105" s="21" t="n"/>
      <c r="I105" s="21" t="n"/>
      <c r="J105" s="53">
        <f>IF($C105="","",INDEX(Настройки!$V$6:$V$17,MONTH($C105))&amp;" "&amp;YEAR($C105))</f>
        <v/>
      </c>
      <c r="K105" s="57">
        <f>IF(OR($F105="",$D105="Перевод"),"",IF(AND(N($G105)&lt;&gt;0,COUNTIFS(Журнал!$C$10:$C$1509,$C105,Журнал!$P$10:$P$1509,$G105)&gt;0),"есть в Журнале",IF(COUNTIF(Постоянные!$C$8:$C$37,$F105)&gt;0,"есть в Постоянных",IF(COUNTIF(Покупки!$C$7:$C$18,$F105)&gt;0,"есть в Покупках",""))))</f>
        <v/>
      </c>
      <c r="P105">
        <f>IF($C105="","",DATE(YEAR($C105),MONTH($C105),1))</f>
        <v/>
      </c>
      <c r="Q105">
        <f>IF(ISNUMBER($G105),ABS($G105),0)</f>
        <v/>
      </c>
      <c r="R105">
        <f>IF(AND($D105="Расход",COUNTIFS(Счета!$B$10:$B$21,$H105,Счета!$C$10:$C$21,"Кредитная")&gt;0),1,0)</f>
        <v/>
      </c>
    </row>
    <row r="106" ht="19" customHeight="1">
      <c r="B106" s="53">
        <f>IF(AND($C106="",$F106=""),"",ROW()-9)</f>
        <v/>
      </c>
      <c r="C106" s="213" t="n"/>
      <c r="D106" s="55" t="n"/>
      <c r="E106" s="55" t="n"/>
      <c r="F106" s="56" t="n"/>
      <c r="G106" s="196" t="n"/>
      <c r="H106" s="21" t="n"/>
      <c r="I106" s="21" t="n"/>
      <c r="J106" s="53">
        <f>IF($C106="","",INDEX(Настройки!$V$6:$V$17,MONTH($C106))&amp;" "&amp;YEAR($C106))</f>
        <v/>
      </c>
      <c r="K106" s="57">
        <f>IF(OR($F106="",$D106="Перевод"),"",IF(AND(N($G106)&lt;&gt;0,COUNTIFS(Журнал!$C$10:$C$1509,$C106,Журнал!$P$10:$P$1509,$G106)&gt;0),"есть в Журнале",IF(COUNTIF(Постоянные!$C$8:$C$37,$F106)&gt;0,"есть в Постоянных",IF(COUNTIF(Покупки!$C$7:$C$18,$F106)&gt;0,"есть в Покупках",""))))</f>
        <v/>
      </c>
      <c r="P106">
        <f>IF($C106="","",DATE(YEAR($C106),MONTH($C106),1))</f>
        <v/>
      </c>
      <c r="Q106">
        <f>IF(ISNUMBER($G106),ABS($G106),0)</f>
        <v/>
      </c>
      <c r="R106">
        <f>IF(AND($D106="Расход",COUNTIFS(Счета!$B$10:$B$21,$H106,Счета!$C$10:$C$21,"Кредитная")&gt;0),1,0)</f>
        <v/>
      </c>
    </row>
    <row r="107" ht="19" customHeight="1">
      <c r="B107" s="53">
        <f>IF(AND($C107="",$F107=""),"",ROW()-9)</f>
        <v/>
      </c>
      <c r="C107" s="213" t="n"/>
      <c r="D107" s="55" t="n"/>
      <c r="E107" s="55" t="n"/>
      <c r="F107" s="56" t="n"/>
      <c r="G107" s="196" t="n"/>
      <c r="H107" s="21" t="n"/>
      <c r="I107" s="21" t="n"/>
      <c r="J107" s="53">
        <f>IF($C107="","",INDEX(Настройки!$V$6:$V$17,MONTH($C107))&amp;" "&amp;YEAR($C107))</f>
        <v/>
      </c>
      <c r="K107" s="57">
        <f>IF(OR($F107="",$D107="Перевод"),"",IF(AND(N($G107)&lt;&gt;0,COUNTIFS(Журнал!$C$10:$C$1509,$C107,Журнал!$P$10:$P$1509,$G107)&gt;0),"есть в Журнале",IF(COUNTIF(Постоянные!$C$8:$C$37,$F107)&gt;0,"есть в Постоянных",IF(COUNTIF(Покупки!$C$7:$C$18,$F107)&gt;0,"есть в Покупках",""))))</f>
        <v/>
      </c>
      <c r="P107">
        <f>IF($C107="","",DATE(YEAR($C107),MONTH($C107),1))</f>
        <v/>
      </c>
      <c r="Q107">
        <f>IF(ISNUMBER($G107),ABS($G107),0)</f>
        <v/>
      </c>
      <c r="R107">
        <f>IF(AND($D107="Расход",COUNTIFS(Счета!$B$10:$B$21,$H107,Счета!$C$10:$C$21,"Кредитная")&gt;0),1,0)</f>
        <v/>
      </c>
    </row>
    <row r="108" ht="19" customHeight="1">
      <c r="B108" s="53">
        <f>IF(AND($C108="",$F108=""),"",ROW()-9)</f>
        <v/>
      </c>
      <c r="C108" s="213" t="n"/>
      <c r="D108" s="55" t="n"/>
      <c r="E108" s="55" t="n"/>
      <c r="F108" s="56" t="n"/>
      <c r="G108" s="196" t="n"/>
      <c r="H108" s="21" t="n"/>
      <c r="I108" s="21" t="n"/>
      <c r="J108" s="53">
        <f>IF($C108="","",INDEX(Настройки!$V$6:$V$17,MONTH($C108))&amp;" "&amp;YEAR($C108))</f>
        <v/>
      </c>
      <c r="K108" s="57">
        <f>IF(OR($F108="",$D108="Перевод"),"",IF(AND(N($G108)&lt;&gt;0,COUNTIFS(Журнал!$C$10:$C$1509,$C108,Журнал!$P$10:$P$1509,$G108)&gt;0),"есть в Журнале",IF(COUNTIF(Постоянные!$C$8:$C$37,$F108)&gt;0,"есть в Постоянных",IF(COUNTIF(Покупки!$C$7:$C$18,$F108)&gt;0,"есть в Покупках",""))))</f>
        <v/>
      </c>
      <c r="P108">
        <f>IF($C108="","",DATE(YEAR($C108),MONTH($C108),1))</f>
        <v/>
      </c>
      <c r="Q108">
        <f>IF(ISNUMBER($G108),ABS($G108),0)</f>
        <v/>
      </c>
      <c r="R108">
        <f>IF(AND($D108="Расход",COUNTIFS(Счета!$B$10:$B$21,$H108,Счета!$C$10:$C$21,"Кредитная")&gt;0),1,0)</f>
        <v/>
      </c>
    </row>
    <row r="109" ht="19" customHeight="1">
      <c r="B109" s="53">
        <f>IF(AND($C109="",$F109=""),"",ROW()-9)</f>
        <v/>
      </c>
      <c r="C109" s="213" t="n"/>
      <c r="D109" s="55" t="n"/>
      <c r="E109" s="55" t="n"/>
      <c r="F109" s="56" t="n"/>
      <c r="G109" s="196" t="n"/>
      <c r="H109" s="21" t="n"/>
      <c r="I109" s="21" t="n"/>
      <c r="J109" s="53">
        <f>IF($C109="","",INDEX(Настройки!$V$6:$V$17,MONTH($C109))&amp;" "&amp;YEAR($C109))</f>
        <v/>
      </c>
      <c r="K109" s="57">
        <f>IF(OR($F109="",$D109="Перевод"),"",IF(AND(N($G109)&lt;&gt;0,COUNTIFS(Журнал!$C$10:$C$1509,$C109,Журнал!$P$10:$P$1509,$G109)&gt;0),"есть в Журнале",IF(COUNTIF(Постоянные!$C$8:$C$37,$F109)&gt;0,"есть в Постоянных",IF(COUNTIF(Покупки!$C$7:$C$18,$F109)&gt;0,"есть в Покупках",""))))</f>
        <v/>
      </c>
      <c r="P109">
        <f>IF($C109="","",DATE(YEAR($C109),MONTH($C109),1))</f>
        <v/>
      </c>
      <c r="Q109">
        <f>IF(ISNUMBER($G109),ABS($G109),0)</f>
        <v/>
      </c>
      <c r="R109">
        <f>IF(AND($D109="Расход",COUNTIFS(Счета!$B$10:$B$21,$H109,Счета!$C$10:$C$21,"Кредитная")&gt;0),1,0)</f>
        <v/>
      </c>
    </row>
    <row r="110" ht="19" customHeight="1">
      <c r="B110" s="53">
        <f>IF(AND($C110="",$F110=""),"",ROW()-9)</f>
        <v/>
      </c>
      <c r="C110" s="213" t="n"/>
      <c r="D110" s="55" t="n"/>
      <c r="E110" s="55" t="n"/>
      <c r="F110" s="56" t="n"/>
      <c r="G110" s="196" t="n"/>
      <c r="H110" s="21" t="n"/>
      <c r="I110" s="21" t="n"/>
      <c r="J110" s="53">
        <f>IF($C110="","",INDEX(Настройки!$V$6:$V$17,MONTH($C110))&amp;" "&amp;YEAR($C110))</f>
        <v/>
      </c>
      <c r="K110" s="57">
        <f>IF(OR($F110="",$D110="Перевод"),"",IF(AND(N($G110)&lt;&gt;0,COUNTIFS(Журнал!$C$10:$C$1509,$C110,Журнал!$P$10:$P$1509,$G110)&gt;0),"есть в Журнале",IF(COUNTIF(Постоянные!$C$8:$C$37,$F110)&gt;0,"есть в Постоянных",IF(COUNTIF(Покупки!$C$7:$C$18,$F110)&gt;0,"есть в Покупках",""))))</f>
        <v/>
      </c>
      <c r="P110">
        <f>IF($C110="","",DATE(YEAR($C110),MONTH($C110),1))</f>
        <v/>
      </c>
      <c r="Q110">
        <f>IF(ISNUMBER($G110),ABS($G110),0)</f>
        <v/>
      </c>
      <c r="R110">
        <f>IF(AND($D110="Расход",COUNTIFS(Счета!$B$10:$B$21,$H110,Счета!$C$10:$C$21,"Кредитная")&gt;0),1,0)</f>
        <v/>
      </c>
    </row>
    <row r="111" ht="19" customHeight="1">
      <c r="B111" s="53">
        <f>IF(AND($C111="",$F111=""),"",ROW()-9)</f>
        <v/>
      </c>
      <c r="C111" s="213" t="n"/>
      <c r="D111" s="55" t="n"/>
      <c r="E111" s="55" t="n"/>
      <c r="F111" s="56" t="n"/>
      <c r="G111" s="196" t="n"/>
      <c r="H111" s="21" t="n"/>
      <c r="I111" s="21" t="n"/>
      <c r="J111" s="53">
        <f>IF($C111="","",INDEX(Настройки!$V$6:$V$17,MONTH($C111))&amp;" "&amp;YEAR($C111))</f>
        <v/>
      </c>
      <c r="K111" s="57">
        <f>IF(OR($F111="",$D111="Перевод"),"",IF(AND(N($G111)&lt;&gt;0,COUNTIFS(Журнал!$C$10:$C$1509,$C111,Журнал!$P$10:$P$1509,$G111)&gt;0),"есть в Журнале",IF(COUNTIF(Постоянные!$C$8:$C$37,$F111)&gt;0,"есть в Постоянных",IF(COUNTIF(Покупки!$C$7:$C$18,$F111)&gt;0,"есть в Покупках",""))))</f>
        <v/>
      </c>
      <c r="P111">
        <f>IF($C111="","",DATE(YEAR($C111),MONTH($C111),1))</f>
        <v/>
      </c>
      <c r="Q111">
        <f>IF(ISNUMBER($G111),ABS($G111),0)</f>
        <v/>
      </c>
      <c r="R111">
        <f>IF(AND($D111="Расход",COUNTIFS(Счета!$B$10:$B$21,$H111,Счета!$C$10:$C$21,"Кредитная")&gt;0),1,0)</f>
        <v/>
      </c>
    </row>
    <row r="112" ht="19" customHeight="1">
      <c r="B112" s="53">
        <f>IF(AND($C112="",$F112=""),"",ROW()-9)</f>
        <v/>
      </c>
      <c r="C112" s="213" t="n"/>
      <c r="D112" s="55" t="n"/>
      <c r="E112" s="55" t="n"/>
      <c r="F112" s="56" t="n"/>
      <c r="G112" s="196" t="n"/>
      <c r="H112" s="21" t="n"/>
      <c r="I112" s="21" t="n"/>
      <c r="J112" s="53">
        <f>IF($C112="","",INDEX(Настройки!$V$6:$V$17,MONTH($C112))&amp;" "&amp;YEAR($C112))</f>
        <v/>
      </c>
      <c r="K112" s="57">
        <f>IF(OR($F112="",$D112="Перевод"),"",IF(AND(N($G112)&lt;&gt;0,COUNTIFS(Журнал!$C$10:$C$1509,$C112,Журнал!$P$10:$P$1509,$G112)&gt;0),"есть в Журнале",IF(COUNTIF(Постоянные!$C$8:$C$37,$F112)&gt;0,"есть в Постоянных",IF(COUNTIF(Покупки!$C$7:$C$18,$F112)&gt;0,"есть в Покупках",""))))</f>
        <v/>
      </c>
      <c r="P112">
        <f>IF($C112="","",DATE(YEAR($C112),MONTH($C112),1))</f>
        <v/>
      </c>
      <c r="Q112">
        <f>IF(ISNUMBER($G112),ABS($G112),0)</f>
        <v/>
      </c>
      <c r="R112">
        <f>IF(AND($D112="Расход",COUNTIFS(Счета!$B$10:$B$21,$H112,Счета!$C$10:$C$21,"Кредитная")&gt;0),1,0)</f>
        <v/>
      </c>
    </row>
    <row r="113" ht="19" customHeight="1">
      <c r="B113" s="53">
        <f>IF(AND($C113="",$F113=""),"",ROW()-9)</f>
        <v/>
      </c>
      <c r="C113" s="213" t="n"/>
      <c r="D113" s="55" t="n"/>
      <c r="E113" s="55" t="n"/>
      <c r="F113" s="56" t="n"/>
      <c r="G113" s="196" t="n"/>
      <c r="H113" s="21" t="n"/>
      <c r="I113" s="21" t="n"/>
      <c r="J113" s="53">
        <f>IF($C113="","",INDEX(Настройки!$V$6:$V$17,MONTH($C113))&amp;" "&amp;YEAR($C113))</f>
        <v/>
      </c>
      <c r="K113" s="57">
        <f>IF(OR($F113="",$D113="Перевод"),"",IF(AND(N($G113)&lt;&gt;0,COUNTIFS(Журнал!$C$10:$C$1509,$C113,Журнал!$P$10:$P$1509,$G113)&gt;0),"есть в Журнале",IF(COUNTIF(Постоянные!$C$8:$C$37,$F113)&gt;0,"есть в Постоянных",IF(COUNTIF(Покупки!$C$7:$C$18,$F113)&gt;0,"есть в Покупках",""))))</f>
        <v/>
      </c>
      <c r="P113">
        <f>IF($C113="","",DATE(YEAR($C113),MONTH($C113),1))</f>
        <v/>
      </c>
      <c r="Q113">
        <f>IF(ISNUMBER($G113),ABS($G113),0)</f>
        <v/>
      </c>
      <c r="R113">
        <f>IF(AND($D113="Расход",COUNTIFS(Счета!$B$10:$B$21,$H113,Счета!$C$10:$C$21,"Кредитная")&gt;0),1,0)</f>
        <v/>
      </c>
    </row>
    <row r="114" ht="19" customHeight="1">
      <c r="B114" s="53">
        <f>IF(AND($C114="",$F114=""),"",ROW()-9)</f>
        <v/>
      </c>
      <c r="C114" s="213" t="n"/>
      <c r="D114" s="55" t="n"/>
      <c r="E114" s="55" t="n"/>
      <c r="F114" s="56" t="n"/>
      <c r="G114" s="196" t="n"/>
      <c r="H114" s="21" t="n"/>
      <c r="I114" s="21" t="n"/>
      <c r="J114" s="53">
        <f>IF($C114="","",INDEX(Настройки!$V$6:$V$17,MONTH($C114))&amp;" "&amp;YEAR($C114))</f>
        <v/>
      </c>
      <c r="K114" s="57">
        <f>IF(OR($F114="",$D114="Перевод"),"",IF(AND(N($G114)&lt;&gt;0,COUNTIFS(Журнал!$C$10:$C$1509,$C114,Журнал!$P$10:$P$1509,$G114)&gt;0),"есть в Журнале",IF(COUNTIF(Постоянные!$C$8:$C$37,$F114)&gt;0,"есть в Постоянных",IF(COUNTIF(Покупки!$C$7:$C$18,$F114)&gt;0,"есть в Покупках",""))))</f>
        <v/>
      </c>
      <c r="P114">
        <f>IF($C114="","",DATE(YEAR($C114),MONTH($C114),1))</f>
        <v/>
      </c>
      <c r="Q114">
        <f>IF(ISNUMBER($G114),ABS($G114),0)</f>
        <v/>
      </c>
      <c r="R114">
        <f>IF(AND($D114="Расход",COUNTIFS(Счета!$B$10:$B$21,$H114,Счета!$C$10:$C$21,"Кредитная")&gt;0),1,0)</f>
        <v/>
      </c>
    </row>
    <row r="115" ht="19" customHeight="1">
      <c r="B115" s="53">
        <f>IF(AND($C115="",$F115=""),"",ROW()-9)</f>
        <v/>
      </c>
      <c r="C115" s="213" t="n"/>
      <c r="D115" s="55" t="n"/>
      <c r="E115" s="55" t="n"/>
      <c r="F115" s="56" t="n"/>
      <c r="G115" s="196" t="n"/>
      <c r="H115" s="21" t="n"/>
      <c r="I115" s="21" t="n"/>
      <c r="J115" s="53">
        <f>IF($C115="","",INDEX(Настройки!$V$6:$V$17,MONTH($C115))&amp;" "&amp;YEAR($C115))</f>
        <v/>
      </c>
      <c r="K115" s="57">
        <f>IF(OR($F115="",$D115="Перевод"),"",IF(AND(N($G115)&lt;&gt;0,COUNTIFS(Журнал!$C$10:$C$1509,$C115,Журнал!$P$10:$P$1509,$G115)&gt;0),"есть в Журнале",IF(COUNTIF(Постоянные!$C$8:$C$37,$F115)&gt;0,"есть в Постоянных",IF(COUNTIF(Покупки!$C$7:$C$18,$F115)&gt;0,"есть в Покупках",""))))</f>
        <v/>
      </c>
      <c r="P115">
        <f>IF($C115="","",DATE(YEAR($C115),MONTH($C115),1))</f>
        <v/>
      </c>
      <c r="Q115">
        <f>IF(ISNUMBER($G115),ABS($G115),0)</f>
        <v/>
      </c>
      <c r="R115">
        <f>IF(AND($D115="Расход",COUNTIFS(Счета!$B$10:$B$21,$H115,Счета!$C$10:$C$21,"Кредитная")&gt;0),1,0)</f>
        <v/>
      </c>
    </row>
    <row r="116" ht="19" customHeight="1">
      <c r="B116" s="53">
        <f>IF(AND($C116="",$F116=""),"",ROW()-9)</f>
        <v/>
      </c>
      <c r="C116" s="213" t="n"/>
      <c r="D116" s="55" t="n"/>
      <c r="E116" s="55" t="n"/>
      <c r="F116" s="56" t="n"/>
      <c r="G116" s="196" t="n"/>
      <c r="H116" s="21" t="n"/>
      <c r="I116" s="21" t="n"/>
      <c r="J116" s="53">
        <f>IF($C116="","",INDEX(Настройки!$V$6:$V$17,MONTH($C116))&amp;" "&amp;YEAR($C116))</f>
        <v/>
      </c>
      <c r="K116" s="57">
        <f>IF(OR($F116="",$D116="Перевод"),"",IF(AND(N($G116)&lt;&gt;0,COUNTIFS(Журнал!$C$10:$C$1509,$C116,Журнал!$P$10:$P$1509,$G116)&gt;0),"есть в Журнале",IF(COUNTIF(Постоянные!$C$8:$C$37,$F116)&gt;0,"есть в Постоянных",IF(COUNTIF(Покупки!$C$7:$C$18,$F116)&gt;0,"есть в Покупках",""))))</f>
        <v/>
      </c>
      <c r="P116">
        <f>IF($C116="","",DATE(YEAR($C116),MONTH($C116),1))</f>
        <v/>
      </c>
      <c r="Q116">
        <f>IF(ISNUMBER($G116),ABS($G116),0)</f>
        <v/>
      </c>
      <c r="R116">
        <f>IF(AND($D116="Расход",COUNTIFS(Счета!$B$10:$B$21,$H116,Счета!$C$10:$C$21,"Кредитная")&gt;0),1,0)</f>
        <v/>
      </c>
    </row>
    <row r="117" ht="19" customHeight="1">
      <c r="B117" s="53">
        <f>IF(AND($C117="",$F117=""),"",ROW()-9)</f>
        <v/>
      </c>
      <c r="C117" s="213" t="n"/>
      <c r="D117" s="55" t="n"/>
      <c r="E117" s="55" t="n"/>
      <c r="F117" s="56" t="n"/>
      <c r="G117" s="196" t="n"/>
      <c r="H117" s="21" t="n"/>
      <c r="I117" s="21" t="n"/>
      <c r="J117" s="53">
        <f>IF($C117="","",INDEX(Настройки!$V$6:$V$17,MONTH($C117))&amp;" "&amp;YEAR($C117))</f>
        <v/>
      </c>
      <c r="K117" s="57">
        <f>IF(OR($F117="",$D117="Перевод"),"",IF(AND(N($G117)&lt;&gt;0,COUNTIFS(Журнал!$C$10:$C$1509,$C117,Журнал!$P$10:$P$1509,$G117)&gt;0),"есть в Журнале",IF(COUNTIF(Постоянные!$C$8:$C$37,$F117)&gt;0,"есть в Постоянных",IF(COUNTIF(Покупки!$C$7:$C$18,$F117)&gt;0,"есть в Покупках",""))))</f>
        <v/>
      </c>
      <c r="P117">
        <f>IF($C117="","",DATE(YEAR($C117),MONTH($C117),1))</f>
        <v/>
      </c>
      <c r="Q117">
        <f>IF(ISNUMBER($G117),ABS($G117),0)</f>
        <v/>
      </c>
      <c r="R117">
        <f>IF(AND($D117="Расход",COUNTIFS(Счета!$B$10:$B$21,$H117,Счета!$C$10:$C$21,"Кредитная")&gt;0),1,0)</f>
        <v/>
      </c>
    </row>
    <row r="118" ht="19" customHeight="1">
      <c r="B118" s="53">
        <f>IF(AND($C118="",$F118=""),"",ROW()-9)</f>
        <v/>
      </c>
      <c r="C118" s="213" t="n"/>
      <c r="D118" s="55" t="n"/>
      <c r="E118" s="55" t="n"/>
      <c r="F118" s="56" t="n"/>
      <c r="G118" s="196" t="n"/>
      <c r="H118" s="21" t="n"/>
      <c r="I118" s="21" t="n"/>
      <c r="J118" s="53">
        <f>IF($C118="","",INDEX(Настройки!$V$6:$V$17,MONTH($C118))&amp;" "&amp;YEAR($C118))</f>
        <v/>
      </c>
      <c r="K118" s="57">
        <f>IF(OR($F118="",$D118="Перевод"),"",IF(AND(N($G118)&lt;&gt;0,COUNTIFS(Журнал!$C$10:$C$1509,$C118,Журнал!$P$10:$P$1509,$G118)&gt;0),"есть в Журнале",IF(COUNTIF(Постоянные!$C$8:$C$37,$F118)&gt;0,"есть в Постоянных",IF(COUNTIF(Покупки!$C$7:$C$18,$F118)&gt;0,"есть в Покупках",""))))</f>
        <v/>
      </c>
      <c r="P118">
        <f>IF($C118="","",DATE(YEAR($C118),MONTH($C118),1))</f>
        <v/>
      </c>
      <c r="Q118">
        <f>IF(ISNUMBER($G118),ABS($G118),0)</f>
        <v/>
      </c>
      <c r="R118">
        <f>IF(AND($D118="Расход",COUNTIFS(Счета!$B$10:$B$21,$H118,Счета!$C$10:$C$21,"Кредитная")&gt;0),1,0)</f>
        <v/>
      </c>
    </row>
    <row r="119" ht="19" customHeight="1">
      <c r="B119" s="53">
        <f>IF(AND($C119="",$F119=""),"",ROW()-9)</f>
        <v/>
      </c>
      <c r="C119" s="213" t="n"/>
      <c r="D119" s="55" t="n"/>
      <c r="E119" s="55" t="n"/>
      <c r="F119" s="56" t="n"/>
      <c r="G119" s="196" t="n"/>
      <c r="H119" s="21" t="n"/>
      <c r="I119" s="21" t="n"/>
      <c r="J119" s="53">
        <f>IF($C119="","",INDEX(Настройки!$V$6:$V$17,MONTH($C119))&amp;" "&amp;YEAR($C119))</f>
        <v/>
      </c>
      <c r="K119" s="57">
        <f>IF(OR($F119="",$D119="Перевод"),"",IF(AND(N($G119)&lt;&gt;0,COUNTIFS(Журнал!$C$10:$C$1509,$C119,Журнал!$P$10:$P$1509,$G119)&gt;0),"есть в Журнале",IF(COUNTIF(Постоянные!$C$8:$C$37,$F119)&gt;0,"есть в Постоянных",IF(COUNTIF(Покупки!$C$7:$C$18,$F119)&gt;0,"есть в Покупках",""))))</f>
        <v/>
      </c>
      <c r="P119">
        <f>IF($C119="","",DATE(YEAR($C119),MONTH($C119),1))</f>
        <v/>
      </c>
      <c r="Q119">
        <f>IF(ISNUMBER($G119),ABS($G119),0)</f>
        <v/>
      </c>
      <c r="R119">
        <f>IF(AND($D119="Расход",COUNTIFS(Счета!$B$10:$B$21,$H119,Счета!$C$10:$C$21,"Кредитная")&gt;0),1,0)</f>
        <v/>
      </c>
    </row>
    <row r="120" ht="19" customHeight="1">
      <c r="B120" s="53">
        <f>IF(AND($C120="",$F120=""),"",ROW()-9)</f>
        <v/>
      </c>
      <c r="C120" s="213" t="n"/>
      <c r="D120" s="55" t="n"/>
      <c r="E120" s="55" t="n"/>
      <c r="F120" s="56" t="n"/>
      <c r="G120" s="196" t="n"/>
      <c r="H120" s="21" t="n"/>
      <c r="I120" s="21" t="n"/>
      <c r="J120" s="53">
        <f>IF($C120="","",INDEX(Настройки!$V$6:$V$17,MONTH($C120))&amp;" "&amp;YEAR($C120))</f>
        <v/>
      </c>
      <c r="K120" s="57">
        <f>IF(OR($F120="",$D120="Перевод"),"",IF(AND(N($G120)&lt;&gt;0,COUNTIFS(Журнал!$C$10:$C$1509,$C120,Журнал!$P$10:$P$1509,$G120)&gt;0),"есть в Журнале",IF(COUNTIF(Постоянные!$C$8:$C$37,$F120)&gt;0,"есть в Постоянных",IF(COUNTIF(Покупки!$C$7:$C$18,$F120)&gt;0,"есть в Покупках",""))))</f>
        <v/>
      </c>
      <c r="P120">
        <f>IF($C120="","",DATE(YEAR($C120),MONTH($C120),1))</f>
        <v/>
      </c>
      <c r="Q120">
        <f>IF(ISNUMBER($G120),ABS($G120),0)</f>
        <v/>
      </c>
      <c r="R120">
        <f>IF(AND($D120="Расход",COUNTIFS(Счета!$B$10:$B$21,$H120,Счета!$C$10:$C$21,"Кредитная")&gt;0),1,0)</f>
        <v/>
      </c>
    </row>
    <row r="121" ht="19" customHeight="1">
      <c r="B121" s="53">
        <f>IF(AND($C121="",$F121=""),"",ROW()-9)</f>
        <v/>
      </c>
      <c r="C121" s="213" t="n"/>
      <c r="D121" s="55" t="n"/>
      <c r="E121" s="55" t="n"/>
      <c r="F121" s="56" t="n"/>
      <c r="G121" s="196" t="n"/>
      <c r="H121" s="21" t="n"/>
      <c r="I121" s="21" t="n"/>
      <c r="J121" s="53">
        <f>IF($C121="","",INDEX(Настройки!$V$6:$V$17,MONTH($C121))&amp;" "&amp;YEAR($C121))</f>
        <v/>
      </c>
      <c r="K121" s="57">
        <f>IF(OR($F121="",$D121="Перевод"),"",IF(AND(N($G121)&lt;&gt;0,COUNTIFS(Журнал!$C$10:$C$1509,$C121,Журнал!$P$10:$P$1509,$G121)&gt;0),"есть в Журнале",IF(COUNTIF(Постоянные!$C$8:$C$37,$F121)&gt;0,"есть в Постоянных",IF(COUNTIF(Покупки!$C$7:$C$18,$F121)&gt;0,"есть в Покупках",""))))</f>
        <v/>
      </c>
      <c r="P121">
        <f>IF($C121="","",DATE(YEAR($C121),MONTH($C121),1))</f>
        <v/>
      </c>
      <c r="Q121">
        <f>IF(ISNUMBER($G121),ABS($G121),0)</f>
        <v/>
      </c>
      <c r="R121">
        <f>IF(AND($D121="Расход",COUNTIFS(Счета!$B$10:$B$21,$H121,Счета!$C$10:$C$21,"Кредитная")&gt;0),1,0)</f>
        <v/>
      </c>
    </row>
    <row r="122" ht="19" customHeight="1">
      <c r="B122" s="53">
        <f>IF(AND($C122="",$F122=""),"",ROW()-9)</f>
        <v/>
      </c>
      <c r="C122" s="213" t="n"/>
      <c r="D122" s="55" t="n"/>
      <c r="E122" s="55" t="n"/>
      <c r="F122" s="56" t="n"/>
      <c r="G122" s="196" t="n"/>
      <c r="H122" s="21" t="n"/>
      <c r="I122" s="21" t="n"/>
      <c r="J122" s="53">
        <f>IF($C122="","",INDEX(Настройки!$V$6:$V$17,MONTH($C122))&amp;" "&amp;YEAR($C122))</f>
        <v/>
      </c>
      <c r="K122" s="57">
        <f>IF(OR($F122="",$D122="Перевод"),"",IF(AND(N($G122)&lt;&gt;0,COUNTIFS(Журнал!$C$10:$C$1509,$C122,Журнал!$P$10:$P$1509,$G122)&gt;0),"есть в Журнале",IF(COUNTIF(Постоянные!$C$8:$C$37,$F122)&gt;0,"есть в Постоянных",IF(COUNTIF(Покупки!$C$7:$C$18,$F122)&gt;0,"есть в Покупках",""))))</f>
        <v/>
      </c>
      <c r="P122">
        <f>IF($C122="","",DATE(YEAR($C122),MONTH($C122),1))</f>
        <v/>
      </c>
      <c r="Q122">
        <f>IF(ISNUMBER($G122),ABS($G122),0)</f>
        <v/>
      </c>
      <c r="R122">
        <f>IF(AND($D122="Расход",COUNTIFS(Счета!$B$10:$B$21,$H122,Счета!$C$10:$C$21,"Кредитная")&gt;0),1,0)</f>
        <v/>
      </c>
    </row>
    <row r="123" ht="19" customHeight="1">
      <c r="B123" s="53">
        <f>IF(AND($C123="",$F123=""),"",ROW()-9)</f>
        <v/>
      </c>
      <c r="C123" s="213" t="n"/>
      <c r="D123" s="55" t="n"/>
      <c r="E123" s="55" t="n"/>
      <c r="F123" s="56" t="n"/>
      <c r="G123" s="196" t="n"/>
      <c r="H123" s="21" t="n"/>
      <c r="I123" s="21" t="n"/>
      <c r="J123" s="53">
        <f>IF($C123="","",INDEX(Настройки!$V$6:$V$17,MONTH($C123))&amp;" "&amp;YEAR($C123))</f>
        <v/>
      </c>
      <c r="K123" s="57">
        <f>IF(OR($F123="",$D123="Перевод"),"",IF(AND(N($G123)&lt;&gt;0,COUNTIFS(Журнал!$C$10:$C$1509,$C123,Журнал!$P$10:$P$1509,$G123)&gt;0),"есть в Журнале",IF(COUNTIF(Постоянные!$C$8:$C$37,$F123)&gt;0,"есть в Постоянных",IF(COUNTIF(Покупки!$C$7:$C$18,$F123)&gt;0,"есть в Покупках",""))))</f>
        <v/>
      </c>
      <c r="P123">
        <f>IF($C123="","",DATE(YEAR($C123),MONTH($C123),1))</f>
        <v/>
      </c>
      <c r="Q123">
        <f>IF(ISNUMBER($G123),ABS($G123),0)</f>
        <v/>
      </c>
      <c r="R123">
        <f>IF(AND($D123="Расход",COUNTIFS(Счета!$B$10:$B$21,$H123,Счета!$C$10:$C$21,"Кредитная")&gt;0),1,0)</f>
        <v/>
      </c>
    </row>
    <row r="124" ht="19" customHeight="1">
      <c r="B124" s="53">
        <f>IF(AND($C124="",$F124=""),"",ROW()-9)</f>
        <v/>
      </c>
      <c r="C124" s="213" t="n"/>
      <c r="D124" s="55" t="n"/>
      <c r="E124" s="55" t="n"/>
      <c r="F124" s="56" t="n"/>
      <c r="G124" s="196" t="n"/>
      <c r="H124" s="21" t="n"/>
      <c r="I124" s="21" t="n"/>
      <c r="J124" s="53">
        <f>IF($C124="","",INDEX(Настройки!$V$6:$V$17,MONTH($C124))&amp;" "&amp;YEAR($C124))</f>
        <v/>
      </c>
      <c r="K124" s="57">
        <f>IF(OR($F124="",$D124="Перевод"),"",IF(AND(N($G124)&lt;&gt;0,COUNTIFS(Журнал!$C$10:$C$1509,$C124,Журнал!$P$10:$P$1509,$G124)&gt;0),"есть в Журнале",IF(COUNTIF(Постоянные!$C$8:$C$37,$F124)&gt;0,"есть в Постоянных",IF(COUNTIF(Покупки!$C$7:$C$18,$F124)&gt;0,"есть в Покупках",""))))</f>
        <v/>
      </c>
      <c r="P124">
        <f>IF($C124="","",DATE(YEAR($C124),MONTH($C124),1))</f>
        <v/>
      </c>
      <c r="Q124">
        <f>IF(ISNUMBER($G124),ABS($G124),0)</f>
        <v/>
      </c>
      <c r="R124">
        <f>IF(AND($D124="Расход",COUNTIFS(Счета!$B$10:$B$21,$H124,Счета!$C$10:$C$21,"Кредитная")&gt;0),1,0)</f>
        <v/>
      </c>
    </row>
    <row r="125" ht="19" customHeight="1">
      <c r="B125" s="53">
        <f>IF(AND($C125="",$F125=""),"",ROW()-9)</f>
        <v/>
      </c>
      <c r="C125" s="213" t="n"/>
      <c r="D125" s="55" t="n"/>
      <c r="E125" s="55" t="n"/>
      <c r="F125" s="56" t="n"/>
      <c r="G125" s="196" t="n"/>
      <c r="H125" s="21" t="n"/>
      <c r="I125" s="21" t="n"/>
      <c r="J125" s="53">
        <f>IF($C125="","",INDEX(Настройки!$V$6:$V$17,MONTH($C125))&amp;" "&amp;YEAR($C125))</f>
        <v/>
      </c>
      <c r="K125" s="57">
        <f>IF(OR($F125="",$D125="Перевод"),"",IF(AND(N($G125)&lt;&gt;0,COUNTIFS(Журнал!$C$10:$C$1509,$C125,Журнал!$P$10:$P$1509,$G125)&gt;0),"есть в Журнале",IF(COUNTIF(Постоянные!$C$8:$C$37,$F125)&gt;0,"есть в Постоянных",IF(COUNTIF(Покупки!$C$7:$C$18,$F125)&gt;0,"есть в Покупках",""))))</f>
        <v/>
      </c>
      <c r="P125">
        <f>IF($C125="","",DATE(YEAR($C125),MONTH($C125),1))</f>
        <v/>
      </c>
      <c r="Q125">
        <f>IF(ISNUMBER($G125),ABS($G125),0)</f>
        <v/>
      </c>
      <c r="R125">
        <f>IF(AND($D125="Расход",COUNTIFS(Счета!$B$10:$B$21,$H125,Счета!$C$10:$C$21,"Кредитная")&gt;0),1,0)</f>
        <v/>
      </c>
    </row>
    <row r="126" ht="19" customHeight="1">
      <c r="B126" s="53">
        <f>IF(AND($C126="",$F126=""),"",ROW()-9)</f>
        <v/>
      </c>
      <c r="C126" s="213" t="n"/>
      <c r="D126" s="55" t="n"/>
      <c r="E126" s="55" t="n"/>
      <c r="F126" s="56" t="n"/>
      <c r="G126" s="196" t="n"/>
      <c r="H126" s="21" t="n"/>
      <c r="I126" s="21" t="n"/>
      <c r="J126" s="53">
        <f>IF($C126="","",INDEX(Настройки!$V$6:$V$17,MONTH($C126))&amp;" "&amp;YEAR($C126))</f>
        <v/>
      </c>
      <c r="K126" s="57">
        <f>IF(OR($F126="",$D126="Перевод"),"",IF(AND(N($G126)&lt;&gt;0,COUNTIFS(Журнал!$C$10:$C$1509,$C126,Журнал!$P$10:$P$1509,$G126)&gt;0),"есть в Журнале",IF(COUNTIF(Постоянные!$C$8:$C$37,$F126)&gt;0,"есть в Постоянных",IF(COUNTIF(Покупки!$C$7:$C$18,$F126)&gt;0,"есть в Покупках",""))))</f>
        <v/>
      </c>
      <c r="P126">
        <f>IF($C126="","",DATE(YEAR($C126),MONTH($C126),1))</f>
        <v/>
      </c>
      <c r="Q126">
        <f>IF(ISNUMBER($G126),ABS($G126),0)</f>
        <v/>
      </c>
      <c r="R126">
        <f>IF(AND($D126="Расход",COUNTIFS(Счета!$B$10:$B$21,$H126,Счета!$C$10:$C$21,"Кредитная")&gt;0),1,0)</f>
        <v/>
      </c>
    </row>
    <row r="127" ht="19" customHeight="1">
      <c r="B127" s="53">
        <f>IF(AND($C127="",$F127=""),"",ROW()-9)</f>
        <v/>
      </c>
      <c r="C127" s="213" t="n"/>
      <c r="D127" s="55" t="n"/>
      <c r="E127" s="55" t="n"/>
      <c r="F127" s="56" t="n"/>
      <c r="G127" s="196" t="n"/>
      <c r="H127" s="21" t="n"/>
      <c r="I127" s="21" t="n"/>
      <c r="J127" s="53">
        <f>IF($C127="","",INDEX(Настройки!$V$6:$V$17,MONTH($C127))&amp;" "&amp;YEAR($C127))</f>
        <v/>
      </c>
      <c r="K127" s="57">
        <f>IF(OR($F127="",$D127="Перевод"),"",IF(AND(N($G127)&lt;&gt;0,COUNTIFS(Журнал!$C$10:$C$1509,$C127,Журнал!$P$10:$P$1509,$G127)&gt;0),"есть в Журнале",IF(COUNTIF(Постоянные!$C$8:$C$37,$F127)&gt;0,"есть в Постоянных",IF(COUNTIF(Покупки!$C$7:$C$18,$F127)&gt;0,"есть в Покупках",""))))</f>
        <v/>
      </c>
      <c r="P127">
        <f>IF($C127="","",DATE(YEAR($C127),MONTH($C127),1))</f>
        <v/>
      </c>
      <c r="Q127">
        <f>IF(ISNUMBER($G127),ABS($G127),0)</f>
        <v/>
      </c>
      <c r="R127">
        <f>IF(AND($D127="Расход",COUNTIFS(Счета!$B$10:$B$21,$H127,Счета!$C$10:$C$21,"Кредитная")&gt;0),1,0)</f>
        <v/>
      </c>
    </row>
    <row r="128" ht="19" customHeight="1">
      <c r="B128" s="53">
        <f>IF(AND($C128="",$F128=""),"",ROW()-9)</f>
        <v/>
      </c>
      <c r="C128" s="213" t="n"/>
      <c r="D128" s="55" t="n"/>
      <c r="E128" s="55" t="n"/>
      <c r="F128" s="56" t="n"/>
      <c r="G128" s="196" t="n"/>
      <c r="H128" s="21" t="n"/>
      <c r="I128" s="21" t="n"/>
      <c r="J128" s="53">
        <f>IF($C128="","",INDEX(Настройки!$V$6:$V$17,MONTH($C128))&amp;" "&amp;YEAR($C128))</f>
        <v/>
      </c>
      <c r="K128" s="57">
        <f>IF(OR($F128="",$D128="Перевод"),"",IF(AND(N($G128)&lt;&gt;0,COUNTIFS(Журнал!$C$10:$C$1509,$C128,Журнал!$P$10:$P$1509,$G128)&gt;0),"есть в Журнале",IF(COUNTIF(Постоянные!$C$8:$C$37,$F128)&gt;0,"есть в Постоянных",IF(COUNTIF(Покупки!$C$7:$C$18,$F128)&gt;0,"есть в Покупках",""))))</f>
        <v/>
      </c>
      <c r="P128">
        <f>IF($C128="","",DATE(YEAR($C128),MONTH($C128),1))</f>
        <v/>
      </c>
      <c r="Q128">
        <f>IF(ISNUMBER($G128),ABS($G128),0)</f>
        <v/>
      </c>
      <c r="R128">
        <f>IF(AND($D128="Расход",COUNTIFS(Счета!$B$10:$B$21,$H128,Счета!$C$10:$C$21,"Кредитная")&gt;0),1,0)</f>
        <v/>
      </c>
    </row>
    <row r="129" ht="19" customHeight="1">
      <c r="B129" s="53">
        <f>IF(AND($C129="",$F129=""),"",ROW()-9)</f>
        <v/>
      </c>
      <c r="C129" s="213" t="n"/>
      <c r="D129" s="55" t="n"/>
      <c r="E129" s="55" t="n"/>
      <c r="F129" s="56" t="n"/>
      <c r="G129" s="196" t="n"/>
      <c r="H129" s="21" t="n"/>
      <c r="I129" s="21" t="n"/>
      <c r="J129" s="53">
        <f>IF($C129="","",INDEX(Настройки!$V$6:$V$17,MONTH($C129))&amp;" "&amp;YEAR($C129))</f>
        <v/>
      </c>
      <c r="K129" s="57">
        <f>IF(OR($F129="",$D129="Перевод"),"",IF(AND(N($G129)&lt;&gt;0,COUNTIFS(Журнал!$C$10:$C$1509,$C129,Журнал!$P$10:$P$1509,$G129)&gt;0),"есть в Журнале",IF(COUNTIF(Постоянные!$C$8:$C$37,$F129)&gt;0,"есть в Постоянных",IF(COUNTIF(Покупки!$C$7:$C$18,$F129)&gt;0,"есть в Покупках",""))))</f>
        <v/>
      </c>
      <c r="P129">
        <f>IF($C129="","",DATE(YEAR($C129),MONTH($C129),1))</f>
        <v/>
      </c>
      <c r="Q129">
        <f>IF(ISNUMBER($G129),ABS($G129),0)</f>
        <v/>
      </c>
      <c r="R129">
        <f>IF(AND($D129="Расход",COUNTIFS(Счета!$B$10:$B$21,$H129,Счета!$C$10:$C$21,"Кредитная")&gt;0),1,0)</f>
        <v/>
      </c>
    </row>
    <row r="130" ht="19" customHeight="1">
      <c r="B130" s="53">
        <f>IF(AND($C130="",$F130=""),"",ROW()-9)</f>
        <v/>
      </c>
      <c r="C130" s="213" t="n"/>
      <c r="D130" s="55" t="n"/>
      <c r="E130" s="55" t="n"/>
      <c r="F130" s="56" t="n"/>
      <c r="G130" s="196" t="n"/>
      <c r="H130" s="21" t="n"/>
      <c r="I130" s="21" t="n"/>
      <c r="J130" s="53">
        <f>IF($C130="","",INDEX(Настройки!$V$6:$V$17,MONTH($C130))&amp;" "&amp;YEAR($C130))</f>
        <v/>
      </c>
      <c r="K130" s="57">
        <f>IF(OR($F130="",$D130="Перевод"),"",IF(AND(N($G130)&lt;&gt;0,COUNTIFS(Журнал!$C$10:$C$1509,$C130,Журнал!$P$10:$P$1509,$G130)&gt;0),"есть в Журнале",IF(COUNTIF(Постоянные!$C$8:$C$37,$F130)&gt;0,"есть в Постоянных",IF(COUNTIF(Покупки!$C$7:$C$18,$F130)&gt;0,"есть в Покупках",""))))</f>
        <v/>
      </c>
      <c r="P130">
        <f>IF($C130="","",DATE(YEAR($C130),MONTH($C130),1))</f>
        <v/>
      </c>
      <c r="Q130">
        <f>IF(ISNUMBER($G130),ABS($G130),0)</f>
        <v/>
      </c>
      <c r="R130">
        <f>IF(AND($D130="Расход",COUNTIFS(Счета!$B$10:$B$21,$H130,Счета!$C$10:$C$21,"Кредитная")&gt;0),1,0)</f>
        <v/>
      </c>
    </row>
    <row r="131" ht="19" customHeight="1">
      <c r="B131" s="53">
        <f>IF(AND($C131="",$F131=""),"",ROW()-9)</f>
        <v/>
      </c>
      <c r="C131" s="213" t="n"/>
      <c r="D131" s="55" t="n"/>
      <c r="E131" s="55" t="n"/>
      <c r="F131" s="56" t="n"/>
      <c r="G131" s="196" t="n"/>
      <c r="H131" s="21" t="n"/>
      <c r="I131" s="21" t="n"/>
      <c r="J131" s="53">
        <f>IF($C131="","",INDEX(Настройки!$V$6:$V$17,MONTH($C131))&amp;" "&amp;YEAR($C131))</f>
        <v/>
      </c>
      <c r="K131" s="57">
        <f>IF(OR($F131="",$D131="Перевод"),"",IF(AND(N($G131)&lt;&gt;0,COUNTIFS(Журнал!$C$10:$C$1509,$C131,Журнал!$P$10:$P$1509,$G131)&gt;0),"есть в Журнале",IF(COUNTIF(Постоянные!$C$8:$C$37,$F131)&gt;0,"есть в Постоянных",IF(COUNTIF(Покупки!$C$7:$C$18,$F131)&gt;0,"есть в Покупках",""))))</f>
        <v/>
      </c>
      <c r="P131">
        <f>IF($C131="","",DATE(YEAR($C131),MONTH($C131),1))</f>
        <v/>
      </c>
      <c r="Q131">
        <f>IF(ISNUMBER($G131),ABS($G131),0)</f>
        <v/>
      </c>
      <c r="R131">
        <f>IF(AND($D131="Расход",COUNTIFS(Счета!$B$10:$B$21,$H131,Счета!$C$10:$C$21,"Кредитная")&gt;0),1,0)</f>
        <v/>
      </c>
    </row>
    <row r="132" ht="19" customHeight="1">
      <c r="B132" s="53">
        <f>IF(AND($C132="",$F132=""),"",ROW()-9)</f>
        <v/>
      </c>
      <c r="C132" s="213" t="n"/>
      <c r="D132" s="55" t="n"/>
      <c r="E132" s="55" t="n"/>
      <c r="F132" s="56" t="n"/>
      <c r="G132" s="196" t="n"/>
      <c r="H132" s="21" t="n"/>
      <c r="I132" s="21" t="n"/>
      <c r="J132" s="53">
        <f>IF($C132="","",INDEX(Настройки!$V$6:$V$17,MONTH($C132))&amp;" "&amp;YEAR($C132))</f>
        <v/>
      </c>
      <c r="K132" s="57">
        <f>IF(OR($F132="",$D132="Перевод"),"",IF(AND(N($G132)&lt;&gt;0,COUNTIFS(Журнал!$C$10:$C$1509,$C132,Журнал!$P$10:$P$1509,$G132)&gt;0),"есть в Журнале",IF(COUNTIF(Постоянные!$C$8:$C$37,$F132)&gt;0,"есть в Постоянных",IF(COUNTIF(Покупки!$C$7:$C$18,$F132)&gt;0,"есть в Покупках",""))))</f>
        <v/>
      </c>
      <c r="P132">
        <f>IF($C132="","",DATE(YEAR($C132),MONTH($C132),1))</f>
        <v/>
      </c>
      <c r="Q132">
        <f>IF(ISNUMBER($G132),ABS($G132),0)</f>
        <v/>
      </c>
      <c r="R132">
        <f>IF(AND($D132="Расход",COUNTIFS(Счета!$B$10:$B$21,$H132,Счета!$C$10:$C$21,"Кредитная")&gt;0),1,0)</f>
        <v/>
      </c>
    </row>
    <row r="133" ht="19" customHeight="1">
      <c r="B133" s="53">
        <f>IF(AND($C133="",$F133=""),"",ROW()-9)</f>
        <v/>
      </c>
      <c r="C133" s="213" t="n"/>
      <c r="D133" s="55" t="n"/>
      <c r="E133" s="55" t="n"/>
      <c r="F133" s="56" t="n"/>
      <c r="G133" s="196" t="n"/>
      <c r="H133" s="21" t="n"/>
      <c r="I133" s="21" t="n"/>
      <c r="J133" s="53">
        <f>IF($C133="","",INDEX(Настройки!$V$6:$V$17,MONTH($C133))&amp;" "&amp;YEAR($C133))</f>
        <v/>
      </c>
      <c r="K133" s="57">
        <f>IF(OR($F133="",$D133="Перевод"),"",IF(AND(N($G133)&lt;&gt;0,COUNTIFS(Журнал!$C$10:$C$1509,$C133,Журнал!$P$10:$P$1509,$G133)&gt;0),"есть в Журнале",IF(COUNTIF(Постоянные!$C$8:$C$37,$F133)&gt;0,"есть в Постоянных",IF(COUNTIF(Покупки!$C$7:$C$18,$F133)&gt;0,"есть в Покупках",""))))</f>
        <v/>
      </c>
      <c r="P133">
        <f>IF($C133="","",DATE(YEAR($C133),MONTH($C133),1))</f>
        <v/>
      </c>
      <c r="Q133">
        <f>IF(ISNUMBER($G133),ABS($G133),0)</f>
        <v/>
      </c>
      <c r="R133">
        <f>IF(AND($D133="Расход",COUNTIFS(Счета!$B$10:$B$21,$H133,Счета!$C$10:$C$21,"Кредитная")&gt;0),1,0)</f>
        <v/>
      </c>
    </row>
    <row r="134" ht="19" customHeight="1">
      <c r="B134" s="53">
        <f>IF(AND($C134="",$F134=""),"",ROW()-9)</f>
        <v/>
      </c>
      <c r="C134" s="213" t="n"/>
      <c r="D134" s="55" t="n"/>
      <c r="E134" s="55" t="n"/>
      <c r="F134" s="56" t="n"/>
      <c r="G134" s="196" t="n"/>
      <c r="H134" s="21" t="n"/>
      <c r="I134" s="21" t="n"/>
      <c r="J134" s="53">
        <f>IF($C134="","",INDEX(Настройки!$V$6:$V$17,MONTH($C134))&amp;" "&amp;YEAR($C134))</f>
        <v/>
      </c>
      <c r="K134" s="57">
        <f>IF(OR($F134="",$D134="Перевод"),"",IF(AND(N($G134)&lt;&gt;0,COUNTIFS(Журнал!$C$10:$C$1509,$C134,Журнал!$P$10:$P$1509,$G134)&gt;0),"есть в Журнале",IF(COUNTIF(Постоянные!$C$8:$C$37,$F134)&gt;0,"есть в Постоянных",IF(COUNTIF(Покупки!$C$7:$C$18,$F134)&gt;0,"есть в Покупках",""))))</f>
        <v/>
      </c>
      <c r="P134">
        <f>IF($C134="","",DATE(YEAR($C134),MONTH($C134),1))</f>
        <v/>
      </c>
      <c r="Q134">
        <f>IF(ISNUMBER($G134),ABS($G134),0)</f>
        <v/>
      </c>
      <c r="R134">
        <f>IF(AND($D134="Расход",COUNTIFS(Счета!$B$10:$B$21,$H134,Счета!$C$10:$C$21,"Кредитная")&gt;0),1,0)</f>
        <v/>
      </c>
    </row>
    <row r="135" ht="19" customHeight="1">
      <c r="B135" s="53">
        <f>IF(AND($C135="",$F135=""),"",ROW()-9)</f>
        <v/>
      </c>
      <c r="C135" s="213" t="n"/>
      <c r="D135" s="55" t="n"/>
      <c r="E135" s="55" t="n"/>
      <c r="F135" s="56" t="n"/>
      <c r="G135" s="196" t="n"/>
      <c r="H135" s="21" t="n"/>
      <c r="I135" s="21" t="n"/>
      <c r="J135" s="53">
        <f>IF($C135="","",INDEX(Настройки!$V$6:$V$17,MONTH($C135))&amp;" "&amp;YEAR($C135))</f>
        <v/>
      </c>
      <c r="K135" s="57">
        <f>IF(OR($F135="",$D135="Перевод"),"",IF(AND(N($G135)&lt;&gt;0,COUNTIFS(Журнал!$C$10:$C$1509,$C135,Журнал!$P$10:$P$1509,$G135)&gt;0),"есть в Журнале",IF(COUNTIF(Постоянные!$C$8:$C$37,$F135)&gt;0,"есть в Постоянных",IF(COUNTIF(Покупки!$C$7:$C$18,$F135)&gt;0,"есть в Покупках",""))))</f>
        <v/>
      </c>
      <c r="P135">
        <f>IF($C135="","",DATE(YEAR($C135),MONTH($C135),1))</f>
        <v/>
      </c>
      <c r="Q135">
        <f>IF(ISNUMBER($G135),ABS($G135),0)</f>
        <v/>
      </c>
      <c r="R135">
        <f>IF(AND($D135="Расход",COUNTIFS(Счета!$B$10:$B$21,$H135,Счета!$C$10:$C$21,"Кредитная")&gt;0),1,0)</f>
        <v/>
      </c>
    </row>
    <row r="136" ht="19" customHeight="1">
      <c r="B136" s="53">
        <f>IF(AND($C136="",$F136=""),"",ROW()-9)</f>
        <v/>
      </c>
      <c r="C136" s="213" t="n"/>
      <c r="D136" s="55" t="n"/>
      <c r="E136" s="55" t="n"/>
      <c r="F136" s="56" t="n"/>
      <c r="G136" s="196" t="n"/>
      <c r="H136" s="21" t="n"/>
      <c r="I136" s="21" t="n"/>
      <c r="J136" s="53">
        <f>IF($C136="","",INDEX(Настройки!$V$6:$V$17,MONTH($C136))&amp;" "&amp;YEAR($C136))</f>
        <v/>
      </c>
      <c r="K136" s="57">
        <f>IF(OR($F136="",$D136="Перевод"),"",IF(AND(N($G136)&lt;&gt;0,COUNTIFS(Журнал!$C$10:$C$1509,$C136,Журнал!$P$10:$P$1509,$G136)&gt;0),"есть в Журнале",IF(COUNTIF(Постоянные!$C$8:$C$37,$F136)&gt;0,"есть в Постоянных",IF(COUNTIF(Покупки!$C$7:$C$18,$F136)&gt;0,"есть в Покупках",""))))</f>
        <v/>
      </c>
      <c r="P136">
        <f>IF($C136="","",DATE(YEAR($C136),MONTH($C136),1))</f>
        <v/>
      </c>
      <c r="Q136">
        <f>IF(ISNUMBER($G136),ABS($G136),0)</f>
        <v/>
      </c>
      <c r="R136">
        <f>IF(AND($D136="Расход",COUNTIFS(Счета!$B$10:$B$21,$H136,Счета!$C$10:$C$21,"Кредитная")&gt;0),1,0)</f>
        <v/>
      </c>
    </row>
    <row r="137" ht="19" customHeight="1">
      <c r="B137" s="53">
        <f>IF(AND($C137="",$F137=""),"",ROW()-9)</f>
        <v/>
      </c>
      <c r="C137" s="213" t="n"/>
      <c r="D137" s="55" t="n"/>
      <c r="E137" s="55" t="n"/>
      <c r="F137" s="56" t="n"/>
      <c r="G137" s="196" t="n"/>
      <c r="H137" s="21" t="n"/>
      <c r="I137" s="21" t="n"/>
      <c r="J137" s="53">
        <f>IF($C137="","",INDEX(Настройки!$V$6:$V$17,MONTH($C137))&amp;" "&amp;YEAR($C137))</f>
        <v/>
      </c>
      <c r="K137" s="57">
        <f>IF(OR($F137="",$D137="Перевод"),"",IF(AND(N($G137)&lt;&gt;0,COUNTIFS(Журнал!$C$10:$C$1509,$C137,Журнал!$P$10:$P$1509,$G137)&gt;0),"есть в Журнале",IF(COUNTIF(Постоянные!$C$8:$C$37,$F137)&gt;0,"есть в Постоянных",IF(COUNTIF(Покупки!$C$7:$C$18,$F137)&gt;0,"есть в Покупках",""))))</f>
        <v/>
      </c>
      <c r="P137">
        <f>IF($C137="","",DATE(YEAR($C137),MONTH($C137),1))</f>
        <v/>
      </c>
      <c r="Q137">
        <f>IF(ISNUMBER($G137),ABS($G137),0)</f>
        <v/>
      </c>
      <c r="R137">
        <f>IF(AND($D137="Расход",COUNTIFS(Счета!$B$10:$B$21,$H137,Счета!$C$10:$C$21,"Кредитная")&gt;0),1,0)</f>
        <v/>
      </c>
    </row>
    <row r="138" ht="19" customHeight="1">
      <c r="B138" s="53">
        <f>IF(AND($C138="",$F138=""),"",ROW()-9)</f>
        <v/>
      </c>
      <c r="C138" s="213" t="n"/>
      <c r="D138" s="55" t="n"/>
      <c r="E138" s="55" t="n"/>
      <c r="F138" s="56" t="n"/>
      <c r="G138" s="196" t="n"/>
      <c r="H138" s="21" t="n"/>
      <c r="I138" s="21" t="n"/>
      <c r="J138" s="53">
        <f>IF($C138="","",INDEX(Настройки!$V$6:$V$17,MONTH($C138))&amp;" "&amp;YEAR($C138))</f>
        <v/>
      </c>
      <c r="K138" s="57">
        <f>IF(OR($F138="",$D138="Перевод"),"",IF(AND(N($G138)&lt;&gt;0,COUNTIFS(Журнал!$C$10:$C$1509,$C138,Журнал!$P$10:$P$1509,$G138)&gt;0),"есть в Журнале",IF(COUNTIF(Постоянные!$C$8:$C$37,$F138)&gt;0,"есть в Постоянных",IF(COUNTIF(Покупки!$C$7:$C$18,$F138)&gt;0,"есть в Покупках",""))))</f>
        <v/>
      </c>
      <c r="P138">
        <f>IF($C138="","",DATE(YEAR($C138),MONTH($C138),1))</f>
        <v/>
      </c>
      <c r="Q138">
        <f>IF(ISNUMBER($G138),ABS($G138),0)</f>
        <v/>
      </c>
      <c r="R138">
        <f>IF(AND($D138="Расход",COUNTIFS(Счета!$B$10:$B$21,$H138,Счета!$C$10:$C$21,"Кредитная")&gt;0),1,0)</f>
        <v/>
      </c>
    </row>
    <row r="139" ht="19" customHeight="1">
      <c r="B139" s="53">
        <f>IF(AND($C139="",$F139=""),"",ROW()-9)</f>
        <v/>
      </c>
      <c r="C139" s="213" t="n"/>
      <c r="D139" s="55" t="n"/>
      <c r="E139" s="55" t="n"/>
      <c r="F139" s="56" t="n"/>
      <c r="G139" s="196" t="n"/>
      <c r="H139" s="21" t="n"/>
      <c r="I139" s="21" t="n"/>
      <c r="J139" s="53">
        <f>IF($C139="","",INDEX(Настройки!$V$6:$V$17,MONTH($C139))&amp;" "&amp;YEAR($C139))</f>
        <v/>
      </c>
      <c r="K139" s="57">
        <f>IF(OR($F139="",$D139="Перевод"),"",IF(AND(N($G139)&lt;&gt;0,COUNTIFS(Журнал!$C$10:$C$1509,$C139,Журнал!$P$10:$P$1509,$G139)&gt;0),"есть в Журнале",IF(COUNTIF(Постоянные!$C$8:$C$37,$F139)&gt;0,"есть в Постоянных",IF(COUNTIF(Покупки!$C$7:$C$18,$F139)&gt;0,"есть в Покупках",""))))</f>
        <v/>
      </c>
      <c r="P139">
        <f>IF($C139="","",DATE(YEAR($C139),MONTH($C139),1))</f>
        <v/>
      </c>
      <c r="Q139">
        <f>IF(ISNUMBER($G139),ABS($G139),0)</f>
        <v/>
      </c>
      <c r="R139">
        <f>IF(AND($D139="Расход",COUNTIFS(Счета!$B$10:$B$21,$H139,Счета!$C$10:$C$21,"Кредитная")&gt;0),1,0)</f>
        <v/>
      </c>
    </row>
    <row r="140" ht="19" customHeight="1">
      <c r="B140" s="53">
        <f>IF(AND($C140="",$F140=""),"",ROW()-9)</f>
        <v/>
      </c>
      <c r="C140" s="213" t="n"/>
      <c r="D140" s="55" t="n"/>
      <c r="E140" s="55" t="n"/>
      <c r="F140" s="56" t="n"/>
      <c r="G140" s="196" t="n"/>
      <c r="H140" s="21" t="n"/>
      <c r="I140" s="21" t="n"/>
      <c r="J140" s="53">
        <f>IF($C140="","",INDEX(Настройки!$V$6:$V$17,MONTH($C140))&amp;" "&amp;YEAR($C140))</f>
        <v/>
      </c>
      <c r="K140" s="57">
        <f>IF(OR($F140="",$D140="Перевод"),"",IF(AND(N($G140)&lt;&gt;0,COUNTIFS(Журнал!$C$10:$C$1509,$C140,Журнал!$P$10:$P$1509,$G140)&gt;0),"есть в Журнале",IF(COUNTIF(Постоянные!$C$8:$C$37,$F140)&gt;0,"есть в Постоянных",IF(COUNTIF(Покупки!$C$7:$C$18,$F140)&gt;0,"есть в Покупках",""))))</f>
        <v/>
      </c>
      <c r="P140">
        <f>IF($C140="","",DATE(YEAR($C140),MONTH($C140),1))</f>
        <v/>
      </c>
      <c r="Q140">
        <f>IF(ISNUMBER($G140),ABS($G140),0)</f>
        <v/>
      </c>
      <c r="R140">
        <f>IF(AND($D140="Расход",COUNTIFS(Счета!$B$10:$B$21,$H140,Счета!$C$10:$C$21,"Кредитная")&gt;0),1,0)</f>
        <v/>
      </c>
    </row>
    <row r="141" ht="19" customHeight="1">
      <c r="B141" s="53">
        <f>IF(AND($C141="",$F141=""),"",ROW()-9)</f>
        <v/>
      </c>
      <c r="C141" s="213" t="n"/>
      <c r="D141" s="55" t="n"/>
      <c r="E141" s="55" t="n"/>
      <c r="F141" s="56" t="n"/>
      <c r="G141" s="196" t="n"/>
      <c r="H141" s="21" t="n"/>
      <c r="I141" s="21" t="n"/>
      <c r="J141" s="53">
        <f>IF($C141="","",INDEX(Настройки!$V$6:$V$17,MONTH($C141))&amp;" "&amp;YEAR($C141))</f>
        <v/>
      </c>
      <c r="K141" s="57">
        <f>IF(OR($F141="",$D141="Перевод"),"",IF(AND(N($G141)&lt;&gt;0,COUNTIFS(Журнал!$C$10:$C$1509,$C141,Журнал!$P$10:$P$1509,$G141)&gt;0),"есть в Журнале",IF(COUNTIF(Постоянные!$C$8:$C$37,$F141)&gt;0,"есть в Постоянных",IF(COUNTIF(Покупки!$C$7:$C$18,$F141)&gt;0,"есть в Покупках",""))))</f>
        <v/>
      </c>
      <c r="P141">
        <f>IF($C141="","",DATE(YEAR($C141),MONTH($C141),1))</f>
        <v/>
      </c>
      <c r="Q141">
        <f>IF(ISNUMBER($G141),ABS($G141),0)</f>
        <v/>
      </c>
      <c r="R141">
        <f>IF(AND($D141="Расход",COUNTIFS(Счета!$B$10:$B$21,$H141,Счета!$C$10:$C$21,"Кредитная")&gt;0),1,0)</f>
        <v/>
      </c>
    </row>
    <row r="142" ht="19" customHeight="1">
      <c r="B142" s="53">
        <f>IF(AND($C142="",$F142=""),"",ROW()-9)</f>
        <v/>
      </c>
      <c r="C142" s="213" t="n"/>
      <c r="D142" s="55" t="n"/>
      <c r="E142" s="55" t="n"/>
      <c r="F142" s="56" t="n"/>
      <c r="G142" s="196" t="n"/>
      <c r="H142" s="21" t="n"/>
      <c r="I142" s="21" t="n"/>
      <c r="J142" s="53">
        <f>IF($C142="","",INDEX(Настройки!$V$6:$V$17,MONTH($C142))&amp;" "&amp;YEAR($C142))</f>
        <v/>
      </c>
      <c r="K142" s="57">
        <f>IF(OR($F142="",$D142="Перевод"),"",IF(AND(N($G142)&lt;&gt;0,COUNTIFS(Журнал!$C$10:$C$1509,$C142,Журнал!$P$10:$P$1509,$G142)&gt;0),"есть в Журнале",IF(COUNTIF(Постоянные!$C$8:$C$37,$F142)&gt;0,"есть в Постоянных",IF(COUNTIF(Покупки!$C$7:$C$18,$F142)&gt;0,"есть в Покупках",""))))</f>
        <v/>
      </c>
      <c r="P142">
        <f>IF($C142="","",DATE(YEAR($C142),MONTH($C142),1))</f>
        <v/>
      </c>
      <c r="Q142">
        <f>IF(ISNUMBER($G142),ABS($G142),0)</f>
        <v/>
      </c>
      <c r="R142">
        <f>IF(AND($D142="Расход",COUNTIFS(Счета!$B$10:$B$21,$H142,Счета!$C$10:$C$21,"Кредитная")&gt;0),1,0)</f>
        <v/>
      </c>
    </row>
    <row r="143" ht="19" customHeight="1">
      <c r="B143" s="53">
        <f>IF(AND($C143="",$F143=""),"",ROW()-9)</f>
        <v/>
      </c>
      <c r="C143" s="213" t="n"/>
      <c r="D143" s="55" t="n"/>
      <c r="E143" s="55" t="n"/>
      <c r="F143" s="56" t="n"/>
      <c r="G143" s="196" t="n"/>
      <c r="H143" s="21" t="n"/>
      <c r="I143" s="21" t="n"/>
      <c r="J143" s="53">
        <f>IF($C143="","",INDEX(Настройки!$V$6:$V$17,MONTH($C143))&amp;" "&amp;YEAR($C143))</f>
        <v/>
      </c>
      <c r="K143" s="57">
        <f>IF(OR($F143="",$D143="Перевод"),"",IF(AND(N($G143)&lt;&gt;0,COUNTIFS(Журнал!$C$10:$C$1509,$C143,Журнал!$P$10:$P$1509,$G143)&gt;0),"есть в Журнале",IF(COUNTIF(Постоянные!$C$8:$C$37,$F143)&gt;0,"есть в Постоянных",IF(COUNTIF(Покупки!$C$7:$C$18,$F143)&gt;0,"есть в Покупках",""))))</f>
        <v/>
      </c>
      <c r="P143">
        <f>IF($C143="","",DATE(YEAR($C143),MONTH($C143),1))</f>
        <v/>
      </c>
      <c r="Q143">
        <f>IF(ISNUMBER($G143),ABS($G143),0)</f>
        <v/>
      </c>
      <c r="R143">
        <f>IF(AND($D143="Расход",COUNTIFS(Счета!$B$10:$B$21,$H143,Счета!$C$10:$C$21,"Кредитная")&gt;0),1,0)</f>
        <v/>
      </c>
    </row>
    <row r="144" ht="19" customHeight="1">
      <c r="B144" s="53">
        <f>IF(AND($C144="",$F144=""),"",ROW()-9)</f>
        <v/>
      </c>
      <c r="C144" s="213" t="n"/>
      <c r="D144" s="55" t="n"/>
      <c r="E144" s="55" t="n"/>
      <c r="F144" s="56" t="n"/>
      <c r="G144" s="196" t="n"/>
      <c r="H144" s="21" t="n"/>
      <c r="I144" s="21" t="n"/>
      <c r="J144" s="53">
        <f>IF($C144="","",INDEX(Настройки!$V$6:$V$17,MONTH($C144))&amp;" "&amp;YEAR($C144))</f>
        <v/>
      </c>
      <c r="K144" s="57">
        <f>IF(OR($F144="",$D144="Перевод"),"",IF(AND(N($G144)&lt;&gt;0,COUNTIFS(Журнал!$C$10:$C$1509,$C144,Журнал!$P$10:$P$1509,$G144)&gt;0),"есть в Журнале",IF(COUNTIF(Постоянные!$C$8:$C$37,$F144)&gt;0,"есть в Постоянных",IF(COUNTIF(Покупки!$C$7:$C$18,$F144)&gt;0,"есть в Покупках",""))))</f>
        <v/>
      </c>
      <c r="P144">
        <f>IF($C144="","",DATE(YEAR($C144),MONTH($C144),1))</f>
        <v/>
      </c>
      <c r="Q144">
        <f>IF(ISNUMBER($G144),ABS($G144),0)</f>
        <v/>
      </c>
      <c r="R144">
        <f>IF(AND($D144="Расход",COUNTIFS(Счета!$B$10:$B$21,$H144,Счета!$C$10:$C$21,"Кредитная")&gt;0),1,0)</f>
        <v/>
      </c>
    </row>
    <row r="145" ht="19" customHeight="1">
      <c r="B145" s="53">
        <f>IF(AND($C145="",$F145=""),"",ROW()-9)</f>
        <v/>
      </c>
      <c r="C145" s="213" t="n"/>
      <c r="D145" s="55" t="n"/>
      <c r="E145" s="55" t="n"/>
      <c r="F145" s="56" t="n"/>
      <c r="G145" s="196" t="n"/>
      <c r="H145" s="21" t="n"/>
      <c r="I145" s="21" t="n"/>
      <c r="J145" s="53">
        <f>IF($C145="","",INDEX(Настройки!$V$6:$V$17,MONTH($C145))&amp;" "&amp;YEAR($C145))</f>
        <v/>
      </c>
      <c r="K145" s="57">
        <f>IF(OR($F145="",$D145="Перевод"),"",IF(AND(N($G145)&lt;&gt;0,COUNTIFS(Журнал!$C$10:$C$1509,$C145,Журнал!$P$10:$P$1509,$G145)&gt;0),"есть в Журнале",IF(COUNTIF(Постоянные!$C$8:$C$37,$F145)&gt;0,"есть в Постоянных",IF(COUNTIF(Покупки!$C$7:$C$18,$F145)&gt;0,"есть в Покупках",""))))</f>
        <v/>
      </c>
      <c r="P145">
        <f>IF($C145="","",DATE(YEAR($C145),MONTH($C145),1))</f>
        <v/>
      </c>
      <c r="Q145">
        <f>IF(ISNUMBER($G145),ABS($G145),0)</f>
        <v/>
      </c>
      <c r="R145">
        <f>IF(AND($D145="Расход",COUNTIFS(Счета!$B$10:$B$21,$H145,Счета!$C$10:$C$21,"Кредитная")&gt;0),1,0)</f>
        <v/>
      </c>
    </row>
    <row r="146" ht="19" customHeight="1">
      <c r="B146" s="53">
        <f>IF(AND($C146="",$F146=""),"",ROW()-9)</f>
        <v/>
      </c>
      <c r="C146" s="213" t="n"/>
      <c r="D146" s="55" t="n"/>
      <c r="E146" s="55" t="n"/>
      <c r="F146" s="56" t="n"/>
      <c r="G146" s="196" t="n"/>
      <c r="H146" s="21" t="n"/>
      <c r="I146" s="21" t="n"/>
      <c r="J146" s="53">
        <f>IF($C146="","",INDEX(Настройки!$V$6:$V$17,MONTH($C146))&amp;" "&amp;YEAR($C146))</f>
        <v/>
      </c>
      <c r="K146" s="57">
        <f>IF(OR($F146="",$D146="Перевод"),"",IF(AND(N($G146)&lt;&gt;0,COUNTIFS(Журнал!$C$10:$C$1509,$C146,Журнал!$P$10:$P$1509,$G146)&gt;0),"есть в Журнале",IF(COUNTIF(Постоянные!$C$8:$C$37,$F146)&gt;0,"есть в Постоянных",IF(COUNTIF(Покупки!$C$7:$C$18,$F146)&gt;0,"есть в Покупках",""))))</f>
        <v/>
      </c>
      <c r="P146">
        <f>IF($C146="","",DATE(YEAR($C146),MONTH($C146),1))</f>
        <v/>
      </c>
      <c r="Q146">
        <f>IF(ISNUMBER($G146),ABS($G146),0)</f>
        <v/>
      </c>
      <c r="R146">
        <f>IF(AND($D146="Расход",COUNTIFS(Счета!$B$10:$B$21,$H146,Счета!$C$10:$C$21,"Кредитная")&gt;0),1,0)</f>
        <v/>
      </c>
    </row>
    <row r="147" ht="19" customHeight="1">
      <c r="B147" s="53">
        <f>IF(AND($C147="",$F147=""),"",ROW()-9)</f>
        <v/>
      </c>
      <c r="C147" s="213" t="n"/>
      <c r="D147" s="55" t="n"/>
      <c r="E147" s="55" t="n"/>
      <c r="F147" s="56" t="n"/>
      <c r="G147" s="196" t="n"/>
      <c r="H147" s="21" t="n"/>
      <c r="I147" s="21" t="n"/>
      <c r="J147" s="53">
        <f>IF($C147="","",INDEX(Настройки!$V$6:$V$17,MONTH($C147))&amp;" "&amp;YEAR($C147))</f>
        <v/>
      </c>
      <c r="K147" s="57">
        <f>IF(OR($F147="",$D147="Перевод"),"",IF(AND(N($G147)&lt;&gt;0,COUNTIFS(Журнал!$C$10:$C$1509,$C147,Журнал!$P$10:$P$1509,$G147)&gt;0),"есть в Журнале",IF(COUNTIF(Постоянные!$C$8:$C$37,$F147)&gt;0,"есть в Постоянных",IF(COUNTIF(Покупки!$C$7:$C$18,$F147)&gt;0,"есть в Покупках",""))))</f>
        <v/>
      </c>
      <c r="P147">
        <f>IF($C147="","",DATE(YEAR($C147),MONTH($C147),1))</f>
        <v/>
      </c>
      <c r="Q147">
        <f>IF(ISNUMBER($G147),ABS($G147),0)</f>
        <v/>
      </c>
      <c r="R147">
        <f>IF(AND($D147="Расход",COUNTIFS(Счета!$B$10:$B$21,$H147,Счета!$C$10:$C$21,"Кредитная")&gt;0),1,0)</f>
        <v/>
      </c>
    </row>
    <row r="148" ht="19" customHeight="1">
      <c r="B148" s="53">
        <f>IF(AND($C148="",$F148=""),"",ROW()-9)</f>
        <v/>
      </c>
      <c r="C148" s="213" t="n"/>
      <c r="D148" s="55" t="n"/>
      <c r="E148" s="55" t="n"/>
      <c r="F148" s="56" t="n"/>
      <c r="G148" s="196" t="n"/>
      <c r="H148" s="21" t="n"/>
      <c r="I148" s="21" t="n"/>
      <c r="J148" s="53">
        <f>IF($C148="","",INDEX(Настройки!$V$6:$V$17,MONTH($C148))&amp;" "&amp;YEAR($C148))</f>
        <v/>
      </c>
      <c r="K148" s="57">
        <f>IF(OR($F148="",$D148="Перевод"),"",IF(AND(N($G148)&lt;&gt;0,COUNTIFS(Журнал!$C$10:$C$1509,$C148,Журнал!$P$10:$P$1509,$G148)&gt;0),"есть в Журнале",IF(COUNTIF(Постоянные!$C$8:$C$37,$F148)&gt;0,"есть в Постоянных",IF(COUNTIF(Покупки!$C$7:$C$18,$F148)&gt;0,"есть в Покупках",""))))</f>
        <v/>
      </c>
      <c r="P148">
        <f>IF($C148="","",DATE(YEAR($C148),MONTH($C148),1))</f>
        <v/>
      </c>
      <c r="Q148">
        <f>IF(ISNUMBER($G148),ABS($G148),0)</f>
        <v/>
      </c>
      <c r="R148">
        <f>IF(AND($D148="Расход",COUNTIFS(Счета!$B$10:$B$21,$H148,Счета!$C$10:$C$21,"Кредитная")&gt;0),1,0)</f>
        <v/>
      </c>
    </row>
    <row r="149" ht="19" customHeight="1">
      <c r="B149" s="53">
        <f>IF(AND($C149="",$F149=""),"",ROW()-9)</f>
        <v/>
      </c>
      <c r="C149" s="213" t="n"/>
      <c r="D149" s="55" t="n"/>
      <c r="E149" s="55" t="n"/>
      <c r="F149" s="56" t="n"/>
      <c r="G149" s="196" t="n"/>
      <c r="H149" s="21" t="n"/>
      <c r="I149" s="21" t="n"/>
      <c r="J149" s="53">
        <f>IF($C149="","",INDEX(Настройки!$V$6:$V$17,MONTH($C149))&amp;" "&amp;YEAR($C149))</f>
        <v/>
      </c>
      <c r="K149" s="57">
        <f>IF(OR($F149="",$D149="Перевод"),"",IF(AND(N($G149)&lt;&gt;0,COUNTIFS(Журнал!$C$10:$C$1509,$C149,Журнал!$P$10:$P$1509,$G149)&gt;0),"есть в Журнале",IF(COUNTIF(Постоянные!$C$8:$C$37,$F149)&gt;0,"есть в Постоянных",IF(COUNTIF(Покупки!$C$7:$C$18,$F149)&gt;0,"есть в Покупках",""))))</f>
        <v/>
      </c>
      <c r="P149">
        <f>IF($C149="","",DATE(YEAR($C149),MONTH($C149),1))</f>
        <v/>
      </c>
      <c r="Q149">
        <f>IF(ISNUMBER($G149),ABS($G149),0)</f>
        <v/>
      </c>
      <c r="R149">
        <f>IF(AND($D149="Расход",COUNTIFS(Счета!$B$10:$B$21,$H149,Счета!$C$10:$C$21,"Кредитная")&gt;0),1,0)</f>
        <v/>
      </c>
    </row>
    <row r="150" ht="19" customHeight="1">
      <c r="B150" s="53">
        <f>IF(AND($C150="",$F150=""),"",ROW()-9)</f>
        <v/>
      </c>
      <c r="C150" s="213" t="n"/>
      <c r="D150" s="55" t="n"/>
      <c r="E150" s="55" t="n"/>
      <c r="F150" s="56" t="n"/>
      <c r="G150" s="196" t="n"/>
      <c r="H150" s="21" t="n"/>
      <c r="I150" s="21" t="n"/>
      <c r="J150" s="53">
        <f>IF($C150="","",INDEX(Настройки!$V$6:$V$17,MONTH($C150))&amp;" "&amp;YEAR($C150))</f>
        <v/>
      </c>
      <c r="K150" s="57">
        <f>IF(OR($F150="",$D150="Перевод"),"",IF(AND(N($G150)&lt;&gt;0,COUNTIFS(Журнал!$C$10:$C$1509,$C150,Журнал!$P$10:$P$1509,$G150)&gt;0),"есть в Журнале",IF(COUNTIF(Постоянные!$C$8:$C$37,$F150)&gt;0,"есть в Постоянных",IF(COUNTIF(Покупки!$C$7:$C$18,$F150)&gt;0,"есть в Покупках",""))))</f>
        <v/>
      </c>
      <c r="P150">
        <f>IF($C150="","",DATE(YEAR($C150),MONTH($C150),1))</f>
        <v/>
      </c>
      <c r="Q150">
        <f>IF(ISNUMBER($G150),ABS($G150),0)</f>
        <v/>
      </c>
      <c r="R150">
        <f>IF(AND($D150="Расход",COUNTIFS(Счета!$B$10:$B$21,$H150,Счета!$C$10:$C$21,"Кредитная")&gt;0),1,0)</f>
        <v/>
      </c>
    </row>
    <row r="151" ht="19" customHeight="1">
      <c r="B151" s="53">
        <f>IF(AND($C151="",$F151=""),"",ROW()-9)</f>
        <v/>
      </c>
      <c r="C151" s="213" t="n"/>
      <c r="D151" s="55" t="n"/>
      <c r="E151" s="55" t="n"/>
      <c r="F151" s="56" t="n"/>
      <c r="G151" s="196" t="n"/>
      <c r="H151" s="21" t="n"/>
      <c r="I151" s="21" t="n"/>
      <c r="J151" s="53">
        <f>IF($C151="","",INDEX(Настройки!$V$6:$V$17,MONTH($C151))&amp;" "&amp;YEAR($C151))</f>
        <v/>
      </c>
      <c r="K151" s="57">
        <f>IF(OR($F151="",$D151="Перевод"),"",IF(AND(N($G151)&lt;&gt;0,COUNTIFS(Журнал!$C$10:$C$1509,$C151,Журнал!$P$10:$P$1509,$G151)&gt;0),"есть в Журнале",IF(COUNTIF(Постоянные!$C$8:$C$37,$F151)&gt;0,"есть в Постоянных",IF(COUNTIF(Покупки!$C$7:$C$18,$F151)&gt;0,"есть в Покупках",""))))</f>
        <v/>
      </c>
      <c r="P151">
        <f>IF($C151="","",DATE(YEAR($C151),MONTH($C151),1))</f>
        <v/>
      </c>
      <c r="Q151">
        <f>IF(ISNUMBER($G151),ABS($G151),0)</f>
        <v/>
      </c>
      <c r="R151">
        <f>IF(AND($D151="Расход",COUNTIFS(Счета!$B$10:$B$21,$H151,Счета!$C$10:$C$21,"Кредитная")&gt;0),1,0)</f>
        <v/>
      </c>
    </row>
    <row r="152" ht="19" customHeight="1">
      <c r="B152" s="53">
        <f>IF(AND($C152="",$F152=""),"",ROW()-9)</f>
        <v/>
      </c>
      <c r="C152" s="213" t="n"/>
      <c r="D152" s="55" t="n"/>
      <c r="E152" s="55" t="n"/>
      <c r="F152" s="56" t="n"/>
      <c r="G152" s="196" t="n"/>
      <c r="H152" s="21" t="n"/>
      <c r="I152" s="21" t="n"/>
      <c r="J152" s="53">
        <f>IF($C152="","",INDEX(Настройки!$V$6:$V$17,MONTH($C152))&amp;" "&amp;YEAR($C152))</f>
        <v/>
      </c>
      <c r="K152" s="57">
        <f>IF(OR($F152="",$D152="Перевод"),"",IF(AND(N($G152)&lt;&gt;0,COUNTIFS(Журнал!$C$10:$C$1509,$C152,Журнал!$P$10:$P$1509,$G152)&gt;0),"есть в Журнале",IF(COUNTIF(Постоянные!$C$8:$C$37,$F152)&gt;0,"есть в Постоянных",IF(COUNTIF(Покупки!$C$7:$C$18,$F152)&gt;0,"есть в Покупках",""))))</f>
        <v/>
      </c>
      <c r="P152">
        <f>IF($C152="","",DATE(YEAR($C152),MONTH($C152),1))</f>
        <v/>
      </c>
      <c r="Q152">
        <f>IF(ISNUMBER($G152),ABS($G152),0)</f>
        <v/>
      </c>
      <c r="R152">
        <f>IF(AND($D152="Расход",COUNTIFS(Счета!$B$10:$B$21,$H152,Счета!$C$10:$C$21,"Кредитная")&gt;0),1,0)</f>
        <v/>
      </c>
    </row>
    <row r="153" ht="19" customHeight="1">
      <c r="B153" s="53">
        <f>IF(AND($C153="",$F153=""),"",ROW()-9)</f>
        <v/>
      </c>
      <c r="C153" s="213" t="n"/>
      <c r="D153" s="55" t="n"/>
      <c r="E153" s="55" t="n"/>
      <c r="F153" s="56" t="n"/>
      <c r="G153" s="196" t="n"/>
      <c r="H153" s="21" t="n"/>
      <c r="I153" s="21" t="n"/>
      <c r="J153" s="53">
        <f>IF($C153="","",INDEX(Настройки!$V$6:$V$17,MONTH($C153))&amp;" "&amp;YEAR($C153))</f>
        <v/>
      </c>
      <c r="K153" s="57">
        <f>IF(OR($F153="",$D153="Перевод"),"",IF(AND(N($G153)&lt;&gt;0,COUNTIFS(Журнал!$C$10:$C$1509,$C153,Журнал!$P$10:$P$1509,$G153)&gt;0),"есть в Журнале",IF(COUNTIF(Постоянные!$C$8:$C$37,$F153)&gt;0,"есть в Постоянных",IF(COUNTIF(Покупки!$C$7:$C$18,$F153)&gt;0,"есть в Покупках",""))))</f>
        <v/>
      </c>
      <c r="P153">
        <f>IF($C153="","",DATE(YEAR($C153),MONTH($C153),1))</f>
        <v/>
      </c>
      <c r="Q153">
        <f>IF(ISNUMBER($G153),ABS($G153),0)</f>
        <v/>
      </c>
      <c r="R153">
        <f>IF(AND($D153="Расход",COUNTIFS(Счета!$B$10:$B$21,$H153,Счета!$C$10:$C$21,"Кредитная")&gt;0),1,0)</f>
        <v/>
      </c>
    </row>
    <row r="154" ht="19" customHeight="1">
      <c r="B154" s="53">
        <f>IF(AND($C154="",$F154=""),"",ROW()-9)</f>
        <v/>
      </c>
      <c r="C154" s="213" t="n"/>
      <c r="D154" s="55" t="n"/>
      <c r="E154" s="55" t="n"/>
      <c r="F154" s="56" t="n"/>
      <c r="G154" s="196" t="n"/>
      <c r="H154" s="21" t="n"/>
      <c r="I154" s="21" t="n"/>
      <c r="J154" s="53">
        <f>IF($C154="","",INDEX(Настройки!$V$6:$V$17,MONTH($C154))&amp;" "&amp;YEAR($C154))</f>
        <v/>
      </c>
      <c r="K154" s="57">
        <f>IF(OR($F154="",$D154="Перевод"),"",IF(AND(N($G154)&lt;&gt;0,COUNTIFS(Журнал!$C$10:$C$1509,$C154,Журнал!$P$10:$P$1509,$G154)&gt;0),"есть в Журнале",IF(COUNTIF(Постоянные!$C$8:$C$37,$F154)&gt;0,"есть в Постоянных",IF(COUNTIF(Покупки!$C$7:$C$18,$F154)&gt;0,"есть в Покупках",""))))</f>
        <v/>
      </c>
      <c r="P154">
        <f>IF($C154="","",DATE(YEAR($C154),MONTH($C154),1))</f>
        <v/>
      </c>
      <c r="Q154">
        <f>IF(ISNUMBER($G154),ABS($G154),0)</f>
        <v/>
      </c>
      <c r="R154">
        <f>IF(AND($D154="Расход",COUNTIFS(Счета!$B$10:$B$21,$H154,Счета!$C$10:$C$21,"Кредитная")&gt;0),1,0)</f>
        <v/>
      </c>
    </row>
    <row r="155" ht="19" customHeight="1">
      <c r="B155" s="53">
        <f>IF(AND($C155="",$F155=""),"",ROW()-9)</f>
        <v/>
      </c>
      <c r="C155" s="213" t="n"/>
      <c r="D155" s="55" t="n"/>
      <c r="E155" s="55" t="n"/>
      <c r="F155" s="56" t="n"/>
      <c r="G155" s="196" t="n"/>
      <c r="H155" s="21" t="n"/>
      <c r="I155" s="21" t="n"/>
      <c r="J155" s="53">
        <f>IF($C155="","",INDEX(Настройки!$V$6:$V$17,MONTH($C155))&amp;" "&amp;YEAR($C155))</f>
        <v/>
      </c>
      <c r="K155" s="57">
        <f>IF(OR($F155="",$D155="Перевод"),"",IF(AND(N($G155)&lt;&gt;0,COUNTIFS(Журнал!$C$10:$C$1509,$C155,Журнал!$P$10:$P$1509,$G155)&gt;0),"есть в Журнале",IF(COUNTIF(Постоянные!$C$8:$C$37,$F155)&gt;0,"есть в Постоянных",IF(COUNTIF(Покупки!$C$7:$C$18,$F155)&gt;0,"есть в Покупках",""))))</f>
        <v/>
      </c>
      <c r="P155">
        <f>IF($C155="","",DATE(YEAR($C155),MONTH($C155),1))</f>
        <v/>
      </c>
      <c r="Q155">
        <f>IF(ISNUMBER($G155),ABS($G155),0)</f>
        <v/>
      </c>
      <c r="R155">
        <f>IF(AND($D155="Расход",COUNTIFS(Счета!$B$10:$B$21,$H155,Счета!$C$10:$C$21,"Кредитная")&gt;0),1,0)</f>
        <v/>
      </c>
    </row>
    <row r="156" ht="19" customHeight="1">
      <c r="B156" s="53">
        <f>IF(AND($C156="",$F156=""),"",ROW()-9)</f>
        <v/>
      </c>
      <c r="C156" s="213" t="n"/>
      <c r="D156" s="55" t="n"/>
      <c r="E156" s="55" t="n"/>
      <c r="F156" s="56" t="n"/>
      <c r="G156" s="196" t="n"/>
      <c r="H156" s="21" t="n"/>
      <c r="I156" s="21" t="n"/>
      <c r="J156" s="53">
        <f>IF($C156="","",INDEX(Настройки!$V$6:$V$17,MONTH($C156))&amp;" "&amp;YEAR($C156))</f>
        <v/>
      </c>
      <c r="K156" s="57">
        <f>IF(OR($F156="",$D156="Перевод"),"",IF(AND(N($G156)&lt;&gt;0,COUNTIFS(Журнал!$C$10:$C$1509,$C156,Журнал!$P$10:$P$1509,$G156)&gt;0),"есть в Журнале",IF(COUNTIF(Постоянные!$C$8:$C$37,$F156)&gt;0,"есть в Постоянных",IF(COUNTIF(Покупки!$C$7:$C$18,$F156)&gt;0,"есть в Покупках",""))))</f>
        <v/>
      </c>
      <c r="P156">
        <f>IF($C156="","",DATE(YEAR($C156),MONTH($C156),1))</f>
        <v/>
      </c>
      <c r="Q156">
        <f>IF(ISNUMBER($G156),ABS($G156),0)</f>
        <v/>
      </c>
      <c r="R156">
        <f>IF(AND($D156="Расход",COUNTIFS(Счета!$B$10:$B$21,$H156,Счета!$C$10:$C$21,"Кредитная")&gt;0),1,0)</f>
        <v/>
      </c>
    </row>
    <row r="157" ht="19" customHeight="1">
      <c r="B157" s="53">
        <f>IF(AND($C157="",$F157=""),"",ROW()-9)</f>
        <v/>
      </c>
      <c r="C157" s="213" t="n"/>
      <c r="D157" s="55" t="n"/>
      <c r="E157" s="55" t="n"/>
      <c r="F157" s="56" t="n"/>
      <c r="G157" s="196" t="n"/>
      <c r="H157" s="21" t="n"/>
      <c r="I157" s="21" t="n"/>
      <c r="J157" s="53">
        <f>IF($C157="","",INDEX(Настройки!$V$6:$V$17,MONTH($C157))&amp;" "&amp;YEAR($C157))</f>
        <v/>
      </c>
      <c r="K157" s="57">
        <f>IF(OR($F157="",$D157="Перевод"),"",IF(AND(N($G157)&lt;&gt;0,COUNTIFS(Журнал!$C$10:$C$1509,$C157,Журнал!$P$10:$P$1509,$G157)&gt;0),"есть в Журнале",IF(COUNTIF(Постоянные!$C$8:$C$37,$F157)&gt;0,"есть в Постоянных",IF(COUNTIF(Покупки!$C$7:$C$18,$F157)&gt;0,"есть в Покупках",""))))</f>
        <v/>
      </c>
      <c r="P157">
        <f>IF($C157="","",DATE(YEAR($C157),MONTH($C157),1))</f>
        <v/>
      </c>
      <c r="Q157">
        <f>IF(ISNUMBER($G157),ABS($G157),0)</f>
        <v/>
      </c>
      <c r="R157">
        <f>IF(AND($D157="Расход",COUNTIFS(Счета!$B$10:$B$21,$H157,Счета!$C$10:$C$21,"Кредитная")&gt;0),1,0)</f>
        <v/>
      </c>
    </row>
    <row r="158" ht="19" customHeight="1">
      <c r="B158" s="53">
        <f>IF(AND($C158="",$F158=""),"",ROW()-9)</f>
        <v/>
      </c>
      <c r="C158" s="213" t="n"/>
      <c r="D158" s="55" t="n"/>
      <c r="E158" s="55" t="n"/>
      <c r="F158" s="56" t="n"/>
      <c r="G158" s="196" t="n"/>
      <c r="H158" s="21" t="n"/>
      <c r="I158" s="21" t="n"/>
      <c r="J158" s="53">
        <f>IF($C158="","",INDEX(Настройки!$V$6:$V$17,MONTH($C158))&amp;" "&amp;YEAR($C158))</f>
        <v/>
      </c>
      <c r="K158" s="57">
        <f>IF(OR($F158="",$D158="Перевод"),"",IF(AND(N($G158)&lt;&gt;0,COUNTIFS(Журнал!$C$10:$C$1509,$C158,Журнал!$P$10:$P$1509,$G158)&gt;0),"есть в Журнале",IF(COUNTIF(Постоянные!$C$8:$C$37,$F158)&gt;0,"есть в Постоянных",IF(COUNTIF(Покупки!$C$7:$C$18,$F158)&gt;0,"есть в Покупках",""))))</f>
        <v/>
      </c>
      <c r="P158">
        <f>IF($C158="","",DATE(YEAR($C158),MONTH($C158),1))</f>
        <v/>
      </c>
      <c r="Q158">
        <f>IF(ISNUMBER($G158),ABS($G158),0)</f>
        <v/>
      </c>
      <c r="R158">
        <f>IF(AND($D158="Расход",COUNTIFS(Счета!$B$10:$B$21,$H158,Счета!$C$10:$C$21,"Кредитная")&gt;0),1,0)</f>
        <v/>
      </c>
    </row>
    <row r="159" ht="19" customHeight="1">
      <c r="B159" s="53">
        <f>IF(AND($C159="",$F159=""),"",ROW()-9)</f>
        <v/>
      </c>
      <c r="C159" s="213" t="n"/>
      <c r="D159" s="55" t="n"/>
      <c r="E159" s="55" t="n"/>
      <c r="F159" s="56" t="n"/>
      <c r="G159" s="196" t="n"/>
      <c r="H159" s="21" t="n"/>
      <c r="I159" s="21" t="n"/>
      <c r="J159" s="53">
        <f>IF($C159="","",INDEX(Настройки!$V$6:$V$17,MONTH($C159))&amp;" "&amp;YEAR($C159))</f>
        <v/>
      </c>
      <c r="K159" s="57">
        <f>IF(OR($F159="",$D159="Перевод"),"",IF(AND(N($G159)&lt;&gt;0,COUNTIFS(Журнал!$C$10:$C$1509,$C159,Журнал!$P$10:$P$1509,$G159)&gt;0),"есть в Журнале",IF(COUNTIF(Постоянные!$C$8:$C$37,$F159)&gt;0,"есть в Постоянных",IF(COUNTIF(Покупки!$C$7:$C$18,$F159)&gt;0,"есть в Покупках",""))))</f>
        <v/>
      </c>
      <c r="P159">
        <f>IF($C159="","",DATE(YEAR($C159),MONTH($C159),1))</f>
        <v/>
      </c>
      <c r="Q159">
        <f>IF(ISNUMBER($G159),ABS($G159),0)</f>
        <v/>
      </c>
      <c r="R159">
        <f>IF(AND($D159="Расход",COUNTIFS(Счета!$B$10:$B$21,$H159,Счета!$C$10:$C$21,"Кредитная")&gt;0),1,0)</f>
        <v/>
      </c>
    </row>
    <row r="160" ht="19" customHeight="1">
      <c r="B160" s="53">
        <f>IF(AND($C160="",$F160=""),"",ROW()-9)</f>
        <v/>
      </c>
      <c r="C160" s="213" t="n"/>
      <c r="D160" s="55" t="n"/>
      <c r="E160" s="55" t="n"/>
      <c r="F160" s="56" t="n"/>
      <c r="G160" s="196" t="n"/>
      <c r="H160" s="21" t="n"/>
      <c r="I160" s="21" t="n"/>
      <c r="J160" s="53">
        <f>IF($C160="","",INDEX(Настройки!$V$6:$V$17,MONTH($C160))&amp;" "&amp;YEAR($C160))</f>
        <v/>
      </c>
      <c r="K160" s="57">
        <f>IF(OR($F160="",$D160="Перевод"),"",IF(AND(N($G160)&lt;&gt;0,COUNTIFS(Журнал!$C$10:$C$1509,$C160,Журнал!$P$10:$P$1509,$G160)&gt;0),"есть в Журнале",IF(COUNTIF(Постоянные!$C$8:$C$37,$F160)&gt;0,"есть в Постоянных",IF(COUNTIF(Покупки!$C$7:$C$18,$F160)&gt;0,"есть в Покупках",""))))</f>
        <v/>
      </c>
      <c r="P160">
        <f>IF($C160="","",DATE(YEAR($C160),MONTH($C160),1))</f>
        <v/>
      </c>
      <c r="Q160">
        <f>IF(ISNUMBER($G160),ABS($G160),0)</f>
        <v/>
      </c>
      <c r="R160">
        <f>IF(AND($D160="Расход",COUNTIFS(Счета!$B$10:$B$21,$H160,Счета!$C$10:$C$21,"Кредитная")&gt;0),1,0)</f>
        <v/>
      </c>
    </row>
    <row r="161" ht="19" customHeight="1">
      <c r="B161" s="53">
        <f>IF(AND($C161="",$F161=""),"",ROW()-9)</f>
        <v/>
      </c>
      <c r="C161" s="213" t="n"/>
      <c r="D161" s="55" t="n"/>
      <c r="E161" s="55" t="n"/>
      <c r="F161" s="56" t="n"/>
      <c r="G161" s="196" t="n"/>
      <c r="H161" s="21" t="n"/>
      <c r="I161" s="21" t="n"/>
      <c r="J161" s="53">
        <f>IF($C161="","",INDEX(Настройки!$V$6:$V$17,MONTH($C161))&amp;" "&amp;YEAR($C161))</f>
        <v/>
      </c>
      <c r="K161" s="57">
        <f>IF(OR($F161="",$D161="Перевод"),"",IF(AND(N($G161)&lt;&gt;0,COUNTIFS(Журнал!$C$10:$C$1509,$C161,Журнал!$P$10:$P$1509,$G161)&gt;0),"есть в Журнале",IF(COUNTIF(Постоянные!$C$8:$C$37,$F161)&gt;0,"есть в Постоянных",IF(COUNTIF(Покупки!$C$7:$C$18,$F161)&gt;0,"есть в Покупках",""))))</f>
        <v/>
      </c>
      <c r="P161">
        <f>IF($C161="","",DATE(YEAR($C161),MONTH($C161),1))</f>
        <v/>
      </c>
      <c r="Q161">
        <f>IF(ISNUMBER($G161),ABS($G161),0)</f>
        <v/>
      </c>
      <c r="R161">
        <f>IF(AND($D161="Расход",COUNTIFS(Счета!$B$10:$B$21,$H161,Счета!$C$10:$C$21,"Кредитная")&gt;0),1,0)</f>
        <v/>
      </c>
    </row>
    <row r="162" ht="19" customHeight="1">
      <c r="B162" s="53">
        <f>IF(AND($C162="",$F162=""),"",ROW()-9)</f>
        <v/>
      </c>
      <c r="C162" s="213" t="n"/>
      <c r="D162" s="55" t="n"/>
      <c r="E162" s="55" t="n"/>
      <c r="F162" s="56" t="n"/>
      <c r="G162" s="196" t="n"/>
      <c r="H162" s="21" t="n"/>
      <c r="I162" s="21" t="n"/>
      <c r="J162" s="53">
        <f>IF($C162="","",INDEX(Настройки!$V$6:$V$17,MONTH($C162))&amp;" "&amp;YEAR($C162))</f>
        <v/>
      </c>
      <c r="K162" s="57">
        <f>IF(OR($F162="",$D162="Перевод"),"",IF(AND(N($G162)&lt;&gt;0,COUNTIFS(Журнал!$C$10:$C$1509,$C162,Журнал!$P$10:$P$1509,$G162)&gt;0),"есть в Журнале",IF(COUNTIF(Постоянные!$C$8:$C$37,$F162)&gt;0,"есть в Постоянных",IF(COUNTIF(Покупки!$C$7:$C$18,$F162)&gt;0,"есть в Покупках",""))))</f>
        <v/>
      </c>
      <c r="P162">
        <f>IF($C162="","",DATE(YEAR($C162),MONTH($C162),1))</f>
        <v/>
      </c>
      <c r="Q162">
        <f>IF(ISNUMBER($G162),ABS($G162),0)</f>
        <v/>
      </c>
      <c r="R162">
        <f>IF(AND($D162="Расход",COUNTIFS(Счета!$B$10:$B$21,$H162,Счета!$C$10:$C$21,"Кредитная")&gt;0),1,0)</f>
        <v/>
      </c>
    </row>
    <row r="163" ht="19" customHeight="1">
      <c r="B163" s="53">
        <f>IF(AND($C163="",$F163=""),"",ROW()-9)</f>
        <v/>
      </c>
      <c r="C163" s="213" t="n"/>
      <c r="D163" s="55" t="n"/>
      <c r="E163" s="55" t="n"/>
      <c r="F163" s="56" t="n"/>
      <c r="G163" s="196" t="n"/>
      <c r="H163" s="21" t="n"/>
      <c r="I163" s="21" t="n"/>
      <c r="J163" s="53">
        <f>IF($C163="","",INDEX(Настройки!$V$6:$V$17,MONTH($C163))&amp;" "&amp;YEAR($C163))</f>
        <v/>
      </c>
      <c r="K163" s="57">
        <f>IF(OR($F163="",$D163="Перевод"),"",IF(AND(N($G163)&lt;&gt;0,COUNTIFS(Журнал!$C$10:$C$1509,$C163,Журнал!$P$10:$P$1509,$G163)&gt;0),"есть в Журнале",IF(COUNTIF(Постоянные!$C$8:$C$37,$F163)&gt;0,"есть в Постоянных",IF(COUNTIF(Покупки!$C$7:$C$18,$F163)&gt;0,"есть в Покупках",""))))</f>
        <v/>
      </c>
      <c r="P163">
        <f>IF($C163="","",DATE(YEAR($C163),MONTH($C163),1))</f>
        <v/>
      </c>
      <c r="Q163">
        <f>IF(ISNUMBER($G163),ABS($G163),0)</f>
        <v/>
      </c>
      <c r="R163">
        <f>IF(AND($D163="Расход",COUNTIFS(Счета!$B$10:$B$21,$H163,Счета!$C$10:$C$21,"Кредитная")&gt;0),1,0)</f>
        <v/>
      </c>
    </row>
    <row r="164" ht="19" customHeight="1">
      <c r="B164" s="53">
        <f>IF(AND($C164="",$F164=""),"",ROW()-9)</f>
        <v/>
      </c>
      <c r="C164" s="213" t="n"/>
      <c r="D164" s="55" t="n"/>
      <c r="E164" s="55" t="n"/>
      <c r="F164" s="56" t="n"/>
      <c r="G164" s="196" t="n"/>
      <c r="H164" s="21" t="n"/>
      <c r="I164" s="21" t="n"/>
      <c r="J164" s="53">
        <f>IF($C164="","",INDEX(Настройки!$V$6:$V$17,MONTH($C164))&amp;" "&amp;YEAR($C164))</f>
        <v/>
      </c>
      <c r="K164" s="57">
        <f>IF(OR($F164="",$D164="Перевод"),"",IF(AND(N($G164)&lt;&gt;0,COUNTIFS(Журнал!$C$10:$C$1509,$C164,Журнал!$P$10:$P$1509,$G164)&gt;0),"есть в Журнале",IF(COUNTIF(Постоянные!$C$8:$C$37,$F164)&gt;0,"есть в Постоянных",IF(COUNTIF(Покупки!$C$7:$C$18,$F164)&gt;0,"есть в Покупках",""))))</f>
        <v/>
      </c>
      <c r="P164">
        <f>IF($C164="","",DATE(YEAR($C164),MONTH($C164),1))</f>
        <v/>
      </c>
      <c r="Q164">
        <f>IF(ISNUMBER($G164),ABS($G164),0)</f>
        <v/>
      </c>
      <c r="R164">
        <f>IF(AND($D164="Расход",COUNTIFS(Счета!$B$10:$B$21,$H164,Счета!$C$10:$C$21,"Кредитная")&gt;0),1,0)</f>
        <v/>
      </c>
    </row>
    <row r="165" ht="19" customHeight="1">
      <c r="B165" s="53">
        <f>IF(AND($C165="",$F165=""),"",ROW()-9)</f>
        <v/>
      </c>
      <c r="C165" s="213" t="n"/>
      <c r="D165" s="55" t="n"/>
      <c r="E165" s="55" t="n"/>
      <c r="F165" s="56" t="n"/>
      <c r="G165" s="196" t="n"/>
      <c r="H165" s="21" t="n"/>
      <c r="I165" s="21" t="n"/>
      <c r="J165" s="53">
        <f>IF($C165="","",INDEX(Настройки!$V$6:$V$17,MONTH($C165))&amp;" "&amp;YEAR($C165))</f>
        <v/>
      </c>
      <c r="K165" s="57">
        <f>IF(OR($F165="",$D165="Перевод"),"",IF(AND(N($G165)&lt;&gt;0,COUNTIFS(Журнал!$C$10:$C$1509,$C165,Журнал!$P$10:$P$1509,$G165)&gt;0),"есть в Журнале",IF(COUNTIF(Постоянные!$C$8:$C$37,$F165)&gt;0,"есть в Постоянных",IF(COUNTIF(Покупки!$C$7:$C$18,$F165)&gt;0,"есть в Покупках",""))))</f>
        <v/>
      </c>
      <c r="P165">
        <f>IF($C165="","",DATE(YEAR($C165),MONTH($C165),1))</f>
        <v/>
      </c>
      <c r="Q165">
        <f>IF(ISNUMBER($G165),ABS($G165),0)</f>
        <v/>
      </c>
      <c r="R165">
        <f>IF(AND($D165="Расход",COUNTIFS(Счета!$B$10:$B$21,$H165,Счета!$C$10:$C$21,"Кредитная")&gt;0),1,0)</f>
        <v/>
      </c>
    </row>
    <row r="166" ht="19" customHeight="1">
      <c r="B166" s="53">
        <f>IF(AND($C166="",$F166=""),"",ROW()-9)</f>
        <v/>
      </c>
      <c r="C166" s="213" t="n"/>
      <c r="D166" s="55" t="n"/>
      <c r="E166" s="55" t="n"/>
      <c r="F166" s="56" t="n"/>
      <c r="G166" s="196" t="n"/>
      <c r="H166" s="21" t="n"/>
      <c r="I166" s="21" t="n"/>
      <c r="J166" s="53">
        <f>IF($C166="","",INDEX(Настройки!$V$6:$V$17,MONTH($C166))&amp;" "&amp;YEAR($C166))</f>
        <v/>
      </c>
      <c r="K166" s="57">
        <f>IF(OR($F166="",$D166="Перевод"),"",IF(AND(N($G166)&lt;&gt;0,COUNTIFS(Журнал!$C$10:$C$1509,$C166,Журнал!$P$10:$P$1509,$G166)&gt;0),"есть в Журнале",IF(COUNTIF(Постоянные!$C$8:$C$37,$F166)&gt;0,"есть в Постоянных",IF(COUNTIF(Покупки!$C$7:$C$18,$F166)&gt;0,"есть в Покупках",""))))</f>
        <v/>
      </c>
      <c r="P166">
        <f>IF($C166="","",DATE(YEAR($C166),MONTH($C166),1))</f>
        <v/>
      </c>
      <c r="Q166">
        <f>IF(ISNUMBER($G166),ABS($G166),0)</f>
        <v/>
      </c>
      <c r="R166">
        <f>IF(AND($D166="Расход",COUNTIFS(Счета!$B$10:$B$21,$H166,Счета!$C$10:$C$21,"Кредитная")&gt;0),1,0)</f>
        <v/>
      </c>
    </row>
    <row r="167" ht="19" customHeight="1">
      <c r="B167" s="53">
        <f>IF(AND($C167="",$F167=""),"",ROW()-9)</f>
        <v/>
      </c>
      <c r="C167" s="213" t="n"/>
      <c r="D167" s="55" t="n"/>
      <c r="E167" s="55" t="n"/>
      <c r="F167" s="56" t="n"/>
      <c r="G167" s="196" t="n"/>
      <c r="H167" s="21" t="n"/>
      <c r="I167" s="21" t="n"/>
      <c r="J167" s="53">
        <f>IF($C167="","",INDEX(Настройки!$V$6:$V$17,MONTH($C167))&amp;" "&amp;YEAR($C167))</f>
        <v/>
      </c>
      <c r="K167" s="57">
        <f>IF(OR($F167="",$D167="Перевод"),"",IF(AND(N($G167)&lt;&gt;0,COUNTIFS(Журнал!$C$10:$C$1509,$C167,Журнал!$P$10:$P$1509,$G167)&gt;0),"есть в Журнале",IF(COUNTIF(Постоянные!$C$8:$C$37,$F167)&gt;0,"есть в Постоянных",IF(COUNTIF(Покупки!$C$7:$C$18,$F167)&gt;0,"есть в Покупках",""))))</f>
        <v/>
      </c>
      <c r="P167">
        <f>IF($C167="","",DATE(YEAR($C167),MONTH($C167),1))</f>
        <v/>
      </c>
      <c r="Q167">
        <f>IF(ISNUMBER($G167),ABS($G167),0)</f>
        <v/>
      </c>
      <c r="R167">
        <f>IF(AND($D167="Расход",COUNTIFS(Счета!$B$10:$B$21,$H167,Счета!$C$10:$C$21,"Кредитная")&gt;0),1,0)</f>
        <v/>
      </c>
    </row>
    <row r="168" ht="19" customHeight="1">
      <c r="B168" s="53">
        <f>IF(AND($C168="",$F168=""),"",ROW()-9)</f>
        <v/>
      </c>
      <c r="C168" s="213" t="n"/>
      <c r="D168" s="55" t="n"/>
      <c r="E168" s="55" t="n"/>
      <c r="F168" s="56" t="n"/>
      <c r="G168" s="196" t="n"/>
      <c r="H168" s="21" t="n"/>
      <c r="I168" s="21" t="n"/>
      <c r="J168" s="53">
        <f>IF($C168="","",INDEX(Настройки!$V$6:$V$17,MONTH($C168))&amp;" "&amp;YEAR($C168))</f>
        <v/>
      </c>
      <c r="K168" s="57">
        <f>IF(OR($F168="",$D168="Перевод"),"",IF(AND(N($G168)&lt;&gt;0,COUNTIFS(Журнал!$C$10:$C$1509,$C168,Журнал!$P$10:$P$1509,$G168)&gt;0),"есть в Журнале",IF(COUNTIF(Постоянные!$C$8:$C$37,$F168)&gt;0,"есть в Постоянных",IF(COUNTIF(Покупки!$C$7:$C$18,$F168)&gt;0,"есть в Покупках",""))))</f>
        <v/>
      </c>
      <c r="P168">
        <f>IF($C168="","",DATE(YEAR($C168),MONTH($C168),1))</f>
        <v/>
      </c>
      <c r="Q168">
        <f>IF(ISNUMBER($G168),ABS($G168),0)</f>
        <v/>
      </c>
      <c r="R168">
        <f>IF(AND($D168="Расход",COUNTIFS(Счета!$B$10:$B$21,$H168,Счета!$C$10:$C$21,"Кредитная")&gt;0),1,0)</f>
        <v/>
      </c>
    </row>
    <row r="169" ht="19" customHeight="1">
      <c r="B169" s="53">
        <f>IF(AND($C169="",$F169=""),"",ROW()-9)</f>
        <v/>
      </c>
      <c r="C169" s="213" t="n"/>
      <c r="D169" s="55" t="n"/>
      <c r="E169" s="55" t="n"/>
      <c r="F169" s="56" t="n"/>
      <c r="G169" s="196" t="n"/>
      <c r="H169" s="21" t="n"/>
      <c r="I169" s="21" t="n"/>
      <c r="J169" s="53">
        <f>IF($C169="","",INDEX(Настройки!$V$6:$V$17,MONTH($C169))&amp;" "&amp;YEAR($C169))</f>
        <v/>
      </c>
      <c r="K169" s="57">
        <f>IF(OR($F169="",$D169="Перевод"),"",IF(AND(N($G169)&lt;&gt;0,COUNTIFS(Журнал!$C$10:$C$1509,$C169,Журнал!$P$10:$P$1509,$G169)&gt;0),"есть в Журнале",IF(COUNTIF(Постоянные!$C$8:$C$37,$F169)&gt;0,"есть в Постоянных",IF(COUNTIF(Покупки!$C$7:$C$18,$F169)&gt;0,"есть в Покупках",""))))</f>
        <v/>
      </c>
      <c r="P169">
        <f>IF($C169="","",DATE(YEAR($C169),MONTH($C169),1))</f>
        <v/>
      </c>
      <c r="Q169">
        <f>IF(ISNUMBER($G169),ABS($G169),0)</f>
        <v/>
      </c>
      <c r="R169">
        <f>IF(AND($D169="Расход",COUNTIFS(Счета!$B$10:$B$21,$H169,Счета!$C$10:$C$21,"Кредитная")&gt;0),1,0)</f>
        <v/>
      </c>
    </row>
    <row r="170" ht="19" customHeight="1">
      <c r="B170" s="53">
        <f>IF(AND($C170="",$F170=""),"",ROW()-9)</f>
        <v/>
      </c>
      <c r="C170" s="213" t="n"/>
      <c r="D170" s="55" t="n"/>
      <c r="E170" s="55" t="n"/>
      <c r="F170" s="56" t="n"/>
      <c r="G170" s="196" t="n"/>
      <c r="H170" s="21" t="n"/>
      <c r="I170" s="21" t="n"/>
      <c r="J170" s="53">
        <f>IF($C170="","",INDEX(Настройки!$V$6:$V$17,MONTH($C170))&amp;" "&amp;YEAR($C170))</f>
        <v/>
      </c>
      <c r="K170" s="57">
        <f>IF(OR($F170="",$D170="Перевод"),"",IF(AND(N($G170)&lt;&gt;0,COUNTIFS(Журнал!$C$10:$C$1509,$C170,Журнал!$P$10:$P$1509,$G170)&gt;0),"есть в Журнале",IF(COUNTIF(Постоянные!$C$8:$C$37,$F170)&gt;0,"есть в Постоянных",IF(COUNTIF(Покупки!$C$7:$C$18,$F170)&gt;0,"есть в Покупках",""))))</f>
        <v/>
      </c>
      <c r="P170">
        <f>IF($C170="","",DATE(YEAR($C170),MONTH($C170),1))</f>
        <v/>
      </c>
      <c r="Q170">
        <f>IF(ISNUMBER($G170),ABS($G170),0)</f>
        <v/>
      </c>
      <c r="R170">
        <f>IF(AND($D170="Расход",COUNTIFS(Счета!$B$10:$B$21,$H170,Счета!$C$10:$C$21,"Кредитная")&gt;0),1,0)</f>
        <v/>
      </c>
    </row>
    <row r="171" ht="19" customHeight="1">
      <c r="B171" s="53">
        <f>IF(AND($C171="",$F171=""),"",ROW()-9)</f>
        <v/>
      </c>
      <c r="C171" s="213" t="n"/>
      <c r="D171" s="55" t="n"/>
      <c r="E171" s="55" t="n"/>
      <c r="F171" s="56" t="n"/>
      <c r="G171" s="196" t="n"/>
      <c r="H171" s="21" t="n"/>
      <c r="I171" s="21" t="n"/>
      <c r="J171" s="53">
        <f>IF($C171="","",INDEX(Настройки!$V$6:$V$17,MONTH($C171))&amp;" "&amp;YEAR($C171))</f>
        <v/>
      </c>
      <c r="K171" s="57">
        <f>IF(OR($F171="",$D171="Перевод"),"",IF(AND(N($G171)&lt;&gt;0,COUNTIFS(Журнал!$C$10:$C$1509,$C171,Журнал!$P$10:$P$1509,$G171)&gt;0),"есть в Журнале",IF(COUNTIF(Постоянные!$C$8:$C$37,$F171)&gt;0,"есть в Постоянных",IF(COUNTIF(Покупки!$C$7:$C$18,$F171)&gt;0,"есть в Покупках",""))))</f>
        <v/>
      </c>
      <c r="P171">
        <f>IF($C171="","",DATE(YEAR($C171),MONTH($C171),1))</f>
        <v/>
      </c>
      <c r="Q171">
        <f>IF(ISNUMBER($G171),ABS($G171),0)</f>
        <v/>
      </c>
      <c r="R171">
        <f>IF(AND($D171="Расход",COUNTIFS(Счета!$B$10:$B$21,$H171,Счета!$C$10:$C$21,"Кредитная")&gt;0),1,0)</f>
        <v/>
      </c>
    </row>
    <row r="172" ht="19" customHeight="1">
      <c r="B172" s="53">
        <f>IF(AND($C172="",$F172=""),"",ROW()-9)</f>
        <v/>
      </c>
      <c r="C172" s="213" t="n"/>
      <c r="D172" s="55" t="n"/>
      <c r="E172" s="55" t="n"/>
      <c r="F172" s="56" t="n"/>
      <c r="G172" s="196" t="n"/>
      <c r="H172" s="21" t="n"/>
      <c r="I172" s="21" t="n"/>
      <c r="J172" s="53">
        <f>IF($C172="","",INDEX(Настройки!$V$6:$V$17,MONTH($C172))&amp;" "&amp;YEAR($C172))</f>
        <v/>
      </c>
      <c r="K172" s="57">
        <f>IF(OR($F172="",$D172="Перевод"),"",IF(AND(N($G172)&lt;&gt;0,COUNTIFS(Журнал!$C$10:$C$1509,$C172,Журнал!$P$10:$P$1509,$G172)&gt;0),"есть в Журнале",IF(COUNTIF(Постоянные!$C$8:$C$37,$F172)&gt;0,"есть в Постоянных",IF(COUNTIF(Покупки!$C$7:$C$18,$F172)&gt;0,"есть в Покупках",""))))</f>
        <v/>
      </c>
      <c r="P172">
        <f>IF($C172="","",DATE(YEAR($C172),MONTH($C172),1))</f>
        <v/>
      </c>
      <c r="Q172">
        <f>IF(ISNUMBER($G172),ABS($G172),0)</f>
        <v/>
      </c>
      <c r="R172">
        <f>IF(AND($D172="Расход",COUNTIFS(Счета!$B$10:$B$21,$H172,Счета!$C$10:$C$21,"Кредитная")&gt;0),1,0)</f>
        <v/>
      </c>
    </row>
    <row r="173" ht="19" customHeight="1">
      <c r="B173" s="53">
        <f>IF(AND($C173="",$F173=""),"",ROW()-9)</f>
        <v/>
      </c>
      <c r="C173" s="213" t="n"/>
      <c r="D173" s="55" t="n"/>
      <c r="E173" s="55" t="n"/>
      <c r="F173" s="56" t="n"/>
      <c r="G173" s="196" t="n"/>
      <c r="H173" s="21" t="n"/>
      <c r="I173" s="21" t="n"/>
      <c r="J173" s="53">
        <f>IF($C173="","",INDEX(Настройки!$V$6:$V$17,MONTH($C173))&amp;" "&amp;YEAR($C173))</f>
        <v/>
      </c>
      <c r="K173" s="57">
        <f>IF(OR($F173="",$D173="Перевод"),"",IF(AND(N($G173)&lt;&gt;0,COUNTIFS(Журнал!$C$10:$C$1509,$C173,Журнал!$P$10:$P$1509,$G173)&gt;0),"есть в Журнале",IF(COUNTIF(Постоянные!$C$8:$C$37,$F173)&gt;0,"есть в Постоянных",IF(COUNTIF(Покупки!$C$7:$C$18,$F173)&gt;0,"есть в Покупках",""))))</f>
        <v/>
      </c>
      <c r="P173">
        <f>IF($C173="","",DATE(YEAR($C173),MONTH($C173),1))</f>
        <v/>
      </c>
      <c r="Q173">
        <f>IF(ISNUMBER($G173),ABS($G173),0)</f>
        <v/>
      </c>
      <c r="R173">
        <f>IF(AND($D173="Расход",COUNTIFS(Счета!$B$10:$B$21,$H173,Счета!$C$10:$C$21,"Кредитная")&gt;0),1,0)</f>
        <v/>
      </c>
    </row>
    <row r="174" ht="19" customHeight="1">
      <c r="B174" s="53">
        <f>IF(AND($C174="",$F174=""),"",ROW()-9)</f>
        <v/>
      </c>
      <c r="C174" s="213" t="n"/>
      <c r="D174" s="55" t="n"/>
      <c r="E174" s="55" t="n"/>
      <c r="F174" s="56" t="n"/>
      <c r="G174" s="196" t="n"/>
      <c r="H174" s="21" t="n"/>
      <c r="I174" s="21" t="n"/>
      <c r="J174" s="53">
        <f>IF($C174="","",INDEX(Настройки!$V$6:$V$17,MONTH($C174))&amp;" "&amp;YEAR($C174))</f>
        <v/>
      </c>
      <c r="K174" s="57">
        <f>IF(OR($F174="",$D174="Перевод"),"",IF(AND(N($G174)&lt;&gt;0,COUNTIFS(Журнал!$C$10:$C$1509,$C174,Журнал!$P$10:$P$1509,$G174)&gt;0),"есть в Журнале",IF(COUNTIF(Постоянные!$C$8:$C$37,$F174)&gt;0,"есть в Постоянных",IF(COUNTIF(Покупки!$C$7:$C$18,$F174)&gt;0,"есть в Покупках",""))))</f>
        <v/>
      </c>
      <c r="P174">
        <f>IF($C174="","",DATE(YEAR($C174),MONTH($C174),1))</f>
        <v/>
      </c>
      <c r="Q174">
        <f>IF(ISNUMBER($G174),ABS($G174),0)</f>
        <v/>
      </c>
      <c r="R174">
        <f>IF(AND($D174="Расход",COUNTIFS(Счета!$B$10:$B$21,$H174,Счета!$C$10:$C$21,"Кредитная")&gt;0),1,0)</f>
        <v/>
      </c>
    </row>
    <row r="175" ht="19" customHeight="1">
      <c r="B175" s="53">
        <f>IF(AND($C175="",$F175=""),"",ROW()-9)</f>
        <v/>
      </c>
      <c r="C175" s="213" t="n"/>
      <c r="D175" s="55" t="n"/>
      <c r="E175" s="55" t="n"/>
      <c r="F175" s="56" t="n"/>
      <c r="G175" s="196" t="n"/>
      <c r="H175" s="21" t="n"/>
      <c r="I175" s="21" t="n"/>
      <c r="J175" s="53">
        <f>IF($C175="","",INDEX(Настройки!$V$6:$V$17,MONTH($C175))&amp;" "&amp;YEAR($C175))</f>
        <v/>
      </c>
      <c r="K175" s="57">
        <f>IF(OR($F175="",$D175="Перевод"),"",IF(AND(N($G175)&lt;&gt;0,COUNTIFS(Журнал!$C$10:$C$1509,$C175,Журнал!$P$10:$P$1509,$G175)&gt;0),"есть в Журнале",IF(COUNTIF(Постоянные!$C$8:$C$37,$F175)&gt;0,"есть в Постоянных",IF(COUNTIF(Покупки!$C$7:$C$18,$F175)&gt;0,"есть в Покупках",""))))</f>
        <v/>
      </c>
      <c r="P175">
        <f>IF($C175="","",DATE(YEAR($C175),MONTH($C175),1))</f>
        <v/>
      </c>
      <c r="Q175">
        <f>IF(ISNUMBER($G175),ABS($G175),0)</f>
        <v/>
      </c>
      <c r="R175">
        <f>IF(AND($D175="Расход",COUNTIFS(Счета!$B$10:$B$21,$H175,Счета!$C$10:$C$21,"Кредитная")&gt;0),1,0)</f>
        <v/>
      </c>
    </row>
    <row r="176" ht="19" customHeight="1">
      <c r="B176" s="53">
        <f>IF(AND($C176="",$F176=""),"",ROW()-9)</f>
        <v/>
      </c>
      <c r="C176" s="213" t="n"/>
      <c r="D176" s="55" t="n"/>
      <c r="E176" s="55" t="n"/>
      <c r="F176" s="56" t="n"/>
      <c r="G176" s="196" t="n"/>
      <c r="H176" s="21" t="n"/>
      <c r="I176" s="21" t="n"/>
      <c r="J176" s="53">
        <f>IF($C176="","",INDEX(Настройки!$V$6:$V$17,MONTH($C176))&amp;" "&amp;YEAR($C176))</f>
        <v/>
      </c>
      <c r="K176" s="57">
        <f>IF(OR($F176="",$D176="Перевод"),"",IF(AND(N($G176)&lt;&gt;0,COUNTIFS(Журнал!$C$10:$C$1509,$C176,Журнал!$P$10:$P$1509,$G176)&gt;0),"есть в Журнале",IF(COUNTIF(Постоянные!$C$8:$C$37,$F176)&gt;0,"есть в Постоянных",IF(COUNTIF(Покупки!$C$7:$C$18,$F176)&gt;0,"есть в Покупках",""))))</f>
        <v/>
      </c>
      <c r="P176">
        <f>IF($C176="","",DATE(YEAR($C176),MONTH($C176),1))</f>
        <v/>
      </c>
      <c r="Q176">
        <f>IF(ISNUMBER($G176),ABS($G176),0)</f>
        <v/>
      </c>
      <c r="R176">
        <f>IF(AND($D176="Расход",COUNTIFS(Счета!$B$10:$B$21,$H176,Счета!$C$10:$C$21,"Кредитная")&gt;0),1,0)</f>
        <v/>
      </c>
    </row>
    <row r="177" ht="19" customHeight="1">
      <c r="B177" s="53">
        <f>IF(AND($C177="",$F177=""),"",ROW()-9)</f>
        <v/>
      </c>
      <c r="C177" s="213" t="n"/>
      <c r="D177" s="55" t="n"/>
      <c r="E177" s="55" t="n"/>
      <c r="F177" s="56" t="n"/>
      <c r="G177" s="196" t="n"/>
      <c r="H177" s="21" t="n"/>
      <c r="I177" s="21" t="n"/>
      <c r="J177" s="53">
        <f>IF($C177="","",INDEX(Настройки!$V$6:$V$17,MONTH($C177))&amp;" "&amp;YEAR($C177))</f>
        <v/>
      </c>
      <c r="K177" s="57">
        <f>IF(OR($F177="",$D177="Перевод"),"",IF(AND(N($G177)&lt;&gt;0,COUNTIFS(Журнал!$C$10:$C$1509,$C177,Журнал!$P$10:$P$1509,$G177)&gt;0),"есть в Журнале",IF(COUNTIF(Постоянные!$C$8:$C$37,$F177)&gt;0,"есть в Постоянных",IF(COUNTIF(Покупки!$C$7:$C$18,$F177)&gt;0,"есть в Покупках",""))))</f>
        <v/>
      </c>
      <c r="P177">
        <f>IF($C177="","",DATE(YEAR($C177),MONTH($C177),1))</f>
        <v/>
      </c>
      <c r="Q177">
        <f>IF(ISNUMBER($G177),ABS($G177),0)</f>
        <v/>
      </c>
      <c r="R177">
        <f>IF(AND($D177="Расход",COUNTIFS(Счета!$B$10:$B$21,$H177,Счета!$C$10:$C$21,"Кредитная")&gt;0),1,0)</f>
        <v/>
      </c>
    </row>
    <row r="178" ht="19" customHeight="1">
      <c r="B178" s="53">
        <f>IF(AND($C178="",$F178=""),"",ROW()-9)</f>
        <v/>
      </c>
      <c r="C178" s="213" t="n"/>
      <c r="D178" s="55" t="n"/>
      <c r="E178" s="55" t="n"/>
      <c r="F178" s="56" t="n"/>
      <c r="G178" s="196" t="n"/>
      <c r="H178" s="21" t="n"/>
      <c r="I178" s="21" t="n"/>
      <c r="J178" s="53">
        <f>IF($C178="","",INDEX(Настройки!$V$6:$V$17,MONTH($C178))&amp;" "&amp;YEAR($C178))</f>
        <v/>
      </c>
      <c r="K178" s="57">
        <f>IF(OR($F178="",$D178="Перевод"),"",IF(AND(N($G178)&lt;&gt;0,COUNTIFS(Журнал!$C$10:$C$1509,$C178,Журнал!$P$10:$P$1509,$G178)&gt;0),"есть в Журнале",IF(COUNTIF(Постоянные!$C$8:$C$37,$F178)&gt;0,"есть в Постоянных",IF(COUNTIF(Покупки!$C$7:$C$18,$F178)&gt;0,"есть в Покупках",""))))</f>
        <v/>
      </c>
      <c r="P178">
        <f>IF($C178="","",DATE(YEAR($C178),MONTH($C178),1))</f>
        <v/>
      </c>
      <c r="Q178">
        <f>IF(ISNUMBER($G178),ABS($G178),0)</f>
        <v/>
      </c>
      <c r="R178">
        <f>IF(AND($D178="Расход",COUNTIFS(Счета!$B$10:$B$21,$H178,Счета!$C$10:$C$21,"Кредитная")&gt;0),1,0)</f>
        <v/>
      </c>
    </row>
    <row r="179" ht="19" customHeight="1">
      <c r="B179" s="53">
        <f>IF(AND($C179="",$F179=""),"",ROW()-9)</f>
        <v/>
      </c>
      <c r="C179" s="213" t="n"/>
      <c r="D179" s="55" t="n"/>
      <c r="E179" s="55" t="n"/>
      <c r="F179" s="56" t="n"/>
      <c r="G179" s="196" t="n"/>
      <c r="H179" s="21" t="n"/>
      <c r="I179" s="21" t="n"/>
      <c r="J179" s="53">
        <f>IF($C179="","",INDEX(Настройки!$V$6:$V$17,MONTH($C179))&amp;" "&amp;YEAR($C179))</f>
        <v/>
      </c>
      <c r="K179" s="57">
        <f>IF(OR($F179="",$D179="Перевод"),"",IF(AND(N($G179)&lt;&gt;0,COUNTIFS(Журнал!$C$10:$C$1509,$C179,Журнал!$P$10:$P$1509,$G179)&gt;0),"есть в Журнале",IF(COUNTIF(Постоянные!$C$8:$C$37,$F179)&gt;0,"есть в Постоянных",IF(COUNTIF(Покупки!$C$7:$C$18,$F179)&gt;0,"есть в Покупках",""))))</f>
        <v/>
      </c>
      <c r="P179">
        <f>IF($C179="","",DATE(YEAR($C179),MONTH($C179),1))</f>
        <v/>
      </c>
      <c r="Q179">
        <f>IF(ISNUMBER($G179),ABS($G179),0)</f>
        <v/>
      </c>
      <c r="R179">
        <f>IF(AND($D179="Расход",COUNTIFS(Счета!$B$10:$B$21,$H179,Счета!$C$10:$C$21,"Кредитная")&gt;0),1,0)</f>
        <v/>
      </c>
    </row>
    <row r="180" ht="19" customHeight="1">
      <c r="B180" s="53">
        <f>IF(AND($C180="",$F180=""),"",ROW()-9)</f>
        <v/>
      </c>
      <c r="C180" s="213" t="n"/>
      <c r="D180" s="55" t="n"/>
      <c r="E180" s="55" t="n"/>
      <c r="F180" s="56" t="n"/>
      <c r="G180" s="196" t="n"/>
      <c r="H180" s="21" t="n"/>
      <c r="I180" s="21" t="n"/>
      <c r="J180" s="53">
        <f>IF($C180="","",INDEX(Настройки!$V$6:$V$17,MONTH($C180))&amp;" "&amp;YEAR($C180))</f>
        <v/>
      </c>
      <c r="K180" s="57">
        <f>IF(OR($F180="",$D180="Перевод"),"",IF(AND(N($G180)&lt;&gt;0,COUNTIFS(Журнал!$C$10:$C$1509,$C180,Журнал!$P$10:$P$1509,$G180)&gt;0),"есть в Журнале",IF(COUNTIF(Постоянные!$C$8:$C$37,$F180)&gt;0,"есть в Постоянных",IF(COUNTIF(Покупки!$C$7:$C$18,$F180)&gt;0,"есть в Покупках",""))))</f>
        <v/>
      </c>
      <c r="P180">
        <f>IF($C180="","",DATE(YEAR($C180),MONTH($C180),1))</f>
        <v/>
      </c>
      <c r="Q180">
        <f>IF(ISNUMBER($G180),ABS($G180),0)</f>
        <v/>
      </c>
      <c r="R180">
        <f>IF(AND($D180="Расход",COUNTIFS(Счета!$B$10:$B$21,$H180,Счета!$C$10:$C$21,"Кредитная")&gt;0),1,0)</f>
        <v/>
      </c>
    </row>
    <row r="181" ht="19" customHeight="1">
      <c r="B181" s="53">
        <f>IF(AND($C181="",$F181=""),"",ROW()-9)</f>
        <v/>
      </c>
      <c r="C181" s="213" t="n"/>
      <c r="D181" s="55" t="n"/>
      <c r="E181" s="55" t="n"/>
      <c r="F181" s="56" t="n"/>
      <c r="G181" s="196" t="n"/>
      <c r="H181" s="21" t="n"/>
      <c r="I181" s="21" t="n"/>
      <c r="J181" s="53">
        <f>IF($C181="","",INDEX(Настройки!$V$6:$V$17,MONTH($C181))&amp;" "&amp;YEAR($C181))</f>
        <v/>
      </c>
      <c r="K181" s="57">
        <f>IF(OR($F181="",$D181="Перевод"),"",IF(AND(N($G181)&lt;&gt;0,COUNTIFS(Журнал!$C$10:$C$1509,$C181,Журнал!$P$10:$P$1509,$G181)&gt;0),"есть в Журнале",IF(COUNTIF(Постоянные!$C$8:$C$37,$F181)&gt;0,"есть в Постоянных",IF(COUNTIF(Покупки!$C$7:$C$18,$F181)&gt;0,"есть в Покупках",""))))</f>
        <v/>
      </c>
      <c r="P181">
        <f>IF($C181="","",DATE(YEAR($C181),MONTH($C181),1))</f>
        <v/>
      </c>
      <c r="Q181">
        <f>IF(ISNUMBER($G181),ABS($G181),0)</f>
        <v/>
      </c>
      <c r="R181">
        <f>IF(AND($D181="Расход",COUNTIFS(Счета!$B$10:$B$21,$H181,Счета!$C$10:$C$21,"Кредитная")&gt;0),1,0)</f>
        <v/>
      </c>
    </row>
    <row r="182" ht="19" customHeight="1">
      <c r="B182" s="53">
        <f>IF(AND($C182="",$F182=""),"",ROW()-9)</f>
        <v/>
      </c>
      <c r="C182" s="213" t="n"/>
      <c r="D182" s="55" t="n"/>
      <c r="E182" s="55" t="n"/>
      <c r="F182" s="56" t="n"/>
      <c r="G182" s="196" t="n"/>
      <c r="H182" s="21" t="n"/>
      <c r="I182" s="21" t="n"/>
      <c r="J182" s="53">
        <f>IF($C182="","",INDEX(Настройки!$V$6:$V$17,MONTH($C182))&amp;" "&amp;YEAR($C182))</f>
        <v/>
      </c>
      <c r="K182" s="57">
        <f>IF(OR($F182="",$D182="Перевод"),"",IF(AND(N($G182)&lt;&gt;0,COUNTIFS(Журнал!$C$10:$C$1509,$C182,Журнал!$P$10:$P$1509,$G182)&gt;0),"есть в Журнале",IF(COUNTIF(Постоянные!$C$8:$C$37,$F182)&gt;0,"есть в Постоянных",IF(COUNTIF(Покупки!$C$7:$C$18,$F182)&gt;0,"есть в Покупках",""))))</f>
        <v/>
      </c>
      <c r="P182">
        <f>IF($C182="","",DATE(YEAR($C182),MONTH($C182),1))</f>
        <v/>
      </c>
      <c r="Q182">
        <f>IF(ISNUMBER($G182),ABS($G182),0)</f>
        <v/>
      </c>
      <c r="R182">
        <f>IF(AND($D182="Расход",COUNTIFS(Счета!$B$10:$B$21,$H182,Счета!$C$10:$C$21,"Кредитная")&gt;0),1,0)</f>
        <v/>
      </c>
    </row>
    <row r="183" ht="19" customHeight="1">
      <c r="B183" s="53">
        <f>IF(AND($C183="",$F183=""),"",ROW()-9)</f>
        <v/>
      </c>
      <c r="C183" s="213" t="n"/>
      <c r="D183" s="55" t="n"/>
      <c r="E183" s="55" t="n"/>
      <c r="F183" s="56" t="n"/>
      <c r="G183" s="196" t="n"/>
      <c r="H183" s="21" t="n"/>
      <c r="I183" s="21" t="n"/>
      <c r="J183" s="53">
        <f>IF($C183="","",INDEX(Настройки!$V$6:$V$17,MONTH($C183))&amp;" "&amp;YEAR($C183))</f>
        <v/>
      </c>
      <c r="K183" s="57">
        <f>IF(OR($F183="",$D183="Перевод"),"",IF(AND(N($G183)&lt;&gt;0,COUNTIFS(Журнал!$C$10:$C$1509,$C183,Журнал!$P$10:$P$1509,$G183)&gt;0),"есть в Журнале",IF(COUNTIF(Постоянные!$C$8:$C$37,$F183)&gt;0,"есть в Постоянных",IF(COUNTIF(Покупки!$C$7:$C$18,$F183)&gt;0,"есть в Покупках",""))))</f>
        <v/>
      </c>
      <c r="P183">
        <f>IF($C183="","",DATE(YEAR($C183),MONTH($C183),1))</f>
        <v/>
      </c>
      <c r="Q183">
        <f>IF(ISNUMBER($G183),ABS($G183),0)</f>
        <v/>
      </c>
      <c r="R183">
        <f>IF(AND($D183="Расход",COUNTIFS(Счета!$B$10:$B$21,$H183,Счета!$C$10:$C$21,"Кредитная")&gt;0),1,0)</f>
        <v/>
      </c>
    </row>
    <row r="184" ht="19" customHeight="1">
      <c r="B184" s="53">
        <f>IF(AND($C184="",$F184=""),"",ROW()-9)</f>
        <v/>
      </c>
      <c r="C184" s="213" t="n"/>
      <c r="D184" s="55" t="n"/>
      <c r="E184" s="55" t="n"/>
      <c r="F184" s="56" t="n"/>
      <c r="G184" s="196" t="n"/>
      <c r="H184" s="21" t="n"/>
      <c r="I184" s="21" t="n"/>
      <c r="J184" s="53">
        <f>IF($C184="","",INDEX(Настройки!$V$6:$V$17,MONTH($C184))&amp;" "&amp;YEAR($C184))</f>
        <v/>
      </c>
      <c r="K184" s="57">
        <f>IF(OR($F184="",$D184="Перевод"),"",IF(AND(N($G184)&lt;&gt;0,COUNTIFS(Журнал!$C$10:$C$1509,$C184,Журнал!$P$10:$P$1509,$G184)&gt;0),"есть в Журнале",IF(COUNTIF(Постоянные!$C$8:$C$37,$F184)&gt;0,"есть в Постоянных",IF(COUNTIF(Покупки!$C$7:$C$18,$F184)&gt;0,"есть в Покупках",""))))</f>
        <v/>
      </c>
      <c r="P184">
        <f>IF($C184="","",DATE(YEAR($C184),MONTH($C184),1))</f>
        <v/>
      </c>
      <c r="Q184">
        <f>IF(ISNUMBER($G184),ABS($G184),0)</f>
        <v/>
      </c>
      <c r="R184">
        <f>IF(AND($D184="Расход",COUNTIFS(Счета!$B$10:$B$21,$H184,Счета!$C$10:$C$21,"Кредитная")&gt;0),1,0)</f>
        <v/>
      </c>
    </row>
    <row r="185" ht="19" customHeight="1">
      <c r="B185" s="53">
        <f>IF(AND($C185="",$F185=""),"",ROW()-9)</f>
        <v/>
      </c>
      <c r="C185" s="213" t="n"/>
      <c r="D185" s="55" t="n"/>
      <c r="E185" s="55" t="n"/>
      <c r="F185" s="56" t="n"/>
      <c r="G185" s="196" t="n"/>
      <c r="H185" s="21" t="n"/>
      <c r="I185" s="21" t="n"/>
      <c r="J185" s="53">
        <f>IF($C185="","",INDEX(Настройки!$V$6:$V$17,MONTH($C185))&amp;" "&amp;YEAR($C185))</f>
        <v/>
      </c>
      <c r="K185" s="57">
        <f>IF(OR($F185="",$D185="Перевод"),"",IF(AND(N($G185)&lt;&gt;0,COUNTIFS(Журнал!$C$10:$C$1509,$C185,Журнал!$P$10:$P$1509,$G185)&gt;0),"есть в Журнале",IF(COUNTIF(Постоянные!$C$8:$C$37,$F185)&gt;0,"есть в Постоянных",IF(COUNTIF(Покупки!$C$7:$C$18,$F185)&gt;0,"есть в Покупках",""))))</f>
        <v/>
      </c>
      <c r="P185">
        <f>IF($C185="","",DATE(YEAR($C185),MONTH($C185),1))</f>
        <v/>
      </c>
      <c r="Q185">
        <f>IF(ISNUMBER($G185),ABS($G185),0)</f>
        <v/>
      </c>
      <c r="R185">
        <f>IF(AND($D185="Расход",COUNTIFS(Счета!$B$10:$B$21,$H185,Счета!$C$10:$C$21,"Кредитная")&gt;0),1,0)</f>
        <v/>
      </c>
    </row>
    <row r="186" ht="19" customHeight="1">
      <c r="B186" s="53">
        <f>IF(AND($C186="",$F186=""),"",ROW()-9)</f>
        <v/>
      </c>
      <c r="C186" s="213" t="n"/>
      <c r="D186" s="55" t="n"/>
      <c r="E186" s="55" t="n"/>
      <c r="F186" s="56" t="n"/>
      <c r="G186" s="196" t="n"/>
      <c r="H186" s="21" t="n"/>
      <c r="I186" s="21" t="n"/>
      <c r="J186" s="53">
        <f>IF($C186="","",INDEX(Настройки!$V$6:$V$17,MONTH($C186))&amp;" "&amp;YEAR($C186))</f>
        <v/>
      </c>
      <c r="K186" s="57">
        <f>IF(OR($F186="",$D186="Перевод"),"",IF(AND(N($G186)&lt;&gt;0,COUNTIFS(Журнал!$C$10:$C$1509,$C186,Журнал!$P$10:$P$1509,$G186)&gt;0),"есть в Журнале",IF(COUNTIF(Постоянные!$C$8:$C$37,$F186)&gt;0,"есть в Постоянных",IF(COUNTIF(Покупки!$C$7:$C$18,$F186)&gt;0,"есть в Покупках",""))))</f>
        <v/>
      </c>
      <c r="P186">
        <f>IF($C186="","",DATE(YEAR($C186),MONTH($C186),1))</f>
        <v/>
      </c>
      <c r="Q186">
        <f>IF(ISNUMBER($G186),ABS($G186),0)</f>
        <v/>
      </c>
      <c r="R186">
        <f>IF(AND($D186="Расход",COUNTIFS(Счета!$B$10:$B$21,$H186,Счета!$C$10:$C$21,"Кредитная")&gt;0),1,0)</f>
        <v/>
      </c>
    </row>
    <row r="187" ht="19" customHeight="1">
      <c r="B187" s="53">
        <f>IF(AND($C187="",$F187=""),"",ROW()-9)</f>
        <v/>
      </c>
      <c r="C187" s="213" t="n"/>
      <c r="D187" s="55" t="n"/>
      <c r="E187" s="55" t="n"/>
      <c r="F187" s="56" t="n"/>
      <c r="G187" s="196" t="n"/>
      <c r="H187" s="21" t="n"/>
      <c r="I187" s="21" t="n"/>
      <c r="J187" s="53">
        <f>IF($C187="","",INDEX(Настройки!$V$6:$V$17,MONTH($C187))&amp;" "&amp;YEAR($C187))</f>
        <v/>
      </c>
      <c r="K187" s="57">
        <f>IF(OR($F187="",$D187="Перевод"),"",IF(AND(N($G187)&lt;&gt;0,COUNTIFS(Журнал!$C$10:$C$1509,$C187,Журнал!$P$10:$P$1509,$G187)&gt;0),"есть в Журнале",IF(COUNTIF(Постоянные!$C$8:$C$37,$F187)&gt;0,"есть в Постоянных",IF(COUNTIF(Покупки!$C$7:$C$18,$F187)&gt;0,"есть в Покупках",""))))</f>
        <v/>
      </c>
      <c r="P187">
        <f>IF($C187="","",DATE(YEAR($C187),MONTH($C187),1))</f>
        <v/>
      </c>
      <c r="Q187">
        <f>IF(ISNUMBER($G187),ABS($G187),0)</f>
        <v/>
      </c>
      <c r="R187">
        <f>IF(AND($D187="Расход",COUNTIFS(Счета!$B$10:$B$21,$H187,Счета!$C$10:$C$21,"Кредитная")&gt;0),1,0)</f>
        <v/>
      </c>
    </row>
    <row r="188" ht="19" customHeight="1">
      <c r="B188" s="53">
        <f>IF(AND($C188="",$F188=""),"",ROW()-9)</f>
        <v/>
      </c>
      <c r="C188" s="213" t="n"/>
      <c r="D188" s="55" t="n"/>
      <c r="E188" s="55" t="n"/>
      <c r="F188" s="56" t="n"/>
      <c r="G188" s="196" t="n"/>
      <c r="H188" s="21" t="n"/>
      <c r="I188" s="21" t="n"/>
      <c r="J188" s="53">
        <f>IF($C188="","",INDEX(Настройки!$V$6:$V$17,MONTH($C188))&amp;" "&amp;YEAR($C188))</f>
        <v/>
      </c>
      <c r="K188" s="57">
        <f>IF(OR($F188="",$D188="Перевод"),"",IF(AND(N($G188)&lt;&gt;0,COUNTIFS(Журнал!$C$10:$C$1509,$C188,Журнал!$P$10:$P$1509,$G188)&gt;0),"есть в Журнале",IF(COUNTIF(Постоянные!$C$8:$C$37,$F188)&gt;0,"есть в Постоянных",IF(COUNTIF(Покупки!$C$7:$C$18,$F188)&gt;0,"есть в Покупках",""))))</f>
        <v/>
      </c>
      <c r="P188">
        <f>IF($C188="","",DATE(YEAR($C188),MONTH($C188),1))</f>
        <v/>
      </c>
      <c r="Q188">
        <f>IF(ISNUMBER($G188),ABS($G188),0)</f>
        <v/>
      </c>
      <c r="R188">
        <f>IF(AND($D188="Расход",COUNTIFS(Счета!$B$10:$B$21,$H188,Счета!$C$10:$C$21,"Кредитная")&gt;0),1,0)</f>
        <v/>
      </c>
    </row>
    <row r="189" ht="19" customHeight="1">
      <c r="B189" s="53">
        <f>IF(AND($C189="",$F189=""),"",ROW()-9)</f>
        <v/>
      </c>
      <c r="C189" s="213" t="n"/>
      <c r="D189" s="55" t="n"/>
      <c r="E189" s="55" t="n"/>
      <c r="F189" s="56" t="n"/>
      <c r="G189" s="196" t="n"/>
      <c r="H189" s="21" t="n"/>
      <c r="I189" s="21" t="n"/>
      <c r="J189" s="53">
        <f>IF($C189="","",INDEX(Настройки!$V$6:$V$17,MONTH($C189))&amp;" "&amp;YEAR($C189))</f>
        <v/>
      </c>
      <c r="K189" s="57">
        <f>IF(OR($F189="",$D189="Перевод"),"",IF(AND(N($G189)&lt;&gt;0,COUNTIFS(Журнал!$C$10:$C$1509,$C189,Журнал!$P$10:$P$1509,$G189)&gt;0),"есть в Журнале",IF(COUNTIF(Постоянные!$C$8:$C$37,$F189)&gt;0,"есть в Постоянных",IF(COUNTIF(Покупки!$C$7:$C$18,$F189)&gt;0,"есть в Покупках",""))))</f>
        <v/>
      </c>
      <c r="P189">
        <f>IF($C189="","",DATE(YEAR($C189),MONTH($C189),1))</f>
        <v/>
      </c>
      <c r="Q189">
        <f>IF(ISNUMBER($G189),ABS($G189),0)</f>
        <v/>
      </c>
      <c r="R189">
        <f>IF(AND($D189="Расход",COUNTIFS(Счета!$B$10:$B$21,$H189,Счета!$C$10:$C$21,"Кредитная")&gt;0),1,0)</f>
        <v/>
      </c>
    </row>
    <row r="190" ht="19" customHeight="1">
      <c r="B190" s="53">
        <f>IF(AND($C190="",$F190=""),"",ROW()-9)</f>
        <v/>
      </c>
      <c r="C190" s="213" t="n"/>
      <c r="D190" s="55" t="n"/>
      <c r="E190" s="55" t="n"/>
      <c r="F190" s="56" t="n"/>
      <c r="G190" s="196" t="n"/>
      <c r="H190" s="21" t="n"/>
      <c r="I190" s="21" t="n"/>
      <c r="J190" s="53">
        <f>IF($C190="","",INDEX(Настройки!$V$6:$V$17,MONTH($C190))&amp;" "&amp;YEAR($C190))</f>
        <v/>
      </c>
      <c r="K190" s="57">
        <f>IF(OR($F190="",$D190="Перевод"),"",IF(AND(N($G190)&lt;&gt;0,COUNTIFS(Журнал!$C$10:$C$1509,$C190,Журнал!$P$10:$P$1509,$G190)&gt;0),"есть в Журнале",IF(COUNTIF(Постоянные!$C$8:$C$37,$F190)&gt;0,"есть в Постоянных",IF(COUNTIF(Покупки!$C$7:$C$18,$F190)&gt;0,"есть в Покупках",""))))</f>
        <v/>
      </c>
      <c r="P190">
        <f>IF($C190="","",DATE(YEAR($C190),MONTH($C190),1))</f>
        <v/>
      </c>
      <c r="Q190">
        <f>IF(ISNUMBER($G190),ABS($G190),0)</f>
        <v/>
      </c>
      <c r="R190">
        <f>IF(AND($D190="Расход",COUNTIFS(Счета!$B$10:$B$21,$H190,Счета!$C$10:$C$21,"Кредитная")&gt;0),1,0)</f>
        <v/>
      </c>
    </row>
    <row r="191" ht="19" customHeight="1">
      <c r="B191" s="53">
        <f>IF(AND($C191="",$F191=""),"",ROW()-9)</f>
        <v/>
      </c>
      <c r="C191" s="213" t="n"/>
      <c r="D191" s="55" t="n"/>
      <c r="E191" s="55" t="n"/>
      <c r="F191" s="56" t="n"/>
      <c r="G191" s="196" t="n"/>
      <c r="H191" s="21" t="n"/>
      <c r="I191" s="21" t="n"/>
      <c r="J191" s="53">
        <f>IF($C191="","",INDEX(Настройки!$V$6:$V$17,MONTH($C191))&amp;" "&amp;YEAR($C191))</f>
        <v/>
      </c>
      <c r="K191" s="57">
        <f>IF(OR($F191="",$D191="Перевод"),"",IF(AND(N($G191)&lt;&gt;0,COUNTIFS(Журнал!$C$10:$C$1509,$C191,Журнал!$P$10:$P$1509,$G191)&gt;0),"есть в Журнале",IF(COUNTIF(Постоянные!$C$8:$C$37,$F191)&gt;0,"есть в Постоянных",IF(COUNTIF(Покупки!$C$7:$C$18,$F191)&gt;0,"есть в Покупках",""))))</f>
        <v/>
      </c>
      <c r="P191">
        <f>IF($C191="","",DATE(YEAR($C191),MONTH($C191),1))</f>
        <v/>
      </c>
      <c r="Q191">
        <f>IF(ISNUMBER($G191),ABS($G191),0)</f>
        <v/>
      </c>
      <c r="R191">
        <f>IF(AND($D191="Расход",COUNTIFS(Счета!$B$10:$B$21,$H191,Счета!$C$10:$C$21,"Кредитная")&gt;0),1,0)</f>
        <v/>
      </c>
    </row>
    <row r="192" ht="19" customHeight="1">
      <c r="B192" s="53">
        <f>IF(AND($C192="",$F192=""),"",ROW()-9)</f>
        <v/>
      </c>
      <c r="C192" s="213" t="n"/>
      <c r="D192" s="55" t="n"/>
      <c r="E192" s="55" t="n"/>
      <c r="F192" s="56" t="n"/>
      <c r="G192" s="196" t="n"/>
      <c r="H192" s="21" t="n"/>
      <c r="I192" s="21" t="n"/>
      <c r="J192" s="53">
        <f>IF($C192="","",INDEX(Настройки!$V$6:$V$17,MONTH($C192))&amp;" "&amp;YEAR($C192))</f>
        <v/>
      </c>
      <c r="K192" s="57">
        <f>IF(OR($F192="",$D192="Перевод"),"",IF(AND(N($G192)&lt;&gt;0,COUNTIFS(Журнал!$C$10:$C$1509,$C192,Журнал!$P$10:$P$1509,$G192)&gt;0),"есть в Журнале",IF(COUNTIF(Постоянные!$C$8:$C$37,$F192)&gt;0,"есть в Постоянных",IF(COUNTIF(Покупки!$C$7:$C$18,$F192)&gt;0,"есть в Покупках",""))))</f>
        <v/>
      </c>
      <c r="P192">
        <f>IF($C192="","",DATE(YEAR($C192),MONTH($C192),1))</f>
        <v/>
      </c>
      <c r="Q192">
        <f>IF(ISNUMBER($G192),ABS($G192),0)</f>
        <v/>
      </c>
      <c r="R192">
        <f>IF(AND($D192="Расход",COUNTIFS(Счета!$B$10:$B$21,$H192,Счета!$C$10:$C$21,"Кредитная")&gt;0),1,0)</f>
        <v/>
      </c>
    </row>
    <row r="193" ht="19" customHeight="1">
      <c r="B193" s="53">
        <f>IF(AND($C193="",$F193=""),"",ROW()-9)</f>
        <v/>
      </c>
      <c r="C193" s="213" t="n"/>
      <c r="D193" s="55" t="n"/>
      <c r="E193" s="55" t="n"/>
      <c r="F193" s="56" t="n"/>
      <c r="G193" s="196" t="n"/>
      <c r="H193" s="21" t="n"/>
      <c r="I193" s="21" t="n"/>
      <c r="J193" s="53">
        <f>IF($C193="","",INDEX(Настройки!$V$6:$V$17,MONTH($C193))&amp;" "&amp;YEAR($C193))</f>
        <v/>
      </c>
      <c r="K193" s="57">
        <f>IF(OR($F193="",$D193="Перевод"),"",IF(AND(N($G193)&lt;&gt;0,COUNTIFS(Журнал!$C$10:$C$1509,$C193,Журнал!$P$10:$P$1509,$G193)&gt;0),"есть в Журнале",IF(COUNTIF(Постоянные!$C$8:$C$37,$F193)&gt;0,"есть в Постоянных",IF(COUNTIF(Покупки!$C$7:$C$18,$F193)&gt;0,"есть в Покупках",""))))</f>
        <v/>
      </c>
      <c r="P193">
        <f>IF($C193="","",DATE(YEAR($C193),MONTH($C193),1))</f>
        <v/>
      </c>
      <c r="Q193">
        <f>IF(ISNUMBER($G193),ABS($G193),0)</f>
        <v/>
      </c>
      <c r="R193">
        <f>IF(AND($D193="Расход",COUNTIFS(Счета!$B$10:$B$21,$H193,Счета!$C$10:$C$21,"Кредитная")&gt;0),1,0)</f>
        <v/>
      </c>
    </row>
    <row r="194" ht="19" customHeight="1">
      <c r="B194" s="53">
        <f>IF(AND($C194="",$F194=""),"",ROW()-9)</f>
        <v/>
      </c>
      <c r="C194" s="213" t="n"/>
      <c r="D194" s="55" t="n"/>
      <c r="E194" s="55" t="n"/>
      <c r="F194" s="56" t="n"/>
      <c r="G194" s="196" t="n"/>
      <c r="H194" s="21" t="n"/>
      <c r="I194" s="21" t="n"/>
      <c r="J194" s="53">
        <f>IF($C194="","",INDEX(Настройки!$V$6:$V$17,MONTH($C194))&amp;" "&amp;YEAR($C194))</f>
        <v/>
      </c>
      <c r="K194" s="57">
        <f>IF(OR($F194="",$D194="Перевод"),"",IF(AND(N($G194)&lt;&gt;0,COUNTIFS(Журнал!$C$10:$C$1509,$C194,Журнал!$P$10:$P$1509,$G194)&gt;0),"есть в Журнале",IF(COUNTIF(Постоянные!$C$8:$C$37,$F194)&gt;0,"есть в Постоянных",IF(COUNTIF(Покупки!$C$7:$C$18,$F194)&gt;0,"есть в Покупках",""))))</f>
        <v/>
      </c>
      <c r="P194">
        <f>IF($C194="","",DATE(YEAR($C194),MONTH($C194),1))</f>
        <v/>
      </c>
      <c r="Q194">
        <f>IF(ISNUMBER($G194),ABS($G194),0)</f>
        <v/>
      </c>
      <c r="R194">
        <f>IF(AND($D194="Расход",COUNTIFS(Счета!$B$10:$B$21,$H194,Счета!$C$10:$C$21,"Кредитная")&gt;0),1,0)</f>
        <v/>
      </c>
    </row>
    <row r="195" ht="19" customHeight="1">
      <c r="B195" s="53">
        <f>IF(AND($C195="",$F195=""),"",ROW()-9)</f>
        <v/>
      </c>
      <c r="C195" s="213" t="n"/>
      <c r="D195" s="55" t="n"/>
      <c r="E195" s="55" t="n"/>
      <c r="F195" s="56" t="n"/>
      <c r="G195" s="196" t="n"/>
      <c r="H195" s="21" t="n"/>
      <c r="I195" s="21" t="n"/>
      <c r="J195" s="53">
        <f>IF($C195="","",INDEX(Настройки!$V$6:$V$17,MONTH($C195))&amp;" "&amp;YEAR($C195))</f>
        <v/>
      </c>
      <c r="K195" s="57">
        <f>IF(OR($F195="",$D195="Перевод"),"",IF(AND(N($G195)&lt;&gt;0,COUNTIFS(Журнал!$C$10:$C$1509,$C195,Журнал!$P$10:$P$1509,$G195)&gt;0),"есть в Журнале",IF(COUNTIF(Постоянные!$C$8:$C$37,$F195)&gt;0,"есть в Постоянных",IF(COUNTIF(Покупки!$C$7:$C$18,$F195)&gt;0,"есть в Покупках",""))))</f>
        <v/>
      </c>
      <c r="P195">
        <f>IF($C195="","",DATE(YEAR($C195),MONTH($C195),1))</f>
        <v/>
      </c>
      <c r="Q195">
        <f>IF(ISNUMBER($G195),ABS($G195),0)</f>
        <v/>
      </c>
      <c r="R195">
        <f>IF(AND($D195="Расход",COUNTIFS(Счета!$B$10:$B$21,$H195,Счета!$C$10:$C$21,"Кредитная")&gt;0),1,0)</f>
        <v/>
      </c>
    </row>
    <row r="196" ht="19" customHeight="1">
      <c r="B196" s="53">
        <f>IF(AND($C196="",$F196=""),"",ROW()-9)</f>
        <v/>
      </c>
      <c r="C196" s="213" t="n"/>
      <c r="D196" s="55" t="n"/>
      <c r="E196" s="55" t="n"/>
      <c r="F196" s="56" t="n"/>
      <c r="G196" s="196" t="n"/>
      <c r="H196" s="21" t="n"/>
      <c r="I196" s="21" t="n"/>
      <c r="J196" s="53">
        <f>IF($C196="","",INDEX(Настройки!$V$6:$V$17,MONTH($C196))&amp;" "&amp;YEAR($C196))</f>
        <v/>
      </c>
      <c r="K196" s="57">
        <f>IF(OR($F196="",$D196="Перевод"),"",IF(AND(N($G196)&lt;&gt;0,COUNTIFS(Журнал!$C$10:$C$1509,$C196,Журнал!$P$10:$P$1509,$G196)&gt;0),"есть в Журнале",IF(COUNTIF(Постоянные!$C$8:$C$37,$F196)&gt;0,"есть в Постоянных",IF(COUNTIF(Покупки!$C$7:$C$18,$F196)&gt;0,"есть в Покупках",""))))</f>
        <v/>
      </c>
      <c r="P196">
        <f>IF($C196="","",DATE(YEAR($C196),MONTH($C196),1))</f>
        <v/>
      </c>
      <c r="Q196">
        <f>IF(ISNUMBER($G196),ABS($G196),0)</f>
        <v/>
      </c>
      <c r="R196">
        <f>IF(AND($D196="Расход",COUNTIFS(Счета!$B$10:$B$21,$H196,Счета!$C$10:$C$21,"Кредитная")&gt;0),1,0)</f>
        <v/>
      </c>
    </row>
    <row r="197" ht="19" customHeight="1">
      <c r="B197" s="53">
        <f>IF(AND($C197="",$F197=""),"",ROW()-9)</f>
        <v/>
      </c>
      <c r="C197" s="213" t="n"/>
      <c r="D197" s="55" t="n"/>
      <c r="E197" s="55" t="n"/>
      <c r="F197" s="56" t="n"/>
      <c r="G197" s="196" t="n"/>
      <c r="H197" s="21" t="n"/>
      <c r="I197" s="21" t="n"/>
      <c r="J197" s="53">
        <f>IF($C197="","",INDEX(Настройки!$V$6:$V$17,MONTH($C197))&amp;" "&amp;YEAR($C197))</f>
        <v/>
      </c>
      <c r="K197" s="57">
        <f>IF(OR($F197="",$D197="Перевод"),"",IF(AND(N($G197)&lt;&gt;0,COUNTIFS(Журнал!$C$10:$C$1509,$C197,Журнал!$P$10:$P$1509,$G197)&gt;0),"есть в Журнале",IF(COUNTIF(Постоянные!$C$8:$C$37,$F197)&gt;0,"есть в Постоянных",IF(COUNTIF(Покупки!$C$7:$C$18,$F197)&gt;0,"есть в Покупках",""))))</f>
        <v/>
      </c>
      <c r="P197">
        <f>IF($C197="","",DATE(YEAR($C197),MONTH($C197),1))</f>
        <v/>
      </c>
      <c r="Q197">
        <f>IF(ISNUMBER($G197),ABS($G197),0)</f>
        <v/>
      </c>
      <c r="R197">
        <f>IF(AND($D197="Расход",COUNTIFS(Счета!$B$10:$B$21,$H197,Счета!$C$10:$C$21,"Кредитная")&gt;0),1,0)</f>
        <v/>
      </c>
    </row>
    <row r="198" ht="19" customHeight="1">
      <c r="B198" s="53">
        <f>IF(AND($C198="",$F198=""),"",ROW()-9)</f>
        <v/>
      </c>
      <c r="C198" s="213" t="n"/>
      <c r="D198" s="55" t="n"/>
      <c r="E198" s="55" t="n"/>
      <c r="F198" s="56" t="n"/>
      <c r="G198" s="196" t="n"/>
      <c r="H198" s="21" t="n"/>
      <c r="I198" s="21" t="n"/>
      <c r="J198" s="53">
        <f>IF($C198="","",INDEX(Настройки!$V$6:$V$17,MONTH($C198))&amp;" "&amp;YEAR($C198))</f>
        <v/>
      </c>
      <c r="K198" s="57">
        <f>IF(OR($F198="",$D198="Перевод"),"",IF(AND(N($G198)&lt;&gt;0,COUNTIFS(Журнал!$C$10:$C$1509,$C198,Журнал!$P$10:$P$1509,$G198)&gt;0),"есть в Журнале",IF(COUNTIF(Постоянные!$C$8:$C$37,$F198)&gt;0,"есть в Постоянных",IF(COUNTIF(Покупки!$C$7:$C$18,$F198)&gt;0,"есть в Покупках",""))))</f>
        <v/>
      </c>
      <c r="P198">
        <f>IF($C198="","",DATE(YEAR($C198),MONTH($C198),1))</f>
        <v/>
      </c>
      <c r="Q198">
        <f>IF(ISNUMBER($G198),ABS($G198),0)</f>
        <v/>
      </c>
      <c r="R198">
        <f>IF(AND($D198="Расход",COUNTIFS(Счета!$B$10:$B$21,$H198,Счета!$C$10:$C$21,"Кредитная")&gt;0),1,0)</f>
        <v/>
      </c>
    </row>
    <row r="199" ht="19" customHeight="1">
      <c r="B199" s="53">
        <f>IF(AND($C199="",$F199=""),"",ROW()-9)</f>
        <v/>
      </c>
      <c r="C199" s="213" t="n"/>
      <c r="D199" s="55" t="n"/>
      <c r="E199" s="55" t="n"/>
      <c r="F199" s="56" t="n"/>
      <c r="G199" s="196" t="n"/>
      <c r="H199" s="21" t="n"/>
      <c r="I199" s="21" t="n"/>
      <c r="J199" s="53">
        <f>IF($C199="","",INDEX(Настройки!$V$6:$V$17,MONTH($C199))&amp;" "&amp;YEAR($C199))</f>
        <v/>
      </c>
      <c r="K199" s="57">
        <f>IF(OR($F199="",$D199="Перевод"),"",IF(AND(N($G199)&lt;&gt;0,COUNTIFS(Журнал!$C$10:$C$1509,$C199,Журнал!$P$10:$P$1509,$G199)&gt;0),"есть в Журнале",IF(COUNTIF(Постоянные!$C$8:$C$37,$F199)&gt;0,"есть в Постоянных",IF(COUNTIF(Покупки!$C$7:$C$18,$F199)&gt;0,"есть в Покупках",""))))</f>
        <v/>
      </c>
      <c r="P199">
        <f>IF($C199="","",DATE(YEAR($C199),MONTH($C199),1))</f>
        <v/>
      </c>
      <c r="Q199">
        <f>IF(ISNUMBER($G199),ABS($G199),0)</f>
        <v/>
      </c>
      <c r="R199">
        <f>IF(AND($D199="Расход",COUNTIFS(Счета!$B$10:$B$21,$H199,Счета!$C$10:$C$21,"Кредитная")&gt;0),1,0)</f>
        <v/>
      </c>
    </row>
    <row r="200" ht="19" customHeight="1">
      <c r="B200" s="53">
        <f>IF(AND($C200="",$F200=""),"",ROW()-9)</f>
        <v/>
      </c>
      <c r="C200" s="213" t="n"/>
      <c r="D200" s="55" t="n"/>
      <c r="E200" s="55" t="n"/>
      <c r="F200" s="56" t="n"/>
      <c r="G200" s="196" t="n"/>
      <c r="H200" s="21" t="n"/>
      <c r="I200" s="21" t="n"/>
      <c r="J200" s="53">
        <f>IF($C200="","",INDEX(Настройки!$V$6:$V$17,MONTH($C200))&amp;" "&amp;YEAR($C200))</f>
        <v/>
      </c>
      <c r="K200" s="57">
        <f>IF(OR($F200="",$D200="Перевод"),"",IF(AND(N($G200)&lt;&gt;0,COUNTIFS(Журнал!$C$10:$C$1509,$C200,Журнал!$P$10:$P$1509,$G200)&gt;0),"есть в Журнале",IF(COUNTIF(Постоянные!$C$8:$C$37,$F200)&gt;0,"есть в Постоянных",IF(COUNTIF(Покупки!$C$7:$C$18,$F200)&gt;0,"есть в Покупках",""))))</f>
        <v/>
      </c>
      <c r="P200">
        <f>IF($C200="","",DATE(YEAR($C200),MONTH($C200),1))</f>
        <v/>
      </c>
      <c r="Q200">
        <f>IF(ISNUMBER($G200),ABS($G200),0)</f>
        <v/>
      </c>
      <c r="R200">
        <f>IF(AND($D200="Расход",COUNTIFS(Счета!$B$10:$B$21,$H200,Счета!$C$10:$C$21,"Кредитная")&gt;0),1,0)</f>
        <v/>
      </c>
    </row>
    <row r="201" ht="19" customHeight="1">
      <c r="B201" s="53">
        <f>IF(AND($C201="",$F201=""),"",ROW()-9)</f>
        <v/>
      </c>
      <c r="C201" s="213" t="n"/>
      <c r="D201" s="55" t="n"/>
      <c r="E201" s="55" t="n"/>
      <c r="F201" s="56" t="n"/>
      <c r="G201" s="196" t="n"/>
      <c r="H201" s="21" t="n"/>
      <c r="I201" s="21" t="n"/>
      <c r="J201" s="53">
        <f>IF($C201="","",INDEX(Настройки!$V$6:$V$17,MONTH($C201))&amp;" "&amp;YEAR($C201))</f>
        <v/>
      </c>
      <c r="K201" s="57">
        <f>IF(OR($F201="",$D201="Перевод"),"",IF(AND(N($G201)&lt;&gt;0,COUNTIFS(Журнал!$C$10:$C$1509,$C201,Журнал!$P$10:$P$1509,$G201)&gt;0),"есть в Журнале",IF(COUNTIF(Постоянные!$C$8:$C$37,$F201)&gt;0,"есть в Постоянных",IF(COUNTIF(Покупки!$C$7:$C$18,$F201)&gt;0,"есть в Покупках",""))))</f>
        <v/>
      </c>
      <c r="P201">
        <f>IF($C201="","",DATE(YEAR($C201),MONTH($C201),1))</f>
        <v/>
      </c>
      <c r="Q201">
        <f>IF(ISNUMBER($G201),ABS($G201),0)</f>
        <v/>
      </c>
      <c r="R201">
        <f>IF(AND($D201="Расход",COUNTIFS(Счета!$B$10:$B$21,$H201,Счета!$C$10:$C$21,"Кредитная")&gt;0),1,0)</f>
        <v/>
      </c>
    </row>
    <row r="202" ht="19" customHeight="1">
      <c r="B202" s="53">
        <f>IF(AND($C202="",$F202=""),"",ROW()-9)</f>
        <v/>
      </c>
      <c r="C202" s="213" t="n"/>
      <c r="D202" s="55" t="n"/>
      <c r="E202" s="55" t="n"/>
      <c r="F202" s="56" t="n"/>
      <c r="G202" s="196" t="n"/>
      <c r="H202" s="21" t="n"/>
      <c r="I202" s="21" t="n"/>
      <c r="J202" s="53">
        <f>IF($C202="","",INDEX(Настройки!$V$6:$V$17,MONTH($C202))&amp;" "&amp;YEAR($C202))</f>
        <v/>
      </c>
      <c r="K202" s="57">
        <f>IF(OR($F202="",$D202="Перевод"),"",IF(AND(N($G202)&lt;&gt;0,COUNTIFS(Журнал!$C$10:$C$1509,$C202,Журнал!$P$10:$P$1509,$G202)&gt;0),"есть в Журнале",IF(COUNTIF(Постоянные!$C$8:$C$37,$F202)&gt;0,"есть в Постоянных",IF(COUNTIF(Покупки!$C$7:$C$18,$F202)&gt;0,"есть в Покупках",""))))</f>
        <v/>
      </c>
      <c r="P202">
        <f>IF($C202="","",DATE(YEAR($C202),MONTH($C202),1))</f>
        <v/>
      </c>
      <c r="Q202">
        <f>IF(ISNUMBER($G202),ABS($G202),0)</f>
        <v/>
      </c>
      <c r="R202">
        <f>IF(AND($D202="Расход",COUNTIFS(Счета!$B$10:$B$21,$H202,Счета!$C$10:$C$21,"Кредитная")&gt;0),1,0)</f>
        <v/>
      </c>
    </row>
    <row r="203" ht="19" customHeight="1">
      <c r="B203" s="53">
        <f>IF(AND($C203="",$F203=""),"",ROW()-9)</f>
        <v/>
      </c>
      <c r="C203" s="213" t="n"/>
      <c r="D203" s="55" t="n"/>
      <c r="E203" s="55" t="n"/>
      <c r="F203" s="56" t="n"/>
      <c r="G203" s="196" t="n"/>
      <c r="H203" s="21" t="n"/>
      <c r="I203" s="21" t="n"/>
      <c r="J203" s="53">
        <f>IF($C203="","",INDEX(Настройки!$V$6:$V$17,MONTH($C203))&amp;" "&amp;YEAR($C203))</f>
        <v/>
      </c>
      <c r="K203" s="57">
        <f>IF(OR($F203="",$D203="Перевод"),"",IF(AND(N($G203)&lt;&gt;0,COUNTIFS(Журнал!$C$10:$C$1509,$C203,Журнал!$P$10:$P$1509,$G203)&gt;0),"есть в Журнале",IF(COUNTIF(Постоянные!$C$8:$C$37,$F203)&gt;0,"есть в Постоянных",IF(COUNTIF(Покупки!$C$7:$C$18,$F203)&gt;0,"есть в Покупках",""))))</f>
        <v/>
      </c>
      <c r="P203">
        <f>IF($C203="","",DATE(YEAR($C203),MONTH($C203),1))</f>
        <v/>
      </c>
      <c r="Q203">
        <f>IF(ISNUMBER($G203),ABS($G203),0)</f>
        <v/>
      </c>
      <c r="R203">
        <f>IF(AND($D203="Расход",COUNTIFS(Счета!$B$10:$B$21,$H203,Счета!$C$10:$C$21,"Кредитная")&gt;0),1,0)</f>
        <v/>
      </c>
    </row>
    <row r="204" ht="19" customHeight="1">
      <c r="B204" s="53">
        <f>IF(AND($C204="",$F204=""),"",ROW()-9)</f>
        <v/>
      </c>
      <c r="C204" s="213" t="n"/>
      <c r="D204" s="55" t="n"/>
      <c r="E204" s="55" t="n"/>
      <c r="F204" s="56" t="n"/>
      <c r="G204" s="196" t="n"/>
      <c r="H204" s="21" t="n"/>
      <c r="I204" s="21" t="n"/>
      <c r="J204" s="53">
        <f>IF($C204="","",INDEX(Настройки!$V$6:$V$17,MONTH($C204))&amp;" "&amp;YEAR($C204))</f>
        <v/>
      </c>
      <c r="K204" s="57">
        <f>IF(OR($F204="",$D204="Перевод"),"",IF(AND(N($G204)&lt;&gt;0,COUNTIFS(Журнал!$C$10:$C$1509,$C204,Журнал!$P$10:$P$1509,$G204)&gt;0),"есть в Журнале",IF(COUNTIF(Постоянные!$C$8:$C$37,$F204)&gt;0,"есть в Постоянных",IF(COUNTIF(Покупки!$C$7:$C$18,$F204)&gt;0,"есть в Покупках",""))))</f>
        <v/>
      </c>
      <c r="P204">
        <f>IF($C204="","",DATE(YEAR($C204),MONTH($C204),1))</f>
        <v/>
      </c>
      <c r="Q204">
        <f>IF(ISNUMBER($G204),ABS($G204),0)</f>
        <v/>
      </c>
      <c r="R204">
        <f>IF(AND($D204="Расход",COUNTIFS(Счета!$B$10:$B$21,$H204,Счета!$C$10:$C$21,"Кредитная")&gt;0),1,0)</f>
        <v/>
      </c>
    </row>
    <row r="205" ht="19" customHeight="1">
      <c r="B205" s="53">
        <f>IF(AND($C205="",$F205=""),"",ROW()-9)</f>
        <v/>
      </c>
      <c r="C205" s="213" t="n"/>
      <c r="D205" s="55" t="n"/>
      <c r="E205" s="55" t="n"/>
      <c r="F205" s="56" t="n"/>
      <c r="G205" s="196" t="n"/>
      <c r="H205" s="21" t="n"/>
      <c r="I205" s="21" t="n"/>
      <c r="J205" s="53">
        <f>IF($C205="","",INDEX(Настройки!$V$6:$V$17,MONTH($C205))&amp;" "&amp;YEAR($C205))</f>
        <v/>
      </c>
      <c r="K205" s="57">
        <f>IF(OR($F205="",$D205="Перевод"),"",IF(AND(N($G205)&lt;&gt;0,COUNTIFS(Журнал!$C$10:$C$1509,$C205,Журнал!$P$10:$P$1509,$G205)&gt;0),"есть в Журнале",IF(COUNTIF(Постоянные!$C$8:$C$37,$F205)&gt;0,"есть в Постоянных",IF(COUNTIF(Покупки!$C$7:$C$18,$F205)&gt;0,"есть в Покупках",""))))</f>
        <v/>
      </c>
      <c r="P205">
        <f>IF($C205="","",DATE(YEAR($C205),MONTH($C205),1))</f>
        <v/>
      </c>
      <c r="Q205">
        <f>IF(ISNUMBER($G205),ABS($G205),0)</f>
        <v/>
      </c>
      <c r="R205">
        <f>IF(AND($D205="Расход",COUNTIFS(Счета!$B$10:$B$21,$H205,Счета!$C$10:$C$21,"Кредитная")&gt;0),1,0)</f>
        <v/>
      </c>
    </row>
    <row r="206" ht="19" customHeight="1">
      <c r="B206" s="53">
        <f>IF(AND($C206="",$F206=""),"",ROW()-9)</f>
        <v/>
      </c>
      <c r="C206" s="213" t="n"/>
      <c r="D206" s="55" t="n"/>
      <c r="E206" s="55" t="n"/>
      <c r="F206" s="56" t="n"/>
      <c r="G206" s="196" t="n"/>
      <c r="H206" s="21" t="n"/>
      <c r="I206" s="21" t="n"/>
      <c r="J206" s="53">
        <f>IF($C206="","",INDEX(Настройки!$V$6:$V$17,MONTH($C206))&amp;" "&amp;YEAR($C206))</f>
        <v/>
      </c>
      <c r="K206" s="57">
        <f>IF(OR($F206="",$D206="Перевод"),"",IF(AND(N($G206)&lt;&gt;0,COUNTIFS(Журнал!$C$10:$C$1509,$C206,Журнал!$P$10:$P$1509,$G206)&gt;0),"есть в Журнале",IF(COUNTIF(Постоянные!$C$8:$C$37,$F206)&gt;0,"есть в Постоянных",IF(COUNTIF(Покупки!$C$7:$C$18,$F206)&gt;0,"есть в Покупках",""))))</f>
        <v/>
      </c>
      <c r="P206">
        <f>IF($C206="","",DATE(YEAR($C206),MONTH($C206),1))</f>
        <v/>
      </c>
      <c r="Q206">
        <f>IF(ISNUMBER($G206),ABS($G206),0)</f>
        <v/>
      </c>
      <c r="R206">
        <f>IF(AND($D206="Расход",COUNTIFS(Счета!$B$10:$B$21,$H206,Счета!$C$10:$C$21,"Кредитная")&gt;0),1,0)</f>
        <v/>
      </c>
    </row>
    <row r="207" ht="19" customHeight="1">
      <c r="B207" s="53">
        <f>IF(AND($C207="",$F207=""),"",ROW()-9)</f>
        <v/>
      </c>
      <c r="C207" s="213" t="n"/>
      <c r="D207" s="55" t="n"/>
      <c r="E207" s="55" t="n"/>
      <c r="F207" s="56" t="n"/>
      <c r="G207" s="196" t="n"/>
      <c r="H207" s="21" t="n"/>
      <c r="I207" s="21" t="n"/>
      <c r="J207" s="53">
        <f>IF($C207="","",INDEX(Настройки!$V$6:$V$17,MONTH($C207))&amp;" "&amp;YEAR($C207))</f>
        <v/>
      </c>
      <c r="K207" s="57">
        <f>IF(OR($F207="",$D207="Перевод"),"",IF(AND(N($G207)&lt;&gt;0,COUNTIFS(Журнал!$C$10:$C$1509,$C207,Журнал!$P$10:$P$1509,$G207)&gt;0),"есть в Журнале",IF(COUNTIF(Постоянные!$C$8:$C$37,$F207)&gt;0,"есть в Постоянных",IF(COUNTIF(Покупки!$C$7:$C$18,$F207)&gt;0,"есть в Покупках",""))))</f>
        <v/>
      </c>
      <c r="P207">
        <f>IF($C207="","",DATE(YEAR($C207),MONTH($C207),1))</f>
        <v/>
      </c>
      <c r="Q207">
        <f>IF(ISNUMBER($G207),ABS($G207),0)</f>
        <v/>
      </c>
      <c r="R207">
        <f>IF(AND($D207="Расход",COUNTIFS(Счета!$B$10:$B$21,$H207,Счета!$C$10:$C$21,"Кредитная")&gt;0),1,0)</f>
        <v/>
      </c>
    </row>
    <row r="208" ht="19" customHeight="1">
      <c r="B208" s="53">
        <f>IF(AND($C208="",$F208=""),"",ROW()-9)</f>
        <v/>
      </c>
      <c r="C208" s="213" t="n"/>
      <c r="D208" s="55" t="n"/>
      <c r="E208" s="55" t="n"/>
      <c r="F208" s="56" t="n"/>
      <c r="G208" s="196" t="n"/>
      <c r="H208" s="21" t="n"/>
      <c r="I208" s="21" t="n"/>
      <c r="J208" s="53">
        <f>IF($C208="","",INDEX(Настройки!$V$6:$V$17,MONTH($C208))&amp;" "&amp;YEAR($C208))</f>
        <v/>
      </c>
      <c r="K208" s="57">
        <f>IF(OR($F208="",$D208="Перевод"),"",IF(AND(N($G208)&lt;&gt;0,COUNTIFS(Журнал!$C$10:$C$1509,$C208,Журнал!$P$10:$P$1509,$G208)&gt;0),"есть в Журнале",IF(COUNTIF(Постоянные!$C$8:$C$37,$F208)&gt;0,"есть в Постоянных",IF(COUNTIF(Покупки!$C$7:$C$18,$F208)&gt;0,"есть в Покупках",""))))</f>
        <v/>
      </c>
      <c r="P208">
        <f>IF($C208="","",DATE(YEAR($C208),MONTH($C208),1))</f>
        <v/>
      </c>
      <c r="Q208">
        <f>IF(ISNUMBER($G208),ABS($G208),0)</f>
        <v/>
      </c>
      <c r="R208">
        <f>IF(AND($D208="Расход",COUNTIFS(Счета!$B$10:$B$21,$H208,Счета!$C$10:$C$21,"Кредитная")&gt;0),1,0)</f>
        <v/>
      </c>
    </row>
    <row r="209" ht="19" customHeight="1">
      <c r="B209" s="53">
        <f>IF(AND($C209="",$F209=""),"",ROW()-9)</f>
        <v/>
      </c>
      <c r="C209" s="213" t="n"/>
      <c r="D209" s="55" t="n"/>
      <c r="E209" s="55" t="n"/>
      <c r="F209" s="56" t="n"/>
      <c r="G209" s="196" t="n"/>
      <c r="H209" s="21" t="n"/>
      <c r="I209" s="21" t="n"/>
      <c r="J209" s="53">
        <f>IF($C209="","",INDEX(Настройки!$V$6:$V$17,MONTH($C209))&amp;" "&amp;YEAR($C209))</f>
        <v/>
      </c>
      <c r="K209" s="57">
        <f>IF(OR($F209="",$D209="Перевод"),"",IF(AND(N($G209)&lt;&gt;0,COUNTIFS(Журнал!$C$10:$C$1509,$C209,Журнал!$P$10:$P$1509,$G209)&gt;0),"есть в Журнале",IF(COUNTIF(Постоянные!$C$8:$C$37,$F209)&gt;0,"есть в Постоянных",IF(COUNTIF(Покупки!$C$7:$C$18,$F209)&gt;0,"есть в Покупках",""))))</f>
        <v/>
      </c>
      <c r="P209">
        <f>IF($C209="","",DATE(YEAR($C209),MONTH($C209),1))</f>
        <v/>
      </c>
      <c r="Q209">
        <f>IF(ISNUMBER($G209),ABS($G209),0)</f>
        <v/>
      </c>
      <c r="R209">
        <f>IF(AND($D209="Расход",COUNTIFS(Счета!$B$10:$B$21,$H209,Счета!$C$10:$C$21,"Кредитная")&gt;0),1,0)</f>
        <v/>
      </c>
    </row>
    <row r="210" ht="19" customHeight="1">
      <c r="B210" s="53">
        <f>IF(AND($C210="",$F210=""),"",ROW()-9)</f>
        <v/>
      </c>
      <c r="C210" s="213" t="n"/>
      <c r="D210" s="55" t="n"/>
      <c r="E210" s="55" t="n"/>
      <c r="F210" s="56" t="n"/>
      <c r="G210" s="196" t="n"/>
      <c r="H210" s="21" t="n"/>
      <c r="I210" s="21" t="n"/>
      <c r="J210" s="53">
        <f>IF($C210="","",INDEX(Настройки!$V$6:$V$17,MONTH($C210))&amp;" "&amp;YEAR($C210))</f>
        <v/>
      </c>
      <c r="K210" s="57">
        <f>IF(OR($F210="",$D210="Перевод"),"",IF(AND(N($G210)&lt;&gt;0,COUNTIFS(Журнал!$C$10:$C$1509,$C210,Журнал!$P$10:$P$1509,$G210)&gt;0),"есть в Журнале",IF(COUNTIF(Постоянные!$C$8:$C$37,$F210)&gt;0,"есть в Постоянных",IF(COUNTIF(Покупки!$C$7:$C$18,$F210)&gt;0,"есть в Покупках",""))))</f>
        <v/>
      </c>
      <c r="P210">
        <f>IF($C210="","",DATE(YEAR($C210),MONTH($C210),1))</f>
        <v/>
      </c>
      <c r="Q210">
        <f>IF(ISNUMBER($G210),ABS($G210),0)</f>
        <v/>
      </c>
      <c r="R210">
        <f>IF(AND($D210="Расход",COUNTIFS(Счета!$B$10:$B$21,$H210,Счета!$C$10:$C$21,"Кредитная")&gt;0),1,0)</f>
        <v/>
      </c>
    </row>
    <row r="211" ht="19" customHeight="1">
      <c r="B211" s="53">
        <f>IF(AND($C211="",$F211=""),"",ROW()-9)</f>
        <v/>
      </c>
      <c r="C211" s="213" t="n"/>
      <c r="D211" s="55" t="n"/>
      <c r="E211" s="55" t="n"/>
      <c r="F211" s="56" t="n"/>
      <c r="G211" s="196" t="n"/>
      <c r="H211" s="21" t="n"/>
      <c r="I211" s="21" t="n"/>
      <c r="J211" s="53">
        <f>IF($C211="","",INDEX(Настройки!$V$6:$V$17,MONTH($C211))&amp;" "&amp;YEAR($C211))</f>
        <v/>
      </c>
      <c r="K211" s="57">
        <f>IF(OR($F211="",$D211="Перевод"),"",IF(AND(N($G211)&lt;&gt;0,COUNTIFS(Журнал!$C$10:$C$1509,$C211,Журнал!$P$10:$P$1509,$G211)&gt;0),"есть в Журнале",IF(COUNTIF(Постоянные!$C$8:$C$37,$F211)&gt;0,"есть в Постоянных",IF(COUNTIF(Покупки!$C$7:$C$18,$F211)&gt;0,"есть в Покупках",""))))</f>
        <v/>
      </c>
      <c r="P211">
        <f>IF($C211="","",DATE(YEAR($C211),MONTH($C211),1))</f>
        <v/>
      </c>
      <c r="Q211">
        <f>IF(ISNUMBER($G211),ABS($G211),0)</f>
        <v/>
      </c>
      <c r="R211">
        <f>IF(AND($D211="Расход",COUNTIFS(Счета!$B$10:$B$21,$H211,Счета!$C$10:$C$21,"Кредитная")&gt;0),1,0)</f>
        <v/>
      </c>
    </row>
    <row r="212" ht="19" customHeight="1">
      <c r="B212" s="53">
        <f>IF(AND($C212="",$F212=""),"",ROW()-9)</f>
        <v/>
      </c>
      <c r="C212" s="213" t="n"/>
      <c r="D212" s="55" t="n"/>
      <c r="E212" s="55" t="n"/>
      <c r="F212" s="56" t="n"/>
      <c r="G212" s="196" t="n"/>
      <c r="H212" s="21" t="n"/>
      <c r="I212" s="21" t="n"/>
      <c r="J212" s="53">
        <f>IF($C212="","",INDEX(Настройки!$V$6:$V$17,MONTH($C212))&amp;" "&amp;YEAR($C212))</f>
        <v/>
      </c>
      <c r="K212" s="57">
        <f>IF(OR($F212="",$D212="Перевод"),"",IF(AND(N($G212)&lt;&gt;0,COUNTIFS(Журнал!$C$10:$C$1509,$C212,Журнал!$P$10:$P$1509,$G212)&gt;0),"есть в Журнале",IF(COUNTIF(Постоянные!$C$8:$C$37,$F212)&gt;0,"есть в Постоянных",IF(COUNTIF(Покупки!$C$7:$C$18,$F212)&gt;0,"есть в Покупках",""))))</f>
        <v/>
      </c>
      <c r="P212">
        <f>IF($C212="","",DATE(YEAR($C212),MONTH($C212),1))</f>
        <v/>
      </c>
      <c r="Q212">
        <f>IF(ISNUMBER($G212),ABS($G212),0)</f>
        <v/>
      </c>
      <c r="R212">
        <f>IF(AND($D212="Расход",COUNTIFS(Счета!$B$10:$B$21,$H212,Счета!$C$10:$C$21,"Кредитная")&gt;0),1,0)</f>
        <v/>
      </c>
    </row>
    <row r="213" ht="19" customHeight="1">
      <c r="B213" s="53">
        <f>IF(AND($C213="",$F213=""),"",ROW()-9)</f>
        <v/>
      </c>
      <c r="C213" s="213" t="n"/>
      <c r="D213" s="55" t="n"/>
      <c r="E213" s="55" t="n"/>
      <c r="F213" s="56" t="n"/>
      <c r="G213" s="196" t="n"/>
      <c r="H213" s="21" t="n"/>
      <c r="I213" s="21" t="n"/>
      <c r="J213" s="53">
        <f>IF($C213="","",INDEX(Настройки!$V$6:$V$17,MONTH($C213))&amp;" "&amp;YEAR($C213))</f>
        <v/>
      </c>
      <c r="K213" s="57">
        <f>IF(OR($F213="",$D213="Перевод"),"",IF(AND(N($G213)&lt;&gt;0,COUNTIFS(Журнал!$C$10:$C$1509,$C213,Журнал!$P$10:$P$1509,$G213)&gt;0),"есть в Журнале",IF(COUNTIF(Постоянные!$C$8:$C$37,$F213)&gt;0,"есть в Постоянных",IF(COUNTIF(Покупки!$C$7:$C$18,$F213)&gt;0,"есть в Покупках",""))))</f>
        <v/>
      </c>
      <c r="P213">
        <f>IF($C213="","",DATE(YEAR($C213),MONTH($C213),1))</f>
        <v/>
      </c>
      <c r="Q213">
        <f>IF(ISNUMBER($G213),ABS($G213),0)</f>
        <v/>
      </c>
      <c r="R213">
        <f>IF(AND($D213="Расход",COUNTIFS(Счета!$B$10:$B$21,$H213,Счета!$C$10:$C$21,"Кредитная")&gt;0),1,0)</f>
        <v/>
      </c>
    </row>
    <row r="214" ht="19" customHeight="1">
      <c r="B214" s="53">
        <f>IF(AND($C214="",$F214=""),"",ROW()-9)</f>
        <v/>
      </c>
      <c r="C214" s="213" t="n"/>
      <c r="D214" s="55" t="n"/>
      <c r="E214" s="55" t="n"/>
      <c r="F214" s="56" t="n"/>
      <c r="G214" s="196" t="n"/>
      <c r="H214" s="21" t="n"/>
      <c r="I214" s="21" t="n"/>
      <c r="J214" s="53">
        <f>IF($C214="","",INDEX(Настройки!$V$6:$V$17,MONTH($C214))&amp;" "&amp;YEAR($C214))</f>
        <v/>
      </c>
      <c r="K214" s="57">
        <f>IF(OR($F214="",$D214="Перевод"),"",IF(AND(N($G214)&lt;&gt;0,COUNTIFS(Журнал!$C$10:$C$1509,$C214,Журнал!$P$10:$P$1509,$G214)&gt;0),"есть в Журнале",IF(COUNTIF(Постоянные!$C$8:$C$37,$F214)&gt;0,"есть в Постоянных",IF(COUNTIF(Покупки!$C$7:$C$18,$F214)&gt;0,"есть в Покупках",""))))</f>
        <v/>
      </c>
      <c r="P214">
        <f>IF($C214="","",DATE(YEAR($C214),MONTH($C214),1))</f>
        <v/>
      </c>
      <c r="Q214">
        <f>IF(ISNUMBER($G214),ABS($G214),0)</f>
        <v/>
      </c>
      <c r="R214">
        <f>IF(AND($D214="Расход",COUNTIFS(Счета!$B$10:$B$21,$H214,Счета!$C$10:$C$21,"Кредитная")&gt;0),1,0)</f>
        <v/>
      </c>
    </row>
    <row r="215" ht="19" customHeight="1">
      <c r="B215" s="53">
        <f>IF(AND($C215="",$F215=""),"",ROW()-9)</f>
        <v/>
      </c>
      <c r="C215" s="213" t="n"/>
      <c r="D215" s="55" t="n"/>
      <c r="E215" s="55" t="n"/>
      <c r="F215" s="56" t="n"/>
      <c r="G215" s="196" t="n"/>
      <c r="H215" s="21" t="n"/>
      <c r="I215" s="21" t="n"/>
      <c r="J215" s="53">
        <f>IF($C215="","",INDEX(Настройки!$V$6:$V$17,MONTH($C215))&amp;" "&amp;YEAR($C215))</f>
        <v/>
      </c>
      <c r="K215" s="57">
        <f>IF(OR($F215="",$D215="Перевод"),"",IF(AND(N($G215)&lt;&gt;0,COUNTIFS(Журнал!$C$10:$C$1509,$C215,Журнал!$P$10:$P$1509,$G215)&gt;0),"есть в Журнале",IF(COUNTIF(Постоянные!$C$8:$C$37,$F215)&gt;0,"есть в Постоянных",IF(COUNTIF(Покупки!$C$7:$C$18,$F215)&gt;0,"есть в Покупках",""))))</f>
        <v/>
      </c>
      <c r="P215">
        <f>IF($C215="","",DATE(YEAR($C215),MONTH($C215),1))</f>
        <v/>
      </c>
      <c r="Q215">
        <f>IF(ISNUMBER($G215),ABS($G215),0)</f>
        <v/>
      </c>
      <c r="R215">
        <f>IF(AND($D215="Расход",COUNTIFS(Счета!$B$10:$B$21,$H215,Счета!$C$10:$C$21,"Кредитная")&gt;0),1,0)</f>
        <v/>
      </c>
    </row>
    <row r="216" ht="19" customHeight="1">
      <c r="B216" s="53">
        <f>IF(AND($C216="",$F216=""),"",ROW()-9)</f>
        <v/>
      </c>
      <c r="C216" s="213" t="n"/>
      <c r="D216" s="55" t="n"/>
      <c r="E216" s="55" t="n"/>
      <c r="F216" s="56" t="n"/>
      <c r="G216" s="196" t="n"/>
      <c r="H216" s="21" t="n"/>
      <c r="I216" s="21" t="n"/>
      <c r="J216" s="53">
        <f>IF($C216="","",INDEX(Настройки!$V$6:$V$17,MONTH($C216))&amp;" "&amp;YEAR($C216))</f>
        <v/>
      </c>
      <c r="K216" s="57">
        <f>IF(OR($F216="",$D216="Перевод"),"",IF(AND(N($G216)&lt;&gt;0,COUNTIFS(Журнал!$C$10:$C$1509,$C216,Журнал!$P$10:$P$1509,$G216)&gt;0),"есть в Журнале",IF(COUNTIF(Постоянные!$C$8:$C$37,$F216)&gt;0,"есть в Постоянных",IF(COUNTIF(Покупки!$C$7:$C$18,$F216)&gt;0,"есть в Покупках",""))))</f>
        <v/>
      </c>
      <c r="P216">
        <f>IF($C216="","",DATE(YEAR($C216),MONTH($C216),1))</f>
        <v/>
      </c>
      <c r="Q216">
        <f>IF(ISNUMBER($G216),ABS($G216),0)</f>
        <v/>
      </c>
      <c r="R216">
        <f>IF(AND($D216="Расход",COUNTIFS(Счета!$B$10:$B$21,$H216,Счета!$C$10:$C$21,"Кредитная")&gt;0),1,0)</f>
        <v/>
      </c>
    </row>
    <row r="217" ht="19" customHeight="1">
      <c r="B217" s="53">
        <f>IF(AND($C217="",$F217=""),"",ROW()-9)</f>
        <v/>
      </c>
      <c r="C217" s="213" t="n"/>
      <c r="D217" s="55" t="n"/>
      <c r="E217" s="55" t="n"/>
      <c r="F217" s="56" t="n"/>
      <c r="G217" s="196" t="n"/>
      <c r="H217" s="21" t="n"/>
      <c r="I217" s="21" t="n"/>
      <c r="J217" s="53">
        <f>IF($C217="","",INDEX(Настройки!$V$6:$V$17,MONTH($C217))&amp;" "&amp;YEAR($C217))</f>
        <v/>
      </c>
      <c r="K217" s="57">
        <f>IF(OR($F217="",$D217="Перевод"),"",IF(AND(N($G217)&lt;&gt;0,COUNTIFS(Журнал!$C$10:$C$1509,$C217,Журнал!$P$10:$P$1509,$G217)&gt;0),"есть в Журнале",IF(COUNTIF(Постоянные!$C$8:$C$37,$F217)&gt;0,"есть в Постоянных",IF(COUNTIF(Покупки!$C$7:$C$18,$F217)&gt;0,"есть в Покупках",""))))</f>
        <v/>
      </c>
      <c r="P217">
        <f>IF($C217="","",DATE(YEAR($C217),MONTH($C217),1))</f>
        <v/>
      </c>
      <c r="Q217">
        <f>IF(ISNUMBER($G217),ABS($G217),0)</f>
        <v/>
      </c>
      <c r="R217">
        <f>IF(AND($D217="Расход",COUNTIFS(Счета!$B$10:$B$21,$H217,Счета!$C$10:$C$21,"Кредитная")&gt;0),1,0)</f>
        <v/>
      </c>
    </row>
    <row r="218" ht="19" customHeight="1">
      <c r="B218" s="53">
        <f>IF(AND($C218="",$F218=""),"",ROW()-9)</f>
        <v/>
      </c>
      <c r="C218" s="213" t="n"/>
      <c r="D218" s="55" t="n"/>
      <c r="E218" s="55" t="n"/>
      <c r="F218" s="56" t="n"/>
      <c r="G218" s="196" t="n"/>
      <c r="H218" s="21" t="n"/>
      <c r="I218" s="21" t="n"/>
      <c r="J218" s="53">
        <f>IF($C218="","",INDEX(Настройки!$V$6:$V$17,MONTH($C218))&amp;" "&amp;YEAR($C218))</f>
        <v/>
      </c>
      <c r="K218" s="57">
        <f>IF(OR($F218="",$D218="Перевод"),"",IF(AND(N($G218)&lt;&gt;0,COUNTIFS(Журнал!$C$10:$C$1509,$C218,Журнал!$P$10:$P$1509,$G218)&gt;0),"есть в Журнале",IF(COUNTIF(Постоянные!$C$8:$C$37,$F218)&gt;0,"есть в Постоянных",IF(COUNTIF(Покупки!$C$7:$C$18,$F218)&gt;0,"есть в Покупках",""))))</f>
        <v/>
      </c>
      <c r="P218">
        <f>IF($C218="","",DATE(YEAR($C218),MONTH($C218),1))</f>
        <v/>
      </c>
      <c r="Q218">
        <f>IF(ISNUMBER($G218),ABS($G218),0)</f>
        <v/>
      </c>
      <c r="R218">
        <f>IF(AND($D218="Расход",COUNTIFS(Счета!$B$10:$B$21,$H218,Счета!$C$10:$C$21,"Кредитная")&gt;0),1,0)</f>
        <v/>
      </c>
    </row>
    <row r="219" ht="19" customHeight="1">
      <c r="B219" s="53">
        <f>IF(AND($C219="",$F219=""),"",ROW()-9)</f>
        <v/>
      </c>
      <c r="C219" s="213" t="n"/>
      <c r="D219" s="55" t="n"/>
      <c r="E219" s="55" t="n"/>
      <c r="F219" s="56" t="n"/>
      <c r="G219" s="196" t="n"/>
      <c r="H219" s="21" t="n"/>
      <c r="I219" s="21" t="n"/>
      <c r="J219" s="53">
        <f>IF($C219="","",INDEX(Настройки!$V$6:$V$17,MONTH($C219))&amp;" "&amp;YEAR($C219))</f>
        <v/>
      </c>
      <c r="K219" s="57">
        <f>IF(OR($F219="",$D219="Перевод"),"",IF(AND(N($G219)&lt;&gt;0,COUNTIFS(Журнал!$C$10:$C$1509,$C219,Журнал!$P$10:$P$1509,$G219)&gt;0),"есть в Журнале",IF(COUNTIF(Постоянные!$C$8:$C$37,$F219)&gt;0,"есть в Постоянных",IF(COUNTIF(Покупки!$C$7:$C$18,$F219)&gt;0,"есть в Покупках",""))))</f>
        <v/>
      </c>
      <c r="P219">
        <f>IF($C219="","",DATE(YEAR($C219),MONTH($C219),1))</f>
        <v/>
      </c>
      <c r="Q219">
        <f>IF(ISNUMBER($G219),ABS($G219),0)</f>
        <v/>
      </c>
      <c r="R219">
        <f>IF(AND($D219="Расход",COUNTIFS(Счета!$B$10:$B$21,$H219,Счета!$C$10:$C$21,"Кредитная")&gt;0),1,0)</f>
        <v/>
      </c>
    </row>
    <row r="220" ht="19" customHeight="1">
      <c r="B220" s="53">
        <f>IF(AND($C220="",$F220=""),"",ROW()-9)</f>
        <v/>
      </c>
      <c r="C220" s="213" t="n"/>
      <c r="D220" s="55" t="n"/>
      <c r="E220" s="55" t="n"/>
      <c r="F220" s="56" t="n"/>
      <c r="G220" s="196" t="n"/>
      <c r="H220" s="21" t="n"/>
      <c r="I220" s="21" t="n"/>
      <c r="J220" s="53">
        <f>IF($C220="","",INDEX(Настройки!$V$6:$V$17,MONTH($C220))&amp;" "&amp;YEAR($C220))</f>
        <v/>
      </c>
      <c r="K220" s="57">
        <f>IF(OR($F220="",$D220="Перевод"),"",IF(AND(N($G220)&lt;&gt;0,COUNTIFS(Журнал!$C$10:$C$1509,$C220,Журнал!$P$10:$P$1509,$G220)&gt;0),"есть в Журнале",IF(COUNTIF(Постоянные!$C$8:$C$37,$F220)&gt;0,"есть в Постоянных",IF(COUNTIF(Покупки!$C$7:$C$18,$F220)&gt;0,"есть в Покупках",""))))</f>
        <v/>
      </c>
      <c r="P220">
        <f>IF($C220="","",DATE(YEAR($C220),MONTH($C220),1))</f>
        <v/>
      </c>
      <c r="Q220">
        <f>IF(ISNUMBER($G220),ABS($G220),0)</f>
        <v/>
      </c>
      <c r="R220">
        <f>IF(AND($D220="Расход",COUNTIFS(Счета!$B$10:$B$21,$H220,Счета!$C$10:$C$21,"Кредитная")&gt;0),1,0)</f>
        <v/>
      </c>
    </row>
    <row r="221" ht="19" customHeight="1">
      <c r="B221" s="53">
        <f>IF(AND($C221="",$F221=""),"",ROW()-9)</f>
        <v/>
      </c>
      <c r="C221" s="213" t="n"/>
      <c r="D221" s="55" t="n"/>
      <c r="E221" s="55" t="n"/>
      <c r="F221" s="56" t="n"/>
      <c r="G221" s="196" t="n"/>
      <c r="H221" s="21" t="n"/>
      <c r="I221" s="21" t="n"/>
      <c r="J221" s="53">
        <f>IF($C221="","",INDEX(Настройки!$V$6:$V$17,MONTH($C221))&amp;" "&amp;YEAR($C221))</f>
        <v/>
      </c>
      <c r="K221" s="57">
        <f>IF(OR($F221="",$D221="Перевод"),"",IF(AND(N($G221)&lt;&gt;0,COUNTIFS(Журнал!$C$10:$C$1509,$C221,Журнал!$P$10:$P$1509,$G221)&gt;0),"есть в Журнале",IF(COUNTIF(Постоянные!$C$8:$C$37,$F221)&gt;0,"есть в Постоянных",IF(COUNTIF(Покупки!$C$7:$C$18,$F221)&gt;0,"есть в Покупках",""))))</f>
        <v/>
      </c>
      <c r="P221">
        <f>IF($C221="","",DATE(YEAR($C221),MONTH($C221),1))</f>
        <v/>
      </c>
      <c r="Q221">
        <f>IF(ISNUMBER($G221),ABS($G221),0)</f>
        <v/>
      </c>
      <c r="R221">
        <f>IF(AND($D221="Расход",COUNTIFS(Счета!$B$10:$B$21,$H221,Счета!$C$10:$C$21,"Кредитная")&gt;0),1,0)</f>
        <v/>
      </c>
    </row>
    <row r="222" ht="19" customHeight="1">
      <c r="B222" s="53">
        <f>IF(AND($C222="",$F222=""),"",ROW()-9)</f>
        <v/>
      </c>
      <c r="C222" s="213" t="n"/>
      <c r="D222" s="55" t="n"/>
      <c r="E222" s="55" t="n"/>
      <c r="F222" s="56" t="n"/>
      <c r="G222" s="196" t="n"/>
      <c r="H222" s="21" t="n"/>
      <c r="I222" s="21" t="n"/>
      <c r="J222" s="53">
        <f>IF($C222="","",INDEX(Настройки!$V$6:$V$17,MONTH($C222))&amp;" "&amp;YEAR($C222))</f>
        <v/>
      </c>
      <c r="K222" s="57">
        <f>IF(OR($F222="",$D222="Перевод"),"",IF(AND(N($G222)&lt;&gt;0,COUNTIFS(Журнал!$C$10:$C$1509,$C222,Журнал!$P$10:$P$1509,$G222)&gt;0),"есть в Журнале",IF(COUNTIF(Постоянные!$C$8:$C$37,$F222)&gt;0,"есть в Постоянных",IF(COUNTIF(Покупки!$C$7:$C$18,$F222)&gt;0,"есть в Покупках",""))))</f>
        <v/>
      </c>
      <c r="P222">
        <f>IF($C222="","",DATE(YEAR($C222),MONTH($C222),1))</f>
        <v/>
      </c>
      <c r="Q222">
        <f>IF(ISNUMBER($G222),ABS($G222),0)</f>
        <v/>
      </c>
      <c r="R222">
        <f>IF(AND($D222="Расход",COUNTIFS(Счета!$B$10:$B$21,$H222,Счета!$C$10:$C$21,"Кредитная")&gt;0),1,0)</f>
        <v/>
      </c>
    </row>
    <row r="223" ht="19" customHeight="1">
      <c r="B223" s="53">
        <f>IF(AND($C223="",$F223=""),"",ROW()-9)</f>
        <v/>
      </c>
      <c r="C223" s="213" t="n"/>
      <c r="D223" s="55" t="n"/>
      <c r="E223" s="55" t="n"/>
      <c r="F223" s="56" t="n"/>
      <c r="G223" s="196" t="n"/>
      <c r="H223" s="21" t="n"/>
      <c r="I223" s="21" t="n"/>
      <c r="J223" s="53">
        <f>IF($C223="","",INDEX(Настройки!$V$6:$V$17,MONTH($C223))&amp;" "&amp;YEAR($C223))</f>
        <v/>
      </c>
      <c r="K223" s="57">
        <f>IF(OR($F223="",$D223="Перевод"),"",IF(AND(N($G223)&lt;&gt;0,COUNTIFS(Журнал!$C$10:$C$1509,$C223,Журнал!$P$10:$P$1509,$G223)&gt;0),"есть в Журнале",IF(COUNTIF(Постоянные!$C$8:$C$37,$F223)&gt;0,"есть в Постоянных",IF(COUNTIF(Покупки!$C$7:$C$18,$F223)&gt;0,"есть в Покупках",""))))</f>
        <v/>
      </c>
      <c r="P223">
        <f>IF($C223="","",DATE(YEAR($C223),MONTH($C223),1))</f>
        <v/>
      </c>
      <c r="Q223">
        <f>IF(ISNUMBER($G223),ABS($G223),0)</f>
        <v/>
      </c>
      <c r="R223">
        <f>IF(AND($D223="Расход",COUNTIFS(Счета!$B$10:$B$21,$H223,Счета!$C$10:$C$21,"Кредитная")&gt;0),1,0)</f>
        <v/>
      </c>
    </row>
    <row r="224" ht="19" customHeight="1">
      <c r="B224" s="53">
        <f>IF(AND($C224="",$F224=""),"",ROW()-9)</f>
        <v/>
      </c>
      <c r="C224" s="213" t="n"/>
      <c r="D224" s="55" t="n"/>
      <c r="E224" s="55" t="n"/>
      <c r="F224" s="56" t="n"/>
      <c r="G224" s="196" t="n"/>
      <c r="H224" s="21" t="n"/>
      <c r="I224" s="21" t="n"/>
      <c r="J224" s="53">
        <f>IF($C224="","",INDEX(Настройки!$V$6:$V$17,MONTH($C224))&amp;" "&amp;YEAR($C224))</f>
        <v/>
      </c>
      <c r="K224" s="57">
        <f>IF(OR($F224="",$D224="Перевод"),"",IF(AND(N($G224)&lt;&gt;0,COUNTIFS(Журнал!$C$10:$C$1509,$C224,Журнал!$P$10:$P$1509,$G224)&gt;0),"есть в Журнале",IF(COUNTIF(Постоянные!$C$8:$C$37,$F224)&gt;0,"есть в Постоянных",IF(COUNTIF(Покупки!$C$7:$C$18,$F224)&gt;0,"есть в Покупках",""))))</f>
        <v/>
      </c>
      <c r="P224">
        <f>IF($C224="","",DATE(YEAR($C224),MONTH($C224),1))</f>
        <v/>
      </c>
      <c r="Q224">
        <f>IF(ISNUMBER($G224),ABS($G224),0)</f>
        <v/>
      </c>
      <c r="R224">
        <f>IF(AND($D224="Расход",COUNTIFS(Счета!$B$10:$B$21,$H224,Счета!$C$10:$C$21,"Кредитная")&gt;0),1,0)</f>
        <v/>
      </c>
    </row>
    <row r="225" ht="19" customHeight="1">
      <c r="B225" s="53">
        <f>IF(AND($C225="",$F225=""),"",ROW()-9)</f>
        <v/>
      </c>
      <c r="C225" s="213" t="n"/>
      <c r="D225" s="55" t="n"/>
      <c r="E225" s="55" t="n"/>
      <c r="F225" s="56" t="n"/>
      <c r="G225" s="196" t="n"/>
      <c r="H225" s="21" t="n"/>
      <c r="I225" s="21" t="n"/>
      <c r="J225" s="53">
        <f>IF($C225="","",INDEX(Настройки!$V$6:$V$17,MONTH($C225))&amp;" "&amp;YEAR($C225))</f>
        <v/>
      </c>
      <c r="K225" s="57">
        <f>IF(OR($F225="",$D225="Перевод"),"",IF(AND(N($G225)&lt;&gt;0,COUNTIFS(Журнал!$C$10:$C$1509,$C225,Журнал!$P$10:$P$1509,$G225)&gt;0),"есть в Журнале",IF(COUNTIF(Постоянные!$C$8:$C$37,$F225)&gt;0,"есть в Постоянных",IF(COUNTIF(Покупки!$C$7:$C$18,$F225)&gt;0,"есть в Покупках",""))))</f>
        <v/>
      </c>
      <c r="P225">
        <f>IF($C225="","",DATE(YEAR($C225),MONTH($C225),1))</f>
        <v/>
      </c>
      <c r="Q225">
        <f>IF(ISNUMBER($G225),ABS($G225),0)</f>
        <v/>
      </c>
      <c r="R225">
        <f>IF(AND($D225="Расход",COUNTIFS(Счета!$B$10:$B$21,$H225,Счета!$C$10:$C$21,"Кредитная")&gt;0),1,0)</f>
        <v/>
      </c>
    </row>
    <row r="226" ht="19" customHeight="1">
      <c r="B226" s="53">
        <f>IF(AND($C226="",$F226=""),"",ROW()-9)</f>
        <v/>
      </c>
      <c r="C226" s="213" t="n"/>
      <c r="D226" s="55" t="n"/>
      <c r="E226" s="55" t="n"/>
      <c r="F226" s="56" t="n"/>
      <c r="G226" s="196" t="n"/>
      <c r="H226" s="21" t="n"/>
      <c r="I226" s="21" t="n"/>
      <c r="J226" s="53">
        <f>IF($C226="","",INDEX(Настройки!$V$6:$V$17,MONTH($C226))&amp;" "&amp;YEAR($C226))</f>
        <v/>
      </c>
      <c r="K226" s="57">
        <f>IF(OR($F226="",$D226="Перевод"),"",IF(AND(N($G226)&lt;&gt;0,COUNTIFS(Журнал!$C$10:$C$1509,$C226,Журнал!$P$10:$P$1509,$G226)&gt;0),"есть в Журнале",IF(COUNTIF(Постоянные!$C$8:$C$37,$F226)&gt;0,"есть в Постоянных",IF(COUNTIF(Покупки!$C$7:$C$18,$F226)&gt;0,"есть в Покупках",""))))</f>
        <v/>
      </c>
      <c r="P226">
        <f>IF($C226="","",DATE(YEAR($C226),MONTH($C226),1))</f>
        <v/>
      </c>
      <c r="Q226">
        <f>IF(ISNUMBER($G226),ABS($G226),0)</f>
        <v/>
      </c>
      <c r="R226">
        <f>IF(AND($D226="Расход",COUNTIFS(Счета!$B$10:$B$21,$H226,Счета!$C$10:$C$21,"Кредитная")&gt;0),1,0)</f>
        <v/>
      </c>
    </row>
    <row r="227" ht="19" customHeight="1">
      <c r="B227" s="53">
        <f>IF(AND($C227="",$F227=""),"",ROW()-9)</f>
        <v/>
      </c>
      <c r="C227" s="213" t="n"/>
      <c r="D227" s="55" t="n"/>
      <c r="E227" s="55" t="n"/>
      <c r="F227" s="56" t="n"/>
      <c r="G227" s="196" t="n"/>
      <c r="H227" s="21" t="n"/>
      <c r="I227" s="21" t="n"/>
      <c r="J227" s="53">
        <f>IF($C227="","",INDEX(Настройки!$V$6:$V$17,MONTH($C227))&amp;" "&amp;YEAR($C227))</f>
        <v/>
      </c>
      <c r="K227" s="57">
        <f>IF(OR($F227="",$D227="Перевод"),"",IF(AND(N($G227)&lt;&gt;0,COUNTIFS(Журнал!$C$10:$C$1509,$C227,Журнал!$P$10:$P$1509,$G227)&gt;0),"есть в Журнале",IF(COUNTIF(Постоянные!$C$8:$C$37,$F227)&gt;0,"есть в Постоянных",IF(COUNTIF(Покупки!$C$7:$C$18,$F227)&gt;0,"есть в Покупках",""))))</f>
        <v/>
      </c>
      <c r="P227">
        <f>IF($C227="","",DATE(YEAR($C227),MONTH($C227),1))</f>
        <v/>
      </c>
      <c r="Q227">
        <f>IF(ISNUMBER($G227),ABS($G227),0)</f>
        <v/>
      </c>
      <c r="R227">
        <f>IF(AND($D227="Расход",COUNTIFS(Счета!$B$10:$B$21,$H227,Счета!$C$10:$C$21,"Кредитная")&gt;0),1,0)</f>
        <v/>
      </c>
    </row>
    <row r="228" ht="19" customHeight="1">
      <c r="B228" s="53">
        <f>IF(AND($C228="",$F228=""),"",ROW()-9)</f>
        <v/>
      </c>
      <c r="C228" s="213" t="n"/>
      <c r="D228" s="55" t="n"/>
      <c r="E228" s="55" t="n"/>
      <c r="F228" s="56" t="n"/>
      <c r="G228" s="196" t="n"/>
      <c r="H228" s="21" t="n"/>
      <c r="I228" s="21" t="n"/>
      <c r="J228" s="53">
        <f>IF($C228="","",INDEX(Настройки!$V$6:$V$17,MONTH($C228))&amp;" "&amp;YEAR($C228))</f>
        <v/>
      </c>
      <c r="K228" s="57">
        <f>IF(OR($F228="",$D228="Перевод"),"",IF(AND(N($G228)&lt;&gt;0,COUNTIFS(Журнал!$C$10:$C$1509,$C228,Журнал!$P$10:$P$1509,$G228)&gt;0),"есть в Журнале",IF(COUNTIF(Постоянные!$C$8:$C$37,$F228)&gt;0,"есть в Постоянных",IF(COUNTIF(Покупки!$C$7:$C$18,$F228)&gt;0,"есть в Покупках",""))))</f>
        <v/>
      </c>
      <c r="P228">
        <f>IF($C228="","",DATE(YEAR($C228),MONTH($C228),1))</f>
        <v/>
      </c>
      <c r="Q228">
        <f>IF(ISNUMBER($G228),ABS($G228),0)</f>
        <v/>
      </c>
      <c r="R228">
        <f>IF(AND($D228="Расход",COUNTIFS(Счета!$B$10:$B$21,$H228,Счета!$C$10:$C$21,"Кредитная")&gt;0),1,0)</f>
        <v/>
      </c>
    </row>
    <row r="229" ht="19" customHeight="1">
      <c r="B229" s="53">
        <f>IF(AND($C229="",$F229=""),"",ROW()-9)</f>
        <v/>
      </c>
      <c r="C229" s="213" t="n"/>
      <c r="D229" s="55" t="n"/>
      <c r="E229" s="55" t="n"/>
      <c r="F229" s="56" t="n"/>
      <c r="G229" s="196" t="n"/>
      <c r="H229" s="21" t="n"/>
      <c r="I229" s="21" t="n"/>
      <c r="J229" s="53">
        <f>IF($C229="","",INDEX(Настройки!$V$6:$V$17,MONTH($C229))&amp;" "&amp;YEAR($C229))</f>
        <v/>
      </c>
      <c r="K229" s="57">
        <f>IF(OR($F229="",$D229="Перевод"),"",IF(AND(N($G229)&lt;&gt;0,COUNTIFS(Журнал!$C$10:$C$1509,$C229,Журнал!$P$10:$P$1509,$G229)&gt;0),"есть в Журнале",IF(COUNTIF(Постоянные!$C$8:$C$37,$F229)&gt;0,"есть в Постоянных",IF(COUNTIF(Покупки!$C$7:$C$18,$F229)&gt;0,"есть в Покупках",""))))</f>
        <v/>
      </c>
      <c r="P229">
        <f>IF($C229="","",DATE(YEAR($C229),MONTH($C229),1))</f>
        <v/>
      </c>
      <c r="Q229">
        <f>IF(ISNUMBER($G229),ABS($G229),0)</f>
        <v/>
      </c>
      <c r="R229">
        <f>IF(AND($D229="Расход",COUNTIFS(Счета!$B$10:$B$21,$H229,Счета!$C$10:$C$21,"Кредитная")&gt;0),1,0)</f>
        <v/>
      </c>
    </row>
    <row r="230" ht="19" customHeight="1">
      <c r="B230" s="53">
        <f>IF(AND($C230="",$F230=""),"",ROW()-9)</f>
        <v/>
      </c>
      <c r="C230" s="213" t="n"/>
      <c r="D230" s="55" t="n"/>
      <c r="E230" s="55" t="n"/>
      <c r="F230" s="56" t="n"/>
      <c r="G230" s="196" t="n"/>
      <c r="H230" s="21" t="n"/>
      <c r="I230" s="21" t="n"/>
      <c r="J230" s="53">
        <f>IF($C230="","",INDEX(Настройки!$V$6:$V$17,MONTH($C230))&amp;" "&amp;YEAR($C230))</f>
        <v/>
      </c>
      <c r="K230" s="57">
        <f>IF(OR($F230="",$D230="Перевод"),"",IF(AND(N($G230)&lt;&gt;0,COUNTIFS(Журнал!$C$10:$C$1509,$C230,Журнал!$P$10:$P$1509,$G230)&gt;0),"есть в Журнале",IF(COUNTIF(Постоянные!$C$8:$C$37,$F230)&gt;0,"есть в Постоянных",IF(COUNTIF(Покупки!$C$7:$C$18,$F230)&gt;0,"есть в Покупках",""))))</f>
        <v/>
      </c>
      <c r="P230">
        <f>IF($C230="","",DATE(YEAR($C230),MONTH($C230),1))</f>
        <v/>
      </c>
      <c r="Q230">
        <f>IF(ISNUMBER($G230),ABS($G230),0)</f>
        <v/>
      </c>
      <c r="R230">
        <f>IF(AND($D230="Расход",COUNTIFS(Счета!$B$10:$B$21,$H230,Счета!$C$10:$C$21,"Кредитная")&gt;0),1,0)</f>
        <v/>
      </c>
    </row>
    <row r="231" ht="19" customHeight="1">
      <c r="B231" s="53">
        <f>IF(AND($C231="",$F231=""),"",ROW()-9)</f>
        <v/>
      </c>
      <c r="C231" s="213" t="n"/>
      <c r="D231" s="55" t="n"/>
      <c r="E231" s="55" t="n"/>
      <c r="F231" s="56" t="n"/>
      <c r="G231" s="196" t="n"/>
      <c r="H231" s="21" t="n"/>
      <c r="I231" s="21" t="n"/>
      <c r="J231" s="53">
        <f>IF($C231="","",INDEX(Настройки!$V$6:$V$17,MONTH($C231))&amp;" "&amp;YEAR($C231))</f>
        <v/>
      </c>
      <c r="K231" s="57">
        <f>IF(OR($F231="",$D231="Перевод"),"",IF(AND(N($G231)&lt;&gt;0,COUNTIFS(Журнал!$C$10:$C$1509,$C231,Журнал!$P$10:$P$1509,$G231)&gt;0),"есть в Журнале",IF(COUNTIF(Постоянные!$C$8:$C$37,$F231)&gt;0,"есть в Постоянных",IF(COUNTIF(Покупки!$C$7:$C$18,$F231)&gt;0,"есть в Покупках",""))))</f>
        <v/>
      </c>
      <c r="P231">
        <f>IF($C231="","",DATE(YEAR($C231),MONTH($C231),1))</f>
        <v/>
      </c>
      <c r="Q231">
        <f>IF(ISNUMBER($G231),ABS($G231),0)</f>
        <v/>
      </c>
      <c r="R231">
        <f>IF(AND($D231="Расход",COUNTIFS(Счета!$B$10:$B$21,$H231,Счета!$C$10:$C$21,"Кредитная")&gt;0),1,0)</f>
        <v/>
      </c>
    </row>
    <row r="232" ht="19" customHeight="1">
      <c r="B232" s="53">
        <f>IF(AND($C232="",$F232=""),"",ROW()-9)</f>
        <v/>
      </c>
      <c r="C232" s="213" t="n"/>
      <c r="D232" s="55" t="n"/>
      <c r="E232" s="55" t="n"/>
      <c r="F232" s="56" t="n"/>
      <c r="G232" s="196" t="n"/>
      <c r="H232" s="21" t="n"/>
      <c r="I232" s="21" t="n"/>
      <c r="J232" s="53">
        <f>IF($C232="","",INDEX(Настройки!$V$6:$V$17,MONTH($C232))&amp;" "&amp;YEAR($C232))</f>
        <v/>
      </c>
      <c r="K232" s="57">
        <f>IF(OR($F232="",$D232="Перевод"),"",IF(AND(N($G232)&lt;&gt;0,COUNTIFS(Журнал!$C$10:$C$1509,$C232,Журнал!$P$10:$P$1509,$G232)&gt;0),"есть в Журнале",IF(COUNTIF(Постоянные!$C$8:$C$37,$F232)&gt;0,"есть в Постоянных",IF(COUNTIF(Покупки!$C$7:$C$18,$F232)&gt;0,"есть в Покупках",""))))</f>
        <v/>
      </c>
      <c r="P232">
        <f>IF($C232="","",DATE(YEAR($C232),MONTH($C232),1))</f>
        <v/>
      </c>
      <c r="Q232">
        <f>IF(ISNUMBER($G232),ABS($G232),0)</f>
        <v/>
      </c>
      <c r="R232">
        <f>IF(AND($D232="Расход",COUNTIFS(Счета!$B$10:$B$21,$H232,Счета!$C$10:$C$21,"Кредитная")&gt;0),1,0)</f>
        <v/>
      </c>
    </row>
    <row r="233" ht="19" customHeight="1">
      <c r="B233" s="53">
        <f>IF(AND($C233="",$F233=""),"",ROW()-9)</f>
        <v/>
      </c>
      <c r="C233" s="213" t="n"/>
      <c r="D233" s="55" t="n"/>
      <c r="E233" s="55" t="n"/>
      <c r="F233" s="56" t="n"/>
      <c r="G233" s="196" t="n"/>
      <c r="H233" s="21" t="n"/>
      <c r="I233" s="21" t="n"/>
      <c r="J233" s="53">
        <f>IF($C233="","",INDEX(Настройки!$V$6:$V$17,MONTH($C233))&amp;" "&amp;YEAR($C233))</f>
        <v/>
      </c>
      <c r="K233" s="57">
        <f>IF(OR($F233="",$D233="Перевод"),"",IF(AND(N($G233)&lt;&gt;0,COUNTIFS(Журнал!$C$10:$C$1509,$C233,Журнал!$P$10:$P$1509,$G233)&gt;0),"есть в Журнале",IF(COUNTIF(Постоянные!$C$8:$C$37,$F233)&gt;0,"есть в Постоянных",IF(COUNTIF(Покупки!$C$7:$C$18,$F233)&gt;0,"есть в Покупках",""))))</f>
        <v/>
      </c>
      <c r="P233">
        <f>IF($C233="","",DATE(YEAR($C233),MONTH($C233),1))</f>
        <v/>
      </c>
      <c r="Q233">
        <f>IF(ISNUMBER($G233),ABS($G233),0)</f>
        <v/>
      </c>
      <c r="R233">
        <f>IF(AND($D233="Расход",COUNTIFS(Счета!$B$10:$B$21,$H233,Счета!$C$10:$C$21,"Кредитная")&gt;0),1,0)</f>
        <v/>
      </c>
    </row>
    <row r="234" ht="19" customHeight="1">
      <c r="B234" s="53">
        <f>IF(AND($C234="",$F234=""),"",ROW()-9)</f>
        <v/>
      </c>
      <c r="C234" s="213" t="n"/>
      <c r="D234" s="55" t="n"/>
      <c r="E234" s="55" t="n"/>
      <c r="F234" s="56" t="n"/>
      <c r="G234" s="196" t="n"/>
      <c r="H234" s="21" t="n"/>
      <c r="I234" s="21" t="n"/>
      <c r="J234" s="53">
        <f>IF($C234="","",INDEX(Настройки!$V$6:$V$17,MONTH($C234))&amp;" "&amp;YEAR($C234))</f>
        <v/>
      </c>
      <c r="K234" s="57">
        <f>IF(OR($F234="",$D234="Перевод"),"",IF(AND(N($G234)&lt;&gt;0,COUNTIFS(Журнал!$C$10:$C$1509,$C234,Журнал!$P$10:$P$1509,$G234)&gt;0),"есть в Журнале",IF(COUNTIF(Постоянные!$C$8:$C$37,$F234)&gt;0,"есть в Постоянных",IF(COUNTIF(Покупки!$C$7:$C$18,$F234)&gt;0,"есть в Покупках",""))))</f>
        <v/>
      </c>
      <c r="P234">
        <f>IF($C234="","",DATE(YEAR($C234),MONTH($C234),1))</f>
        <v/>
      </c>
      <c r="Q234">
        <f>IF(ISNUMBER($G234),ABS($G234),0)</f>
        <v/>
      </c>
      <c r="R234">
        <f>IF(AND($D234="Расход",COUNTIFS(Счета!$B$10:$B$21,$H234,Счета!$C$10:$C$21,"Кредитная")&gt;0),1,0)</f>
        <v/>
      </c>
    </row>
    <row r="235" ht="19" customHeight="1">
      <c r="B235" s="53">
        <f>IF(AND($C235="",$F235=""),"",ROW()-9)</f>
        <v/>
      </c>
      <c r="C235" s="213" t="n"/>
      <c r="D235" s="55" t="n"/>
      <c r="E235" s="55" t="n"/>
      <c r="F235" s="56" t="n"/>
      <c r="G235" s="196" t="n"/>
      <c r="H235" s="21" t="n"/>
      <c r="I235" s="21" t="n"/>
      <c r="J235" s="53">
        <f>IF($C235="","",INDEX(Настройки!$V$6:$V$17,MONTH($C235))&amp;" "&amp;YEAR($C235))</f>
        <v/>
      </c>
      <c r="K235" s="57">
        <f>IF(OR($F235="",$D235="Перевод"),"",IF(AND(N($G235)&lt;&gt;0,COUNTIFS(Журнал!$C$10:$C$1509,$C235,Журнал!$P$10:$P$1509,$G235)&gt;0),"есть в Журнале",IF(COUNTIF(Постоянные!$C$8:$C$37,$F235)&gt;0,"есть в Постоянных",IF(COUNTIF(Покупки!$C$7:$C$18,$F235)&gt;0,"есть в Покупках",""))))</f>
        <v/>
      </c>
      <c r="P235">
        <f>IF($C235="","",DATE(YEAR($C235),MONTH($C235),1))</f>
        <v/>
      </c>
      <c r="Q235">
        <f>IF(ISNUMBER($G235),ABS($G235),0)</f>
        <v/>
      </c>
      <c r="R235">
        <f>IF(AND($D235="Расход",COUNTIFS(Счета!$B$10:$B$21,$H235,Счета!$C$10:$C$21,"Кредитная")&gt;0),1,0)</f>
        <v/>
      </c>
    </row>
    <row r="236" ht="19" customHeight="1">
      <c r="B236" s="53">
        <f>IF(AND($C236="",$F236=""),"",ROW()-9)</f>
        <v/>
      </c>
      <c r="C236" s="213" t="n"/>
      <c r="D236" s="55" t="n"/>
      <c r="E236" s="55" t="n"/>
      <c r="F236" s="56" t="n"/>
      <c r="G236" s="196" t="n"/>
      <c r="H236" s="21" t="n"/>
      <c r="I236" s="21" t="n"/>
      <c r="J236" s="53">
        <f>IF($C236="","",INDEX(Настройки!$V$6:$V$17,MONTH($C236))&amp;" "&amp;YEAR($C236))</f>
        <v/>
      </c>
      <c r="K236" s="57">
        <f>IF(OR($F236="",$D236="Перевод"),"",IF(AND(N($G236)&lt;&gt;0,COUNTIFS(Журнал!$C$10:$C$1509,$C236,Журнал!$P$10:$P$1509,$G236)&gt;0),"есть в Журнале",IF(COUNTIF(Постоянные!$C$8:$C$37,$F236)&gt;0,"есть в Постоянных",IF(COUNTIF(Покупки!$C$7:$C$18,$F236)&gt;0,"есть в Покупках",""))))</f>
        <v/>
      </c>
      <c r="P236">
        <f>IF($C236="","",DATE(YEAR($C236),MONTH($C236),1))</f>
        <v/>
      </c>
      <c r="Q236">
        <f>IF(ISNUMBER($G236),ABS($G236),0)</f>
        <v/>
      </c>
      <c r="R236">
        <f>IF(AND($D236="Расход",COUNTIFS(Счета!$B$10:$B$21,$H236,Счета!$C$10:$C$21,"Кредитная")&gt;0),1,0)</f>
        <v/>
      </c>
    </row>
    <row r="237" ht="19" customHeight="1">
      <c r="B237" s="53">
        <f>IF(AND($C237="",$F237=""),"",ROW()-9)</f>
        <v/>
      </c>
      <c r="C237" s="213" t="n"/>
      <c r="D237" s="55" t="n"/>
      <c r="E237" s="55" t="n"/>
      <c r="F237" s="56" t="n"/>
      <c r="G237" s="196" t="n"/>
      <c r="H237" s="21" t="n"/>
      <c r="I237" s="21" t="n"/>
      <c r="J237" s="53">
        <f>IF($C237="","",INDEX(Настройки!$V$6:$V$17,MONTH($C237))&amp;" "&amp;YEAR($C237))</f>
        <v/>
      </c>
      <c r="K237" s="57">
        <f>IF(OR($F237="",$D237="Перевод"),"",IF(AND(N($G237)&lt;&gt;0,COUNTIFS(Журнал!$C$10:$C$1509,$C237,Журнал!$P$10:$P$1509,$G237)&gt;0),"есть в Журнале",IF(COUNTIF(Постоянные!$C$8:$C$37,$F237)&gt;0,"есть в Постоянных",IF(COUNTIF(Покупки!$C$7:$C$18,$F237)&gt;0,"есть в Покупках",""))))</f>
        <v/>
      </c>
      <c r="P237">
        <f>IF($C237="","",DATE(YEAR($C237),MONTH($C237),1))</f>
        <v/>
      </c>
      <c r="Q237">
        <f>IF(ISNUMBER($G237),ABS($G237),0)</f>
        <v/>
      </c>
      <c r="R237">
        <f>IF(AND($D237="Расход",COUNTIFS(Счета!$B$10:$B$21,$H237,Счета!$C$10:$C$21,"Кредитная")&gt;0),1,0)</f>
        <v/>
      </c>
    </row>
    <row r="238" ht="19" customHeight="1">
      <c r="B238" s="53">
        <f>IF(AND($C238="",$F238=""),"",ROW()-9)</f>
        <v/>
      </c>
      <c r="C238" s="213" t="n"/>
      <c r="D238" s="55" t="n"/>
      <c r="E238" s="55" t="n"/>
      <c r="F238" s="56" t="n"/>
      <c r="G238" s="196" t="n"/>
      <c r="H238" s="21" t="n"/>
      <c r="I238" s="21" t="n"/>
      <c r="J238" s="53">
        <f>IF($C238="","",INDEX(Настройки!$V$6:$V$17,MONTH($C238))&amp;" "&amp;YEAR($C238))</f>
        <v/>
      </c>
      <c r="K238" s="57">
        <f>IF(OR($F238="",$D238="Перевод"),"",IF(AND(N($G238)&lt;&gt;0,COUNTIFS(Журнал!$C$10:$C$1509,$C238,Журнал!$P$10:$P$1509,$G238)&gt;0),"есть в Журнале",IF(COUNTIF(Постоянные!$C$8:$C$37,$F238)&gt;0,"есть в Постоянных",IF(COUNTIF(Покупки!$C$7:$C$18,$F238)&gt;0,"есть в Покупках",""))))</f>
        <v/>
      </c>
      <c r="P238">
        <f>IF($C238="","",DATE(YEAR($C238),MONTH($C238),1))</f>
        <v/>
      </c>
      <c r="Q238">
        <f>IF(ISNUMBER($G238),ABS($G238),0)</f>
        <v/>
      </c>
      <c r="R238">
        <f>IF(AND($D238="Расход",COUNTIFS(Счета!$B$10:$B$21,$H238,Счета!$C$10:$C$21,"Кредитная")&gt;0),1,0)</f>
        <v/>
      </c>
    </row>
    <row r="239" ht="19" customHeight="1">
      <c r="B239" s="53">
        <f>IF(AND($C239="",$F239=""),"",ROW()-9)</f>
        <v/>
      </c>
      <c r="C239" s="213" t="n"/>
      <c r="D239" s="55" t="n"/>
      <c r="E239" s="55" t="n"/>
      <c r="F239" s="56" t="n"/>
      <c r="G239" s="196" t="n"/>
      <c r="H239" s="21" t="n"/>
      <c r="I239" s="21" t="n"/>
      <c r="J239" s="53">
        <f>IF($C239="","",INDEX(Настройки!$V$6:$V$17,MONTH($C239))&amp;" "&amp;YEAR($C239))</f>
        <v/>
      </c>
      <c r="K239" s="57">
        <f>IF(OR($F239="",$D239="Перевод"),"",IF(AND(N($G239)&lt;&gt;0,COUNTIFS(Журнал!$C$10:$C$1509,$C239,Журнал!$P$10:$P$1509,$G239)&gt;0),"есть в Журнале",IF(COUNTIF(Постоянные!$C$8:$C$37,$F239)&gt;0,"есть в Постоянных",IF(COUNTIF(Покупки!$C$7:$C$18,$F239)&gt;0,"есть в Покупках",""))))</f>
        <v/>
      </c>
      <c r="P239">
        <f>IF($C239="","",DATE(YEAR($C239),MONTH($C239),1))</f>
        <v/>
      </c>
      <c r="Q239">
        <f>IF(ISNUMBER($G239),ABS($G239),0)</f>
        <v/>
      </c>
      <c r="R239">
        <f>IF(AND($D239="Расход",COUNTIFS(Счета!$B$10:$B$21,$H239,Счета!$C$10:$C$21,"Кредитная")&gt;0),1,0)</f>
        <v/>
      </c>
    </row>
    <row r="240" ht="19" customHeight="1">
      <c r="B240" s="53">
        <f>IF(AND($C240="",$F240=""),"",ROW()-9)</f>
        <v/>
      </c>
      <c r="C240" s="213" t="n"/>
      <c r="D240" s="55" t="n"/>
      <c r="E240" s="55" t="n"/>
      <c r="F240" s="56" t="n"/>
      <c r="G240" s="196" t="n"/>
      <c r="H240" s="21" t="n"/>
      <c r="I240" s="21" t="n"/>
      <c r="J240" s="53">
        <f>IF($C240="","",INDEX(Настройки!$V$6:$V$17,MONTH($C240))&amp;" "&amp;YEAR($C240))</f>
        <v/>
      </c>
      <c r="K240" s="57">
        <f>IF(OR($F240="",$D240="Перевод"),"",IF(AND(N($G240)&lt;&gt;0,COUNTIFS(Журнал!$C$10:$C$1509,$C240,Журнал!$P$10:$P$1509,$G240)&gt;0),"есть в Журнале",IF(COUNTIF(Постоянные!$C$8:$C$37,$F240)&gt;0,"есть в Постоянных",IF(COUNTIF(Покупки!$C$7:$C$18,$F240)&gt;0,"есть в Покупках",""))))</f>
        <v/>
      </c>
      <c r="P240">
        <f>IF($C240="","",DATE(YEAR($C240),MONTH($C240),1))</f>
        <v/>
      </c>
      <c r="Q240">
        <f>IF(ISNUMBER($G240),ABS($G240),0)</f>
        <v/>
      </c>
      <c r="R240">
        <f>IF(AND($D240="Расход",COUNTIFS(Счета!$B$10:$B$21,$H240,Счета!$C$10:$C$21,"Кредитная")&gt;0),1,0)</f>
        <v/>
      </c>
    </row>
    <row r="241" ht="19" customHeight="1">
      <c r="B241" s="53">
        <f>IF(AND($C241="",$F241=""),"",ROW()-9)</f>
        <v/>
      </c>
      <c r="C241" s="213" t="n"/>
      <c r="D241" s="55" t="n"/>
      <c r="E241" s="55" t="n"/>
      <c r="F241" s="56" t="n"/>
      <c r="G241" s="196" t="n"/>
      <c r="H241" s="21" t="n"/>
      <c r="I241" s="21" t="n"/>
      <c r="J241" s="53">
        <f>IF($C241="","",INDEX(Настройки!$V$6:$V$17,MONTH($C241))&amp;" "&amp;YEAR($C241))</f>
        <v/>
      </c>
      <c r="K241" s="57">
        <f>IF(OR($F241="",$D241="Перевод"),"",IF(AND(N($G241)&lt;&gt;0,COUNTIFS(Журнал!$C$10:$C$1509,$C241,Журнал!$P$10:$P$1509,$G241)&gt;0),"есть в Журнале",IF(COUNTIF(Постоянные!$C$8:$C$37,$F241)&gt;0,"есть в Постоянных",IF(COUNTIF(Покупки!$C$7:$C$18,$F241)&gt;0,"есть в Покупках",""))))</f>
        <v/>
      </c>
      <c r="P241">
        <f>IF($C241="","",DATE(YEAR($C241),MONTH($C241),1))</f>
        <v/>
      </c>
      <c r="Q241">
        <f>IF(ISNUMBER($G241),ABS($G241),0)</f>
        <v/>
      </c>
      <c r="R241">
        <f>IF(AND($D241="Расход",COUNTIFS(Счета!$B$10:$B$21,$H241,Счета!$C$10:$C$21,"Кредитная")&gt;0),1,0)</f>
        <v/>
      </c>
    </row>
    <row r="242" ht="19" customHeight="1">
      <c r="B242" s="53">
        <f>IF(AND($C242="",$F242=""),"",ROW()-9)</f>
        <v/>
      </c>
      <c r="C242" s="213" t="n"/>
      <c r="D242" s="55" t="n"/>
      <c r="E242" s="55" t="n"/>
      <c r="F242" s="56" t="n"/>
      <c r="G242" s="196" t="n"/>
      <c r="H242" s="21" t="n"/>
      <c r="I242" s="21" t="n"/>
      <c r="J242" s="53">
        <f>IF($C242="","",INDEX(Настройки!$V$6:$V$17,MONTH($C242))&amp;" "&amp;YEAR($C242))</f>
        <v/>
      </c>
      <c r="K242" s="57">
        <f>IF(OR($F242="",$D242="Перевод"),"",IF(AND(N($G242)&lt;&gt;0,COUNTIFS(Журнал!$C$10:$C$1509,$C242,Журнал!$P$10:$P$1509,$G242)&gt;0),"есть в Журнале",IF(COUNTIF(Постоянные!$C$8:$C$37,$F242)&gt;0,"есть в Постоянных",IF(COUNTIF(Покупки!$C$7:$C$18,$F242)&gt;0,"есть в Покупках",""))))</f>
        <v/>
      </c>
      <c r="P242">
        <f>IF($C242="","",DATE(YEAR($C242),MONTH($C242),1))</f>
        <v/>
      </c>
      <c r="Q242">
        <f>IF(ISNUMBER($G242),ABS($G242),0)</f>
        <v/>
      </c>
      <c r="R242">
        <f>IF(AND($D242="Расход",COUNTIFS(Счета!$B$10:$B$21,$H242,Счета!$C$10:$C$21,"Кредитная")&gt;0),1,0)</f>
        <v/>
      </c>
    </row>
    <row r="243" ht="19" customHeight="1">
      <c r="B243" s="53">
        <f>IF(AND($C243="",$F243=""),"",ROW()-9)</f>
        <v/>
      </c>
      <c r="C243" s="213" t="n"/>
      <c r="D243" s="55" t="n"/>
      <c r="E243" s="55" t="n"/>
      <c r="F243" s="56" t="n"/>
      <c r="G243" s="196" t="n"/>
      <c r="H243" s="21" t="n"/>
      <c r="I243" s="21" t="n"/>
      <c r="J243" s="53">
        <f>IF($C243="","",INDEX(Настройки!$V$6:$V$17,MONTH($C243))&amp;" "&amp;YEAR($C243))</f>
        <v/>
      </c>
      <c r="K243" s="57">
        <f>IF(OR($F243="",$D243="Перевод"),"",IF(AND(N($G243)&lt;&gt;0,COUNTIFS(Журнал!$C$10:$C$1509,$C243,Журнал!$P$10:$P$1509,$G243)&gt;0),"есть в Журнале",IF(COUNTIF(Постоянные!$C$8:$C$37,$F243)&gt;0,"есть в Постоянных",IF(COUNTIF(Покупки!$C$7:$C$18,$F243)&gt;0,"есть в Покупках",""))))</f>
        <v/>
      </c>
      <c r="P243">
        <f>IF($C243="","",DATE(YEAR($C243),MONTH($C243),1))</f>
        <v/>
      </c>
      <c r="Q243">
        <f>IF(ISNUMBER($G243),ABS($G243),0)</f>
        <v/>
      </c>
      <c r="R243">
        <f>IF(AND($D243="Расход",COUNTIFS(Счета!$B$10:$B$21,$H243,Счета!$C$10:$C$21,"Кредитная")&gt;0),1,0)</f>
        <v/>
      </c>
    </row>
    <row r="244" ht="19" customHeight="1">
      <c r="B244" s="53">
        <f>IF(AND($C244="",$F244=""),"",ROW()-9)</f>
        <v/>
      </c>
      <c r="C244" s="213" t="n"/>
      <c r="D244" s="55" t="n"/>
      <c r="E244" s="55" t="n"/>
      <c r="F244" s="56" t="n"/>
      <c r="G244" s="196" t="n"/>
      <c r="H244" s="21" t="n"/>
      <c r="I244" s="21" t="n"/>
      <c r="J244" s="53">
        <f>IF($C244="","",INDEX(Настройки!$V$6:$V$17,MONTH($C244))&amp;" "&amp;YEAR($C244))</f>
        <v/>
      </c>
      <c r="K244" s="57">
        <f>IF(OR($F244="",$D244="Перевод"),"",IF(AND(N($G244)&lt;&gt;0,COUNTIFS(Журнал!$C$10:$C$1509,$C244,Журнал!$P$10:$P$1509,$G244)&gt;0),"есть в Журнале",IF(COUNTIF(Постоянные!$C$8:$C$37,$F244)&gt;0,"есть в Постоянных",IF(COUNTIF(Покупки!$C$7:$C$18,$F244)&gt;0,"есть в Покупках",""))))</f>
        <v/>
      </c>
      <c r="P244">
        <f>IF($C244="","",DATE(YEAR($C244),MONTH($C244),1))</f>
        <v/>
      </c>
      <c r="Q244">
        <f>IF(ISNUMBER($G244),ABS($G244),0)</f>
        <v/>
      </c>
      <c r="R244">
        <f>IF(AND($D244="Расход",COUNTIFS(Счета!$B$10:$B$21,$H244,Счета!$C$10:$C$21,"Кредитная")&gt;0),1,0)</f>
        <v/>
      </c>
    </row>
    <row r="245" ht="19" customHeight="1">
      <c r="B245" s="53">
        <f>IF(AND($C245="",$F245=""),"",ROW()-9)</f>
        <v/>
      </c>
      <c r="C245" s="213" t="n"/>
      <c r="D245" s="55" t="n"/>
      <c r="E245" s="55" t="n"/>
      <c r="F245" s="56" t="n"/>
      <c r="G245" s="196" t="n"/>
      <c r="H245" s="21" t="n"/>
      <c r="I245" s="21" t="n"/>
      <c r="J245" s="53">
        <f>IF($C245="","",INDEX(Настройки!$V$6:$V$17,MONTH($C245))&amp;" "&amp;YEAR($C245))</f>
        <v/>
      </c>
      <c r="K245" s="57">
        <f>IF(OR($F245="",$D245="Перевод"),"",IF(AND(N($G245)&lt;&gt;0,COUNTIFS(Журнал!$C$10:$C$1509,$C245,Журнал!$P$10:$P$1509,$G245)&gt;0),"есть в Журнале",IF(COUNTIF(Постоянные!$C$8:$C$37,$F245)&gt;0,"есть в Постоянных",IF(COUNTIF(Покупки!$C$7:$C$18,$F245)&gt;0,"есть в Покупках",""))))</f>
        <v/>
      </c>
      <c r="P245">
        <f>IF($C245="","",DATE(YEAR($C245),MONTH($C245),1))</f>
        <v/>
      </c>
      <c r="Q245">
        <f>IF(ISNUMBER($G245),ABS($G245),0)</f>
        <v/>
      </c>
      <c r="R245">
        <f>IF(AND($D245="Расход",COUNTIFS(Счета!$B$10:$B$21,$H245,Счета!$C$10:$C$21,"Кредитная")&gt;0),1,0)</f>
        <v/>
      </c>
    </row>
    <row r="246" ht="19" customHeight="1">
      <c r="B246" s="53">
        <f>IF(AND($C246="",$F246=""),"",ROW()-9)</f>
        <v/>
      </c>
      <c r="C246" s="213" t="n"/>
      <c r="D246" s="55" t="n"/>
      <c r="E246" s="55" t="n"/>
      <c r="F246" s="56" t="n"/>
      <c r="G246" s="196" t="n"/>
      <c r="H246" s="21" t="n"/>
      <c r="I246" s="21" t="n"/>
      <c r="J246" s="53">
        <f>IF($C246="","",INDEX(Настройки!$V$6:$V$17,MONTH($C246))&amp;" "&amp;YEAR($C246))</f>
        <v/>
      </c>
      <c r="K246" s="57">
        <f>IF(OR($F246="",$D246="Перевод"),"",IF(AND(N($G246)&lt;&gt;0,COUNTIFS(Журнал!$C$10:$C$1509,$C246,Журнал!$P$10:$P$1509,$G246)&gt;0),"есть в Журнале",IF(COUNTIF(Постоянные!$C$8:$C$37,$F246)&gt;0,"есть в Постоянных",IF(COUNTIF(Покупки!$C$7:$C$18,$F246)&gt;0,"есть в Покупках",""))))</f>
        <v/>
      </c>
      <c r="P246">
        <f>IF($C246="","",DATE(YEAR($C246),MONTH($C246),1))</f>
        <v/>
      </c>
      <c r="Q246">
        <f>IF(ISNUMBER($G246),ABS($G246),0)</f>
        <v/>
      </c>
      <c r="R246">
        <f>IF(AND($D246="Расход",COUNTIFS(Счета!$B$10:$B$21,$H246,Счета!$C$10:$C$21,"Кредитная")&gt;0),1,0)</f>
        <v/>
      </c>
    </row>
    <row r="247" ht="19" customHeight="1">
      <c r="B247" s="53">
        <f>IF(AND($C247="",$F247=""),"",ROW()-9)</f>
        <v/>
      </c>
      <c r="C247" s="213" t="n"/>
      <c r="D247" s="55" t="n"/>
      <c r="E247" s="55" t="n"/>
      <c r="F247" s="56" t="n"/>
      <c r="G247" s="196" t="n"/>
      <c r="H247" s="21" t="n"/>
      <c r="I247" s="21" t="n"/>
      <c r="J247" s="53">
        <f>IF($C247="","",INDEX(Настройки!$V$6:$V$17,MONTH($C247))&amp;" "&amp;YEAR($C247))</f>
        <v/>
      </c>
      <c r="K247" s="57">
        <f>IF(OR($F247="",$D247="Перевод"),"",IF(AND(N($G247)&lt;&gt;0,COUNTIFS(Журнал!$C$10:$C$1509,$C247,Журнал!$P$10:$P$1509,$G247)&gt;0),"есть в Журнале",IF(COUNTIF(Постоянные!$C$8:$C$37,$F247)&gt;0,"есть в Постоянных",IF(COUNTIF(Покупки!$C$7:$C$18,$F247)&gt;0,"есть в Покупках",""))))</f>
        <v/>
      </c>
      <c r="P247">
        <f>IF($C247="","",DATE(YEAR($C247),MONTH($C247),1))</f>
        <v/>
      </c>
      <c r="Q247">
        <f>IF(ISNUMBER($G247),ABS($G247),0)</f>
        <v/>
      </c>
      <c r="R247">
        <f>IF(AND($D247="Расход",COUNTIFS(Счета!$B$10:$B$21,$H247,Счета!$C$10:$C$21,"Кредитная")&gt;0),1,0)</f>
        <v/>
      </c>
    </row>
    <row r="248" ht="19" customHeight="1">
      <c r="B248" s="53">
        <f>IF(AND($C248="",$F248=""),"",ROW()-9)</f>
        <v/>
      </c>
      <c r="C248" s="213" t="n"/>
      <c r="D248" s="55" t="n"/>
      <c r="E248" s="55" t="n"/>
      <c r="F248" s="56" t="n"/>
      <c r="G248" s="196" t="n"/>
      <c r="H248" s="21" t="n"/>
      <c r="I248" s="21" t="n"/>
      <c r="J248" s="53">
        <f>IF($C248="","",INDEX(Настройки!$V$6:$V$17,MONTH($C248))&amp;" "&amp;YEAR($C248))</f>
        <v/>
      </c>
      <c r="K248" s="57">
        <f>IF(OR($F248="",$D248="Перевод"),"",IF(AND(N($G248)&lt;&gt;0,COUNTIFS(Журнал!$C$10:$C$1509,$C248,Журнал!$P$10:$P$1509,$G248)&gt;0),"есть в Журнале",IF(COUNTIF(Постоянные!$C$8:$C$37,$F248)&gt;0,"есть в Постоянных",IF(COUNTIF(Покупки!$C$7:$C$18,$F248)&gt;0,"есть в Покупках",""))))</f>
        <v/>
      </c>
      <c r="P248">
        <f>IF($C248="","",DATE(YEAR($C248),MONTH($C248),1))</f>
        <v/>
      </c>
      <c r="Q248">
        <f>IF(ISNUMBER($G248),ABS($G248),0)</f>
        <v/>
      </c>
      <c r="R248">
        <f>IF(AND($D248="Расход",COUNTIFS(Счета!$B$10:$B$21,$H248,Счета!$C$10:$C$21,"Кредитная")&gt;0),1,0)</f>
        <v/>
      </c>
    </row>
    <row r="249" ht="19" customHeight="1">
      <c r="B249" s="53">
        <f>IF(AND($C249="",$F249=""),"",ROW()-9)</f>
        <v/>
      </c>
      <c r="C249" s="213" t="n"/>
      <c r="D249" s="55" t="n"/>
      <c r="E249" s="55" t="n"/>
      <c r="F249" s="56" t="n"/>
      <c r="G249" s="196" t="n"/>
      <c r="H249" s="21" t="n"/>
      <c r="I249" s="21" t="n"/>
      <c r="J249" s="53">
        <f>IF($C249="","",INDEX(Настройки!$V$6:$V$17,MONTH($C249))&amp;" "&amp;YEAR($C249))</f>
        <v/>
      </c>
      <c r="K249" s="57">
        <f>IF(OR($F249="",$D249="Перевод"),"",IF(AND(N($G249)&lt;&gt;0,COUNTIFS(Журнал!$C$10:$C$1509,$C249,Журнал!$P$10:$P$1509,$G249)&gt;0),"есть в Журнале",IF(COUNTIF(Постоянные!$C$8:$C$37,$F249)&gt;0,"есть в Постоянных",IF(COUNTIF(Покупки!$C$7:$C$18,$F249)&gt;0,"есть в Покупках",""))))</f>
        <v/>
      </c>
      <c r="P249">
        <f>IF($C249="","",DATE(YEAR($C249),MONTH($C249),1))</f>
        <v/>
      </c>
      <c r="Q249">
        <f>IF(ISNUMBER($G249),ABS($G249),0)</f>
        <v/>
      </c>
      <c r="R249">
        <f>IF(AND($D249="Расход",COUNTIFS(Счета!$B$10:$B$21,$H249,Счета!$C$10:$C$21,"Кредитная")&gt;0),1,0)</f>
        <v/>
      </c>
    </row>
    <row r="250" ht="19" customHeight="1">
      <c r="B250" s="53">
        <f>IF(AND($C250="",$F250=""),"",ROW()-9)</f>
        <v/>
      </c>
      <c r="C250" s="213" t="n"/>
      <c r="D250" s="55" t="n"/>
      <c r="E250" s="55" t="n"/>
      <c r="F250" s="56" t="n"/>
      <c r="G250" s="196" t="n"/>
      <c r="H250" s="21" t="n"/>
      <c r="I250" s="21" t="n"/>
      <c r="J250" s="53">
        <f>IF($C250="","",INDEX(Настройки!$V$6:$V$17,MONTH($C250))&amp;" "&amp;YEAR($C250))</f>
        <v/>
      </c>
      <c r="K250" s="57">
        <f>IF(OR($F250="",$D250="Перевод"),"",IF(AND(N($G250)&lt;&gt;0,COUNTIFS(Журнал!$C$10:$C$1509,$C250,Журнал!$P$10:$P$1509,$G250)&gt;0),"есть в Журнале",IF(COUNTIF(Постоянные!$C$8:$C$37,$F250)&gt;0,"есть в Постоянных",IF(COUNTIF(Покупки!$C$7:$C$18,$F250)&gt;0,"есть в Покупках",""))))</f>
        <v/>
      </c>
      <c r="P250">
        <f>IF($C250="","",DATE(YEAR($C250),MONTH($C250),1))</f>
        <v/>
      </c>
      <c r="Q250">
        <f>IF(ISNUMBER($G250),ABS($G250),0)</f>
        <v/>
      </c>
      <c r="R250">
        <f>IF(AND($D250="Расход",COUNTIFS(Счета!$B$10:$B$21,$H250,Счета!$C$10:$C$21,"Кредитная")&gt;0),1,0)</f>
        <v/>
      </c>
    </row>
    <row r="251" ht="19" customHeight="1">
      <c r="B251" s="53">
        <f>IF(AND($C251="",$F251=""),"",ROW()-9)</f>
        <v/>
      </c>
      <c r="C251" s="213" t="n"/>
      <c r="D251" s="55" t="n"/>
      <c r="E251" s="55" t="n"/>
      <c r="F251" s="56" t="n"/>
      <c r="G251" s="196" t="n"/>
      <c r="H251" s="21" t="n"/>
      <c r="I251" s="21" t="n"/>
      <c r="J251" s="53">
        <f>IF($C251="","",INDEX(Настройки!$V$6:$V$17,MONTH($C251))&amp;" "&amp;YEAR($C251))</f>
        <v/>
      </c>
      <c r="K251" s="57">
        <f>IF(OR($F251="",$D251="Перевод"),"",IF(AND(N($G251)&lt;&gt;0,COUNTIFS(Журнал!$C$10:$C$1509,$C251,Журнал!$P$10:$P$1509,$G251)&gt;0),"есть в Журнале",IF(COUNTIF(Постоянные!$C$8:$C$37,$F251)&gt;0,"есть в Постоянных",IF(COUNTIF(Покупки!$C$7:$C$18,$F251)&gt;0,"есть в Покупках",""))))</f>
        <v/>
      </c>
      <c r="P251">
        <f>IF($C251="","",DATE(YEAR($C251),MONTH($C251),1))</f>
        <v/>
      </c>
      <c r="Q251">
        <f>IF(ISNUMBER($G251),ABS($G251),0)</f>
        <v/>
      </c>
      <c r="R251">
        <f>IF(AND($D251="Расход",COUNTIFS(Счета!$B$10:$B$21,$H251,Счета!$C$10:$C$21,"Кредитная")&gt;0),1,0)</f>
        <v/>
      </c>
    </row>
    <row r="252" ht="19" customHeight="1">
      <c r="B252" s="53">
        <f>IF(AND($C252="",$F252=""),"",ROW()-9)</f>
        <v/>
      </c>
      <c r="C252" s="213" t="n"/>
      <c r="D252" s="55" t="n"/>
      <c r="E252" s="55" t="n"/>
      <c r="F252" s="56" t="n"/>
      <c r="G252" s="196" t="n"/>
      <c r="H252" s="21" t="n"/>
      <c r="I252" s="21" t="n"/>
      <c r="J252" s="53">
        <f>IF($C252="","",INDEX(Настройки!$V$6:$V$17,MONTH($C252))&amp;" "&amp;YEAR($C252))</f>
        <v/>
      </c>
      <c r="K252" s="57">
        <f>IF(OR($F252="",$D252="Перевод"),"",IF(AND(N($G252)&lt;&gt;0,COUNTIFS(Журнал!$C$10:$C$1509,$C252,Журнал!$P$10:$P$1509,$G252)&gt;0),"есть в Журнале",IF(COUNTIF(Постоянные!$C$8:$C$37,$F252)&gt;0,"есть в Постоянных",IF(COUNTIF(Покупки!$C$7:$C$18,$F252)&gt;0,"есть в Покупках",""))))</f>
        <v/>
      </c>
      <c r="P252">
        <f>IF($C252="","",DATE(YEAR($C252),MONTH($C252),1))</f>
        <v/>
      </c>
      <c r="Q252">
        <f>IF(ISNUMBER($G252),ABS($G252),0)</f>
        <v/>
      </c>
      <c r="R252">
        <f>IF(AND($D252="Расход",COUNTIFS(Счета!$B$10:$B$21,$H252,Счета!$C$10:$C$21,"Кредитная")&gt;0),1,0)</f>
        <v/>
      </c>
    </row>
    <row r="253" ht="19" customHeight="1">
      <c r="B253" s="53">
        <f>IF(AND($C253="",$F253=""),"",ROW()-9)</f>
        <v/>
      </c>
      <c r="C253" s="213" t="n"/>
      <c r="D253" s="55" t="n"/>
      <c r="E253" s="55" t="n"/>
      <c r="F253" s="56" t="n"/>
      <c r="G253" s="196" t="n"/>
      <c r="H253" s="21" t="n"/>
      <c r="I253" s="21" t="n"/>
      <c r="J253" s="53">
        <f>IF($C253="","",INDEX(Настройки!$V$6:$V$17,MONTH($C253))&amp;" "&amp;YEAR($C253))</f>
        <v/>
      </c>
      <c r="K253" s="57">
        <f>IF(OR($F253="",$D253="Перевод"),"",IF(AND(N($G253)&lt;&gt;0,COUNTIFS(Журнал!$C$10:$C$1509,$C253,Журнал!$P$10:$P$1509,$G253)&gt;0),"есть в Журнале",IF(COUNTIF(Постоянные!$C$8:$C$37,$F253)&gt;0,"есть в Постоянных",IF(COUNTIF(Покупки!$C$7:$C$18,$F253)&gt;0,"есть в Покупках",""))))</f>
        <v/>
      </c>
      <c r="P253">
        <f>IF($C253="","",DATE(YEAR($C253),MONTH($C253),1))</f>
        <v/>
      </c>
      <c r="Q253">
        <f>IF(ISNUMBER($G253),ABS($G253),0)</f>
        <v/>
      </c>
      <c r="R253">
        <f>IF(AND($D253="Расход",COUNTIFS(Счета!$B$10:$B$21,$H253,Счета!$C$10:$C$21,"Кредитная")&gt;0),1,0)</f>
        <v/>
      </c>
    </row>
    <row r="254" ht="19" customHeight="1">
      <c r="B254" s="53">
        <f>IF(AND($C254="",$F254=""),"",ROW()-9)</f>
        <v/>
      </c>
      <c r="C254" s="213" t="n"/>
      <c r="D254" s="55" t="n"/>
      <c r="E254" s="55" t="n"/>
      <c r="F254" s="56" t="n"/>
      <c r="G254" s="196" t="n"/>
      <c r="H254" s="21" t="n"/>
      <c r="I254" s="21" t="n"/>
      <c r="J254" s="53">
        <f>IF($C254="","",INDEX(Настройки!$V$6:$V$17,MONTH($C254))&amp;" "&amp;YEAR($C254))</f>
        <v/>
      </c>
      <c r="K254" s="57">
        <f>IF(OR($F254="",$D254="Перевод"),"",IF(AND(N($G254)&lt;&gt;0,COUNTIFS(Журнал!$C$10:$C$1509,$C254,Журнал!$P$10:$P$1509,$G254)&gt;0),"есть в Журнале",IF(COUNTIF(Постоянные!$C$8:$C$37,$F254)&gt;0,"есть в Постоянных",IF(COUNTIF(Покупки!$C$7:$C$18,$F254)&gt;0,"есть в Покупках",""))))</f>
        <v/>
      </c>
      <c r="P254">
        <f>IF($C254="","",DATE(YEAR($C254),MONTH($C254),1))</f>
        <v/>
      </c>
      <c r="Q254">
        <f>IF(ISNUMBER($G254),ABS($G254),0)</f>
        <v/>
      </c>
      <c r="R254">
        <f>IF(AND($D254="Расход",COUNTIFS(Счета!$B$10:$B$21,$H254,Счета!$C$10:$C$21,"Кредитная")&gt;0),1,0)</f>
        <v/>
      </c>
    </row>
    <row r="255" ht="19" customHeight="1">
      <c r="B255" s="53">
        <f>IF(AND($C255="",$F255=""),"",ROW()-9)</f>
        <v/>
      </c>
      <c r="C255" s="213" t="n"/>
      <c r="D255" s="55" t="n"/>
      <c r="E255" s="55" t="n"/>
      <c r="F255" s="56" t="n"/>
      <c r="G255" s="196" t="n"/>
      <c r="H255" s="21" t="n"/>
      <c r="I255" s="21" t="n"/>
      <c r="J255" s="53">
        <f>IF($C255="","",INDEX(Настройки!$V$6:$V$17,MONTH($C255))&amp;" "&amp;YEAR($C255))</f>
        <v/>
      </c>
      <c r="K255" s="57">
        <f>IF(OR($F255="",$D255="Перевод"),"",IF(AND(N($G255)&lt;&gt;0,COUNTIFS(Журнал!$C$10:$C$1509,$C255,Журнал!$P$10:$P$1509,$G255)&gt;0),"есть в Журнале",IF(COUNTIF(Постоянные!$C$8:$C$37,$F255)&gt;0,"есть в Постоянных",IF(COUNTIF(Покупки!$C$7:$C$18,$F255)&gt;0,"есть в Покупках",""))))</f>
        <v/>
      </c>
      <c r="P255">
        <f>IF($C255="","",DATE(YEAR($C255),MONTH($C255),1))</f>
        <v/>
      </c>
      <c r="Q255">
        <f>IF(ISNUMBER($G255),ABS($G255),0)</f>
        <v/>
      </c>
      <c r="R255">
        <f>IF(AND($D255="Расход",COUNTIFS(Счета!$B$10:$B$21,$H255,Счета!$C$10:$C$21,"Кредитная")&gt;0),1,0)</f>
        <v/>
      </c>
    </row>
    <row r="256" ht="19" customHeight="1">
      <c r="B256" s="53">
        <f>IF(AND($C256="",$F256=""),"",ROW()-9)</f>
        <v/>
      </c>
      <c r="C256" s="213" t="n"/>
      <c r="D256" s="55" t="n"/>
      <c r="E256" s="55" t="n"/>
      <c r="F256" s="56" t="n"/>
      <c r="G256" s="196" t="n"/>
      <c r="H256" s="21" t="n"/>
      <c r="I256" s="21" t="n"/>
      <c r="J256" s="53">
        <f>IF($C256="","",INDEX(Настройки!$V$6:$V$17,MONTH($C256))&amp;" "&amp;YEAR($C256))</f>
        <v/>
      </c>
      <c r="K256" s="57">
        <f>IF(OR($F256="",$D256="Перевод"),"",IF(AND(N($G256)&lt;&gt;0,COUNTIFS(Журнал!$C$10:$C$1509,$C256,Журнал!$P$10:$P$1509,$G256)&gt;0),"есть в Журнале",IF(COUNTIF(Постоянные!$C$8:$C$37,$F256)&gt;0,"есть в Постоянных",IF(COUNTIF(Покупки!$C$7:$C$18,$F256)&gt;0,"есть в Покупках",""))))</f>
        <v/>
      </c>
      <c r="P256">
        <f>IF($C256="","",DATE(YEAR($C256),MONTH($C256),1))</f>
        <v/>
      </c>
      <c r="Q256">
        <f>IF(ISNUMBER($G256),ABS($G256),0)</f>
        <v/>
      </c>
      <c r="R256">
        <f>IF(AND($D256="Расход",COUNTIFS(Счета!$B$10:$B$21,$H256,Счета!$C$10:$C$21,"Кредитная")&gt;0),1,0)</f>
        <v/>
      </c>
    </row>
    <row r="257" ht="19" customHeight="1">
      <c r="B257" s="53">
        <f>IF(AND($C257="",$F257=""),"",ROW()-9)</f>
        <v/>
      </c>
      <c r="C257" s="213" t="n"/>
      <c r="D257" s="55" t="n"/>
      <c r="E257" s="55" t="n"/>
      <c r="F257" s="56" t="n"/>
      <c r="G257" s="196" t="n"/>
      <c r="H257" s="21" t="n"/>
      <c r="I257" s="21" t="n"/>
      <c r="J257" s="53">
        <f>IF($C257="","",INDEX(Настройки!$V$6:$V$17,MONTH($C257))&amp;" "&amp;YEAR($C257))</f>
        <v/>
      </c>
      <c r="K257" s="57">
        <f>IF(OR($F257="",$D257="Перевод"),"",IF(AND(N($G257)&lt;&gt;0,COUNTIFS(Журнал!$C$10:$C$1509,$C257,Журнал!$P$10:$P$1509,$G257)&gt;0),"есть в Журнале",IF(COUNTIF(Постоянные!$C$8:$C$37,$F257)&gt;0,"есть в Постоянных",IF(COUNTIF(Покупки!$C$7:$C$18,$F257)&gt;0,"есть в Покупках",""))))</f>
        <v/>
      </c>
      <c r="P257">
        <f>IF($C257="","",DATE(YEAR($C257),MONTH($C257),1))</f>
        <v/>
      </c>
      <c r="Q257">
        <f>IF(ISNUMBER($G257),ABS($G257),0)</f>
        <v/>
      </c>
      <c r="R257">
        <f>IF(AND($D257="Расход",COUNTIFS(Счета!$B$10:$B$21,$H257,Счета!$C$10:$C$21,"Кредитная")&gt;0),1,0)</f>
        <v/>
      </c>
    </row>
    <row r="258" ht="19" customHeight="1">
      <c r="B258" s="53">
        <f>IF(AND($C258="",$F258=""),"",ROW()-9)</f>
        <v/>
      </c>
      <c r="C258" s="213" t="n"/>
      <c r="D258" s="55" t="n"/>
      <c r="E258" s="55" t="n"/>
      <c r="F258" s="56" t="n"/>
      <c r="G258" s="196" t="n"/>
      <c r="H258" s="21" t="n"/>
      <c r="I258" s="21" t="n"/>
      <c r="J258" s="53">
        <f>IF($C258="","",INDEX(Настройки!$V$6:$V$17,MONTH($C258))&amp;" "&amp;YEAR($C258))</f>
        <v/>
      </c>
      <c r="K258" s="57">
        <f>IF(OR($F258="",$D258="Перевод"),"",IF(AND(N($G258)&lt;&gt;0,COUNTIFS(Журнал!$C$10:$C$1509,$C258,Журнал!$P$10:$P$1509,$G258)&gt;0),"есть в Журнале",IF(COUNTIF(Постоянные!$C$8:$C$37,$F258)&gt;0,"есть в Постоянных",IF(COUNTIF(Покупки!$C$7:$C$18,$F258)&gt;0,"есть в Покупках",""))))</f>
        <v/>
      </c>
      <c r="P258">
        <f>IF($C258="","",DATE(YEAR($C258),MONTH($C258),1))</f>
        <v/>
      </c>
      <c r="Q258">
        <f>IF(ISNUMBER($G258),ABS($G258),0)</f>
        <v/>
      </c>
      <c r="R258">
        <f>IF(AND($D258="Расход",COUNTIFS(Счета!$B$10:$B$21,$H258,Счета!$C$10:$C$21,"Кредитная")&gt;0),1,0)</f>
        <v/>
      </c>
    </row>
    <row r="259" ht="19" customHeight="1">
      <c r="B259" s="53">
        <f>IF(AND($C259="",$F259=""),"",ROW()-9)</f>
        <v/>
      </c>
      <c r="C259" s="213" t="n"/>
      <c r="D259" s="55" t="n"/>
      <c r="E259" s="55" t="n"/>
      <c r="F259" s="56" t="n"/>
      <c r="G259" s="196" t="n"/>
      <c r="H259" s="21" t="n"/>
      <c r="I259" s="21" t="n"/>
      <c r="J259" s="53">
        <f>IF($C259="","",INDEX(Настройки!$V$6:$V$17,MONTH($C259))&amp;" "&amp;YEAR($C259))</f>
        <v/>
      </c>
      <c r="K259" s="57">
        <f>IF(OR($F259="",$D259="Перевод"),"",IF(AND(N($G259)&lt;&gt;0,COUNTIFS(Журнал!$C$10:$C$1509,$C259,Журнал!$P$10:$P$1509,$G259)&gt;0),"есть в Журнале",IF(COUNTIF(Постоянные!$C$8:$C$37,$F259)&gt;0,"есть в Постоянных",IF(COUNTIF(Покупки!$C$7:$C$18,$F259)&gt;0,"есть в Покупках",""))))</f>
        <v/>
      </c>
      <c r="P259">
        <f>IF($C259="","",DATE(YEAR($C259),MONTH($C259),1))</f>
        <v/>
      </c>
      <c r="Q259">
        <f>IF(ISNUMBER($G259),ABS($G259),0)</f>
        <v/>
      </c>
      <c r="R259">
        <f>IF(AND($D259="Расход",COUNTIFS(Счета!$B$10:$B$21,$H259,Счета!$C$10:$C$21,"Кредитная")&gt;0),1,0)</f>
        <v/>
      </c>
    </row>
    <row r="260" ht="19" customHeight="1">
      <c r="B260" s="53">
        <f>IF(AND($C260="",$F260=""),"",ROW()-9)</f>
        <v/>
      </c>
      <c r="C260" s="213" t="n"/>
      <c r="D260" s="55" t="n"/>
      <c r="E260" s="55" t="n"/>
      <c r="F260" s="56" t="n"/>
      <c r="G260" s="196" t="n"/>
      <c r="H260" s="21" t="n"/>
      <c r="I260" s="21" t="n"/>
      <c r="J260" s="53">
        <f>IF($C260="","",INDEX(Настройки!$V$6:$V$17,MONTH($C260))&amp;" "&amp;YEAR($C260))</f>
        <v/>
      </c>
      <c r="K260" s="57">
        <f>IF(OR($F260="",$D260="Перевод"),"",IF(AND(N($G260)&lt;&gt;0,COUNTIFS(Журнал!$C$10:$C$1509,$C260,Журнал!$P$10:$P$1509,$G260)&gt;0),"есть в Журнале",IF(COUNTIF(Постоянные!$C$8:$C$37,$F260)&gt;0,"есть в Постоянных",IF(COUNTIF(Покупки!$C$7:$C$18,$F260)&gt;0,"есть в Покупках",""))))</f>
        <v/>
      </c>
      <c r="P260">
        <f>IF($C260="","",DATE(YEAR($C260),MONTH($C260),1))</f>
        <v/>
      </c>
      <c r="Q260">
        <f>IF(ISNUMBER($G260),ABS($G260),0)</f>
        <v/>
      </c>
      <c r="R260">
        <f>IF(AND($D260="Расход",COUNTIFS(Счета!$B$10:$B$21,$H260,Счета!$C$10:$C$21,"Кредитная")&gt;0),1,0)</f>
        <v/>
      </c>
    </row>
    <row r="261" ht="19" customHeight="1">
      <c r="B261" s="53">
        <f>IF(AND($C261="",$F261=""),"",ROW()-9)</f>
        <v/>
      </c>
      <c r="C261" s="213" t="n"/>
      <c r="D261" s="55" t="n"/>
      <c r="E261" s="55" t="n"/>
      <c r="F261" s="56" t="n"/>
      <c r="G261" s="196" t="n"/>
      <c r="H261" s="21" t="n"/>
      <c r="I261" s="21" t="n"/>
      <c r="J261" s="53">
        <f>IF($C261="","",INDEX(Настройки!$V$6:$V$17,MONTH($C261))&amp;" "&amp;YEAR($C261))</f>
        <v/>
      </c>
      <c r="K261" s="57">
        <f>IF(OR($F261="",$D261="Перевод"),"",IF(AND(N($G261)&lt;&gt;0,COUNTIFS(Журнал!$C$10:$C$1509,$C261,Журнал!$P$10:$P$1509,$G261)&gt;0),"есть в Журнале",IF(COUNTIF(Постоянные!$C$8:$C$37,$F261)&gt;0,"есть в Постоянных",IF(COUNTIF(Покупки!$C$7:$C$18,$F261)&gt;0,"есть в Покупках",""))))</f>
        <v/>
      </c>
      <c r="P261">
        <f>IF($C261="","",DATE(YEAR($C261),MONTH($C261),1))</f>
        <v/>
      </c>
      <c r="Q261">
        <f>IF(ISNUMBER($G261),ABS($G261),0)</f>
        <v/>
      </c>
      <c r="R261">
        <f>IF(AND($D261="Расход",COUNTIFS(Счета!$B$10:$B$21,$H261,Счета!$C$10:$C$21,"Кредитная")&gt;0),1,0)</f>
        <v/>
      </c>
    </row>
    <row r="262" ht="19" customHeight="1">
      <c r="B262" s="53">
        <f>IF(AND($C262="",$F262=""),"",ROW()-9)</f>
        <v/>
      </c>
      <c r="C262" s="213" t="n"/>
      <c r="D262" s="55" t="n"/>
      <c r="E262" s="55" t="n"/>
      <c r="F262" s="56" t="n"/>
      <c r="G262" s="196" t="n"/>
      <c r="H262" s="21" t="n"/>
      <c r="I262" s="21" t="n"/>
      <c r="J262" s="53">
        <f>IF($C262="","",INDEX(Настройки!$V$6:$V$17,MONTH($C262))&amp;" "&amp;YEAR($C262))</f>
        <v/>
      </c>
      <c r="K262" s="57">
        <f>IF(OR($F262="",$D262="Перевод"),"",IF(AND(N($G262)&lt;&gt;0,COUNTIFS(Журнал!$C$10:$C$1509,$C262,Журнал!$P$10:$P$1509,$G262)&gt;0),"есть в Журнале",IF(COUNTIF(Постоянные!$C$8:$C$37,$F262)&gt;0,"есть в Постоянных",IF(COUNTIF(Покупки!$C$7:$C$18,$F262)&gt;0,"есть в Покупках",""))))</f>
        <v/>
      </c>
      <c r="P262">
        <f>IF($C262="","",DATE(YEAR($C262),MONTH($C262),1))</f>
        <v/>
      </c>
      <c r="Q262">
        <f>IF(ISNUMBER($G262),ABS($G262),0)</f>
        <v/>
      </c>
      <c r="R262">
        <f>IF(AND($D262="Расход",COUNTIFS(Счета!$B$10:$B$21,$H262,Счета!$C$10:$C$21,"Кредитная")&gt;0),1,0)</f>
        <v/>
      </c>
    </row>
    <row r="263" ht="19" customHeight="1">
      <c r="B263" s="53">
        <f>IF(AND($C263="",$F263=""),"",ROW()-9)</f>
        <v/>
      </c>
      <c r="C263" s="213" t="n"/>
      <c r="D263" s="55" t="n"/>
      <c r="E263" s="55" t="n"/>
      <c r="F263" s="56" t="n"/>
      <c r="G263" s="196" t="n"/>
      <c r="H263" s="21" t="n"/>
      <c r="I263" s="21" t="n"/>
      <c r="J263" s="53">
        <f>IF($C263="","",INDEX(Настройки!$V$6:$V$17,MONTH($C263))&amp;" "&amp;YEAR($C263))</f>
        <v/>
      </c>
      <c r="K263" s="57">
        <f>IF(OR($F263="",$D263="Перевод"),"",IF(AND(N($G263)&lt;&gt;0,COUNTIFS(Журнал!$C$10:$C$1509,$C263,Журнал!$P$10:$P$1509,$G263)&gt;0),"есть в Журнале",IF(COUNTIF(Постоянные!$C$8:$C$37,$F263)&gt;0,"есть в Постоянных",IF(COUNTIF(Покупки!$C$7:$C$18,$F263)&gt;0,"есть в Покупках",""))))</f>
        <v/>
      </c>
      <c r="P263">
        <f>IF($C263="","",DATE(YEAR($C263),MONTH($C263),1))</f>
        <v/>
      </c>
      <c r="Q263">
        <f>IF(ISNUMBER($G263),ABS($G263),0)</f>
        <v/>
      </c>
      <c r="R263">
        <f>IF(AND($D263="Расход",COUNTIFS(Счета!$B$10:$B$21,$H263,Счета!$C$10:$C$21,"Кредитная")&gt;0),1,0)</f>
        <v/>
      </c>
    </row>
    <row r="264" ht="19" customHeight="1">
      <c r="B264" s="53">
        <f>IF(AND($C264="",$F264=""),"",ROW()-9)</f>
        <v/>
      </c>
      <c r="C264" s="213" t="n"/>
      <c r="D264" s="55" t="n"/>
      <c r="E264" s="55" t="n"/>
      <c r="F264" s="56" t="n"/>
      <c r="G264" s="196" t="n"/>
      <c r="H264" s="21" t="n"/>
      <c r="I264" s="21" t="n"/>
      <c r="J264" s="53">
        <f>IF($C264="","",INDEX(Настройки!$V$6:$V$17,MONTH($C264))&amp;" "&amp;YEAR($C264))</f>
        <v/>
      </c>
      <c r="K264" s="57">
        <f>IF(OR($F264="",$D264="Перевод"),"",IF(AND(N($G264)&lt;&gt;0,COUNTIFS(Журнал!$C$10:$C$1509,$C264,Журнал!$P$10:$P$1509,$G264)&gt;0),"есть в Журнале",IF(COUNTIF(Постоянные!$C$8:$C$37,$F264)&gt;0,"есть в Постоянных",IF(COUNTIF(Покупки!$C$7:$C$18,$F264)&gt;0,"есть в Покупках",""))))</f>
        <v/>
      </c>
      <c r="P264">
        <f>IF($C264="","",DATE(YEAR($C264),MONTH($C264),1))</f>
        <v/>
      </c>
      <c r="Q264">
        <f>IF(ISNUMBER($G264),ABS($G264),0)</f>
        <v/>
      </c>
      <c r="R264">
        <f>IF(AND($D264="Расход",COUNTIFS(Счета!$B$10:$B$21,$H264,Счета!$C$10:$C$21,"Кредитная")&gt;0),1,0)</f>
        <v/>
      </c>
    </row>
    <row r="265" ht="19" customHeight="1">
      <c r="B265" s="53">
        <f>IF(AND($C265="",$F265=""),"",ROW()-9)</f>
        <v/>
      </c>
      <c r="C265" s="213" t="n"/>
      <c r="D265" s="55" t="n"/>
      <c r="E265" s="55" t="n"/>
      <c r="F265" s="56" t="n"/>
      <c r="G265" s="196" t="n"/>
      <c r="H265" s="21" t="n"/>
      <c r="I265" s="21" t="n"/>
      <c r="J265" s="53">
        <f>IF($C265="","",INDEX(Настройки!$V$6:$V$17,MONTH($C265))&amp;" "&amp;YEAR($C265))</f>
        <v/>
      </c>
      <c r="K265" s="57">
        <f>IF(OR($F265="",$D265="Перевод"),"",IF(AND(N($G265)&lt;&gt;0,COUNTIFS(Журнал!$C$10:$C$1509,$C265,Журнал!$P$10:$P$1509,$G265)&gt;0),"есть в Журнале",IF(COUNTIF(Постоянные!$C$8:$C$37,$F265)&gt;0,"есть в Постоянных",IF(COUNTIF(Покупки!$C$7:$C$18,$F265)&gt;0,"есть в Покупках",""))))</f>
        <v/>
      </c>
      <c r="P265">
        <f>IF($C265="","",DATE(YEAR($C265),MONTH($C265),1))</f>
        <v/>
      </c>
      <c r="Q265">
        <f>IF(ISNUMBER($G265),ABS($G265),0)</f>
        <v/>
      </c>
      <c r="R265">
        <f>IF(AND($D265="Расход",COUNTIFS(Счета!$B$10:$B$21,$H265,Счета!$C$10:$C$21,"Кредитная")&gt;0),1,0)</f>
        <v/>
      </c>
    </row>
    <row r="266" ht="19" customHeight="1">
      <c r="B266" s="53">
        <f>IF(AND($C266="",$F266=""),"",ROW()-9)</f>
        <v/>
      </c>
      <c r="C266" s="213" t="n"/>
      <c r="D266" s="55" t="n"/>
      <c r="E266" s="55" t="n"/>
      <c r="F266" s="56" t="n"/>
      <c r="G266" s="196" t="n"/>
      <c r="H266" s="21" t="n"/>
      <c r="I266" s="21" t="n"/>
      <c r="J266" s="53">
        <f>IF($C266="","",INDEX(Настройки!$V$6:$V$17,MONTH($C266))&amp;" "&amp;YEAR($C266))</f>
        <v/>
      </c>
      <c r="K266" s="57">
        <f>IF(OR($F266="",$D266="Перевод"),"",IF(AND(N($G266)&lt;&gt;0,COUNTIFS(Журнал!$C$10:$C$1509,$C266,Журнал!$P$10:$P$1509,$G266)&gt;0),"есть в Журнале",IF(COUNTIF(Постоянные!$C$8:$C$37,$F266)&gt;0,"есть в Постоянных",IF(COUNTIF(Покупки!$C$7:$C$18,$F266)&gt;0,"есть в Покупках",""))))</f>
        <v/>
      </c>
      <c r="P266">
        <f>IF($C266="","",DATE(YEAR($C266),MONTH($C266),1))</f>
        <v/>
      </c>
      <c r="Q266">
        <f>IF(ISNUMBER($G266),ABS($G266),0)</f>
        <v/>
      </c>
      <c r="R266">
        <f>IF(AND($D266="Расход",COUNTIFS(Счета!$B$10:$B$21,$H266,Счета!$C$10:$C$21,"Кредитная")&gt;0),1,0)</f>
        <v/>
      </c>
    </row>
    <row r="267" ht="19" customHeight="1">
      <c r="B267" s="53">
        <f>IF(AND($C267="",$F267=""),"",ROW()-9)</f>
        <v/>
      </c>
      <c r="C267" s="213" t="n"/>
      <c r="D267" s="55" t="n"/>
      <c r="E267" s="55" t="n"/>
      <c r="F267" s="56" t="n"/>
      <c r="G267" s="196" t="n"/>
      <c r="H267" s="21" t="n"/>
      <c r="I267" s="21" t="n"/>
      <c r="J267" s="53">
        <f>IF($C267="","",INDEX(Настройки!$V$6:$V$17,MONTH($C267))&amp;" "&amp;YEAR($C267))</f>
        <v/>
      </c>
      <c r="K267" s="57">
        <f>IF(OR($F267="",$D267="Перевод"),"",IF(AND(N($G267)&lt;&gt;0,COUNTIFS(Журнал!$C$10:$C$1509,$C267,Журнал!$P$10:$P$1509,$G267)&gt;0),"есть в Журнале",IF(COUNTIF(Постоянные!$C$8:$C$37,$F267)&gt;0,"есть в Постоянных",IF(COUNTIF(Покупки!$C$7:$C$18,$F267)&gt;0,"есть в Покупках",""))))</f>
        <v/>
      </c>
      <c r="P267">
        <f>IF($C267="","",DATE(YEAR($C267),MONTH($C267),1))</f>
        <v/>
      </c>
      <c r="Q267">
        <f>IF(ISNUMBER($G267),ABS($G267),0)</f>
        <v/>
      </c>
      <c r="R267">
        <f>IF(AND($D267="Расход",COUNTIFS(Счета!$B$10:$B$21,$H267,Счета!$C$10:$C$21,"Кредитная")&gt;0),1,0)</f>
        <v/>
      </c>
    </row>
    <row r="268" ht="19" customHeight="1">
      <c r="B268" s="53">
        <f>IF(AND($C268="",$F268=""),"",ROW()-9)</f>
        <v/>
      </c>
      <c r="C268" s="213" t="n"/>
      <c r="D268" s="55" t="n"/>
      <c r="E268" s="55" t="n"/>
      <c r="F268" s="56" t="n"/>
      <c r="G268" s="196" t="n"/>
      <c r="H268" s="21" t="n"/>
      <c r="I268" s="21" t="n"/>
      <c r="J268" s="53">
        <f>IF($C268="","",INDEX(Настройки!$V$6:$V$17,MONTH($C268))&amp;" "&amp;YEAR($C268))</f>
        <v/>
      </c>
      <c r="K268" s="57">
        <f>IF(OR($F268="",$D268="Перевод"),"",IF(AND(N($G268)&lt;&gt;0,COUNTIFS(Журнал!$C$10:$C$1509,$C268,Журнал!$P$10:$P$1509,$G268)&gt;0),"есть в Журнале",IF(COUNTIF(Постоянные!$C$8:$C$37,$F268)&gt;0,"есть в Постоянных",IF(COUNTIF(Покупки!$C$7:$C$18,$F268)&gt;0,"есть в Покупках",""))))</f>
        <v/>
      </c>
      <c r="P268">
        <f>IF($C268="","",DATE(YEAR($C268),MONTH($C268),1))</f>
        <v/>
      </c>
      <c r="Q268">
        <f>IF(ISNUMBER($G268),ABS($G268),0)</f>
        <v/>
      </c>
      <c r="R268">
        <f>IF(AND($D268="Расход",COUNTIFS(Счета!$B$10:$B$21,$H268,Счета!$C$10:$C$21,"Кредитная")&gt;0),1,0)</f>
        <v/>
      </c>
    </row>
    <row r="269" ht="19" customHeight="1">
      <c r="B269" s="53">
        <f>IF(AND($C269="",$F269=""),"",ROW()-9)</f>
        <v/>
      </c>
      <c r="C269" s="213" t="n"/>
      <c r="D269" s="55" t="n"/>
      <c r="E269" s="55" t="n"/>
      <c r="F269" s="56" t="n"/>
      <c r="G269" s="196" t="n"/>
      <c r="H269" s="21" t="n"/>
      <c r="I269" s="21" t="n"/>
      <c r="J269" s="53">
        <f>IF($C269="","",INDEX(Настройки!$V$6:$V$17,MONTH($C269))&amp;" "&amp;YEAR($C269))</f>
        <v/>
      </c>
      <c r="K269" s="57">
        <f>IF(OR($F269="",$D269="Перевод"),"",IF(AND(N($G269)&lt;&gt;0,COUNTIFS(Журнал!$C$10:$C$1509,$C269,Журнал!$P$10:$P$1509,$G269)&gt;0),"есть в Журнале",IF(COUNTIF(Постоянные!$C$8:$C$37,$F269)&gt;0,"есть в Постоянных",IF(COUNTIF(Покупки!$C$7:$C$18,$F269)&gt;0,"есть в Покупках",""))))</f>
        <v/>
      </c>
      <c r="P269">
        <f>IF($C269="","",DATE(YEAR($C269),MONTH($C269),1))</f>
        <v/>
      </c>
      <c r="Q269">
        <f>IF(ISNUMBER($G269),ABS($G269),0)</f>
        <v/>
      </c>
      <c r="R269">
        <f>IF(AND($D269="Расход",COUNTIFS(Счета!$B$10:$B$21,$H269,Счета!$C$10:$C$21,"Кредитная")&gt;0),1,0)</f>
        <v/>
      </c>
    </row>
    <row r="270" ht="19" customHeight="1">
      <c r="B270" s="53">
        <f>IF(AND($C270="",$F270=""),"",ROW()-9)</f>
        <v/>
      </c>
      <c r="C270" s="213" t="n"/>
      <c r="D270" s="55" t="n"/>
      <c r="E270" s="55" t="n"/>
      <c r="F270" s="56" t="n"/>
      <c r="G270" s="196" t="n"/>
      <c r="H270" s="21" t="n"/>
      <c r="I270" s="21" t="n"/>
      <c r="J270" s="53">
        <f>IF($C270="","",INDEX(Настройки!$V$6:$V$17,MONTH($C270))&amp;" "&amp;YEAR($C270))</f>
        <v/>
      </c>
      <c r="K270" s="57">
        <f>IF(OR($F270="",$D270="Перевод"),"",IF(AND(N($G270)&lt;&gt;0,COUNTIFS(Журнал!$C$10:$C$1509,$C270,Журнал!$P$10:$P$1509,$G270)&gt;0),"есть в Журнале",IF(COUNTIF(Постоянные!$C$8:$C$37,$F270)&gt;0,"есть в Постоянных",IF(COUNTIF(Покупки!$C$7:$C$18,$F270)&gt;0,"есть в Покупках",""))))</f>
        <v/>
      </c>
      <c r="P270">
        <f>IF($C270="","",DATE(YEAR($C270),MONTH($C270),1))</f>
        <v/>
      </c>
      <c r="Q270">
        <f>IF(ISNUMBER($G270),ABS($G270),0)</f>
        <v/>
      </c>
      <c r="R270">
        <f>IF(AND($D270="Расход",COUNTIFS(Счета!$B$10:$B$21,$H270,Счета!$C$10:$C$21,"Кредитная")&gt;0),1,0)</f>
        <v/>
      </c>
    </row>
    <row r="271" ht="19" customHeight="1">
      <c r="B271" s="53">
        <f>IF(AND($C271="",$F271=""),"",ROW()-9)</f>
        <v/>
      </c>
      <c r="C271" s="213" t="n"/>
      <c r="D271" s="55" t="n"/>
      <c r="E271" s="55" t="n"/>
      <c r="F271" s="56" t="n"/>
      <c r="G271" s="196" t="n"/>
      <c r="H271" s="21" t="n"/>
      <c r="I271" s="21" t="n"/>
      <c r="J271" s="53">
        <f>IF($C271="","",INDEX(Настройки!$V$6:$V$17,MONTH($C271))&amp;" "&amp;YEAR($C271))</f>
        <v/>
      </c>
      <c r="K271" s="57">
        <f>IF(OR($F271="",$D271="Перевод"),"",IF(AND(N($G271)&lt;&gt;0,COUNTIFS(Журнал!$C$10:$C$1509,$C271,Журнал!$P$10:$P$1509,$G271)&gt;0),"есть в Журнале",IF(COUNTIF(Постоянные!$C$8:$C$37,$F271)&gt;0,"есть в Постоянных",IF(COUNTIF(Покупки!$C$7:$C$18,$F271)&gt;0,"есть в Покупках",""))))</f>
        <v/>
      </c>
      <c r="P271">
        <f>IF($C271="","",DATE(YEAR($C271),MONTH($C271),1))</f>
        <v/>
      </c>
      <c r="Q271">
        <f>IF(ISNUMBER($G271),ABS($G271),0)</f>
        <v/>
      </c>
      <c r="R271">
        <f>IF(AND($D271="Расход",COUNTIFS(Счета!$B$10:$B$21,$H271,Счета!$C$10:$C$21,"Кредитная")&gt;0),1,0)</f>
        <v/>
      </c>
    </row>
    <row r="272" ht="19" customHeight="1">
      <c r="B272" s="53">
        <f>IF(AND($C272="",$F272=""),"",ROW()-9)</f>
        <v/>
      </c>
      <c r="C272" s="213" t="n"/>
      <c r="D272" s="55" t="n"/>
      <c r="E272" s="55" t="n"/>
      <c r="F272" s="56" t="n"/>
      <c r="G272" s="196" t="n"/>
      <c r="H272" s="21" t="n"/>
      <c r="I272" s="21" t="n"/>
      <c r="J272" s="53">
        <f>IF($C272="","",INDEX(Настройки!$V$6:$V$17,MONTH($C272))&amp;" "&amp;YEAR($C272))</f>
        <v/>
      </c>
      <c r="K272" s="57">
        <f>IF(OR($F272="",$D272="Перевод"),"",IF(AND(N($G272)&lt;&gt;0,COUNTIFS(Журнал!$C$10:$C$1509,$C272,Журнал!$P$10:$P$1509,$G272)&gt;0),"есть в Журнале",IF(COUNTIF(Постоянные!$C$8:$C$37,$F272)&gt;0,"есть в Постоянных",IF(COUNTIF(Покупки!$C$7:$C$18,$F272)&gt;0,"есть в Покупках",""))))</f>
        <v/>
      </c>
      <c r="P272">
        <f>IF($C272="","",DATE(YEAR($C272),MONTH($C272),1))</f>
        <v/>
      </c>
      <c r="Q272">
        <f>IF(ISNUMBER($G272),ABS($G272),0)</f>
        <v/>
      </c>
      <c r="R272">
        <f>IF(AND($D272="Расход",COUNTIFS(Счета!$B$10:$B$21,$H272,Счета!$C$10:$C$21,"Кредитная")&gt;0),1,0)</f>
        <v/>
      </c>
    </row>
    <row r="273" ht="19" customHeight="1">
      <c r="B273" s="53">
        <f>IF(AND($C273="",$F273=""),"",ROW()-9)</f>
        <v/>
      </c>
      <c r="C273" s="213" t="n"/>
      <c r="D273" s="55" t="n"/>
      <c r="E273" s="55" t="n"/>
      <c r="F273" s="56" t="n"/>
      <c r="G273" s="196" t="n"/>
      <c r="H273" s="21" t="n"/>
      <c r="I273" s="21" t="n"/>
      <c r="J273" s="53">
        <f>IF($C273="","",INDEX(Настройки!$V$6:$V$17,MONTH($C273))&amp;" "&amp;YEAR($C273))</f>
        <v/>
      </c>
      <c r="K273" s="57">
        <f>IF(OR($F273="",$D273="Перевод"),"",IF(AND(N($G273)&lt;&gt;0,COUNTIFS(Журнал!$C$10:$C$1509,$C273,Журнал!$P$10:$P$1509,$G273)&gt;0),"есть в Журнале",IF(COUNTIF(Постоянные!$C$8:$C$37,$F273)&gt;0,"есть в Постоянных",IF(COUNTIF(Покупки!$C$7:$C$18,$F273)&gt;0,"есть в Покупках",""))))</f>
        <v/>
      </c>
      <c r="P273">
        <f>IF($C273="","",DATE(YEAR($C273),MONTH($C273),1))</f>
        <v/>
      </c>
      <c r="Q273">
        <f>IF(ISNUMBER($G273),ABS($G273),0)</f>
        <v/>
      </c>
      <c r="R273">
        <f>IF(AND($D273="Расход",COUNTIFS(Счета!$B$10:$B$21,$H273,Счета!$C$10:$C$21,"Кредитная")&gt;0),1,0)</f>
        <v/>
      </c>
    </row>
    <row r="274" ht="19" customHeight="1">
      <c r="B274" s="53">
        <f>IF(AND($C274="",$F274=""),"",ROW()-9)</f>
        <v/>
      </c>
      <c r="C274" s="213" t="n"/>
      <c r="D274" s="55" t="n"/>
      <c r="E274" s="55" t="n"/>
      <c r="F274" s="56" t="n"/>
      <c r="G274" s="196" t="n"/>
      <c r="H274" s="21" t="n"/>
      <c r="I274" s="21" t="n"/>
      <c r="J274" s="53">
        <f>IF($C274="","",INDEX(Настройки!$V$6:$V$17,MONTH($C274))&amp;" "&amp;YEAR($C274))</f>
        <v/>
      </c>
      <c r="K274" s="57">
        <f>IF(OR($F274="",$D274="Перевод"),"",IF(AND(N($G274)&lt;&gt;0,COUNTIFS(Журнал!$C$10:$C$1509,$C274,Журнал!$P$10:$P$1509,$G274)&gt;0),"есть в Журнале",IF(COUNTIF(Постоянные!$C$8:$C$37,$F274)&gt;0,"есть в Постоянных",IF(COUNTIF(Покупки!$C$7:$C$18,$F274)&gt;0,"есть в Покупках",""))))</f>
        <v/>
      </c>
      <c r="P274">
        <f>IF($C274="","",DATE(YEAR($C274),MONTH($C274),1))</f>
        <v/>
      </c>
      <c r="Q274">
        <f>IF(ISNUMBER($G274),ABS($G274),0)</f>
        <v/>
      </c>
      <c r="R274">
        <f>IF(AND($D274="Расход",COUNTIFS(Счета!$B$10:$B$21,$H274,Счета!$C$10:$C$21,"Кредитная")&gt;0),1,0)</f>
        <v/>
      </c>
    </row>
    <row r="275" ht="19" customHeight="1">
      <c r="B275" s="53">
        <f>IF(AND($C275="",$F275=""),"",ROW()-9)</f>
        <v/>
      </c>
      <c r="C275" s="213" t="n"/>
      <c r="D275" s="55" t="n"/>
      <c r="E275" s="55" t="n"/>
      <c r="F275" s="56" t="n"/>
      <c r="G275" s="196" t="n"/>
      <c r="H275" s="21" t="n"/>
      <c r="I275" s="21" t="n"/>
      <c r="J275" s="53">
        <f>IF($C275="","",INDEX(Настройки!$V$6:$V$17,MONTH($C275))&amp;" "&amp;YEAR($C275))</f>
        <v/>
      </c>
      <c r="K275" s="57">
        <f>IF(OR($F275="",$D275="Перевод"),"",IF(AND(N($G275)&lt;&gt;0,COUNTIFS(Журнал!$C$10:$C$1509,$C275,Журнал!$P$10:$P$1509,$G275)&gt;0),"есть в Журнале",IF(COUNTIF(Постоянные!$C$8:$C$37,$F275)&gt;0,"есть в Постоянных",IF(COUNTIF(Покупки!$C$7:$C$18,$F275)&gt;0,"есть в Покупках",""))))</f>
        <v/>
      </c>
      <c r="P275">
        <f>IF($C275="","",DATE(YEAR($C275),MONTH($C275),1))</f>
        <v/>
      </c>
      <c r="Q275">
        <f>IF(ISNUMBER($G275),ABS($G275),0)</f>
        <v/>
      </c>
      <c r="R275">
        <f>IF(AND($D275="Расход",COUNTIFS(Счета!$B$10:$B$21,$H275,Счета!$C$10:$C$21,"Кредитная")&gt;0),1,0)</f>
        <v/>
      </c>
    </row>
    <row r="276" ht="19" customHeight="1">
      <c r="B276" s="53">
        <f>IF(AND($C276="",$F276=""),"",ROW()-9)</f>
        <v/>
      </c>
      <c r="C276" s="213" t="n"/>
      <c r="D276" s="55" t="n"/>
      <c r="E276" s="55" t="n"/>
      <c r="F276" s="56" t="n"/>
      <c r="G276" s="196" t="n"/>
      <c r="H276" s="21" t="n"/>
      <c r="I276" s="21" t="n"/>
      <c r="J276" s="53">
        <f>IF($C276="","",INDEX(Настройки!$V$6:$V$17,MONTH($C276))&amp;" "&amp;YEAR($C276))</f>
        <v/>
      </c>
      <c r="K276" s="57">
        <f>IF(OR($F276="",$D276="Перевод"),"",IF(AND(N($G276)&lt;&gt;0,COUNTIFS(Журнал!$C$10:$C$1509,$C276,Журнал!$P$10:$P$1509,$G276)&gt;0),"есть в Журнале",IF(COUNTIF(Постоянные!$C$8:$C$37,$F276)&gt;0,"есть в Постоянных",IF(COUNTIF(Покупки!$C$7:$C$18,$F276)&gt;0,"есть в Покупках",""))))</f>
        <v/>
      </c>
      <c r="P276">
        <f>IF($C276="","",DATE(YEAR($C276),MONTH($C276),1))</f>
        <v/>
      </c>
      <c r="Q276">
        <f>IF(ISNUMBER($G276),ABS($G276),0)</f>
        <v/>
      </c>
      <c r="R276">
        <f>IF(AND($D276="Расход",COUNTIFS(Счета!$B$10:$B$21,$H276,Счета!$C$10:$C$21,"Кредитная")&gt;0),1,0)</f>
        <v/>
      </c>
    </row>
    <row r="277" ht="19" customHeight="1">
      <c r="B277" s="53">
        <f>IF(AND($C277="",$F277=""),"",ROW()-9)</f>
        <v/>
      </c>
      <c r="C277" s="213" t="n"/>
      <c r="D277" s="55" t="n"/>
      <c r="E277" s="55" t="n"/>
      <c r="F277" s="56" t="n"/>
      <c r="G277" s="196" t="n"/>
      <c r="H277" s="21" t="n"/>
      <c r="I277" s="21" t="n"/>
      <c r="J277" s="53">
        <f>IF($C277="","",INDEX(Настройки!$V$6:$V$17,MONTH($C277))&amp;" "&amp;YEAR($C277))</f>
        <v/>
      </c>
      <c r="K277" s="57">
        <f>IF(OR($F277="",$D277="Перевод"),"",IF(AND(N($G277)&lt;&gt;0,COUNTIFS(Журнал!$C$10:$C$1509,$C277,Журнал!$P$10:$P$1509,$G277)&gt;0),"есть в Журнале",IF(COUNTIF(Постоянные!$C$8:$C$37,$F277)&gt;0,"есть в Постоянных",IF(COUNTIF(Покупки!$C$7:$C$18,$F277)&gt;0,"есть в Покупках",""))))</f>
        <v/>
      </c>
      <c r="P277">
        <f>IF($C277="","",DATE(YEAR($C277),MONTH($C277),1))</f>
        <v/>
      </c>
      <c r="Q277">
        <f>IF(ISNUMBER($G277),ABS($G277),0)</f>
        <v/>
      </c>
      <c r="R277">
        <f>IF(AND($D277="Расход",COUNTIFS(Счета!$B$10:$B$21,$H277,Счета!$C$10:$C$21,"Кредитная")&gt;0),1,0)</f>
        <v/>
      </c>
    </row>
    <row r="278" ht="19" customHeight="1">
      <c r="B278" s="53">
        <f>IF(AND($C278="",$F278=""),"",ROW()-9)</f>
        <v/>
      </c>
      <c r="C278" s="213" t="n"/>
      <c r="D278" s="55" t="n"/>
      <c r="E278" s="55" t="n"/>
      <c r="F278" s="56" t="n"/>
      <c r="G278" s="196" t="n"/>
      <c r="H278" s="21" t="n"/>
      <c r="I278" s="21" t="n"/>
      <c r="J278" s="53">
        <f>IF($C278="","",INDEX(Настройки!$V$6:$V$17,MONTH($C278))&amp;" "&amp;YEAR($C278))</f>
        <v/>
      </c>
      <c r="K278" s="57">
        <f>IF(OR($F278="",$D278="Перевод"),"",IF(AND(N($G278)&lt;&gt;0,COUNTIFS(Журнал!$C$10:$C$1509,$C278,Журнал!$P$10:$P$1509,$G278)&gt;0),"есть в Журнале",IF(COUNTIF(Постоянные!$C$8:$C$37,$F278)&gt;0,"есть в Постоянных",IF(COUNTIF(Покупки!$C$7:$C$18,$F278)&gt;0,"есть в Покупках",""))))</f>
        <v/>
      </c>
      <c r="P278">
        <f>IF($C278="","",DATE(YEAR($C278),MONTH($C278),1))</f>
        <v/>
      </c>
      <c r="Q278">
        <f>IF(ISNUMBER($G278),ABS($G278),0)</f>
        <v/>
      </c>
      <c r="R278">
        <f>IF(AND($D278="Расход",COUNTIFS(Счета!$B$10:$B$21,$H278,Счета!$C$10:$C$21,"Кредитная")&gt;0),1,0)</f>
        <v/>
      </c>
    </row>
    <row r="279" ht="19" customHeight="1">
      <c r="B279" s="53">
        <f>IF(AND($C279="",$F279=""),"",ROW()-9)</f>
        <v/>
      </c>
      <c r="C279" s="213" t="n"/>
      <c r="D279" s="55" t="n"/>
      <c r="E279" s="55" t="n"/>
      <c r="F279" s="56" t="n"/>
      <c r="G279" s="196" t="n"/>
      <c r="H279" s="21" t="n"/>
      <c r="I279" s="21" t="n"/>
      <c r="J279" s="53">
        <f>IF($C279="","",INDEX(Настройки!$V$6:$V$17,MONTH($C279))&amp;" "&amp;YEAR($C279))</f>
        <v/>
      </c>
      <c r="K279" s="57">
        <f>IF(OR($F279="",$D279="Перевод"),"",IF(AND(N($G279)&lt;&gt;0,COUNTIFS(Журнал!$C$10:$C$1509,$C279,Журнал!$P$10:$P$1509,$G279)&gt;0),"есть в Журнале",IF(COUNTIF(Постоянные!$C$8:$C$37,$F279)&gt;0,"есть в Постоянных",IF(COUNTIF(Покупки!$C$7:$C$18,$F279)&gt;0,"есть в Покупках",""))))</f>
        <v/>
      </c>
      <c r="P279">
        <f>IF($C279="","",DATE(YEAR($C279),MONTH($C279),1))</f>
        <v/>
      </c>
      <c r="Q279">
        <f>IF(ISNUMBER($G279),ABS($G279),0)</f>
        <v/>
      </c>
      <c r="R279">
        <f>IF(AND($D279="Расход",COUNTIFS(Счета!$B$10:$B$21,$H279,Счета!$C$10:$C$21,"Кредитная")&gt;0),1,0)</f>
        <v/>
      </c>
    </row>
    <row r="280" ht="19" customHeight="1">
      <c r="B280" s="53">
        <f>IF(AND($C280="",$F280=""),"",ROW()-9)</f>
        <v/>
      </c>
      <c r="C280" s="213" t="n"/>
      <c r="D280" s="55" t="n"/>
      <c r="E280" s="55" t="n"/>
      <c r="F280" s="56" t="n"/>
      <c r="G280" s="196" t="n"/>
      <c r="H280" s="21" t="n"/>
      <c r="I280" s="21" t="n"/>
      <c r="J280" s="53">
        <f>IF($C280="","",INDEX(Настройки!$V$6:$V$17,MONTH($C280))&amp;" "&amp;YEAR($C280))</f>
        <v/>
      </c>
      <c r="K280" s="57">
        <f>IF(OR($F280="",$D280="Перевод"),"",IF(AND(N($G280)&lt;&gt;0,COUNTIFS(Журнал!$C$10:$C$1509,$C280,Журнал!$P$10:$P$1509,$G280)&gt;0),"есть в Журнале",IF(COUNTIF(Постоянные!$C$8:$C$37,$F280)&gt;0,"есть в Постоянных",IF(COUNTIF(Покупки!$C$7:$C$18,$F280)&gt;0,"есть в Покупках",""))))</f>
        <v/>
      </c>
      <c r="P280">
        <f>IF($C280="","",DATE(YEAR($C280),MONTH($C280),1))</f>
        <v/>
      </c>
      <c r="Q280">
        <f>IF(ISNUMBER($G280),ABS($G280),0)</f>
        <v/>
      </c>
      <c r="R280">
        <f>IF(AND($D280="Расход",COUNTIFS(Счета!$B$10:$B$21,$H280,Счета!$C$10:$C$21,"Кредитная")&gt;0),1,0)</f>
        <v/>
      </c>
    </row>
    <row r="281" ht="19" customHeight="1">
      <c r="B281" s="53">
        <f>IF(AND($C281="",$F281=""),"",ROW()-9)</f>
        <v/>
      </c>
      <c r="C281" s="213" t="n"/>
      <c r="D281" s="55" t="n"/>
      <c r="E281" s="55" t="n"/>
      <c r="F281" s="56" t="n"/>
      <c r="G281" s="196" t="n"/>
      <c r="H281" s="21" t="n"/>
      <c r="I281" s="21" t="n"/>
      <c r="J281" s="53">
        <f>IF($C281="","",INDEX(Настройки!$V$6:$V$17,MONTH($C281))&amp;" "&amp;YEAR($C281))</f>
        <v/>
      </c>
      <c r="K281" s="57">
        <f>IF(OR($F281="",$D281="Перевод"),"",IF(AND(N($G281)&lt;&gt;0,COUNTIFS(Журнал!$C$10:$C$1509,$C281,Журнал!$P$10:$P$1509,$G281)&gt;0),"есть в Журнале",IF(COUNTIF(Постоянные!$C$8:$C$37,$F281)&gt;0,"есть в Постоянных",IF(COUNTIF(Покупки!$C$7:$C$18,$F281)&gt;0,"есть в Покупках",""))))</f>
        <v/>
      </c>
      <c r="P281">
        <f>IF($C281="","",DATE(YEAR($C281),MONTH($C281),1))</f>
        <v/>
      </c>
      <c r="Q281">
        <f>IF(ISNUMBER($G281),ABS($G281),0)</f>
        <v/>
      </c>
      <c r="R281">
        <f>IF(AND($D281="Расход",COUNTIFS(Счета!$B$10:$B$21,$H281,Счета!$C$10:$C$21,"Кредитная")&gt;0),1,0)</f>
        <v/>
      </c>
    </row>
    <row r="282" ht="19" customHeight="1">
      <c r="B282" s="53">
        <f>IF(AND($C282="",$F282=""),"",ROW()-9)</f>
        <v/>
      </c>
      <c r="C282" s="213" t="n"/>
      <c r="D282" s="55" t="n"/>
      <c r="E282" s="55" t="n"/>
      <c r="F282" s="56" t="n"/>
      <c r="G282" s="196" t="n"/>
      <c r="H282" s="21" t="n"/>
      <c r="I282" s="21" t="n"/>
      <c r="J282" s="53">
        <f>IF($C282="","",INDEX(Настройки!$V$6:$V$17,MONTH($C282))&amp;" "&amp;YEAR($C282))</f>
        <v/>
      </c>
      <c r="K282" s="57">
        <f>IF(OR($F282="",$D282="Перевод"),"",IF(AND(N($G282)&lt;&gt;0,COUNTIFS(Журнал!$C$10:$C$1509,$C282,Журнал!$P$10:$P$1509,$G282)&gt;0),"есть в Журнале",IF(COUNTIF(Постоянные!$C$8:$C$37,$F282)&gt;0,"есть в Постоянных",IF(COUNTIF(Покупки!$C$7:$C$18,$F282)&gt;0,"есть в Покупках",""))))</f>
        <v/>
      </c>
      <c r="P282">
        <f>IF($C282="","",DATE(YEAR($C282),MONTH($C282),1))</f>
        <v/>
      </c>
      <c r="Q282">
        <f>IF(ISNUMBER($G282),ABS($G282),0)</f>
        <v/>
      </c>
      <c r="R282">
        <f>IF(AND($D282="Расход",COUNTIFS(Счета!$B$10:$B$21,$H282,Счета!$C$10:$C$21,"Кредитная")&gt;0),1,0)</f>
        <v/>
      </c>
    </row>
    <row r="283" ht="19" customHeight="1">
      <c r="B283" s="53">
        <f>IF(AND($C283="",$F283=""),"",ROW()-9)</f>
        <v/>
      </c>
      <c r="C283" s="213" t="n"/>
      <c r="D283" s="55" t="n"/>
      <c r="E283" s="55" t="n"/>
      <c r="F283" s="56" t="n"/>
      <c r="G283" s="196" t="n"/>
      <c r="H283" s="21" t="n"/>
      <c r="I283" s="21" t="n"/>
      <c r="J283" s="53">
        <f>IF($C283="","",INDEX(Настройки!$V$6:$V$17,MONTH($C283))&amp;" "&amp;YEAR($C283))</f>
        <v/>
      </c>
      <c r="K283" s="57">
        <f>IF(OR($F283="",$D283="Перевод"),"",IF(AND(N($G283)&lt;&gt;0,COUNTIFS(Журнал!$C$10:$C$1509,$C283,Журнал!$P$10:$P$1509,$G283)&gt;0),"есть в Журнале",IF(COUNTIF(Постоянные!$C$8:$C$37,$F283)&gt;0,"есть в Постоянных",IF(COUNTIF(Покупки!$C$7:$C$18,$F283)&gt;0,"есть в Покупках",""))))</f>
        <v/>
      </c>
      <c r="P283">
        <f>IF($C283="","",DATE(YEAR($C283),MONTH($C283),1))</f>
        <v/>
      </c>
      <c r="Q283">
        <f>IF(ISNUMBER($G283),ABS($G283),0)</f>
        <v/>
      </c>
      <c r="R283">
        <f>IF(AND($D283="Расход",COUNTIFS(Счета!$B$10:$B$21,$H283,Счета!$C$10:$C$21,"Кредитная")&gt;0),1,0)</f>
        <v/>
      </c>
    </row>
    <row r="284" ht="19" customHeight="1">
      <c r="B284" s="53">
        <f>IF(AND($C284="",$F284=""),"",ROW()-9)</f>
        <v/>
      </c>
      <c r="C284" s="213" t="n"/>
      <c r="D284" s="55" t="n"/>
      <c r="E284" s="55" t="n"/>
      <c r="F284" s="56" t="n"/>
      <c r="G284" s="196" t="n"/>
      <c r="H284" s="21" t="n"/>
      <c r="I284" s="21" t="n"/>
      <c r="J284" s="53">
        <f>IF($C284="","",INDEX(Настройки!$V$6:$V$17,MONTH($C284))&amp;" "&amp;YEAR($C284))</f>
        <v/>
      </c>
      <c r="K284" s="57">
        <f>IF(OR($F284="",$D284="Перевод"),"",IF(AND(N($G284)&lt;&gt;0,COUNTIFS(Журнал!$C$10:$C$1509,$C284,Журнал!$P$10:$P$1509,$G284)&gt;0),"есть в Журнале",IF(COUNTIF(Постоянные!$C$8:$C$37,$F284)&gt;0,"есть в Постоянных",IF(COUNTIF(Покупки!$C$7:$C$18,$F284)&gt;0,"есть в Покупках",""))))</f>
        <v/>
      </c>
      <c r="P284">
        <f>IF($C284="","",DATE(YEAR($C284),MONTH($C284),1))</f>
        <v/>
      </c>
      <c r="Q284">
        <f>IF(ISNUMBER($G284),ABS($G284),0)</f>
        <v/>
      </c>
      <c r="R284">
        <f>IF(AND($D284="Расход",COUNTIFS(Счета!$B$10:$B$21,$H284,Счета!$C$10:$C$21,"Кредитная")&gt;0),1,0)</f>
        <v/>
      </c>
    </row>
    <row r="285" ht="19" customHeight="1">
      <c r="B285" s="53">
        <f>IF(AND($C285="",$F285=""),"",ROW()-9)</f>
        <v/>
      </c>
      <c r="C285" s="213" t="n"/>
      <c r="D285" s="55" t="n"/>
      <c r="E285" s="55" t="n"/>
      <c r="F285" s="56" t="n"/>
      <c r="G285" s="196" t="n"/>
      <c r="H285" s="21" t="n"/>
      <c r="I285" s="21" t="n"/>
      <c r="J285" s="53">
        <f>IF($C285="","",INDEX(Настройки!$V$6:$V$17,MONTH($C285))&amp;" "&amp;YEAR($C285))</f>
        <v/>
      </c>
      <c r="K285" s="57">
        <f>IF(OR($F285="",$D285="Перевод"),"",IF(AND(N($G285)&lt;&gt;0,COUNTIFS(Журнал!$C$10:$C$1509,$C285,Журнал!$P$10:$P$1509,$G285)&gt;0),"есть в Журнале",IF(COUNTIF(Постоянные!$C$8:$C$37,$F285)&gt;0,"есть в Постоянных",IF(COUNTIF(Покупки!$C$7:$C$18,$F285)&gt;0,"есть в Покупках",""))))</f>
        <v/>
      </c>
      <c r="P285">
        <f>IF($C285="","",DATE(YEAR($C285),MONTH($C285),1))</f>
        <v/>
      </c>
      <c r="Q285">
        <f>IF(ISNUMBER($G285),ABS($G285),0)</f>
        <v/>
      </c>
      <c r="R285">
        <f>IF(AND($D285="Расход",COUNTIFS(Счета!$B$10:$B$21,$H285,Счета!$C$10:$C$21,"Кредитная")&gt;0),1,0)</f>
        <v/>
      </c>
    </row>
    <row r="286" ht="19" customHeight="1">
      <c r="B286" s="53">
        <f>IF(AND($C286="",$F286=""),"",ROW()-9)</f>
        <v/>
      </c>
      <c r="C286" s="213" t="n"/>
      <c r="D286" s="55" t="n"/>
      <c r="E286" s="55" t="n"/>
      <c r="F286" s="56" t="n"/>
      <c r="G286" s="196" t="n"/>
      <c r="H286" s="21" t="n"/>
      <c r="I286" s="21" t="n"/>
      <c r="J286" s="53">
        <f>IF($C286="","",INDEX(Настройки!$V$6:$V$17,MONTH($C286))&amp;" "&amp;YEAR($C286))</f>
        <v/>
      </c>
      <c r="K286" s="57">
        <f>IF(OR($F286="",$D286="Перевод"),"",IF(AND(N($G286)&lt;&gt;0,COUNTIFS(Журнал!$C$10:$C$1509,$C286,Журнал!$P$10:$P$1509,$G286)&gt;0),"есть в Журнале",IF(COUNTIF(Постоянные!$C$8:$C$37,$F286)&gt;0,"есть в Постоянных",IF(COUNTIF(Покупки!$C$7:$C$18,$F286)&gt;0,"есть в Покупках",""))))</f>
        <v/>
      </c>
      <c r="P286">
        <f>IF($C286="","",DATE(YEAR($C286),MONTH($C286),1))</f>
        <v/>
      </c>
      <c r="Q286">
        <f>IF(ISNUMBER($G286),ABS($G286),0)</f>
        <v/>
      </c>
      <c r="R286">
        <f>IF(AND($D286="Расход",COUNTIFS(Счета!$B$10:$B$21,$H286,Счета!$C$10:$C$21,"Кредитная")&gt;0),1,0)</f>
        <v/>
      </c>
    </row>
    <row r="287" ht="19" customHeight="1">
      <c r="B287" s="53">
        <f>IF(AND($C287="",$F287=""),"",ROW()-9)</f>
        <v/>
      </c>
      <c r="C287" s="213" t="n"/>
      <c r="D287" s="55" t="n"/>
      <c r="E287" s="55" t="n"/>
      <c r="F287" s="56" t="n"/>
      <c r="G287" s="196" t="n"/>
      <c r="H287" s="21" t="n"/>
      <c r="I287" s="21" t="n"/>
      <c r="J287" s="53">
        <f>IF($C287="","",INDEX(Настройки!$V$6:$V$17,MONTH($C287))&amp;" "&amp;YEAR($C287))</f>
        <v/>
      </c>
      <c r="K287" s="57">
        <f>IF(OR($F287="",$D287="Перевод"),"",IF(AND(N($G287)&lt;&gt;0,COUNTIFS(Журнал!$C$10:$C$1509,$C287,Журнал!$P$10:$P$1509,$G287)&gt;0),"есть в Журнале",IF(COUNTIF(Постоянные!$C$8:$C$37,$F287)&gt;0,"есть в Постоянных",IF(COUNTIF(Покупки!$C$7:$C$18,$F287)&gt;0,"есть в Покупках",""))))</f>
        <v/>
      </c>
      <c r="P287">
        <f>IF($C287="","",DATE(YEAR($C287),MONTH($C287),1))</f>
        <v/>
      </c>
      <c r="Q287">
        <f>IF(ISNUMBER($G287),ABS($G287),0)</f>
        <v/>
      </c>
      <c r="R287">
        <f>IF(AND($D287="Расход",COUNTIFS(Счета!$B$10:$B$21,$H287,Счета!$C$10:$C$21,"Кредитная")&gt;0),1,0)</f>
        <v/>
      </c>
    </row>
    <row r="288" ht="19" customHeight="1">
      <c r="B288" s="53">
        <f>IF(AND($C288="",$F288=""),"",ROW()-9)</f>
        <v/>
      </c>
      <c r="C288" s="213" t="n"/>
      <c r="D288" s="55" t="n"/>
      <c r="E288" s="55" t="n"/>
      <c r="F288" s="56" t="n"/>
      <c r="G288" s="196" t="n"/>
      <c r="H288" s="21" t="n"/>
      <c r="I288" s="21" t="n"/>
      <c r="J288" s="53">
        <f>IF($C288="","",INDEX(Настройки!$V$6:$V$17,MONTH($C288))&amp;" "&amp;YEAR($C288))</f>
        <v/>
      </c>
      <c r="K288" s="57">
        <f>IF(OR($F288="",$D288="Перевод"),"",IF(AND(N($G288)&lt;&gt;0,COUNTIFS(Журнал!$C$10:$C$1509,$C288,Журнал!$P$10:$P$1509,$G288)&gt;0),"есть в Журнале",IF(COUNTIF(Постоянные!$C$8:$C$37,$F288)&gt;0,"есть в Постоянных",IF(COUNTIF(Покупки!$C$7:$C$18,$F288)&gt;0,"есть в Покупках",""))))</f>
        <v/>
      </c>
      <c r="P288">
        <f>IF($C288="","",DATE(YEAR($C288),MONTH($C288),1))</f>
        <v/>
      </c>
      <c r="Q288">
        <f>IF(ISNUMBER($G288),ABS($G288),0)</f>
        <v/>
      </c>
      <c r="R288">
        <f>IF(AND($D288="Расход",COUNTIFS(Счета!$B$10:$B$21,$H288,Счета!$C$10:$C$21,"Кредитная")&gt;0),1,0)</f>
        <v/>
      </c>
    </row>
    <row r="289" ht="19" customHeight="1">
      <c r="B289" s="53">
        <f>IF(AND($C289="",$F289=""),"",ROW()-9)</f>
        <v/>
      </c>
      <c r="C289" s="213" t="n"/>
      <c r="D289" s="55" t="n"/>
      <c r="E289" s="55" t="n"/>
      <c r="F289" s="56" t="n"/>
      <c r="G289" s="196" t="n"/>
      <c r="H289" s="21" t="n"/>
      <c r="I289" s="21" t="n"/>
      <c r="J289" s="53">
        <f>IF($C289="","",INDEX(Настройки!$V$6:$V$17,MONTH($C289))&amp;" "&amp;YEAR($C289))</f>
        <v/>
      </c>
      <c r="K289" s="57">
        <f>IF(OR($F289="",$D289="Перевод"),"",IF(AND(N($G289)&lt;&gt;0,COUNTIFS(Журнал!$C$10:$C$1509,$C289,Журнал!$P$10:$P$1509,$G289)&gt;0),"есть в Журнале",IF(COUNTIF(Постоянные!$C$8:$C$37,$F289)&gt;0,"есть в Постоянных",IF(COUNTIF(Покупки!$C$7:$C$18,$F289)&gt;0,"есть в Покупках",""))))</f>
        <v/>
      </c>
      <c r="P289">
        <f>IF($C289="","",DATE(YEAR($C289),MONTH($C289),1))</f>
        <v/>
      </c>
      <c r="Q289">
        <f>IF(ISNUMBER($G289),ABS($G289),0)</f>
        <v/>
      </c>
      <c r="R289">
        <f>IF(AND($D289="Расход",COUNTIFS(Счета!$B$10:$B$21,$H289,Счета!$C$10:$C$21,"Кредитная")&gt;0),1,0)</f>
        <v/>
      </c>
    </row>
    <row r="290" ht="19" customHeight="1">
      <c r="B290" s="53">
        <f>IF(AND($C290="",$F290=""),"",ROW()-9)</f>
        <v/>
      </c>
      <c r="C290" s="213" t="n"/>
      <c r="D290" s="55" t="n"/>
      <c r="E290" s="55" t="n"/>
      <c r="F290" s="56" t="n"/>
      <c r="G290" s="196" t="n"/>
      <c r="H290" s="21" t="n"/>
      <c r="I290" s="21" t="n"/>
      <c r="J290" s="53">
        <f>IF($C290="","",INDEX(Настройки!$V$6:$V$17,MONTH($C290))&amp;" "&amp;YEAR($C290))</f>
        <v/>
      </c>
      <c r="K290" s="57">
        <f>IF(OR($F290="",$D290="Перевод"),"",IF(AND(N($G290)&lt;&gt;0,COUNTIFS(Журнал!$C$10:$C$1509,$C290,Журнал!$P$10:$P$1509,$G290)&gt;0),"есть в Журнале",IF(COUNTIF(Постоянные!$C$8:$C$37,$F290)&gt;0,"есть в Постоянных",IF(COUNTIF(Покупки!$C$7:$C$18,$F290)&gt;0,"есть в Покупках",""))))</f>
        <v/>
      </c>
      <c r="P290">
        <f>IF($C290="","",DATE(YEAR($C290),MONTH($C290),1))</f>
        <v/>
      </c>
      <c r="Q290">
        <f>IF(ISNUMBER($G290),ABS($G290),0)</f>
        <v/>
      </c>
      <c r="R290">
        <f>IF(AND($D290="Расход",COUNTIFS(Счета!$B$10:$B$21,$H290,Счета!$C$10:$C$21,"Кредитная")&gt;0),1,0)</f>
        <v/>
      </c>
    </row>
    <row r="291" ht="19" customHeight="1">
      <c r="B291" s="53">
        <f>IF(AND($C291="",$F291=""),"",ROW()-9)</f>
        <v/>
      </c>
      <c r="C291" s="213" t="n"/>
      <c r="D291" s="55" t="n"/>
      <c r="E291" s="55" t="n"/>
      <c r="F291" s="56" t="n"/>
      <c r="G291" s="196" t="n"/>
      <c r="H291" s="21" t="n"/>
      <c r="I291" s="21" t="n"/>
      <c r="J291" s="53">
        <f>IF($C291="","",INDEX(Настройки!$V$6:$V$17,MONTH($C291))&amp;" "&amp;YEAR($C291))</f>
        <v/>
      </c>
      <c r="K291" s="57">
        <f>IF(OR($F291="",$D291="Перевод"),"",IF(AND(N($G291)&lt;&gt;0,COUNTIFS(Журнал!$C$10:$C$1509,$C291,Журнал!$P$10:$P$1509,$G291)&gt;0),"есть в Журнале",IF(COUNTIF(Постоянные!$C$8:$C$37,$F291)&gt;0,"есть в Постоянных",IF(COUNTIF(Покупки!$C$7:$C$18,$F291)&gt;0,"есть в Покупках",""))))</f>
        <v/>
      </c>
      <c r="P291">
        <f>IF($C291="","",DATE(YEAR($C291),MONTH($C291),1))</f>
        <v/>
      </c>
      <c r="Q291">
        <f>IF(ISNUMBER($G291),ABS($G291),0)</f>
        <v/>
      </c>
      <c r="R291">
        <f>IF(AND($D291="Расход",COUNTIFS(Счета!$B$10:$B$21,$H291,Счета!$C$10:$C$21,"Кредитная")&gt;0),1,0)</f>
        <v/>
      </c>
    </row>
    <row r="292" ht="19" customHeight="1">
      <c r="B292" s="53">
        <f>IF(AND($C292="",$F292=""),"",ROW()-9)</f>
        <v/>
      </c>
      <c r="C292" s="213" t="n"/>
      <c r="D292" s="55" t="n"/>
      <c r="E292" s="55" t="n"/>
      <c r="F292" s="56" t="n"/>
      <c r="G292" s="196" t="n"/>
      <c r="H292" s="21" t="n"/>
      <c r="I292" s="21" t="n"/>
      <c r="J292" s="53">
        <f>IF($C292="","",INDEX(Настройки!$V$6:$V$17,MONTH($C292))&amp;" "&amp;YEAR($C292))</f>
        <v/>
      </c>
      <c r="K292" s="57">
        <f>IF(OR($F292="",$D292="Перевод"),"",IF(AND(N($G292)&lt;&gt;0,COUNTIFS(Журнал!$C$10:$C$1509,$C292,Журнал!$P$10:$P$1509,$G292)&gt;0),"есть в Журнале",IF(COUNTIF(Постоянные!$C$8:$C$37,$F292)&gt;0,"есть в Постоянных",IF(COUNTIF(Покупки!$C$7:$C$18,$F292)&gt;0,"есть в Покупках",""))))</f>
        <v/>
      </c>
      <c r="P292">
        <f>IF($C292="","",DATE(YEAR($C292),MONTH($C292),1))</f>
        <v/>
      </c>
      <c r="Q292">
        <f>IF(ISNUMBER($G292),ABS($G292),0)</f>
        <v/>
      </c>
      <c r="R292">
        <f>IF(AND($D292="Расход",COUNTIFS(Счета!$B$10:$B$21,$H292,Счета!$C$10:$C$21,"Кредитная")&gt;0),1,0)</f>
        <v/>
      </c>
    </row>
    <row r="293" ht="19" customHeight="1">
      <c r="B293" s="53">
        <f>IF(AND($C293="",$F293=""),"",ROW()-9)</f>
        <v/>
      </c>
      <c r="C293" s="213" t="n"/>
      <c r="D293" s="55" t="n"/>
      <c r="E293" s="55" t="n"/>
      <c r="F293" s="56" t="n"/>
      <c r="G293" s="196" t="n"/>
      <c r="H293" s="21" t="n"/>
      <c r="I293" s="21" t="n"/>
      <c r="J293" s="53">
        <f>IF($C293="","",INDEX(Настройки!$V$6:$V$17,MONTH($C293))&amp;" "&amp;YEAR($C293))</f>
        <v/>
      </c>
      <c r="K293" s="57">
        <f>IF(OR($F293="",$D293="Перевод"),"",IF(AND(N($G293)&lt;&gt;0,COUNTIFS(Журнал!$C$10:$C$1509,$C293,Журнал!$P$10:$P$1509,$G293)&gt;0),"есть в Журнале",IF(COUNTIF(Постоянные!$C$8:$C$37,$F293)&gt;0,"есть в Постоянных",IF(COUNTIF(Покупки!$C$7:$C$18,$F293)&gt;0,"есть в Покупках",""))))</f>
        <v/>
      </c>
      <c r="P293">
        <f>IF($C293="","",DATE(YEAR($C293),MONTH($C293),1))</f>
        <v/>
      </c>
      <c r="Q293">
        <f>IF(ISNUMBER($G293),ABS($G293),0)</f>
        <v/>
      </c>
      <c r="R293">
        <f>IF(AND($D293="Расход",COUNTIFS(Счета!$B$10:$B$21,$H293,Счета!$C$10:$C$21,"Кредитная")&gt;0),1,0)</f>
        <v/>
      </c>
    </row>
    <row r="294" ht="19" customHeight="1">
      <c r="B294" s="53">
        <f>IF(AND($C294="",$F294=""),"",ROW()-9)</f>
        <v/>
      </c>
      <c r="C294" s="213" t="n"/>
      <c r="D294" s="55" t="n"/>
      <c r="E294" s="55" t="n"/>
      <c r="F294" s="56" t="n"/>
      <c r="G294" s="196" t="n"/>
      <c r="H294" s="21" t="n"/>
      <c r="I294" s="21" t="n"/>
      <c r="J294" s="53">
        <f>IF($C294="","",INDEX(Настройки!$V$6:$V$17,MONTH($C294))&amp;" "&amp;YEAR($C294))</f>
        <v/>
      </c>
      <c r="K294" s="57">
        <f>IF(OR($F294="",$D294="Перевод"),"",IF(AND(N($G294)&lt;&gt;0,COUNTIFS(Журнал!$C$10:$C$1509,$C294,Журнал!$P$10:$P$1509,$G294)&gt;0),"есть в Журнале",IF(COUNTIF(Постоянные!$C$8:$C$37,$F294)&gt;0,"есть в Постоянных",IF(COUNTIF(Покупки!$C$7:$C$18,$F294)&gt;0,"есть в Покупках",""))))</f>
        <v/>
      </c>
      <c r="P294">
        <f>IF($C294="","",DATE(YEAR($C294),MONTH($C294),1))</f>
        <v/>
      </c>
      <c r="Q294">
        <f>IF(ISNUMBER($G294),ABS($G294),0)</f>
        <v/>
      </c>
      <c r="R294">
        <f>IF(AND($D294="Расход",COUNTIFS(Счета!$B$10:$B$21,$H294,Счета!$C$10:$C$21,"Кредитная")&gt;0),1,0)</f>
        <v/>
      </c>
    </row>
    <row r="295" ht="19" customHeight="1">
      <c r="B295" s="53">
        <f>IF(AND($C295="",$F295=""),"",ROW()-9)</f>
        <v/>
      </c>
      <c r="C295" s="213" t="n"/>
      <c r="D295" s="55" t="n"/>
      <c r="E295" s="55" t="n"/>
      <c r="F295" s="56" t="n"/>
      <c r="G295" s="196" t="n"/>
      <c r="H295" s="21" t="n"/>
      <c r="I295" s="21" t="n"/>
      <c r="J295" s="53">
        <f>IF($C295="","",INDEX(Настройки!$V$6:$V$17,MONTH($C295))&amp;" "&amp;YEAR($C295))</f>
        <v/>
      </c>
      <c r="K295" s="57">
        <f>IF(OR($F295="",$D295="Перевод"),"",IF(AND(N($G295)&lt;&gt;0,COUNTIFS(Журнал!$C$10:$C$1509,$C295,Журнал!$P$10:$P$1509,$G295)&gt;0),"есть в Журнале",IF(COUNTIF(Постоянные!$C$8:$C$37,$F295)&gt;0,"есть в Постоянных",IF(COUNTIF(Покупки!$C$7:$C$18,$F295)&gt;0,"есть в Покупках",""))))</f>
        <v/>
      </c>
      <c r="P295">
        <f>IF($C295="","",DATE(YEAR($C295),MONTH($C295),1))</f>
        <v/>
      </c>
      <c r="Q295">
        <f>IF(ISNUMBER($G295),ABS($G295),0)</f>
        <v/>
      </c>
      <c r="R295">
        <f>IF(AND($D295="Расход",COUNTIFS(Счета!$B$10:$B$21,$H295,Счета!$C$10:$C$21,"Кредитная")&gt;0),1,0)</f>
        <v/>
      </c>
    </row>
    <row r="296" ht="19" customHeight="1">
      <c r="B296" s="53">
        <f>IF(AND($C296="",$F296=""),"",ROW()-9)</f>
        <v/>
      </c>
      <c r="C296" s="213" t="n"/>
      <c r="D296" s="55" t="n"/>
      <c r="E296" s="55" t="n"/>
      <c r="F296" s="56" t="n"/>
      <c r="G296" s="196" t="n"/>
      <c r="H296" s="21" t="n"/>
      <c r="I296" s="21" t="n"/>
      <c r="J296" s="53">
        <f>IF($C296="","",INDEX(Настройки!$V$6:$V$17,MONTH($C296))&amp;" "&amp;YEAR($C296))</f>
        <v/>
      </c>
      <c r="K296" s="57">
        <f>IF(OR($F296="",$D296="Перевод"),"",IF(AND(N($G296)&lt;&gt;0,COUNTIFS(Журнал!$C$10:$C$1509,$C296,Журнал!$P$10:$P$1509,$G296)&gt;0),"есть в Журнале",IF(COUNTIF(Постоянные!$C$8:$C$37,$F296)&gt;0,"есть в Постоянных",IF(COUNTIF(Покупки!$C$7:$C$18,$F296)&gt;0,"есть в Покупках",""))))</f>
        <v/>
      </c>
      <c r="P296">
        <f>IF($C296="","",DATE(YEAR($C296),MONTH($C296),1))</f>
        <v/>
      </c>
      <c r="Q296">
        <f>IF(ISNUMBER($G296),ABS($G296),0)</f>
        <v/>
      </c>
      <c r="R296">
        <f>IF(AND($D296="Расход",COUNTIFS(Счета!$B$10:$B$21,$H296,Счета!$C$10:$C$21,"Кредитная")&gt;0),1,0)</f>
        <v/>
      </c>
    </row>
    <row r="297" ht="19" customHeight="1">
      <c r="B297" s="53">
        <f>IF(AND($C297="",$F297=""),"",ROW()-9)</f>
        <v/>
      </c>
      <c r="C297" s="213" t="n"/>
      <c r="D297" s="55" t="n"/>
      <c r="E297" s="55" t="n"/>
      <c r="F297" s="56" t="n"/>
      <c r="G297" s="196" t="n"/>
      <c r="H297" s="21" t="n"/>
      <c r="I297" s="21" t="n"/>
      <c r="J297" s="53">
        <f>IF($C297="","",INDEX(Настройки!$V$6:$V$17,MONTH($C297))&amp;" "&amp;YEAR($C297))</f>
        <v/>
      </c>
      <c r="K297" s="57">
        <f>IF(OR($F297="",$D297="Перевод"),"",IF(AND(N($G297)&lt;&gt;0,COUNTIFS(Журнал!$C$10:$C$1509,$C297,Журнал!$P$10:$P$1509,$G297)&gt;0),"есть в Журнале",IF(COUNTIF(Постоянные!$C$8:$C$37,$F297)&gt;0,"есть в Постоянных",IF(COUNTIF(Покупки!$C$7:$C$18,$F297)&gt;0,"есть в Покупках",""))))</f>
        <v/>
      </c>
      <c r="P297">
        <f>IF($C297="","",DATE(YEAR($C297),MONTH($C297),1))</f>
        <v/>
      </c>
      <c r="Q297">
        <f>IF(ISNUMBER($G297),ABS($G297),0)</f>
        <v/>
      </c>
      <c r="R297">
        <f>IF(AND($D297="Расход",COUNTIFS(Счета!$B$10:$B$21,$H297,Счета!$C$10:$C$21,"Кредитная")&gt;0),1,0)</f>
        <v/>
      </c>
    </row>
    <row r="298" ht="19" customHeight="1">
      <c r="B298" s="53">
        <f>IF(AND($C298="",$F298=""),"",ROW()-9)</f>
        <v/>
      </c>
      <c r="C298" s="213" t="n"/>
      <c r="D298" s="55" t="n"/>
      <c r="E298" s="55" t="n"/>
      <c r="F298" s="56" t="n"/>
      <c r="G298" s="196" t="n"/>
      <c r="H298" s="21" t="n"/>
      <c r="I298" s="21" t="n"/>
      <c r="J298" s="53">
        <f>IF($C298="","",INDEX(Настройки!$V$6:$V$17,MONTH($C298))&amp;" "&amp;YEAR($C298))</f>
        <v/>
      </c>
      <c r="K298" s="57">
        <f>IF(OR($F298="",$D298="Перевод"),"",IF(AND(N($G298)&lt;&gt;0,COUNTIFS(Журнал!$C$10:$C$1509,$C298,Журнал!$P$10:$P$1509,$G298)&gt;0),"есть в Журнале",IF(COUNTIF(Постоянные!$C$8:$C$37,$F298)&gt;0,"есть в Постоянных",IF(COUNTIF(Покупки!$C$7:$C$18,$F298)&gt;0,"есть в Покупках",""))))</f>
        <v/>
      </c>
      <c r="P298">
        <f>IF($C298="","",DATE(YEAR($C298),MONTH($C298),1))</f>
        <v/>
      </c>
      <c r="Q298">
        <f>IF(ISNUMBER($G298),ABS($G298),0)</f>
        <v/>
      </c>
      <c r="R298">
        <f>IF(AND($D298="Расход",COUNTIFS(Счета!$B$10:$B$21,$H298,Счета!$C$10:$C$21,"Кредитная")&gt;0),1,0)</f>
        <v/>
      </c>
    </row>
    <row r="299" ht="19" customHeight="1">
      <c r="B299" s="53">
        <f>IF(AND($C299="",$F299=""),"",ROW()-9)</f>
        <v/>
      </c>
      <c r="C299" s="213" t="n"/>
      <c r="D299" s="55" t="n"/>
      <c r="E299" s="55" t="n"/>
      <c r="F299" s="56" t="n"/>
      <c r="G299" s="196" t="n"/>
      <c r="H299" s="21" t="n"/>
      <c r="I299" s="21" t="n"/>
      <c r="J299" s="53">
        <f>IF($C299="","",INDEX(Настройки!$V$6:$V$17,MONTH($C299))&amp;" "&amp;YEAR($C299))</f>
        <v/>
      </c>
      <c r="K299" s="57">
        <f>IF(OR($F299="",$D299="Перевод"),"",IF(AND(N($G299)&lt;&gt;0,COUNTIFS(Журнал!$C$10:$C$1509,$C299,Журнал!$P$10:$P$1509,$G299)&gt;0),"есть в Журнале",IF(COUNTIF(Постоянные!$C$8:$C$37,$F299)&gt;0,"есть в Постоянных",IF(COUNTIF(Покупки!$C$7:$C$18,$F299)&gt;0,"есть в Покупках",""))))</f>
        <v/>
      </c>
      <c r="P299">
        <f>IF($C299="","",DATE(YEAR($C299),MONTH($C299),1))</f>
        <v/>
      </c>
      <c r="Q299">
        <f>IF(ISNUMBER($G299),ABS($G299),0)</f>
        <v/>
      </c>
      <c r="R299">
        <f>IF(AND($D299="Расход",COUNTIFS(Счета!$B$10:$B$21,$H299,Счета!$C$10:$C$21,"Кредитная")&gt;0),1,0)</f>
        <v/>
      </c>
    </row>
    <row r="300" ht="19" customHeight="1">
      <c r="B300" s="53">
        <f>IF(AND($C300="",$F300=""),"",ROW()-9)</f>
        <v/>
      </c>
      <c r="C300" s="213" t="n"/>
      <c r="D300" s="55" t="n"/>
      <c r="E300" s="55" t="n"/>
      <c r="F300" s="56" t="n"/>
      <c r="G300" s="196" t="n"/>
      <c r="H300" s="21" t="n"/>
      <c r="I300" s="21" t="n"/>
      <c r="J300" s="53">
        <f>IF($C300="","",INDEX(Настройки!$V$6:$V$17,MONTH($C300))&amp;" "&amp;YEAR($C300))</f>
        <v/>
      </c>
      <c r="K300" s="57">
        <f>IF(OR($F300="",$D300="Перевод"),"",IF(AND(N($G300)&lt;&gt;0,COUNTIFS(Журнал!$C$10:$C$1509,$C300,Журнал!$P$10:$P$1509,$G300)&gt;0),"есть в Журнале",IF(COUNTIF(Постоянные!$C$8:$C$37,$F300)&gt;0,"есть в Постоянных",IF(COUNTIF(Покупки!$C$7:$C$18,$F300)&gt;0,"есть в Покупках",""))))</f>
        <v/>
      </c>
      <c r="P300">
        <f>IF($C300="","",DATE(YEAR($C300),MONTH($C300),1))</f>
        <v/>
      </c>
      <c r="Q300">
        <f>IF(ISNUMBER($G300),ABS($G300),0)</f>
        <v/>
      </c>
      <c r="R300">
        <f>IF(AND($D300="Расход",COUNTIFS(Счета!$B$10:$B$21,$H300,Счета!$C$10:$C$21,"Кредитная")&gt;0),1,0)</f>
        <v/>
      </c>
    </row>
    <row r="301" ht="19" customHeight="1">
      <c r="B301" s="53">
        <f>IF(AND($C301="",$F301=""),"",ROW()-9)</f>
        <v/>
      </c>
      <c r="C301" s="213" t="n"/>
      <c r="D301" s="55" t="n"/>
      <c r="E301" s="55" t="n"/>
      <c r="F301" s="56" t="n"/>
      <c r="G301" s="196" t="n"/>
      <c r="H301" s="21" t="n"/>
      <c r="I301" s="21" t="n"/>
      <c r="J301" s="53">
        <f>IF($C301="","",INDEX(Настройки!$V$6:$V$17,MONTH($C301))&amp;" "&amp;YEAR($C301))</f>
        <v/>
      </c>
      <c r="K301" s="57">
        <f>IF(OR($F301="",$D301="Перевод"),"",IF(AND(N($G301)&lt;&gt;0,COUNTIFS(Журнал!$C$10:$C$1509,$C301,Журнал!$P$10:$P$1509,$G301)&gt;0),"есть в Журнале",IF(COUNTIF(Постоянные!$C$8:$C$37,$F301)&gt;0,"есть в Постоянных",IF(COUNTIF(Покупки!$C$7:$C$18,$F301)&gt;0,"есть в Покупках",""))))</f>
        <v/>
      </c>
      <c r="P301">
        <f>IF($C301="","",DATE(YEAR($C301),MONTH($C301),1))</f>
        <v/>
      </c>
      <c r="Q301">
        <f>IF(ISNUMBER($G301),ABS($G301),0)</f>
        <v/>
      </c>
      <c r="R301">
        <f>IF(AND($D301="Расход",COUNTIFS(Счета!$B$10:$B$21,$H301,Счета!$C$10:$C$21,"Кредитная")&gt;0),1,0)</f>
        <v/>
      </c>
    </row>
    <row r="302" ht="19" customHeight="1">
      <c r="B302" s="53">
        <f>IF(AND($C302="",$F302=""),"",ROW()-9)</f>
        <v/>
      </c>
      <c r="C302" s="213" t="n"/>
      <c r="D302" s="55" t="n"/>
      <c r="E302" s="55" t="n"/>
      <c r="F302" s="56" t="n"/>
      <c r="G302" s="196" t="n"/>
      <c r="H302" s="21" t="n"/>
      <c r="I302" s="21" t="n"/>
      <c r="J302" s="53">
        <f>IF($C302="","",INDEX(Настройки!$V$6:$V$17,MONTH($C302))&amp;" "&amp;YEAR($C302))</f>
        <v/>
      </c>
      <c r="K302" s="57">
        <f>IF(OR($F302="",$D302="Перевод"),"",IF(AND(N($G302)&lt;&gt;0,COUNTIFS(Журнал!$C$10:$C$1509,$C302,Журнал!$P$10:$P$1509,$G302)&gt;0),"есть в Журнале",IF(COUNTIF(Постоянные!$C$8:$C$37,$F302)&gt;0,"есть в Постоянных",IF(COUNTIF(Покупки!$C$7:$C$18,$F302)&gt;0,"есть в Покупках",""))))</f>
        <v/>
      </c>
      <c r="P302">
        <f>IF($C302="","",DATE(YEAR($C302),MONTH($C302),1))</f>
        <v/>
      </c>
      <c r="Q302">
        <f>IF(ISNUMBER($G302),ABS($G302),0)</f>
        <v/>
      </c>
      <c r="R302">
        <f>IF(AND($D302="Расход",COUNTIFS(Счета!$B$10:$B$21,$H302,Счета!$C$10:$C$21,"Кредитная")&gt;0),1,0)</f>
        <v/>
      </c>
    </row>
    <row r="303" ht="19" customHeight="1">
      <c r="B303" s="53">
        <f>IF(AND($C303="",$F303=""),"",ROW()-9)</f>
        <v/>
      </c>
      <c r="C303" s="213" t="n"/>
      <c r="D303" s="55" t="n"/>
      <c r="E303" s="55" t="n"/>
      <c r="F303" s="56" t="n"/>
      <c r="G303" s="196" t="n"/>
      <c r="H303" s="21" t="n"/>
      <c r="I303" s="21" t="n"/>
      <c r="J303" s="53">
        <f>IF($C303="","",INDEX(Настройки!$V$6:$V$17,MONTH($C303))&amp;" "&amp;YEAR($C303))</f>
        <v/>
      </c>
      <c r="K303" s="57">
        <f>IF(OR($F303="",$D303="Перевод"),"",IF(AND(N($G303)&lt;&gt;0,COUNTIFS(Журнал!$C$10:$C$1509,$C303,Журнал!$P$10:$P$1509,$G303)&gt;0),"есть в Журнале",IF(COUNTIF(Постоянные!$C$8:$C$37,$F303)&gt;0,"есть в Постоянных",IF(COUNTIF(Покупки!$C$7:$C$18,$F303)&gt;0,"есть в Покупках",""))))</f>
        <v/>
      </c>
      <c r="P303">
        <f>IF($C303="","",DATE(YEAR($C303),MONTH($C303),1))</f>
        <v/>
      </c>
      <c r="Q303">
        <f>IF(ISNUMBER($G303),ABS($G303),0)</f>
        <v/>
      </c>
      <c r="R303">
        <f>IF(AND($D303="Расход",COUNTIFS(Счета!$B$10:$B$21,$H303,Счета!$C$10:$C$21,"Кредитная")&gt;0),1,0)</f>
        <v/>
      </c>
    </row>
    <row r="304" ht="19" customHeight="1">
      <c r="B304" s="53">
        <f>IF(AND($C304="",$F304=""),"",ROW()-9)</f>
        <v/>
      </c>
      <c r="C304" s="213" t="n"/>
      <c r="D304" s="55" t="n"/>
      <c r="E304" s="55" t="n"/>
      <c r="F304" s="56" t="n"/>
      <c r="G304" s="196" t="n"/>
      <c r="H304" s="21" t="n"/>
      <c r="I304" s="21" t="n"/>
      <c r="J304" s="53">
        <f>IF($C304="","",INDEX(Настройки!$V$6:$V$17,MONTH($C304))&amp;" "&amp;YEAR($C304))</f>
        <v/>
      </c>
      <c r="K304" s="57">
        <f>IF(OR($F304="",$D304="Перевод"),"",IF(AND(N($G304)&lt;&gt;0,COUNTIFS(Журнал!$C$10:$C$1509,$C304,Журнал!$P$10:$P$1509,$G304)&gt;0),"есть в Журнале",IF(COUNTIF(Постоянные!$C$8:$C$37,$F304)&gt;0,"есть в Постоянных",IF(COUNTIF(Покупки!$C$7:$C$18,$F304)&gt;0,"есть в Покупках",""))))</f>
        <v/>
      </c>
      <c r="P304">
        <f>IF($C304="","",DATE(YEAR($C304),MONTH($C304),1))</f>
        <v/>
      </c>
      <c r="Q304">
        <f>IF(ISNUMBER($G304),ABS($G304),0)</f>
        <v/>
      </c>
      <c r="R304">
        <f>IF(AND($D304="Расход",COUNTIFS(Счета!$B$10:$B$21,$H304,Счета!$C$10:$C$21,"Кредитная")&gt;0),1,0)</f>
        <v/>
      </c>
    </row>
    <row r="305" ht="19" customHeight="1">
      <c r="B305" s="53">
        <f>IF(AND($C305="",$F305=""),"",ROW()-9)</f>
        <v/>
      </c>
      <c r="C305" s="213" t="n"/>
      <c r="D305" s="55" t="n"/>
      <c r="E305" s="55" t="n"/>
      <c r="F305" s="56" t="n"/>
      <c r="G305" s="196" t="n"/>
      <c r="H305" s="21" t="n"/>
      <c r="I305" s="21" t="n"/>
      <c r="J305" s="53">
        <f>IF($C305="","",INDEX(Настройки!$V$6:$V$17,MONTH($C305))&amp;" "&amp;YEAR($C305))</f>
        <v/>
      </c>
      <c r="K305" s="57">
        <f>IF(OR($F305="",$D305="Перевод"),"",IF(AND(N($G305)&lt;&gt;0,COUNTIFS(Журнал!$C$10:$C$1509,$C305,Журнал!$P$10:$P$1509,$G305)&gt;0),"есть в Журнале",IF(COUNTIF(Постоянные!$C$8:$C$37,$F305)&gt;0,"есть в Постоянных",IF(COUNTIF(Покупки!$C$7:$C$18,$F305)&gt;0,"есть в Покупках",""))))</f>
        <v/>
      </c>
      <c r="P305">
        <f>IF($C305="","",DATE(YEAR($C305),MONTH($C305),1))</f>
        <v/>
      </c>
      <c r="Q305">
        <f>IF(ISNUMBER($G305),ABS($G305),0)</f>
        <v/>
      </c>
      <c r="R305">
        <f>IF(AND($D305="Расход",COUNTIFS(Счета!$B$10:$B$21,$H305,Счета!$C$10:$C$21,"Кредитная")&gt;0),1,0)</f>
        <v/>
      </c>
    </row>
    <row r="306" ht="19" customHeight="1">
      <c r="B306" s="53">
        <f>IF(AND($C306="",$F306=""),"",ROW()-9)</f>
        <v/>
      </c>
      <c r="C306" s="213" t="n"/>
      <c r="D306" s="55" t="n"/>
      <c r="E306" s="55" t="n"/>
      <c r="F306" s="56" t="n"/>
      <c r="G306" s="196" t="n"/>
      <c r="H306" s="21" t="n"/>
      <c r="I306" s="21" t="n"/>
      <c r="J306" s="53">
        <f>IF($C306="","",INDEX(Настройки!$V$6:$V$17,MONTH($C306))&amp;" "&amp;YEAR($C306))</f>
        <v/>
      </c>
      <c r="K306" s="57">
        <f>IF(OR($F306="",$D306="Перевод"),"",IF(AND(N($G306)&lt;&gt;0,COUNTIFS(Журнал!$C$10:$C$1509,$C306,Журнал!$P$10:$P$1509,$G306)&gt;0),"есть в Журнале",IF(COUNTIF(Постоянные!$C$8:$C$37,$F306)&gt;0,"есть в Постоянных",IF(COUNTIF(Покупки!$C$7:$C$18,$F306)&gt;0,"есть в Покупках",""))))</f>
        <v/>
      </c>
      <c r="P306">
        <f>IF($C306="","",DATE(YEAR($C306),MONTH($C306),1))</f>
        <v/>
      </c>
      <c r="Q306">
        <f>IF(ISNUMBER($G306),ABS($G306),0)</f>
        <v/>
      </c>
      <c r="R306">
        <f>IF(AND($D306="Расход",COUNTIFS(Счета!$B$10:$B$21,$H306,Счета!$C$10:$C$21,"Кредитная")&gt;0),1,0)</f>
        <v/>
      </c>
    </row>
    <row r="307" ht="19" customHeight="1">
      <c r="B307" s="53">
        <f>IF(AND($C307="",$F307=""),"",ROW()-9)</f>
        <v/>
      </c>
      <c r="C307" s="213" t="n"/>
      <c r="D307" s="55" t="n"/>
      <c r="E307" s="55" t="n"/>
      <c r="F307" s="56" t="n"/>
      <c r="G307" s="196" t="n"/>
      <c r="H307" s="21" t="n"/>
      <c r="I307" s="21" t="n"/>
      <c r="J307" s="53">
        <f>IF($C307="","",INDEX(Настройки!$V$6:$V$17,MONTH($C307))&amp;" "&amp;YEAR($C307))</f>
        <v/>
      </c>
      <c r="K307" s="57">
        <f>IF(OR($F307="",$D307="Перевод"),"",IF(AND(N($G307)&lt;&gt;0,COUNTIFS(Журнал!$C$10:$C$1509,$C307,Журнал!$P$10:$P$1509,$G307)&gt;0),"есть в Журнале",IF(COUNTIF(Постоянные!$C$8:$C$37,$F307)&gt;0,"есть в Постоянных",IF(COUNTIF(Покупки!$C$7:$C$18,$F307)&gt;0,"есть в Покупках",""))))</f>
        <v/>
      </c>
      <c r="P307">
        <f>IF($C307="","",DATE(YEAR($C307),MONTH($C307),1))</f>
        <v/>
      </c>
      <c r="Q307">
        <f>IF(ISNUMBER($G307),ABS($G307),0)</f>
        <v/>
      </c>
      <c r="R307">
        <f>IF(AND($D307="Расход",COUNTIFS(Счета!$B$10:$B$21,$H307,Счета!$C$10:$C$21,"Кредитная")&gt;0),1,0)</f>
        <v/>
      </c>
    </row>
    <row r="308" ht="19" customHeight="1">
      <c r="B308" s="53">
        <f>IF(AND($C308="",$F308=""),"",ROW()-9)</f>
        <v/>
      </c>
      <c r="C308" s="213" t="n"/>
      <c r="D308" s="55" t="n"/>
      <c r="E308" s="55" t="n"/>
      <c r="F308" s="56" t="n"/>
      <c r="G308" s="196" t="n"/>
      <c r="H308" s="21" t="n"/>
      <c r="I308" s="21" t="n"/>
      <c r="J308" s="53">
        <f>IF($C308="","",INDEX(Настройки!$V$6:$V$17,MONTH($C308))&amp;" "&amp;YEAR($C308))</f>
        <v/>
      </c>
      <c r="K308" s="57">
        <f>IF(OR($F308="",$D308="Перевод"),"",IF(AND(N($G308)&lt;&gt;0,COUNTIFS(Журнал!$C$10:$C$1509,$C308,Журнал!$P$10:$P$1509,$G308)&gt;0),"есть в Журнале",IF(COUNTIF(Постоянные!$C$8:$C$37,$F308)&gt;0,"есть в Постоянных",IF(COUNTIF(Покупки!$C$7:$C$18,$F308)&gt;0,"есть в Покупках",""))))</f>
        <v/>
      </c>
      <c r="P308">
        <f>IF($C308="","",DATE(YEAR($C308),MONTH($C308),1))</f>
        <v/>
      </c>
      <c r="Q308">
        <f>IF(ISNUMBER($G308),ABS($G308),0)</f>
        <v/>
      </c>
      <c r="R308">
        <f>IF(AND($D308="Расход",COUNTIFS(Счета!$B$10:$B$21,$H308,Счета!$C$10:$C$21,"Кредитная")&gt;0),1,0)</f>
        <v/>
      </c>
    </row>
    <row r="309" ht="19" customHeight="1">
      <c r="B309" s="53">
        <f>IF(AND($C309="",$F309=""),"",ROW()-9)</f>
        <v/>
      </c>
      <c r="C309" s="213" t="n"/>
      <c r="D309" s="55" t="n"/>
      <c r="E309" s="55" t="n"/>
      <c r="F309" s="56" t="n"/>
      <c r="G309" s="196" t="n"/>
      <c r="H309" s="21" t="n"/>
      <c r="I309" s="21" t="n"/>
      <c r="J309" s="53">
        <f>IF($C309="","",INDEX(Настройки!$V$6:$V$17,MONTH($C309))&amp;" "&amp;YEAR($C309))</f>
        <v/>
      </c>
      <c r="K309" s="57">
        <f>IF(OR($F309="",$D309="Перевод"),"",IF(AND(N($G309)&lt;&gt;0,COUNTIFS(Журнал!$C$10:$C$1509,$C309,Журнал!$P$10:$P$1509,$G309)&gt;0),"есть в Журнале",IF(COUNTIF(Постоянные!$C$8:$C$37,$F309)&gt;0,"есть в Постоянных",IF(COUNTIF(Покупки!$C$7:$C$18,$F309)&gt;0,"есть в Покупках",""))))</f>
        <v/>
      </c>
      <c r="P309">
        <f>IF($C309="","",DATE(YEAR($C309),MONTH($C309),1))</f>
        <v/>
      </c>
      <c r="Q309">
        <f>IF(ISNUMBER($G309),ABS($G309),0)</f>
        <v/>
      </c>
      <c r="R309">
        <f>IF(AND($D309="Расход",COUNTIFS(Счета!$B$10:$B$21,$H309,Счета!$C$10:$C$21,"Кредитная")&gt;0),1,0)</f>
        <v/>
      </c>
    </row>
    <row r="310" ht="19" customHeight="1">
      <c r="B310" s="53">
        <f>IF(AND($C310="",$F310=""),"",ROW()-9)</f>
        <v/>
      </c>
      <c r="C310" s="213" t="n"/>
      <c r="D310" s="55" t="n"/>
      <c r="E310" s="55" t="n"/>
      <c r="F310" s="56" t="n"/>
      <c r="G310" s="196" t="n"/>
      <c r="H310" s="21" t="n"/>
      <c r="I310" s="21" t="n"/>
      <c r="J310" s="53">
        <f>IF($C310="","",INDEX(Настройки!$V$6:$V$17,MONTH($C310))&amp;" "&amp;YEAR($C310))</f>
        <v/>
      </c>
      <c r="K310" s="57">
        <f>IF(OR($F310="",$D310="Перевод"),"",IF(AND(N($G310)&lt;&gt;0,COUNTIFS(Журнал!$C$10:$C$1509,$C310,Журнал!$P$10:$P$1509,$G310)&gt;0),"есть в Журнале",IF(COUNTIF(Постоянные!$C$8:$C$37,$F310)&gt;0,"есть в Постоянных",IF(COUNTIF(Покупки!$C$7:$C$18,$F310)&gt;0,"есть в Покупках",""))))</f>
        <v/>
      </c>
      <c r="P310">
        <f>IF($C310="","",DATE(YEAR($C310),MONTH($C310),1))</f>
        <v/>
      </c>
      <c r="Q310">
        <f>IF(ISNUMBER($G310),ABS($G310),0)</f>
        <v/>
      </c>
      <c r="R310">
        <f>IF(AND($D310="Расход",COUNTIFS(Счета!$B$10:$B$21,$H310,Счета!$C$10:$C$21,"Кредитная")&gt;0),1,0)</f>
        <v/>
      </c>
    </row>
    <row r="311" ht="19" customHeight="1">
      <c r="B311" s="53">
        <f>IF(AND($C311="",$F311=""),"",ROW()-9)</f>
        <v/>
      </c>
      <c r="C311" s="213" t="n"/>
      <c r="D311" s="55" t="n"/>
      <c r="E311" s="55" t="n"/>
      <c r="F311" s="56" t="n"/>
      <c r="G311" s="196" t="n"/>
      <c r="H311" s="21" t="n"/>
      <c r="I311" s="21" t="n"/>
      <c r="J311" s="53">
        <f>IF($C311="","",INDEX(Настройки!$V$6:$V$17,MONTH($C311))&amp;" "&amp;YEAR($C311))</f>
        <v/>
      </c>
      <c r="K311" s="57">
        <f>IF(OR($F311="",$D311="Перевод"),"",IF(AND(N($G311)&lt;&gt;0,COUNTIFS(Журнал!$C$10:$C$1509,$C311,Журнал!$P$10:$P$1509,$G311)&gt;0),"есть в Журнале",IF(COUNTIF(Постоянные!$C$8:$C$37,$F311)&gt;0,"есть в Постоянных",IF(COUNTIF(Покупки!$C$7:$C$18,$F311)&gt;0,"есть в Покупках",""))))</f>
        <v/>
      </c>
      <c r="P311">
        <f>IF($C311="","",DATE(YEAR($C311),MONTH($C311),1))</f>
        <v/>
      </c>
      <c r="Q311">
        <f>IF(ISNUMBER($G311),ABS($G311),0)</f>
        <v/>
      </c>
      <c r="R311">
        <f>IF(AND($D311="Расход",COUNTIFS(Счета!$B$10:$B$21,$H311,Счета!$C$10:$C$21,"Кредитная")&gt;0),1,0)</f>
        <v/>
      </c>
    </row>
    <row r="312" ht="19" customHeight="1">
      <c r="B312" s="53">
        <f>IF(AND($C312="",$F312=""),"",ROW()-9)</f>
        <v/>
      </c>
      <c r="C312" s="213" t="n"/>
      <c r="D312" s="55" t="n"/>
      <c r="E312" s="55" t="n"/>
      <c r="F312" s="56" t="n"/>
      <c r="G312" s="196" t="n"/>
      <c r="H312" s="21" t="n"/>
      <c r="I312" s="21" t="n"/>
      <c r="J312" s="53">
        <f>IF($C312="","",INDEX(Настройки!$V$6:$V$17,MONTH($C312))&amp;" "&amp;YEAR($C312))</f>
        <v/>
      </c>
      <c r="K312" s="57">
        <f>IF(OR($F312="",$D312="Перевод"),"",IF(AND(N($G312)&lt;&gt;0,COUNTIFS(Журнал!$C$10:$C$1509,$C312,Журнал!$P$10:$P$1509,$G312)&gt;0),"есть в Журнале",IF(COUNTIF(Постоянные!$C$8:$C$37,$F312)&gt;0,"есть в Постоянных",IF(COUNTIF(Покупки!$C$7:$C$18,$F312)&gt;0,"есть в Покупках",""))))</f>
        <v/>
      </c>
      <c r="P312">
        <f>IF($C312="","",DATE(YEAR($C312),MONTH($C312),1))</f>
        <v/>
      </c>
      <c r="Q312">
        <f>IF(ISNUMBER($G312),ABS($G312),0)</f>
        <v/>
      </c>
      <c r="R312">
        <f>IF(AND($D312="Расход",COUNTIFS(Счета!$B$10:$B$21,$H312,Счета!$C$10:$C$21,"Кредитная")&gt;0),1,0)</f>
        <v/>
      </c>
    </row>
    <row r="313" ht="19" customHeight="1">
      <c r="B313" s="53">
        <f>IF(AND($C313="",$F313=""),"",ROW()-9)</f>
        <v/>
      </c>
      <c r="C313" s="213" t="n"/>
      <c r="D313" s="55" t="n"/>
      <c r="E313" s="55" t="n"/>
      <c r="F313" s="56" t="n"/>
      <c r="G313" s="196" t="n"/>
      <c r="H313" s="21" t="n"/>
      <c r="I313" s="21" t="n"/>
      <c r="J313" s="53">
        <f>IF($C313="","",INDEX(Настройки!$V$6:$V$17,MONTH($C313))&amp;" "&amp;YEAR($C313))</f>
        <v/>
      </c>
      <c r="K313" s="57">
        <f>IF(OR($F313="",$D313="Перевод"),"",IF(AND(N($G313)&lt;&gt;0,COUNTIFS(Журнал!$C$10:$C$1509,$C313,Журнал!$P$10:$P$1509,$G313)&gt;0),"есть в Журнале",IF(COUNTIF(Постоянные!$C$8:$C$37,$F313)&gt;0,"есть в Постоянных",IF(COUNTIF(Покупки!$C$7:$C$18,$F313)&gt;0,"есть в Покупках",""))))</f>
        <v/>
      </c>
      <c r="P313">
        <f>IF($C313="","",DATE(YEAR($C313),MONTH($C313),1))</f>
        <v/>
      </c>
      <c r="Q313">
        <f>IF(ISNUMBER($G313),ABS($G313),0)</f>
        <v/>
      </c>
      <c r="R313">
        <f>IF(AND($D313="Расход",COUNTIFS(Счета!$B$10:$B$21,$H313,Счета!$C$10:$C$21,"Кредитная")&gt;0),1,0)</f>
        <v/>
      </c>
    </row>
    <row r="314" ht="19" customHeight="1">
      <c r="B314" s="53">
        <f>IF(AND($C314="",$F314=""),"",ROW()-9)</f>
        <v/>
      </c>
      <c r="C314" s="213" t="n"/>
      <c r="D314" s="55" t="n"/>
      <c r="E314" s="55" t="n"/>
      <c r="F314" s="56" t="n"/>
      <c r="G314" s="196" t="n"/>
      <c r="H314" s="21" t="n"/>
      <c r="I314" s="21" t="n"/>
      <c r="J314" s="53">
        <f>IF($C314="","",INDEX(Настройки!$V$6:$V$17,MONTH($C314))&amp;" "&amp;YEAR($C314))</f>
        <v/>
      </c>
      <c r="K314" s="57">
        <f>IF(OR($F314="",$D314="Перевод"),"",IF(AND(N($G314)&lt;&gt;0,COUNTIFS(Журнал!$C$10:$C$1509,$C314,Журнал!$P$10:$P$1509,$G314)&gt;0),"есть в Журнале",IF(COUNTIF(Постоянные!$C$8:$C$37,$F314)&gt;0,"есть в Постоянных",IF(COUNTIF(Покупки!$C$7:$C$18,$F314)&gt;0,"есть в Покупках",""))))</f>
        <v/>
      </c>
      <c r="P314">
        <f>IF($C314="","",DATE(YEAR($C314),MONTH($C314),1))</f>
        <v/>
      </c>
      <c r="Q314">
        <f>IF(ISNUMBER($G314),ABS($G314),0)</f>
        <v/>
      </c>
      <c r="R314">
        <f>IF(AND($D314="Расход",COUNTIFS(Счета!$B$10:$B$21,$H314,Счета!$C$10:$C$21,"Кредитная")&gt;0),1,0)</f>
        <v/>
      </c>
    </row>
    <row r="315" ht="19" customHeight="1">
      <c r="B315" s="53">
        <f>IF(AND($C315="",$F315=""),"",ROW()-9)</f>
        <v/>
      </c>
      <c r="C315" s="213" t="n"/>
      <c r="D315" s="55" t="n"/>
      <c r="E315" s="55" t="n"/>
      <c r="F315" s="56" t="n"/>
      <c r="G315" s="196" t="n"/>
      <c r="H315" s="21" t="n"/>
      <c r="I315" s="21" t="n"/>
      <c r="J315" s="53">
        <f>IF($C315="","",INDEX(Настройки!$V$6:$V$17,MONTH($C315))&amp;" "&amp;YEAR($C315))</f>
        <v/>
      </c>
      <c r="K315" s="57">
        <f>IF(OR($F315="",$D315="Перевод"),"",IF(AND(N($G315)&lt;&gt;0,COUNTIFS(Журнал!$C$10:$C$1509,$C315,Журнал!$P$10:$P$1509,$G315)&gt;0),"есть в Журнале",IF(COUNTIF(Постоянные!$C$8:$C$37,$F315)&gt;0,"есть в Постоянных",IF(COUNTIF(Покупки!$C$7:$C$18,$F315)&gt;0,"есть в Покупках",""))))</f>
        <v/>
      </c>
      <c r="P315">
        <f>IF($C315="","",DATE(YEAR($C315),MONTH($C315),1))</f>
        <v/>
      </c>
      <c r="Q315">
        <f>IF(ISNUMBER($G315),ABS($G315),0)</f>
        <v/>
      </c>
      <c r="R315">
        <f>IF(AND($D315="Расход",COUNTIFS(Счета!$B$10:$B$21,$H315,Счета!$C$10:$C$21,"Кредитная")&gt;0),1,0)</f>
        <v/>
      </c>
    </row>
    <row r="316" ht="19" customHeight="1">
      <c r="B316" s="53">
        <f>IF(AND($C316="",$F316=""),"",ROW()-9)</f>
        <v/>
      </c>
      <c r="C316" s="213" t="n"/>
      <c r="D316" s="55" t="n"/>
      <c r="E316" s="55" t="n"/>
      <c r="F316" s="56" t="n"/>
      <c r="G316" s="196" t="n"/>
      <c r="H316" s="21" t="n"/>
      <c r="I316" s="21" t="n"/>
      <c r="J316" s="53">
        <f>IF($C316="","",INDEX(Настройки!$V$6:$V$17,MONTH($C316))&amp;" "&amp;YEAR($C316))</f>
        <v/>
      </c>
      <c r="K316" s="57">
        <f>IF(OR($F316="",$D316="Перевод"),"",IF(AND(N($G316)&lt;&gt;0,COUNTIFS(Журнал!$C$10:$C$1509,$C316,Журнал!$P$10:$P$1509,$G316)&gt;0),"есть в Журнале",IF(COUNTIF(Постоянные!$C$8:$C$37,$F316)&gt;0,"есть в Постоянных",IF(COUNTIF(Покупки!$C$7:$C$18,$F316)&gt;0,"есть в Покупках",""))))</f>
        <v/>
      </c>
      <c r="P316">
        <f>IF($C316="","",DATE(YEAR($C316),MONTH($C316),1))</f>
        <v/>
      </c>
      <c r="Q316">
        <f>IF(ISNUMBER($G316),ABS($G316),0)</f>
        <v/>
      </c>
      <c r="R316">
        <f>IF(AND($D316="Расход",COUNTIFS(Счета!$B$10:$B$21,$H316,Счета!$C$10:$C$21,"Кредитная")&gt;0),1,0)</f>
        <v/>
      </c>
    </row>
    <row r="317" ht="19" customHeight="1">
      <c r="B317" s="53">
        <f>IF(AND($C317="",$F317=""),"",ROW()-9)</f>
        <v/>
      </c>
      <c r="C317" s="213" t="n"/>
      <c r="D317" s="55" t="n"/>
      <c r="E317" s="55" t="n"/>
      <c r="F317" s="56" t="n"/>
      <c r="G317" s="196" t="n"/>
      <c r="H317" s="21" t="n"/>
      <c r="I317" s="21" t="n"/>
      <c r="J317" s="53">
        <f>IF($C317="","",INDEX(Настройки!$V$6:$V$17,MONTH($C317))&amp;" "&amp;YEAR($C317))</f>
        <v/>
      </c>
      <c r="K317" s="57">
        <f>IF(OR($F317="",$D317="Перевод"),"",IF(AND(N($G317)&lt;&gt;0,COUNTIFS(Журнал!$C$10:$C$1509,$C317,Журнал!$P$10:$P$1509,$G317)&gt;0),"есть в Журнале",IF(COUNTIF(Постоянные!$C$8:$C$37,$F317)&gt;0,"есть в Постоянных",IF(COUNTIF(Покупки!$C$7:$C$18,$F317)&gt;0,"есть в Покупках",""))))</f>
        <v/>
      </c>
      <c r="P317">
        <f>IF($C317="","",DATE(YEAR($C317),MONTH($C317),1))</f>
        <v/>
      </c>
      <c r="Q317">
        <f>IF(ISNUMBER($G317),ABS($G317),0)</f>
        <v/>
      </c>
      <c r="R317">
        <f>IF(AND($D317="Расход",COUNTIFS(Счета!$B$10:$B$21,$H317,Счета!$C$10:$C$21,"Кредитная")&gt;0),1,0)</f>
        <v/>
      </c>
    </row>
    <row r="318" ht="19" customHeight="1">
      <c r="B318" s="53">
        <f>IF(AND($C318="",$F318=""),"",ROW()-9)</f>
        <v/>
      </c>
      <c r="C318" s="213" t="n"/>
      <c r="D318" s="55" t="n"/>
      <c r="E318" s="55" t="n"/>
      <c r="F318" s="56" t="n"/>
      <c r="G318" s="196" t="n"/>
      <c r="H318" s="21" t="n"/>
      <c r="I318" s="21" t="n"/>
      <c r="J318" s="53">
        <f>IF($C318="","",INDEX(Настройки!$V$6:$V$17,MONTH($C318))&amp;" "&amp;YEAR($C318))</f>
        <v/>
      </c>
      <c r="K318" s="57">
        <f>IF(OR($F318="",$D318="Перевод"),"",IF(AND(N($G318)&lt;&gt;0,COUNTIFS(Журнал!$C$10:$C$1509,$C318,Журнал!$P$10:$P$1509,$G318)&gt;0),"есть в Журнале",IF(COUNTIF(Постоянные!$C$8:$C$37,$F318)&gt;0,"есть в Постоянных",IF(COUNTIF(Покупки!$C$7:$C$18,$F318)&gt;0,"есть в Покупках",""))))</f>
        <v/>
      </c>
      <c r="P318">
        <f>IF($C318="","",DATE(YEAR($C318),MONTH($C318),1))</f>
        <v/>
      </c>
      <c r="Q318">
        <f>IF(ISNUMBER($G318),ABS($G318),0)</f>
        <v/>
      </c>
      <c r="R318">
        <f>IF(AND($D318="Расход",COUNTIFS(Счета!$B$10:$B$21,$H318,Счета!$C$10:$C$21,"Кредитная")&gt;0),1,0)</f>
        <v/>
      </c>
    </row>
    <row r="319" ht="19" customHeight="1">
      <c r="B319" s="53">
        <f>IF(AND($C319="",$F319=""),"",ROW()-9)</f>
        <v/>
      </c>
      <c r="C319" s="213" t="n"/>
      <c r="D319" s="55" t="n"/>
      <c r="E319" s="55" t="n"/>
      <c r="F319" s="56" t="n"/>
      <c r="G319" s="196" t="n"/>
      <c r="H319" s="21" t="n"/>
      <c r="I319" s="21" t="n"/>
      <c r="J319" s="53">
        <f>IF($C319="","",INDEX(Настройки!$V$6:$V$17,MONTH($C319))&amp;" "&amp;YEAR($C319))</f>
        <v/>
      </c>
      <c r="K319" s="57">
        <f>IF(OR($F319="",$D319="Перевод"),"",IF(AND(N($G319)&lt;&gt;0,COUNTIFS(Журнал!$C$10:$C$1509,$C319,Журнал!$P$10:$P$1509,$G319)&gt;0),"есть в Журнале",IF(COUNTIF(Постоянные!$C$8:$C$37,$F319)&gt;0,"есть в Постоянных",IF(COUNTIF(Покупки!$C$7:$C$18,$F319)&gt;0,"есть в Покупках",""))))</f>
        <v/>
      </c>
      <c r="P319">
        <f>IF($C319="","",DATE(YEAR($C319),MONTH($C319),1))</f>
        <v/>
      </c>
      <c r="Q319">
        <f>IF(ISNUMBER($G319),ABS($G319),0)</f>
        <v/>
      </c>
      <c r="R319">
        <f>IF(AND($D319="Расход",COUNTIFS(Счета!$B$10:$B$21,$H319,Счета!$C$10:$C$21,"Кредитная")&gt;0),1,0)</f>
        <v/>
      </c>
    </row>
    <row r="320" ht="19" customHeight="1">
      <c r="B320" s="53">
        <f>IF(AND($C320="",$F320=""),"",ROW()-9)</f>
        <v/>
      </c>
      <c r="C320" s="213" t="n"/>
      <c r="D320" s="55" t="n"/>
      <c r="E320" s="55" t="n"/>
      <c r="F320" s="56" t="n"/>
      <c r="G320" s="196" t="n"/>
      <c r="H320" s="21" t="n"/>
      <c r="I320" s="21" t="n"/>
      <c r="J320" s="53">
        <f>IF($C320="","",INDEX(Настройки!$V$6:$V$17,MONTH($C320))&amp;" "&amp;YEAR($C320))</f>
        <v/>
      </c>
      <c r="K320" s="57">
        <f>IF(OR($F320="",$D320="Перевод"),"",IF(AND(N($G320)&lt;&gt;0,COUNTIFS(Журнал!$C$10:$C$1509,$C320,Журнал!$P$10:$P$1509,$G320)&gt;0),"есть в Журнале",IF(COUNTIF(Постоянные!$C$8:$C$37,$F320)&gt;0,"есть в Постоянных",IF(COUNTIF(Покупки!$C$7:$C$18,$F320)&gt;0,"есть в Покупках",""))))</f>
        <v/>
      </c>
      <c r="P320">
        <f>IF($C320="","",DATE(YEAR($C320),MONTH($C320),1))</f>
        <v/>
      </c>
      <c r="Q320">
        <f>IF(ISNUMBER($G320),ABS($G320),0)</f>
        <v/>
      </c>
      <c r="R320">
        <f>IF(AND($D320="Расход",COUNTIFS(Счета!$B$10:$B$21,$H320,Счета!$C$10:$C$21,"Кредитная")&gt;0),1,0)</f>
        <v/>
      </c>
    </row>
    <row r="321" ht="19" customHeight="1">
      <c r="B321" s="53">
        <f>IF(AND($C321="",$F321=""),"",ROW()-9)</f>
        <v/>
      </c>
      <c r="C321" s="213" t="n"/>
      <c r="D321" s="55" t="n"/>
      <c r="E321" s="55" t="n"/>
      <c r="F321" s="56" t="n"/>
      <c r="G321" s="196" t="n"/>
      <c r="H321" s="21" t="n"/>
      <c r="I321" s="21" t="n"/>
      <c r="J321" s="53">
        <f>IF($C321="","",INDEX(Настройки!$V$6:$V$17,MONTH($C321))&amp;" "&amp;YEAR($C321))</f>
        <v/>
      </c>
      <c r="K321" s="57">
        <f>IF(OR($F321="",$D321="Перевод"),"",IF(AND(N($G321)&lt;&gt;0,COUNTIFS(Журнал!$C$10:$C$1509,$C321,Журнал!$P$10:$P$1509,$G321)&gt;0),"есть в Журнале",IF(COUNTIF(Постоянные!$C$8:$C$37,$F321)&gt;0,"есть в Постоянных",IF(COUNTIF(Покупки!$C$7:$C$18,$F321)&gt;0,"есть в Покупках",""))))</f>
        <v/>
      </c>
      <c r="P321">
        <f>IF($C321="","",DATE(YEAR($C321),MONTH($C321),1))</f>
        <v/>
      </c>
      <c r="Q321">
        <f>IF(ISNUMBER($G321),ABS($G321),0)</f>
        <v/>
      </c>
      <c r="R321">
        <f>IF(AND($D321="Расход",COUNTIFS(Счета!$B$10:$B$21,$H321,Счета!$C$10:$C$21,"Кредитная")&gt;0),1,0)</f>
        <v/>
      </c>
    </row>
    <row r="322" ht="19" customHeight="1">
      <c r="B322" s="53">
        <f>IF(AND($C322="",$F322=""),"",ROW()-9)</f>
        <v/>
      </c>
      <c r="C322" s="213" t="n"/>
      <c r="D322" s="55" t="n"/>
      <c r="E322" s="55" t="n"/>
      <c r="F322" s="56" t="n"/>
      <c r="G322" s="196" t="n"/>
      <c r="H322" s="21" t="n"/>
      <c r="I322" s="21" t="n"/>
      <c r="J322" s="53">
        <f>IF($C322="","",INDEX(Настройки!$V$6:$V$17,MONTH($C322))&amp;" "&amp;YEAR($C322))</f>
        <v/>
      </c>
      <c r="K322" s="57">
        <f>IF(OR($F322="",$D322="Перевод"),"",IF(AND(N($G322)&lt;&gt;0,COUNTIFS(Журнал!$C$10:$C$1509,$C322,Журнал!$P$10:$P$1509,$G322)&gt;0),"есть в Журнале",IF(COUNTIF(Постоянные!$C$8:$C$37,$F322)&gt;0,"есть в Постоянных",IF(COUNTIF(Покупки!$C$7:$C$18,$F322)&gt;0,"есть в Покупках",""))))</f>
        <v/>
      </c>
      <c r="P322">
        <f>IF($C322="","",DATE(YEAR($C322),MONTH($C322),1))</f>
        <v/>
      </c>
      <c r="Q322">
        <f>IF(ISNUMBER($G322),ABS($G322),0)</f>
        <v/>
      </c>
      <c r="R322">
        <f>IF(AND($D322="Расход",COUNTIFS(Счета!$B$10:$B$21,$H322,Счета!$C$10:$C$21,"Кредитная")&gt;0),1,0)</f>
        <v/>
      </c>
    </row>
    <row r="323" ht="19" customHeight="1">
      <c r="B323" s="53">
        <f>IF(AND($C323="",$F323=""),"",ROW()-9)</f>
        <v/>
      </c>
      <c r="C323" s="213" t="n"/>
      <c r="D323" s="55" t="n"/>
      <c r="E323" s="55" t="n"/>
      <c r="F323" s="56" t="n"/>
      <c r="G323" s="196" t="n"/>
      <c r="H323" s="21" t="n"/>
      <c r="I323" s="21" t="n"/>
      <c r="J323" s="53">
        <f>IF($C323="","",INDEX(Настройки!$V$6:$V$17,MONTH($C323))&amp;" "&amp;YEAR($C323))</f>
        <v/>
      </c>
      <c r="K323" s="57">
        <f>IF(OR($F323="",$D323="Перевод"),"",IF(AND(N($G323)&lt;&gt;0,COUNTIFS(Журнал!$C$10:$C$1509,$C323,Журнал!$P$10:$P$1509,$G323)&gt;0),"есть в Журнале",IF(COUNTIF(Постоянные!$C$8:$C$37,$F323)&gt;0,"есть в Постоянных",IF(COUNTIF(Покупки!$C$7:$C$18,$F323)&gt;0,"есть в Покупках",""))))</f>
        <v/>
      </c>
      <c r="P323">
        <f>IF($C323="","",DATE(YEAR($C323),MONTH($C323),1))</f>
        <v/>
      </c>
      <c r="Q323">
        <f>IF(ISNUMBER($G323),ABS($G323),0)</f>
        <v/>
      </c>
      <c r="R323">
        <f>IF(AND($D323="Расход",COUNTIFS(Счета!$B$10:$B$21,$H323,Счета!$C$10:$C$21,"Кредитная")&gt;0),1,0)</f>
        <v/>
      </c>
    </row>
    <row r="324" ht="19" customHeight="1">
      <c r="B324" s="53">
        <f>IF(AND($C324="",$F324=""),"",ROW()-9)</f>
        <v/>
      </c>
      <c r="C324" s="213" t="n"/>
      <c r="D324" s="55" t="n"/>
      <c r="E324" s="55" t="n"/>
      <c r="F324" s="56" t="n"/>
      <c r="G324" s="196" t="n"/>
      <c r="H324" s="21" t="n"/>
      <c r="I324" s="21" t="n"/>
      <c r="J324" s="53">
        <f>IF($C324="","",INDEX(Настройки!$V$6:$V$17,MONTH($C324))&amp;" "&amp;YEAR($C324))</f>
        <v/>
      </c>
      <c r="K324" s="57">
        <f>IF(OR($F324="",$D324="Перевод"),"",IF(AND(N($G324)&lt;&gt;0,COUNTIFS(Журнал!$C$10:$C$1509,$C324,Журнал!$P$10:$P$1509,$G324)&gt;0),"есть в Журнале",IF(COUNTIF(Постоянные!$C$8:$C$37,$F324)&gt;0,"есть в Постоянных",IF(COUNTIF(Покупки!$C$7:$C$18,$F324)&gt;0,"есть в Покупках",""))))</f>
        <v/>
      </c>
      <c r="P324">
        <f>IF($C324="","",DATE(YEAR($C324),MONTH($C324),1))</f>
        <v/>
      </c>
      <c r="Q324">
        <f>IF(ISNUMBER($G324),ABS($G324),0)</f>
        <v/>
      </c>
      <c r="R324">
        <f>IF(AND($D324="Расход",COUNTIFS(Счета!$B$10:$B$21,$H324,Счета!$C$10:$C$21,"Кредитная")&gt;0),1,0)</f>
        <v/>
      </c>
    </row>
    <row r="325" ht="19" customHeight="1">
      <c r="B325" s="53">
        <f>IF(AND($C325="",$F325=""),"",ROW()-9)</f>
        <v/>
      </c>
      <c r="C325" s="213" t="n"/>
      <c r="D325" s="55" t="n"/>
      <c r="E325" s="55" t="n"/>
      <c r="F325" s="56" t="n"/>
      <c r="G325" s="196" t="n"/>
      <c r="H325" s="21" t="n"/>
      <c r="I325" s="21" t="n"/>
      <c r="J325" s="53">
        <f>IF($C325="","",INDEX(Настройки!$V$6:$V$17,MONTH($C325))&amp;" "&amp;YEAR($C325))</f>
        <v/>
      </c>
      <c r="K325" s="57">
        <f>IF(OR($F325="",$D325="Перевод"),"",IF(AND(N($G325)&lt;&gt;0,COUNTIFS(Журнал!$C$10:$C$1509,$C325,Журнал!$P$10:$P$1509,$G325)&gt;0),"есть в Журнале",IF(COUNTIF(Постоянные!$C$8:$C$37,$F325)&gt;0,"есть в Постоянных",IF(COUNTIF(Покупки!$C$7:$C$18,$F325)&gt;0,"есть в Покупках",""))))</f>
        <v/>
      </c>
      <c r="P325">
        <f>IF($C325="","",DATE(YEAR($C325),MONTH($C325),1))</f>
        <v/>
      </c>
      <c r="Q325">
        <f>IF(ISNUMBER($G325),ABS($G325),0)</f>
        <v/>
      </c>
      <c r="R325">
        <f>IF(AND($D325="Расход",COUNTIFS(Счета!$B$10:$B$21,$H325,Счета!$C$10:$C$21,"Кредитная")&gt;0),1,0)</f>
        <v/>
      </c>
    </row>
    <row r="326" ht="19" customHeight="1">
      <c r="B326" s="53">
        <f>IF(AND($C326="",$F326=""),"",ROW()-9)</f>
        <v/>
      </c>
      <c r="C326" s="213" t="n"/>
      <c r="D326" s="55" t="n"/>
      <c r="E326" s="55" t="n"/>
      <c r="F326" s="56" t="n"/>
      <c r="G326" s="196" t="n"/>
      <c r="H326" s="21" t="n"/>
      <c r="I326" s="21" t="n"/>
      <c r="J326" s="53">
        <f>IF($C326="","",INDEX(Настройки!$V$6:$V$17,MONTH($C326))&amp;" "&amp;YEAR($C326))</f>
        <v/>
      </c>
      <c r="K326" s="57">
        <f>IF(OR($F326="",$D326="Перевод"),"",IF(AND(N($G326)&lt;&gt;0,COUNTIFS(Журнал!$C$10:$C$1509,$C326,Журнал!$P$10:$P$1509,$G326)&gt;0),"есть в Журнале",IF(COUNTIF(Постоянные!$C$8:$C$37,$F326)&gt;0,"есть в Постоянных",IF(COUNTIF(Покупки!$C$7:$C$18,$F326)&gt;0,"есть в Покупках",""))))</f>
        <v/>
      </c>
      <c r="P326">
        <f>IF($C326="","",DATE(YEAR($C326),MONTH($C326),1))</f>
        <v/>
      </c>
      <c r="Q326">
        <f>IF(ISNUMBER($G326),ABS($G326),0)</f>
        <v/>
      </c>
      <c r="R326">
        <f>IF(AND($D326="Расход",COUNTIFS(Счета!$B$10:$B$21,$H326,Счета!$C$10:$C$21,"Кредитная")&gt;0),1,0)</f>
        <v/>
      </c>
    </row>
    <row r="327" ht="19" customHeight="1">
      <c r="B327" s="53">
        <f>IF(AND($C327="",$F327=""),"",ROW()-9)</f>
        <v/>
      </c>
      <c r="C327" s="213" t="n"/>
      <c r="D327" s="55" t="n"/>
      <c r="E327" s="55" t="n"/>
      <c r="F327" s="56" t="n"/>
      <c r="G327" s="196" t="n"/>
      <c r="H327" s="21" t="n"/>
      <c r="I327" s="21" t="n"/>
      <c r="J327" s="53">
        <f>IF($C327="","",INDEX(Настройки!$V$6:$V$17,MONTH($C327))&amp;" "&amp;YEAR($C327))</f>
        <v/>
      </c>
      <c r="K327" s="57">
        <f>IF(OR($F327="",$D327="Перевод"),"",IF(AND(N($G327)&lt;&gt;0,COUNTIFS(Журнал!$C$10:$C$1509,$C327,Журнал!$P$10:$P$1509,$G327)&gt;0),"есть в Журнале",IF(COUNTIF(Постоянные!$C$8:$C$37,$F327)&gt;0,"есть в Постоянных",IF(COUNTIF(Покупки!$C$7:$C$18,$F327)&gt;0,"есть в Покупках",""))))</f>
        <v/>
      </c>
      <c r="P327">
        <f>IF($C327="","",DATE(YEAR($C327),MONTH($C327),1))</f>
        <v/>
      </c>
      <c r="Q327">
        <f>IF(ISNUMBER($G327),ABS($G327),0)</f>
        <v/>
      </c>
      <c r="R327">
        <f>IF(AND($D327="Расход",COUNTIFS(Счета!$B$10:$B$21,$H327,Счета!$C$10:$C$21,"Кредитная")&gt;0),1,0)</f>
        <v/>
      </c>
    </row>
    <row r="328" ht="19" customHeight="1">
      <c r="B328" s="53">
        <f>IF(AND($C328="",$F328=""),"",ROW()-9)</f>
        <v/>
      </c>
      <c r="C328" s="213" t="n"/>
      <c r="D328" s="55" t="n"/>
      <c r="E328" s="55" t="n"/>
      <c r="F328" s="56" t="n"/>
      <c r="G328" s="196" t="n"/>
      <c r="H328" s="21" t="n"/>
      <c r="I328" s="21" t="n"/>
      <c r="J328" s="53">
        <f>IF($C328="","",INDEX(Настройки!$V$6:$V$17,MONTH($C328))&amp;" "&amp;YEAR($C328))</f>
        <v/>
      </c>
      <c r="K328" s="57">
        <f>IF(OR($F328="",$D328="Перевод"),"",IF(AND(N($G328)&lt;&gt;0,COUNTIFS(Журнал!$C$10:$C$1509,$C328,Журнал!$P$10:$P$1509,$G328)&gt;0),"есть в Журнале",IF(COUNTIF(Постоянные!$C$8:$C$37,$F328)&gt;0,"есть в Постоянных",IF(COUNTIF(Покупки!$C$7:$C$18,$F328)&gt;0,"есть в Покупках",""))))</f>
        <v/>
      </c>
      <c r="P328">
        <f>IF($C328="","",DATE(YEAR($C328),MONTH($C328),1))</f>
        <v/>
      </c>
      <c r="Q328">
        <f>IF(ISNUMBER($G328),ABS($G328),0)</f>
        <v/>
      </c>
      <c r="R328">
        <f>IF(AND($D328="Расход",COUNTIFS(Счета!$B$10:$B$21,$H328,Счета!$C$10:$C$21,"Кредитная")&gt;0),1,0)</f>
        <v/>
      </c>
    </row>
    <row r="329" ht="19" customHeight="1">
      <c r="B329" s="53">
        <f>IF(AND($C329="",$F329=""),"",ROW()-9)</f>
        <v/>
      </c>
      <c r="C329" s="213" t="n"/>
      <c r="D329" s="55" t="n"/>
      <c r="E329" s="55" t="n"/>
      <c r="F329" s="56" t="n"/>
      <c r="G329" s="196" t="n"/>
      <c r="H329" s="21" t="n"/>
      <c r="I329" s="21" t="n"/>
      <c r="J329" s="53">
        <f>IF($C329="","",INDEX(Настройки!$V$6:$V$17,MONTH($C329))&amp;" "&amp;YEAR($C329))</f>
        <v/>
      </c>
      <c r="K329" s="57">
        <f>IF(OR($F329="",$D329="Перевод"),"",IF(AND(N($G329)&lt;&gt;0,COUNTIFS(Журнал!$C$10:$C$1509,$C329,Журнал!$P$10:$P$1509,$G329)&gt;0),"есть в Журнале",IF(COUNTIF(Постоянные!$C$8:$C$37,$F329)&gt;0,"есть в Постоянных",IF(COUNTIF(Покупки!$C$7:$C$18,$F329)&gt;0,"есть в Покупках",""))))</f>
        <v/>
      </c>
      <c r="P329">
        <f>IF($C329="","",DATE(YEAR($C329),MONTH($C329),1))</f>
        <v/>
      </c>
      <c r="Q329">
        <f>IF(ISNUMBER($G329),ABS($G329),0)</f>
        <v/>
      </c>
      <c r="R329">
        <f>IF(AND($D329="Расход",COUNTIFS(Счета!$B$10:$B$21,$H329,Счета!$C$10:$C$21,"Кредитная")&gt;0),1,0)</f>
        <v/>
      </c>
    </row>
    <row r="330" ht="19" customHeight="1">
      <c r="B330" s="53">
        <f>IF(AND($C330="",$F330=""),"",ROW()-9)</f>
        <v/>
      </c>
      <c r="C330" s="213" t="n"/>
      <c r="D330" s="55" t="n"/>
      <c r="E330" s="55" t="n"/>
      <c r="F330" s="56" t="n"/>
      <c r="G330" s="196" t="n"/>
      <c r="H330" s="21" t="n"/>
      <c r="I330" s="21" t="n"/>
      <c r="J330" s="53">
        <f>IF($C330="","",INDEX(Настройки!$V$6:$V$17,MONTH($C330))&amp;" "&amp;YEAR($C330))</f>
        <v/>
      </c>
      <c r="K330" s="57">
        <f>IF(OR($F330="",$D330="Перевод"),"",IF(AND(N($G330)&lt;&gt;0,COUNTIFS(Журнал!$C$10:$C$1509,$C330,Журнал!$P$10:$P$1509,$G330)&gt;0),"есть в Журнале",IF(COUNTIF(Постоянные!$C$8:$C$37,$F330)&gt;0,"есть в Постоянных",IF(COUNTIF(Покупки!$C$7:$C$18,$F330)&gt;0,"есть в Покупках",""))))</f>
        <v/>
      </c>
      <c r="P330">
        <f>IF($C330="","",DATE(YEAR($C330),MONTH($C330),1))</f>
        <v/>
      </c>
      <c r="Q330">
        <f>IF(ISNUMBER($G330),ABS($G330),0)</f>
        <v/>
      </c>
      <c r="R330">
        <f>IF(AND($D330="Расход",COUNTIFS(Счета!$B$10:$B$21,$H330,Счета!$C$10:$C$21,"Кредитная")&gt;0),1,0)</f>
        <v/>
      </c>
    </row>
    <row r="331" ht="19" customHeight="1">
      <c r="B331" s="53">
        <f>IF(AND($C331="",$F331=""),"",ROW()-9)</f>
        <v/>
      </c>
      <c r="C331" s="213" t="n"/>
      <c r="D331" s="55" t="n"/>
      <c r="E331" s="55" t="n"/>
      <c r="F331" s="56" t="n"/>
      <c r="G331" s="196" t="n"/>
      <c r="H331" s="21" t="n"/>
      <c r="I331" s="21" t="n"/>
      <c r="J331" s="53">
        <f>IF($C331="","",INDEX(Настройки!$V$6:$V$17,MONTH($C331))&amp;" "&amp;YEAR($C331))</f>
        <v/>
      </c>
      <c r="K331" s="57">
        <f>IF(OR($F331="",$D331="Перевод"),"",IF(AND(N($G331)&lt;&gt;0,COUNTIFS(Журнал!$C$10:$C$1509,$C331,Журнал!$P$10:$P$1509,$G331)&gt;0),"есть в Журнале",IF(COUNTIF(Постоянные!$C$8:$C$37,$F331)&gt;0,"есть в Постоянных",IF(COUNTIF(Покупки!$C$7:$C$18,$F331)&gt;0,"есть в Покупках",""))))</f>
        <v/>
      </c>
      <c r="P331">
        <f>IF($C331="","",DATE(YEAR($C331),MONTH($C331),1))</f>
        <v/>
      </c>
      <c r="Q331">
        <f>IF(ISNUMBER($G331),ABS($G331),0)</f>
        <v/>
      </c>
      <c r="R331">
        <f>IF(AND($D331="Расход",COUNTIFS(Счета!$B$10:$B$21,$H331,Счета!$C$10:$C$21,"Кредитная")&gt;0),1,0)</f>
        <v/>
      </c>
    </row>
    <row r="332" ht="19" customHeight="1">
      <c r="B332" s="53">
        <f>IF(AND($C332="",$F332=""),"",ROW()-9)</f>
        <v/>
      </c>
      <c r="C332" s="213" t="n"/>
      <c r="D332" s="55" t="n"/>
      <c r="E332" s="55" t="n"/>
      <c r="F332" s="56" t="n"/>
      <c r="G332" s="196" t="n"/>
      <c r="H332" s="21" t="n"/>
      <c r="I332" s="21" t="n"/>
      <c r="J332" s="53">
        <f>IF($C332="","",INDEX(Настройки!$V$6:$V$17,MONTH($C332))&amp;" "&amp;YEAR($C332))</f>
        <v/>
      </c>
      <c r="K332" s="57">
        <f>IF(OR($F332="",$D332="Перевод"),"",IF(AND(N($G332)&lt;&gt;0,COUNTIFS(Журнал!$C$10:$C$1509,$C332,Журнал!$P$10:$P$1509,$G332)&gt;0),"есть в Журнале",IF(COUNTIF(Постоянные!$C$8:$C$37,$F332)&gt;0,"есть в Постоянных",IF(COUNTIF(Покупки!$C$7:$C$18,$F332)&gt;0,"есть в Покупках",""))))</f>
        <v/>
      </c>
      <c r="P332">
        <f>IF($C332="","",DATE(YEAR($C332),MONTH($C332),1))</f>
        <v/>
      </c>
      <c r="Q332">
        <f>IF(ISNUMBER($G332),ABS($G332),0)</f>
        <v/>
      </c>
      <c r="R332">
        <f>IF(AND($D332="Расход",COUNTIFS(Счета!$B$10:$B$21,$H332,Счета!$C$10:$C$21,"Кредитная")&gt;0),1,0)</f>
        <v/>
      </c>
    </row>
    <row r="333" ht="19" customHeight="1">
      <c r="B333" s="53">
        <f>IF(AND($C333="",$F333=""),"",ROW()-9)</f>
        <v/>
      </c>
      <c r="C333" s="213" t="n"/>
      <c r="D333" s="55" t="n"/>
      <c r="E333" s="55" t="n"/>
      <c r="F333" s="56" t="n"/>
      <c r="G333" s="196" t="n"/>
      <c r="H333" s="21" t="n"/>
      <c r="I333" s="21" t="n"/>
      <c r="J333" s="53">
        <f>IF($C333="","",INDEX(Настройки!$V$6:$V$17,MONTH($C333))&amp;" "&amp;YEAR($C333))</f>
        <v/>
      </c>
      <c r="K333" s="57">
        <f>IF(OR($F333="",$D333="Перевод"),"",IF(AND(N($G333)&lt;&gt;0,COUNTIFS(Журнал!$C$10:$C$1509,$C333,Журнал!$P$10:$P$1509,$G333)&gt;0),"есть в Журнале",IF(COUNTIF(Постоянные!$C$8:$C$37,$F333)&gt;0,"есть в Постоянных",IF(COUNTIF(Покупки!$C$7:$C$18,$F333)&gt;0,"есть в Покупках",""))))</f>
        <v/>
      </c>
      <c r="P333">
        <f>IF($C333="","",DATE(YEAR($C333),MONTH($C333),1))</f>
        <v/>
      </c>
      <c r="Q333">
        <f>IF(ISNUMBER($G333),ABS($G333),0)</f>
        <v/>
      </c>
      <c r="R333">
        <f>IF(AND($D333="Расход",COUNTIFS(Счета!$B$10:$B$21,$H333,Счета!$C$10:$C$21,"Кредитная")&gt;0),1,0)</f>
        <v/>
      </c>
    </row>
    <row r="334" ht="19" customHeight="1">
      <c r="B334" s="53">
        <f>IF(AND($C334="",$F334=""),"",ROW()-9)</f>
        <v/>
      </c>
      <c r="C334" s="213" t="n"/>
      <c r="D334" s="55" t="n"/>
      <c r="E334" s="55" t="n"/>
      <c r="F334" s="56" t="n"/>
      <c r="G334" s="196" t="n"/>
      <c r="H334" s="21" t="n"/>
      <c r="I334" s="21" t="n"/>
      <c r="J334" s="53">
        <f>IF($C334="","",INDEX(Настройки!$V$6:$V$17,MONTH($C334))&amp;" "&amp;YEAR($C334))</f>
        <v/>
      </c>
      <c r="K334" s="57">
        <f>IF(OR($F334="",$D334="Перевод"),"",IF(AND(N($G334)&lt;&gt;0,COUNTIFS(Журнал!$C$10:$C$1509,$C334,Журнал!$P$10:$P$1509,$G334)&gt;0),"есть в Журнале",IF(COUNTIF(Постоянные!$C$8:$C$37,$F334)&gt;0,"есть в Постоянных",IF(COUNTIF(Покупки!$C$7:$C$18,$F334)&gt;0,"есть в Покупках",""))))</f>
        <v/>
      </c>
      <c r="P334">
        <f>IF($C334="","",DATE(YEAR($C334),MONTH($C334),1))</f>
        <v/>
      </c>
      <c r="Q334">
        <f>IF(ISNUMBER($G334),ABS($G334),0)</f>
        <v/>
      </c>
      <c r="R334">
        <f>IF(AND($D334="Расход",COUNTIFS(Счета!$B$10:$B$21,$H334,Счета!$C$10:$C$21,"Кредитная")&gt;0),1,0)</f>
        <v/>
      </c>
    </row>
    <row r="335" ht="19" customHeight="1">
      <c r="B335" s="53">
        <f>IF(AND($C335="",$F335=""),"",ROW()-9)</f>
        <v/>
      </c>
      <c r="C335" s="213" t="n"/>
      <c r="D335" s="55" t="n"/>
      <c r="E335" s="55" t="n"/>
      <c r="F335" s="56" t="n"/>
      <c r="G335" s="196" t="n"/>
      <c r="H335" s="21" t="n"/>
      <c r="I335" s="21" t="n"/>
      <c r="J335" s="53">
        <f>IF($C335="","",INDEX(Настройки!$V$6:$V$17,MONTH($C335))&amp;" "&amp;YEAR($C335))</f>
        <v/>
      </c>
      <c r="K335" s="57">
        <f>IF(OR($F335="",$D335="Перевод"),"",IF(AND(N($G335)&lt;&gt;0,COUNTIFS(Журнал!$C$10:$C$1509,$C335,Журнал!$P$10:$P$1509,$G335)&gt;0),"есть в Журнале",IF(COUNTIF(Постоянные!$C$8:$C$37,$F335)&gt;0,"есть в Постоянных",IF(COUNTIF(Покупки!$C$7:$C$18,$F335)&gt;0,"есть в Покупках",""))))</f>
        <v/>
      </c>
      <c r="P335">
        <f>IF($C335="","",DATE(YEAR($C335),MONTH($C335),1))</f>
        <v/>
      </c>
      <c r="Q335">
        <f>IF(ISNUMBER($G335),ABS($G335),0)</f>
        <v/>
      </c>
      <c r="R335">
        <f>IF(AND($D335="Расход",COUNTIFS(Счета!$B$10:$B$21,$H335,Счета!$C$10:$C$21,"Кредитная")&gt;0),1,0)</f>
        <v/>
      </c>
    </row>
    <row r="336" ht="19" customHeight="1">
      <c r="B336" s="53">
        <f>IF(AND($C336="",$F336=""),"",ROW()-9)</f>
        <v/>
      </c>
      <c r="C336" s="213" t="n"/>
      <c r="D336" s="55" t="n"/>
      <c r="E336" s="55" t="n"/>
      <c r="F336" s="56" t="n"/>
      <c r="G336" s="196" t="n"/>
      <c r="H336" s="21" t="n"/>
      <c r="I336" s="21" t="n"/>
      <c r="J336" s="53">
        <f>IF($C336="","",INDEX(Настройки!$V$6:$V$17,MONTH($C336))&amp;" "&amp;YEAR($C336))</f>
        <v/>
      </c>
      <c r="K336" s="57">
        <f>IF(OR($F336="",$D336="Перевод"),"",IF(AND(N($G336)&lt;&gt;0,COUNTIFS(Журнал!$C$10:$C$1509,$C336,Журнал!$P$10:$P$1509,$G336)&gt;0),"есть в Журнале",IF(COUNTIF(Постоянные!$C$8:$C$37,$F336)&gt;0,"есть в Постоянных",IF(COUNTIF(Покупки!$C$7:$C$18,$F336)&gt;0,"есть в Покупках",""))))</f>
        <v/>
      </c>
      <c r="P336">
        <f>IF($C336="","",DATE(YEAR($C336),MONTH($C336),1))</f>
        <v/>
      </c>
      <c r="Q336">
        <f>IF(ISNUMBER($G336),ABS($G336),0)</f>
        <v/>
      </c>
      <c r="R336">
        <f>IF(AND($D336="Расход",COUNTIFS(Счета!$B$10:$B$21,$H336,Счета!$C$10:$C$21,"Кредитная")&gt;0),1,0)</f>
        <v/>
      </c>
    </row>
    <row r="337" ht="19" customHeight="1">
      <c r="B337" s="53">
        <f>IF(AND($C337="",$F337=""),"",ROW()-9)</f>
        <v/>
      </c>
      <c r="C337" s="213" t="n"/>
      <c r="D337" s="55" t="n"/>
      <c r="E337" s="55" t="n"/>
      <c r="F337" s="56" t="n"/>
      <c r="G337" s="196" t="n"/>
      <c r="H337" s="21" t="n"/>
      <c r="I337" s="21" t="n"/>
      <c r="J337" s="53">
        <f>IF($C337="","",INDEX(Настройки!$V$6:$V$17,MONTH($C337))&amp;" "&amp;YEAR($C337))</f>
        <v/>
      </c>
      <c r="K337" s="57">
        <f>IF(OR($F337="",$D337="Перевод"),"",IF(AND(N($G337)&lt;&gt;0,COUNTIFS(Журнал!$C$10:$C$1509,$C337,Журнал!$P$10:$P$1509,$G337)&gt;0),"есть в Журнале",IF(COUNTIF(Постоянные!$C$8:$C$37,$F337)&gt;0,"есть в Постоянных",IF(COUNTIF(Покупки!$C$7:$C$18,$F337)&gt;0,"есть в Покупках",""))))</f>
        <v/>
      </c>
      <c r="P337">
        <f>IF($C337="","",DATE(YEAR($C337),MONTH($C337),1))</f>
        <v/>
      </c>
      <c r="Q337">
        <f>IF(ISNUMBER($G337),ABS($G337),0)</f>
        <v/>
      </c>
      <c r="R337">
        <f>IF(AND($D337="Расход",COUNTIFS(Счета!$B$10:$B$21,$H337,Счета!$C$10:$C$21,"Кредитная")&gt;0),1,0)</f>
        <v/>
      </c>
    </row>
    <row r="338" ht="19" customHeight="1">
      <c r="B338" s="53">
        <f>IF(AND($C338="",$F338=""),"",ROW()-9)</f>
        <v/>
      </c>
      <c r="C338" s="213" t="n"/>
      <c r="D338" s="55" t="n"/>
      <c r="E338" s="55" t="n"/>
      <c r="F338" s="56" t="n"/>
      <c r="G338" s="196" t="n"/>
      <c r="H338" s="21" t="n"/>
      <c r="I338" s="21" t="n"/>
      <c r="J338" s="53">
        <f>IF($C338="","",INDEX(Настройки!$V$6:$V$17,MONTH($C338))&amp;" "&amp;YEAR($C338))</f>
        <v/>
      </c>
      <c r="K338" s="57">
        <f>IF(OR($F338="",$D338="Перевод"),"",IF(AND(N($G338)&lt;&gt;0,COUNTIFS(Журнал!$C$10:$C$1509,$C338,Журнал!$P$10:$P$1509,$G338)&gt;0),"есть в Журнале",IF(COUNTIF(Постоянные!$C$8:$C$37,$F338)&gt;0,"есть в Постоянных",IF(COUNTIF(Покупки!$C$7:$C$18,$F338)&gt;0,"есть в Покупках",""))))</f>
        <v/>
      </c>
      <c r="P338">
        <f>IF($C338="","",DATE(YEAR($C338),MONTH($C338),1))</f>
        <v/>
      </c>
      <c r="Q338">
        <f>IF(ISNUMBER($G338),ABS($G338),0)</f>
        <v/>
      </c>
      <c r="R338">
        <f>IF(AND($D338="Расход",COUNTIFS(Счета!$B$10:$B$21,$H338,Счета!$C$10:$C$21,"Кредитная")&gt;0),1,0)</f>
        <v/>
      </c>
    </row>
    <row r="339" ht="19" customHeight="1">
      <c r="B339" s="53">
        <f>IF(AND($C339="",$F339=""),"",ROW()-9)</f>
        <v/>
      </c>
      <c r="C339" s="213" t="n"/>
      <c r="D339" s="55" t="n"/>
      <c r="E339" s="55" t="n"/>
      <c r="F339" s="56" t="n"/>
      <c r="G339" s="196" t="n"/>
      <c r="H339" s="21" t="n"/>
      <c r="I339" s="21" t="n"/>
      <c r="J339" s="53">
        <f>IF($C339="","",INDEX(Настройки!$V$6:$V$17,MONTH($C339))&amp;" "&amp;YEAR($C339))</f>
        <v/>
      </c>
      <c r="K339" s="57">
        <f>IF(OR($F339="",$D339="Перевод"),"",IF(AND(N($G339)&lt;&gt;0,COUNTIFS(Журнал!$C$10:$C$1509,$C339,Журнал!$P$10:$P$1509,$G339)&gt;0),"есть в Журнале",IF(COUNTIF(Постоянные!$C$8:$C$37,$F339)&gt;0,"есть в Постоянных",IF(COUNTIF(Покупки!$C$7:$C$18,$F339)&gt;0,"есть в Покупках",""))))</f>
        <v/>
      </c>
      <c r="P339">
        <f>IF($C339="","",DATE(YEAR($C339),MONTH($C339),1))</f>
        <v/>
      </c>
      <c r="Q339">
        <f>IF(ISNUMBER($G339),ABS($G339),0)</f>
        <v/>
      </c>
      <c r="R339">
        <f>IF(AND($D339="Расход",COUNTIFS(Счета!$B$10:$B$21,$H339,Счета!$C$10:$C$21,"Кредитная")&gt;0),1,0)</f>
        <v/>
      </c>
    </row>
    <row r="340" ht="19" customHeight="1">
      <c r="B340" s="53">
        <f>IF(AND($C340="",$F340=""),"",ROW()-9)</f>
        <v/>
      </c>
      <c r="C340" s="213" t="n"/>
      <c r="D340" s="55" t="n"/>
      <c r="E340" s="55" t="n"/>
      <c r="F340" s="56" t="n"/>
      <c r="G340" s="196" t="n"/>
      <c r="H340" s="21" t="n"/>
      <c r="I340" s="21" t="n"/>
      <c r="J340" s="53">
        <f>IF($C340="","",INDEX(Настройки!$V$6:$V$17,MONTH($C340))&amp;" "&amp;YEAR($C340))</f>
        <v/>
      </c>
      <c r="K340" s="57">
        <f>IF(OR($F340="",$D340="Перевод"),"",IF(AND(N($G340)&lt;&gt;0,COUNTIFS(Журнал!$C$10:$C$1509,$C340,Журнал!$P$10:$P$1509,$G340)&gt;0),"есть в Журнале",IF(COUNTIF(Постоянные!$C$8:$C$37,$F340)&gt;0,"есть в Постоянных",IF(COUNTIF(Покупки!$C$7:$C$18,$F340)&gt;0,"есть в Покупках",""))))</f>
        <v/>
      </c>
      <c r="P340">
        <f>IF($C340="","",DATE(YEAR($C340),MONTH($C340),1))</f>
        <v/>
      </c>
      <c r="Q340">
        <f>IF(ISNUMBER($G340),ABS($G340),0)</f>
        <v/>
      </c>
      <c r="R340">
        <f>IF(AND($D340="Расход",COUNTIFS(Счета!$B$10:$B$21,$H340,Счета!$C$10:$C$21,"Кредитная")&gt;0),1,0)</f>
        <v/>
      </c>
    </row>
    <row r="341" ht="19" customHeight="1">
      <c r="B341" s="53">
        <f>IF(AND($C341="",$F341=""),"",ROW()-9)</f>
        <v/>
      </c>
      <c r="C341" s="213" t="n"/>
      <c r="D341" s="55" t="n"/>
      <c r="E341" s="55" t="n"/>
      <c r="F341" s="56" t="n"/>
      <c r="G341" s="196" t="n"/>
      <c r="H341" s="21" t="n"/>
      <c r="I341" s="21" t="n"/>
      <c r="J341" s="53">
        <f>IF($C341="","",INDEX(Настройки!$V$6:$V$17,MONTH($C341))&amp;" "&amp;YEAR($C341))</f>
        <v/>
      </c>
      <c r="K341" s="57">
        <f>IF(OR($F341="",$D341="Перевод"),"",IF(AND(N($G341)&lt;&gt;0,COUNTIFS(Журнал!$C$10:$C$1509,$C341,Журнал!$P$10:$P$1509,$G341)&gt;0),"есть в Журнале",IF(COUNTIF(Постоянные!$C$8:$C$37,$F341)&gt;0,"есть в Постоянных",IF(COUNTIF(Покупки!$C$7:$C$18,$F341)&gt;0,"есть в Покупках",""))))</f>
        <v/>
      </c>
      <c r="P341">
        <f>IF($C341="","",DATE(YEAR($C341),MONTH($C341),1))</f>
        <v/>
      </c>
      <c r="Q341">
        <f>IF(ISNUMBER($G341),ABS($G341),0)</f>
        <v/>
      </c>
      <c r="R341">
        <f>IF(AND($D341="Расход",COUNTIFS(Счета!$B$10:$B$21,$H341,Счета!$C$10:$C$21,"Кредитная")&gt;0),1,0)</f>
        <v/>
      </c>
    </row>
    <row r="342" ht="19" customHeight="1">
      <c r="B342" s="53">
        <f>IF(AND($C342="",$F342=""),"",ROW()-9)</f>
        <v/>
      </c>
      <c r="C342" s="213" t="n"/>
      <c r="D342" s="55" t="n"/>
      <c r="E342" s="55" t="n"/>
      <c r="F342" s="56" t="n"/>
      <c r="G342" s="196" t="n"/>
      <c r="H342" s="21" t="n"/>
      <c r="I342" s="21" t="n"/>
      <c r="J342" s="53">
        <f>IF($C342="","",INDEX(Настройки!$V$6:$V$17,MONTH($C342))&amp;" "&amp;YEAR($C342))</f>
        <v/>
      </c>
      <c r="K342" s="57">
        <f>IF(OR($F342="",$D342="Перевод"),"",IF(AND(N($G342)&lt;&gt;0,COUNTIFS(Журнал!$C$10:$C$1509,$C342,Журнал!$P$10:$P$1509,$G342)&gt;0),"есть в Журнале",IF(COUNTIF(Постоянные!$C$8:$C$37,$F342)&gt;0,"есть в Постоянных",IF(COUNTIF(Покупки!$C$7:$C$18,$F342)&gt;0,"есть в Покупках",""))))</f>
        <v/>
      </c>
      <c r="P342">
        <f>IF($C342="","",DATE(YEAR($C342),MONTH($C342),1))</f>
        <v/>
      </c>
      <c r="Q342">
        <f>IF(ISNUMBER($G342),ABS($G342),0)</f>
        <v/>
      </c>
      <c r="R342">
        <f>IF(AND($D342="Расход",COUNTIFS(Счета!$B$10:$B$21,$H342,Счета!$C$10:$C$21,"Кредитная")&gt;0),1,0)</f>
        <v/>
      </c>
    </row>
    <row r="343" ht="19" customHeight="1">
      <c r="B343" s="53">
        <f>IF(AND($C343="",$F343=""),"",ROW()-9)</f>
        <v/>
      </c>
      <c r="C343" s="213" t="n"/>
      <c r="D343" s="55" t="n"/>
      <c r="E343" s="55" t="n"/>
      <c r="F343" s="56" t="n"/>
      <c r="G343" s="196" t="n"/>
      <c r="H343" s="21" t="n"/>
      <c r="I343" s="21" t="n"/>
      <c r="J343" s="53">
        <f>IF($C343="","",INDEX(Настройки!$V$6:$V$17,MONTH($C343))&amp;" "&amp;YEAR($C343))</f>
        <v/>
      </c>
      <c r="K343" s="57">
        <f>IF(OR($F343="",$D343="Перевод"),"",IF(AND(N($G343)&lt;&gt;0,COUNTIFS(Журнал!$C$10:$C$1509,$C343,Журнал!$P$10:$P$1509,$G343)&gt;0),"есть в Журнале",IF(COUNTIF(Постоянные!$C$8:$C$37,$F343)&gt;0,"есть в Постоянных",IF(COUNTIF(Покупки!$C$7:$C$18,$F343)&gt;0,"есть в Покупках",""))))</f>
        <v/>
      </c>
      <c r="P343">
        <f>IF($C343="","",DATE(YEAR($C343),MONTH($C343),1))</f>
        <v/>
      </c>
      <c r="Q343">
        <f>IF(ISNUMBER($G343),ABS($G343),0)</f>
        <v/>
      </c>
      <c r="R343">
        <f>IF(AND($D343="Расход",COUNTIFS(Счета!$B$10:$B$21,$H343,Счета!$C$10:$C$21,"Кредитная")&gt;0),1,0)</f>
        <v/>
      </c>
    </row>
    <row r="344" ht="19" customHeight="1">
      <c r="B344" s="53">
        <f>IF(AND($C344="",$F344=""),"",ROW()-9)</f>
        <v/>
      </c>
      <c r="C344" s="213" t="n"/>
      <c r="D344" s="55" t="n"/>
      <c r="E344" s="55" t="n"/>
      <c r="F344" s="56" t="n"/>
      <c r="G344" s="196" t="n"/>
      <c r="H344" s="21" t="n"/>
      <c r="I344" s="21" t="n"/>
      <c r="J344" s="53">
        <f>IF($C344="","",INDEX(Настройки!$V$6:$V$17,MONTH($C344))&amp;" "&amp;YEAR($C344))</f>
        <v/>
      </c>
      <c r="K344" s="57">
        <f>IF(OR($F344="",$D344="Перевод"),"",IF(AND(N($G344)&lt;&gt;0,COUNTIFS(Журнал!$C$10:$C$1509,$C344,Журнал!$P$10:$P$1509,$G344)&gt;0),"есть в Журнале",IF(COUNTIF(Постоянные!$C$8:$C$37,$F344)&gt;0,"есть в Постоянных",IF(COUNTIF(Покупки!$C$7:$C$18,$F344)&gt;0,"есть в Покупках",""))))</f>
        <v/>
      </c>
      <c r="P344">
        <f>IF($C344="","",DATE(YEAR($C344),MONTH($C344),1))</f>
        <v/>
      </c>
      <c r="Q344">
        <f>IF(ISNUMBER($G344),ABS($G344),0)</f>
        <v/>
      </c>
      <c r="R344">
        <f>IF(AND($D344="Расход",COUNTIFS(Счета!$B$10:$B$21,$H344,Счета!$C$10:$C$21,"Кредитная")&gt;0),1,0)</f>
        <v/>
      </c>
    </row>
    <row r="345" ht="19" customHeight="1">
      <c r="B345" s="53">
        <f>IF(AND($C345="",$F345=""),"",ROW()-9)</f>
        <v/>
      </c>
      <c r="C345" s="213" t="n"/>
      <c r="D345" s="55" t="n"/>
      <c r="E345" s="55" t="n"/>
      <c r="F345" s="56" t="n"/>
      <c r="G345" s="196" t="n"/>
      <c r="H345" s="21" t="n"/>
      <c r="I345" s="21" t="n"/>
      <c r="J345" s="53">
        <f>IF($C345="","",INDEX(Настройки!$V$6:$V$17,MONTH($C345))&amp;" "&amp;YEAR($C345))</f>
        <v/>
      </c>
      <c r="K345" s="57">
        <f>IF(OR($F345="",$D345="Перевод"),"",IF(AND(N($G345)&lt;&gt;0,COUNTIFS(Журнал!$C$10:$C$1509,$C345,Журнал!$P$10:$P$1509,$G345)&gt;0),"есть в Журнале",IF(COUNTIF(Постоянные!$C$8:$C$37,$F345)&gt;0,"есть в Постоянных",IF(COUNTIF(Покупки!$C$7:$C$18,$F345)&gt;0,"есть в Покупках",""))))</f>
        <v/>
      </c>
      <c r="P345">
        <f>IF($C345="","",DATE(YEAR($C345),MONTH($C345),1))</f>
        <v/>
      </c>
      <c r="Q345">
        <f>IF(ISNUMBER($G345),ABS($G345),0)</f>
        <v/>
      </c>
      <c r="R345">
        <f>IF(AND($D345="Расход",COUNTIFS(Счета!$B$10:$B$21,$H345,Счета!$C$10:$C$21,"Кредитная")&gt;0),1,0)</f>
        <v/>
      </c>
    </row>
    <row r="346" ht="19" customHeight="1">
      <c r="B346" s="53">
        <f>IF(AND($C346="",$F346=""),"",ROW()-9)</f>
        <v/>
      </c>
      <c r="C346" s="213" t="n"/>
      <c r="D346" s="55" t="n"/>
      <c r="E346" s="55" t="n"/>
      <c r="F346" s="56" t="n"/>
      <c r="G346" s="196" t="n"/>
      <c r="H346" s="21" t="n"/>
      <c r="I346" s="21" t="n"/>
      <c r="J346" s="53">
        <f>IF($C346="","",INDEX(Настройки!$V$6:$V$17,MONTH($C346))&amp;" "&amp;YEAR($C346))</f>
        <v/>
      </c>
      <c r="K346" s="57">
        <f>IF(OR($F346="",$D346="Перевод"),"",IF(AND(N($G346)&lt;&gt;0,COUNTIFS(Журнал!$C$10:$C$1509,$C346,Журнал!$P$10:$P$1509,$G346)&gt;0),"есть в Журнале",IF(COUNTIF(Постоянные!$C$8:$C$37,$F346)&gt;0,"есть в Постоянных",IF(COUNTIF(Покупки!$C$7:$C$18,$F346)&gt;0,"есть в Покупках",""))))</f>
        <v/>
      </c>
      <c r="P346">
        <f>IF($C346="","",DATE(YEAR($C346),MONTH($C346),1))</f>
        <v/>
      </c>
      <c r="Q346">
        <f>IF(ISNUMBER($G346),ABS($G346),0)</f>
        <v/>
      </c>
      <c r="R346">
        <f>IF(AND($D346="Расход",COUNTIFS(Счета!$B$10:$B$21,$H346,Счета!$C$10:$C$21,"Кредитная")&gt;0),1,0)</f>
        <v/>
      </c>
    </row>
    <row r="347" ht="19" customHeight="1">
      <c r="B347" s="53">
        <f>IF(AND($C347="",$F347=""),"",ROW()-9)</f>
        <v/>
      </c>
      <c r="C347" s="213" t="n"/>
      <c r="D347" s="55" t="n"/>
      <c r="E347" s="55" t="n"/>
      <c r="F347" s="56" t="n"/>
      <c r="G347" s="196" t="n"/>
      <c r="H347" s="21" t="n"/>
      <c r="I347" s="21" t="n"/>
      <c r="J347" s="53">
        <f>IF($C347="","",INDEX(Настройки!$V$6:$V$17,MONTH($C347))&amp;" "&amp;YEAR($C347))</f>
        <v/>
      </c>
      <c r="K347" s="57">
        <f>IF(OR($F347="",$D347="Перевод"),"",IF(AND(N($G347)&lt;&gt;0,COUNTIFS(Журнал!$C$10:$C$1509,$C347,Журнал!$P$10:$P$1509,$G347)&gt;0),"есть в Журнале",IF(COUNTIF(Постоянные!$C$8:$C$37,$F347)&gt;0,"есть в Постоянных",IF(COUNTIF(Покупки!$C$7:$C$18,$F347)&gt;0,"есть в Покупках",""))))</f>
        <v/>
      </c>
      <c r="P347">
        <f>IF($C347="","",DATE(YEAR($C347),MONTH($C347),1))</f>
        <v/>
      </c>
      <c r="Q347">
        <f>IF(ISNUMBER($G347),ABS($G347),0)</f>
        <v/>
      </c>
      <c r="R347">
        <f>IF(AND($D347="Расход",COUNTIFS(Счета!$B$10:$B$21,$H347,Счета!$C$10:$C$21,"Кредитная")&gt;0),1,0)</f>
        <v/>
      </c>
    </row>
    <row r="348" ht="19" customHeight="1">
      <c r="B348" s="53">
        <f>IF(AND($C348="",$F348=""),"",ROW()-9)</f>
        <v/>
      </c>
      <c r="C348" s="213" t="n"/>
      <c r="D348" s="55" t="n"/>
      <c r="E348" s="55" t="n"/>
      <c r="F348" s="56" t="n"/>
      <c r="G348" s="196" t="n"/>
      <c r="H348" s="21" t="n"/>
      <c r="I348" s="21" t="n"/>
      <c r="J348" s="53">
        <f>IF($C348="","",INDEX(Настройки!$V$6:$V$17,MONTH($C348))&amp;" "&amp;YEAR($C348))</f>
        <v/>
      </c>
      <c r="K348" s="57">
        <f>IF(OR($F348="",$D348="Перевод"),"",IF(AND(N($G348)&lt;&gt;0,COUNTIFS(Журнал!$C$10:$C$1509,$C348,Журнал!$P$10:$P$1509,$G348)&gt;0),"есть в Журнале",IF(COUNTIF(Постоянные!$C$8:$C$37,$F348)&gt;0,"есть в Постоянных",IF(COUNTIF(Покупки!$C$7:$C$18,$F348)&gt;0,"есть в Покупках",""))))</f>
        <v/>
      </c>
      <c r="P348">
        <f>IF($C348="","",DATE(YEAR($C348),MONTH($C348),1))</f>
        <v/>
      </c>
      <c r="Q348">
        <f>IF(ISNUMBER($G348),ABS($G348),0)</f>
        <v/>
      </c>
      <c r="R348">
        <f>IF(AND($D348="Расход",COUNTIFS(Счета!$B$10:$B$21,$H348,Счета!$C$10:$C$21,"Кредитная")&gt;0),1,0)</f>
        <v/>
      </c>
    </row>
    <row r="349" ht="19" customHeight="1">
      <c r="B349" s="53">
        <f>IF(AND($C349="",$F349=""),"",ROW()-9)</f>
        <v/>
      </c>
      <c r="C349" s="213" t="n"/>
      <c r="D349" s="55" t="n"/>
      <c r="E349" s="55" t="n"/>
      <c r="F349" s="56" t="n"/>
      <c r="G349" s="196" t="n"/>
      <c r="H349" s="21" t="n"/>
      <c r="I349" s="21" t="n"/>
      <c r="J349" s="53">
        <f>IF($C349="","",INDEX(Настройки!$V$6:$V$17,MONTH($C349))&amp;" "&amp;YEAR($C349))</f>
        <v/>
      </c>
      <c r="K349" s="57">
        <f>IF(OR($F349="",$D349="Перевод"),"",IF(AND(N($G349)&lt;&gt;0,COUNTIFS(Журнал!$C$10:$C$1509,$C349,Журнал!$P$10:$P$1509,$G349)&gt;0),"есть в Журнале",IF(COUNTIF(Постоянные!$C$8:$C$37,$F349)&gt;0,"есть в Постоянных",IF(COUNTIF(Покупки!$C$7:$C$18,$F349)&gt;0,"есть в Покупках",""))))</f>
        <v/>
      </c>
      <c r="P349">
        <f>IF($C349="","",DATE(YEAR($C349),MONTH($C349),1))</f>
        <v/>
      </c>
      <c r="Q349">
        <f>IF(ISNUMBER($G349),ABS($G349),0)</f>
        <v/>
      </c>
      <c r="R349">
        <f>IF(AND($D349="Расход",COUNTIFS(Счета!$B$10:$B$21,$H349,Счета!$C$10:$C$21,"Кредитная")&gt;0),1,0)</f>
        <v/>
      </c>
    </row>
    <row r="350" ht="19" customHeight="1">
      <c r="B350" s="53">
        <f>IF(AND($C350="",$F350=""),"",ROW()-9)</f>
        <v/>
      </c>
      <c r="C350" s="213" t="n"/>
      <c r="D350" s="55" t="n"/>
      <c r="E350" s="55" t="n"/>
      <c r="F350" s="56" t="n"/>
      <c r="G350" s="196" t="n"/>
      <c r="H350" s="21" t="n"/>
      <c r="I350" s="21" t="n"/>
      <c r="J350" s="53">
        <f>IF($C350="","",INDEX(Настройки!$V$6:$V$17,MONTH($C350))&amp;" "&amp;YEAR($C350))</f>
        <v/>
      </c>
      <c r="K350" s="57">
        <f>IF(OR($F350="",$D350="Перевод"),"",IF(AND(N($G350)&lt;&gt;0,COUNTIFS(Журнал!$C$10:$C$1509,$C350,Журнал!$P$10:$P$1509,$G350)&gt;0),"есть в Журнале",IF(COUNTIF(Постоянные!$C$8:$C$37,$F350)&gt;0,"есть в Постоянных",IF(COUNTIF(Покупки!$C$7:$C$18,$F350)&gt;0,"есть в Покупках",""))))</f>
        <v/>
      </c>
      <c r="P350">
        <f>IF($C350="","",DATE(YEAR($C350),MONTH($C350),1))</f>
        <v/>
      </c>
      <c r="Q350">
        <f>IF(ISNUMBER($G350),ABS($G350),0)</f>
        <v/>
      </c>
      <c r="R350">
        <f>IF(AND($D350="Расход",COUNTIFS(Счета!$B$10:$B$21,$H350,Счета!$C$10:$C$21,"Кредитная")&gt;0),1,0)</f>
        <v/>
      </c>
    </row>
    <row r="351" ht="19" customHeight="1">
      <c r="B351" s="53">
        <f>IF(AND($C351="",$F351=""),"",ROW()-9)</f>
        <v/>
      </c>
      <c r="C351" s="213" t="n"/>
      <c r="D351" s="55" t="n"/>
      <c r="E351" s="55" t="n"/>
      <c r="F351" s="56" t="n"/>
      <c r="G351" s="196" t="n"/>
      <c r="H351" s="21" t="n"/>
      <c r="I351" s="21" t="n"/>
      <c r="J351" s="53">
        <f>IF($C351="","",INDEX(Настройки!$V$6:$V$17,MONTH($C351))&amp;" "&amp;YEAR($C351))</f>
        <v/>
      </c>
      <c r="K351" s="57">
        <f>IF(OR($F351="",$D351="Перевод"),"",IF(AND(N($G351)&lt;&gt;0,COUNTIFS(Журнал!$C$10:$C$1509,$C351,Журнал!$P$10:$P$1509,$G351)&gt;0),"есть в Журнале",IF(COUNTIF(Постоянные!$C$8:$C$37,$F351)&gt;0,"есть в Постоянных",IF(COUNTIF(Покупки!$C$7:$C$18,$F351)&gt;0,"есть в Покупках",""))))</f>
        <v/>
      </c>
      <c r="P351">
        <f>IF($C351="","",DATE(YEAR($C351),MONTH($C351),1))</f>
        <v/>
      </c>
      <c r="Q351">
        <f>IF(ISNUMBER($G351),ABS($G351),0)</f>
        <v/>
      </c>
      <c r="R351">
        <f>IF(AND($D351="Расход",COUNTIFS(Счета!$B$10:$B$21,$H351,Счета!$C$10:$C$21,"Кредитная")&gt;0),1,0)</f>
        <v/>
      </c>
    </row>
    <row r="352" ht="19" customHeight="1">
      <c r="B352" s="53">
        <f>IF(AND($C352="",$F352=""),"",ROW()-9)</f>
        <v/>
      </c>
      <c r="C352" s="213" t="n"/>
      <c r="D352" s="55" t="n"/>
      <c r="E352" s="55" t="n"/>
      <c r="F352" s="56" t="n"/>
      <c r="G352" s="196" t="n"/>
      <c r="H352" s="21" t="n"/>
      <c r="I352" s="21" t="n"/>
      <c r="J352" s="53">
        <f>IF($C352="","",INDEX(Настройки!$V$6:$V$17,MONTH($C352))&amp;" "&amp;YEAR($C352))</f>
        <v/>
      </c>
      <c r="K352" s="57">
        <f>IF(OR($F352="",$D352="Перевод"),"",IF(AND(N($G352)&lt;&gt;0,COUNTIFS(Журнал!$C$10:$C$1509,$C352,Журнал!$P$10:$P$1509,$G352)&gt;0),"есть в Журнале",IF(COUNTIF(Постоянные!$C$8:$C$37,$F352)&gt;0,"есть в Постоянных",IF(COUNTIF(Покупки!$C$7:$C$18,$F352)&gt;0,"есть в Покупках",""))))</f>
        <v/>
      </c>
      <c r="P352">
        <f>IF($C352="","",DATE(YEAR($C352),MONTH($C352),1))</f>
        <v/>
      </c>
      <c r="Q352">
        <f>IF(ISNUMBER($G352),ABS($G352),0)</f>
        <v/>
      </c>
      <c r="R352">
        <f>IF(AND($D352="Расход",COUNTIFS(Счета!$B$10:$B$21,$H352,Счета!$C$10:$C$21,"Кредитная")&gt;0),1,0)</f>
        <v/>
      </c>
    </row>
    <row r="353" ht="19" customHeight="1">
      <c r="B353" s="53">
        <f>IF(AND($C353="",$F353=""),"",ROW()-9)</f>
        <v/>
      </c>
      <c r="C353" s="213" t="n"/>
      <c r="D353" s="55" t="n"/>
      <c r="E353" s="55" t="n"/>
      <c r="F353" s="56" t="n"/>
      <c r="G353" s="196" t="n"/>
      <c r="H353" s="21" t="n"/>
      <c r="I353" s="21" t="n"/>
      <c r="J353" s="53">
        <f>IF($C353="","",INDEX(Настройки!$V$6:$V$17,MONTH($C353))&amp;" "&amp;YEAR($C353))</f>
        <v/>
      </c>
      <c r="K353" s="57">
        <f>IF(OR($F353="",$D353="Перевод"),"",IF(AND(N($G353)&lt;&gt;0,COUNTIFS(Журнал!$C$10:$C$1509,$C353,Журнал!$P$10:$P$1509,$G353)&gt;0),"есть в Журнале",IF(COUNTIF(Постоянные!$C$8:$C$37,$F353)&gt;0,"есть в Постоянных",IF(COUNTIF(Покупки!$C$7:$C$18,$F353)&gt;0,"есть в Покупках",""))))</f>
        <v/>
      </c>
      <c r="P353">
        <f>IF($C353="","",DATE(YEAR($C353),MONTH($C353),1))</f>
        <v/>
      </c>
      <c r="Q353">
        <f>IF(ISNUMBER($G353),ABS($G353),0)</f>
        <v/>
      </c>
      <c r="R353">
        <f>IF(AND($D353="Расход",COUNTIFS(Счета!$B$10:$B$21,$H353,Счета!$C$10:$C$21,"Кредитная")&gt;0),1,0)</f>
        <v/>
      </c>
    </row>
    <row r="354" ht="19" customHeight="1">
      <c r="B354" s="53">
        <f>IF(AND($C354="",$F354=""),"",ROW()-9)</f>
        <v/>
      </c>
      <c r="C354" s="213" t="n"/>
      <c r="D354" s="55" t="n"/>
      <c r="E354" s="55" t="n"/>
      <c r="F354" s="56" t="n"/>
      <c r="G354" s="196" t="n"/>
      <c r="H354" s="21" t="n"/>
      <c r="I354" s="21" t="n"/>
      <c r="J354" s="53">
        <f>IF($C354="","",INDEX(Настройки!$V$6:$V$17,MONTH($C354))&amp;" "&amp;YEAR($C354))</f>
        <v/>
      </c>
      <c r="K354" s="57">
        <f>IF(OR($F354="",$D354="Перевод"),"",IF(AND(N($G354)&lt;&gt;0,COUNTIFS(Журнал!$C$10:$C$1509,$C354,Журнал!$P$10:$P$1509,$G354)&gt;0),"есть в Журнале",IF(COUNTIF(Постоянные!$C$8:$C$37,$F354)&gt;0,"есть в Постоянных",IF(COUNTIF(Покупки!$C$7:$C$18,$F354)&gt;0,"есть в Покупках",""))))</f>
        <v/>
      </c>
      <c r="P354">
        <f>IF($C354="","",DATE(YEAR($C354),MONTH($C354),1))</f>
        <v/>
      </c>
      <c r="Q354">
        <f>IF(ISNUMBER($G354),ABS($G354),0)</f>
        <v/>
      </c>
      <c r="R354">
        <f>IF(AND($D354="Расход",COUNTIFS(Счета!$B$10:$B$21,$H354,Счета!$C$10:$C$21,"Кредитная")&gt;0),1,0)</f>
        <v/>
      </c>
    </row>
    <row r="355" ht="19" customHeight="1">
      <c r="B355" s="53">
        <f>IF(AND($C355="",$F355=""),"",ROW()-9)</f>
        <v/>
      </c>
      <c r="C355" s="213" t="n"/>
      <c r="D355" s="55" t="n"/>
      <c r="E355" s="55" t="n"/>
      <c r="F355" s="56" t="n"/>
      <c r="G355" s="196" t="n"/>
      <c r="H355" s="21" t="n"/>
      <c r="I355" s="21" t="n"/>
      <c r="J355" s="53">
        <f>IF($C355="","",INDEX(Настройки!$V$6:$V$17,MONTH($C355))&amp;" "&amp;YEAR($C355))</f>
        <v/>
      </c>
      <c r="K355" s="57">
        <f>IF(OR($F355="",$D355="Перевод"),"",IF(AND(N($G355)&lt;&gt;0,COUNTIFS(Журнал!$C$10:$C$1509,$C355,Журнал!$P$10:$P$1509,$G355)&gt;0),"есть в Журнале",IF(COUNTIF(Постоянные!$C$8:$C$37,$F355)&gt;0,"есть в Постоянных",IF(COUNTIF(Покупки!$C$7:$C$18,$F355)&gt;0,"есть в Покупках",""))))</f>
        <v/>
      </c>
      <c r="P355">
        <f>IF($C355="","",DATE(YEAR($C355),MONTH($C355),1))</f>
        <v/>
      </c>
      <c r="Q355">
        <f>IF(ISNUMBER($G355),ABS($G355),0)</f>
        <v/>
      </c>
      <c r="R355">
        <f>IF(AND($D355="Расход",COUNTIFS(Счета!$B$10:$B$21,$H355,Счета!$C$10:$C$21,"Кредитная")&gt;0),1,0)</f>
        <v/>
      </c>
    </row>
    <row r="356" ht="19" customHeight="1">
      <c r="B356" s="53">
        <f>IF(AND($C356="",$F356=""),"",ROW()-9)</f>
        <v/>
      </c>
      <c r="C356" s="213" t="n"/>
      <c r="D356" s="55" t="n"/>
      <c r="E356" s="55" t="n"/>
      <c r="F356" s="56" t="n"/>
      <c r="G356" s="196" t="n"/>
      <c r="H356" s="21" t="n"/>
      <c r="I356" s="21" t="n"/>
      <c r="J356" s="53">
        <f>IF($C356="","",INDEX(Настройки!$V$6:$V$17,MONTH($C356))&amp;" "&amp;YEAR($C356))</f>
        <v/>
      </c>
      <c r="K356" s="57">
        <f>IF(OR($F356="",$D356="Перевод"),"",IF(AND(N($G356)&lt;&gt;0,COUNTIFS(Журнал!$C$10:$C$1509,$C356,Журнал!$P$10:$P$1509,$G356)&gt;0),"есть в Журнале",IF(COUNTIF(Постоянные!$C$8:$C$37,$F356)&gt;0,"есть в Постоянных",IF(COUNTIF(Покупки!$C$7:$C$18,$F356)&gt;0,"есть в Покупках",""))))</f>
        <v/>
      </c>
      <c r="P356">
        <f>IF($C356="","",DATE(YEAR($C356),MONTH($C356),1))</f>
        <v/>
      </c>
      <c r="Q356">
        <f>IF(ISNUMBER($G356),ABS($G356),0)</f>
        <v/>
      </c>
      <c r="R356">
        <f>IF(AND($D356="Расход",COUNTIFS(Счета!$B$10:$B$21,$H356,Счета!$C$10:$C$21,"Кредитная")&gt;0),1,0)</f>
        <v/>
      </c>
    </row>
    <row r="357" ht="19" customHeight="1">
      <c r="B357" s="53">
        <f>IF(AND($C357="",$F357=""),"",ROW()-9)</f>
        <v/>
      </c>
      <c r="C357" s="213" t="n"/>
      <c r="D357" s="55" t="n"/>
      <c r="E357" s="55" t="n"/>
      <c r="F357" s="56" t="n"/>
      <c r="G357" s="196" t="n"/>
      <c r="H357" s="21" t="n"/>
      <c r="I357" s="21" t="n"/>
      <c r="J357" s="53">
        <f>IF($C357="","",INDEX(Настройки!$V$6:$V$17,MONTH($C357))&amp;" "&amp;YEAR($C357))</f>
        <v/>
      </c>
      <c r="K357" s="57">
        <f>IF(OR($F357="",$D357="Перевод"),"",IF(AND(N($G357)&lt;&gt;0,COUNTIFS(Журнал!$C$10:$C$1509,$C357,Журнал!$P$10:$P$1509,$G357)&gt;0),"есть в Журнале",IF(COUNTIF(Постоянные!$C$8:$C$37,$F357)&gt;0,"есть в Постоянных",IF(COUNTIF(Покупки!$C$7:$C$18,$F357)&gt;0,"есть в Покупках",""))))</f>
        <v/>
      </c>
      <c r="P357">
        <f>IF($C357="","",DATE(YEAR($C357),MONTH($C357),1))</f>
        <v/>
      </c>
      <c r="Q357">
        <f>IF(ISNUMBER($G357),ABS($G357),0)</f>
        <v/>
      </c>
      <c r="R357">
        <f>IF(AND($D357="Расход",COUNTIFS(Счета!$B$10:$B$21,$H357,Счета!$C$10:$C$21,"Кредитная")&gt;0),1,0)</f>
        <v/>
      </c>
    </row>
    <row r="358" ht="19" customHeight="1">
      <c r="B358" s="53">
        <f>IF(AND($C358="",$F358=""),"",ROW()-9)</f>
        <v/>
      </c>
      <c r="C358" s="213" t="n"/>
      <c r="D358" s="55" t="n"/>
      <c r="E358" s="55" t="n"/>
      <c r="F358" s="56" t="n"/>
      <c r="G358" s="196" t="n"/>
      <c r="H358" s="21" t="n"/>
      <c r="I358" s="21" t="n"/>
      <c r="J358" s="53">
        <f>IF($C358="","",INDEX(Настройки!$V$6:$V$17,MONTH($C358))&amp;" "&amp;YEAR($C358))</f>
        <v/>
      </c>
      <c r="K358" s="57">
        <f>IF(OR($F358="",$D358="Перевод"),"",IF(AND(N($G358)&lt;&gt;0,COUNTIFS(Журнал!$C$10:$C$1509,$C358,Журнал!$P$10:$P$1509,$G358)&gt;0),"есть в Журнале",IF(COUNTIF(Постоянные!$C$8:$C$37,$F358)&gt;0,"есть в Постоянных",IF(COUNTIF(Покупки!$C$7:$C$18,$F358)&gt;0,"есть в Покупках",""))))</f>
        <v/>
      </c>
      <c r="P358">
        <f>IF($C358="","",DATE(YEAR($C358),MONTH($C358),1))</f>
        <v/>
      </c>
      <c r="Q358">
        <f>IF(ISNUMBER($G358),ABS($G358),0)</f>
        <v/>
      </c>
      <c r="R358">
        <f>IF(AND($D358="Расход",COUNTIFS(Счета!$B$10:$B$21,$H358,Счета!$C$10:$C$21,"Кредитная")&gt;0),1,0)</f>
        <v/>
      </c>
    </row>
    <row r="359" ht="19" customHeight="1">
      <c r="B359" s="53">
        <f>IF(AND($C359="",$F359=""),"",ROW()-9)</f>
        <v/>
      </c>
      <c r="C359" s="213" t="n"/>
      <c r="D359" s="55" t="n"/>
      <c r="E359" s="55" t="n"/>
      <c r="F359" s="56" t="n"/>
      <c r="G359" s="196" t="n"/>
      <c r="H359" s="21" t="n"/>
      <c r="I359" s="21" t="n"/>
      <c r="J359" s="53">
        <f>IF($C359="","",INDEX(Настройки!$V$6:$V$17,MONTH($C359))&amp;" "&amp;YEAR($C359))</f>
        <v/>
      </c>
      <c r="K359" s="57">
        <f>IF(OR($F359="",$D359="Перевод"),"",IF(AND(N($G359)&lt;&gt;0,COUNTIFS(Журнал!$C$10:$C$1509,$C359,Журнал!$P$10:$P$1509,$G359)&gt;0),"есть в Журнале",IF(COUNTIF(Постоянные!$C$8:$C$37,$F359)&gt;0,"есть в Постоянных",IF(COUNTIF(Покупки!$C$7:$C$18,$F359)&gt;0,"есть в Покупках",""))))</f>
        <v/>
      </c>
      <c r="P359">
        <f>IF($C359="","",DATE(YEAR($C359),MONTH($C359),1))</f>
        <v/>
      </c>
      <c r="Q359">
        <f>IF(ISNUMBER($G359),ABS($G359),0)</f>
        <v/>
      </c>
      <c r="R359">
        <f>IF(AND($D359="Расход",COUNTIFS(Счета!$B$10:$B$21,$H359,Счета!$C$10:$C$21,"Кредитная")&gt;0),1,0)</f>
        <v/>
      </c>
    </row>
    <row r="360" ht="19" customHeight="1">
      <c r="B360" s="53">
        <f>IF(AND($C360="",$F360=""),"",ROW()-9)</f>
        <v/>
      </c>
      <c r="C360" s="213" t="n"/>
      <c r="D360" s="55" t="n"/>
      <c r="E360" s="55" t="n"/>
      <c r="F360" s="56" t="n"/>
      <c r="G360" s="196" t="n"/>
      <c r="H360" s="21" t="n"/>
      <c r="I360" s="21" t="n"/>
      <c r="J360" s="53">
        <f>IF($C360="","",INDEX(Настройки!$V$6:$V$17,MONTH($C360))&amp;" "&amp;YEAR($C360))</f>
        <v/>
      </c>
      <c r="K360" s="57">
        <f>IF(OR($F360="",$D360="Перевод"),"",IF(AND(N($G360)&lt;&gt;0,COUNTIFS(Журнал!$C$10:$C$1509,$C360,Журнал!$P$10:$P$1509,$G360)&gt;0),"есть в Журнале",IF(COUNTIF(Постоянные!$C$8:$C$37,$F360)&gt;0,"есть в Постоянных",IF(COUNTIF(Покупки!$C$7:$C$18,$F360)&gt;0,"есть в Покупках",""))))</f>
        <v/>
      </c>
      <c r="P360">
        <f>IF($C360="","",DATE(YEAR($C360),MONTH($C360),1))</f>
        <v/>
      </c>
      <c r="Q360">
        <f>IF(ISNUMBER($G360),ABS($G360),0)</f>
        <v/>
      </c>
      <c r="R360">
        <f>IF(AND($D360="Расход",COUNTIFS(Счета!$B$10:$B$21,$H360,Счета!$C$10:$C$21,"Кредитная")&gt;0),1,0)</f>
        <v/>
      </c>
    </row>
    <row r="361" ht="19" customHeight="1">
      <c r="B361" s="53">
        <f>IF(AND($C361="",$F361=""),"",ROW()-9)</f>
        <v/>
      </c>
      <c r="C361" s="213" t="n"/>
      <c r="D361" s="55" t="n"/>
      <c r="E361" s="55" t="n"/>
      <c r="F361" s="56" t="n"/>
      <c r="G361" s="196" t="n"/>
      <c r="H361" s="21" t="n"/>
      <c r="I361" s="21" t="n"/>
      <c r="J361" s="53">
        <f>IF($C361="","",INDEX(Настройки!$V$6:$V$17,MONTH($C361))&amp;" "&amp;YEAR($C361))</f>
        <v/>
      </c>
      <c r="K361" s="57">
        <f>IF(OR($F361="",$D361="Перевод"),"",IF(AND(N($G361)&lt;&gt;0,COUNTIFS(Журнал!$C$10:$C$1509,$C361,Журнал!$P$10:$P$1509,$G361)&gt;0),"есть в Журнале",IF(COUNTIF(Постоянные!$C$8:$C$37,$F361)&gt;0,"есть в Постоянных",IF(COUNTIF(Покупки!$C$7:$C$18,$F361)&gt;0,"есть в Покупках",""))))</f>
        <v/>
      </c>
      <c r="P361">
        <f>IF($C361="","",DATE(YEAR($C361),MONTH($C361),1))</f>
        <v/>
      </c>
      <c r="Q361">
        <f>IF(ISNUMBER($G361),ABS($G361),0)</f>
        <v/>
      </c>
      <c r="R361">
        <f>IF(AND($D361="Расход",COUNTIFS(Счета!$B$10:$B$21,$H361,Счета!$C$10:$C$21,"Кредитная")&gt;0),1,0)</f>
        <v/>
      </c>
    </row>
    <row r="362" ht="19" customHeight="1">
      <c r="B362" s="53">
        <f>IF(AND($C362="",$F362=""),"",ROW()-9)</f>
        <v/>
      </c>
      <c r="C362" s="213" t="n"/>
      <c r="D362" s="55" t="n"/>
      <c r="E362" s="55" t="n"/>
      <c r="F362" s="56" t="n"/>
      <c r="G362" s="196" t="n"/>
      <c r="H362" s="21" t="n"/>
      <c r="I362" s="21" t="n"/>
      <c r="J362" s="53">
        <f>IF($C362="","",INDEX(Настройки!$V$6:$V$17,MONTH($C362))&amp;" "&amp;YEAR($C362))</f>
        <v/>
      </c>
      <c r="K362" s="57">
        <f>IF(OR($F362="",$D362="Перевод"),"",IF(AND(N($G362)&lt;&gt;0,COUNTIFS(Журнал!$C$10:$C$1509,$C362,Журнал!$P$10:$P$1509,$G362)&gt;0),"есть в Журнале",IF(COUNTIF(Постоянные!$C$8:$C$37,$F362)&gt;0,"есть в Постоянных",IF(COUNTIF(Покупки!$C$7:$C$18,$F362)&gt;0,"есть в Покупках",""))))</f>
        <v/>
      </c>
      <c r="P362">
        <f>IF($C362="","",DATE(YEAR($C362),MONTH($C362),1))</f>
        <v/>
      </c>
      <c r="Q362">
        <f>IF(ISNUMBER($G362),ABS($G362),0)</f>
        <v/>
      </c>
      <c r="R362">
        <f>IF(AND($D362="Расход",COUNTIFS(Счета!$B$10:$B$21,$H362,Счета!$C$10:$C$21,"Кредитная")&gt;0),1,0)</f>
        <v/>
      </c>
    </row>
    <row r="363" ht="19" customHeight="1">
      <c r="B363" s="53">
        <f>IF(AND($C363="",$F363=""),"",ROW()-9)</f>
        <v/>
      </c>
      <c r="C363" s="213" t="n"/>
      <c r="D363" s="55" t="n"/>
      <c r="E363" s="55" t="n"/>
      <c r="F363" s="56" t="n"/>
      <c r="G363" s="196" t="n"/>
      <c r="H363" s="21" t="n"/>
      <c r="I363" s="21" t="n"/>
      <c r="J363" s="53">
        <f>IF($C363="","",INDEX(Настройки!$V$6:$V$17,MONTH($C363))&amp;" "&amp;YEAR($C363))</f>
        <v/>
      </c>
      <c r="K363" s="57">
        <f>IF(OR($F363="",$D363="Перевод"),"",IF(AND(N($G363)&lt;&gt;0,COUNTIFS(Журнал!$C$10:$C$1509,$C363,Журнал!$P$10:$P$1509,$G363)&gt;0),"есть в Журнале",IF(COUNTIF(Постоянные!$C$8:$C$37,$F363)&gt;0,"есть в Постоянных",IF(COUNTIF(Покупки!$C$7:$C$18,$F363)&gt;0,"есть в Покупках",""))))</f>
        <v/>
      </c>
      <c r="P363">
        <f>IF($C363="","",DATE(YEAR($C363),MONTH($C363),1))</f>
        <v/>
      </c>
      <c r="Q363">
        <f>IF(ISNUMBER($G363),ABS($G363),0)</f>
        <v/>
      </c>
      <c r="R363">
        <f>IF(AND($D363="Расход",COUNTIFS(Счета!$B$10:$B$21,$H363,Счета!$C$10:$C$21,"Кредитная")&gt;0),1,0)</f>
        <v/>
      </c>
    </row>
    <row r="364" ht="19" customHeight="1">
      <c r="B364" s="53">
        <f>IF(AND($C364="",$F364=""),"",ROW()-9)</f>
        <v/>
      </c>
      <c r="C364" s="213" t="n"/>
      <c r="D364" s="55" t="n"/>
      <c r="E364" s="55" t="n"/>
      <c r="F364" s="56" t="n"/>
      <c r="G364" s="196" t="n"/>
      <c r="H364" s="21" t="n"/>
      <c r="I364" s="21" t="n"/>
      <c r="J364" s="53">
        <f>IF($C364="","",INDEX(Настройки!$V$6:$V$17,MONTH($C364))&amp;" "&amp;YEAR($C364))</f>
        <v/>
      </c>
      <c r="K364" s="57">
        <f>IF(OR($F364="",$D364="Перевод"),"",IF(AND(N($G364)&lt;&gt;0,COUNTIFS(Журнал!$C$10:$C$1509,$C364,Журнал!$P$10:$P$1509,$G364)&gt;0),"есть в Журнале",IF(COUNTIF(Постоянные!$C$8:$C$37,$F364)&gt;0,"есть в Постоянных",IF(COUNTIF(Покупки!$C$7:$C$18,$F364)&gt;0,"есть в Покупках",""))))</f>
        <v/>
      </c>
      <c r="P364">
        <f>IF($C364="","",DATE(YEAR($C364),MONTH($C364),1))</f>
        <v/>
      </c>
      <c r="Q364">
        <f>IF(ISNUMBER($G364),ABS($G364),0)</f>
        <v/>
      </c>
      <c r="R364">
        <f>IF(AND($D364="Расход",COUNTIFS(Счета!$B$10:$B$21,$H364,Счета!$C$10:$C$21,"Кредитная")&gt;0),1,0)</f>
        <v/>
      </c>
    </row>
    <row r="365" ht="19" customHeight="1">
      <c r="B365" s="53">
        <f>IF(AND($C365="",$F365=""),"",ROW()-9)</f>
        <v/>
      </c>
      <c r="C365" s="213" t="n"/>
      <c r="D365" s="55" t="n"/>
      <c r="E365" s="55" t="n"/>
      <c r="F365" s="56" t="n"/>
      <c r="G365" s="196" t="n"/>
      <c r="H365" s="21" t="n"/>
      <c r="I365" s="21" t="n"/>
      <c r="J365" s="53">
        <f>IF($C365="","",INDEX(Настройки!$V$6:$V$17,MONTH($C365))&amp;" "&amp;YEAR($C365))</f>
        <v/>
      </c>
      <c r="K365" s="57">
        <f>IF(OR($F365="",$D365="Перевод"),"",IF(AND(N($G365)&lt;&gt;0,COUNTIFS(Журнал!$C$10:$C$1509,$C365,Журнал!$P$10:$P$1509,$G365)&gt;0),"есть в Журнале",IF(COUNTIF(Постоянные!$C$8:$C$37,$F365)&gt;0,"есть в Постоянных",IF(COUNTIF(Покупки!$C$7:$C$18,$F365)&gt;0,"есть в Покупках",""))))</f>
        <v/>
      </c>
      <c r="P365">
        <f>IF($C365="","",DATE(YEAR($C365),MONTH($C365),1))</f>
        <v/>
      </c>
      <c r="Q365">
        <f>IF(ISNUMBER($G365),ABS($G365),0)</f>
        <v/>
      </c>
      <c r="R365">
        <f>IF(AND($D365="Расход",COUNTIFS(Счета!$B$10:$B$21,$H365,Счета!$C$10:$C$21,"Кредитная")&gt;0),1,0)</f>
        <v/>
      </c>
    </row>
    <row r="366" ht="19" customHeight="1">
      <c r="B366" s="53">
        <f>IF(AND($C366="",$F366=""),"",ROW()-9)</f>
        <v/>
      </c>
      <c r="C366" s="213" t="n"/>
      <c r="D366" s="55" t="n"/>
      <c r="E366" s="55" t="n"/>
      <c r="F366" s="56" t="n"/>
      <c r="G366" s="196" t="n"/>
      <c r="H366" s="21" t="n"/>
      <c r="I366" s="21" t="n"/>
      <c r="J366" s="53">
        <f>IF($C366="","",INDEX(Настройки!$V$6:$V$17,MONTH($C366))&amp;" "&amp;YEAR($C366))</f>
        <v/>
      </c>
      <c r="K366" s="57">
        <f>IF(OR($F366="",$D366="Перевод"),"",IF(AND(N($G366)&lt;&gt;0,COUNTIFS(Журнал!$C$10:$C$1509,$C366,Журнал!$P$10:$P$1509,$G366)&gt;0),"есть в Журнале",IF(COUNTIF(Постоянные!$C$8:$C$37,$F366)&gt;0,"есть в Постоянных",IF(COUNTIF(Покупки!$C$7:$C$18,$F366)&gt;0,"есть в Покупках",""))))</f>
        <v/>
      </c>
      <c r="P366">
        <f>IF($C366="","",DATE(YEAR($C366),MONTH($C366),1))</f>
        <v/>
      </c>
      <c r="Q366">
        <f>IF(ISNUMBER($G366),ABS($G366),0)</f>
        <v/>
      </c>
      <c r="R366">
        <f>IF(AND($D366="Расход",COUNTIFS(Счета!$B$10:$B$21,$H366,Счета!$C$10:$C$21,"Кредитная")&gt;0),1,0)</f>
        <v/>
      </c>
    </row>
    <row r="367" ht="19" customHeight="1">
      <c r="B367" s="53">
        <f>IF(AND($C367="",$F367=""),"",ROW()-9)</f>
        <v/>
      </c>
      <c r="C367" s="213" t="n"/>
      <c r="D367" s="55" t="n"/>
      <c r="E367" s="55" t="n"/>
      <c r="F367" s="56" t="n"/>
      <c r="G367" s="196" t="n"/>
      <c r="H367" s="21" t="n"/>
      <c r="I367" s="21" t="n"/>
      <c r="J367" s="53">
        <f>IF($C367="","",INDEX(Настройки!$V$6:$V$17,MONTH($C367))&amp;" "&amp;YEAR($C367))</f>
        <v/>
      </c>
      <c r="K367" s="57">
        <f>IF(OR($F367="",$D367="Перевод"),"",IF(AND(N($G367)&lt;&gt;0,COUNTIFS(Журнал!$C$10:$C$1509,$C367,Журнал!$P$10:$P$1509,$G367)&gt;0),"есть в Журнале",IF(COUNTIF(Постоянные!$C$8:$C$37,$F367)&gt;0,"есть в Постоянных",IF(COUNTIF(Покупки!$C$7:$C$18,$F367)&gt;0,"есть в Покупках",""))))</f>
        <v/>
      </c>
      <c r="P367">
        <f>IF($C367="","",DATE(YEAR($C367),MONTH($C367),1))</f>
        <v/>
      </c>
      <c r="Q367">
        <f>IF(ISNUMBER($G367),ABS($G367),0)</f>
        <v/>
      </c>
      <c r="R367">
        <f>IF(AND($D367="Расход",COUNTIFS(Счета!$B$10:$B$21,$H367,Счета!$C$10:$C$21,"Кредитная")&gt;0),1,0)</f>
        <v/>
      </c>
    </row>
    <row r="368" ht="19" customHeight="1">
      <c r="B368" s="53">
        <f>IF(AND($C368="",$F368=""),"",ROW()-9)</f>
        <v/>
      </c>
      <c r="C368" s="213" t="n"/>
      <c r="D368" s="55" t="n"/>
      <c r="E368" s="55" t="n"/>
      <c r="F368" s="56" t="n"/>
      <c r="G368" s="196" t="n"/>
      <c r="H368" s="21" t="n"/>
      <c r="I368" s="21" t="n"/>
      <c r="J368" s="53">
        <f>IF($C368="","",INDEX(Настройки!$V$6:$V$17,MONTH($C368))&amp;" "&amp;YEAR($C368))</f>
        <v/>
      </c>
      <c r="K368" s="57">
        <f>IF(OR($F368="",$D368="Перевод"),"",IF(AND(N($G368)&lt;&gt;0,COUNTIFS(Журнал!$C$10:$C$1509,$C368,Журнал!$P$10:$P$1509,$G368)&gt;0),"есть в Журнале",IF(COUNTIF(Постоянные!$C$8:$C$37,$F368)&gt;0,"есть в Постоянных",IF(COUNTIF(Покупки!$C$7:$C$18,$F368)&gt;0,"есть в Покупках",""))))</f>
        <v/>
      </c>
      <c r="P368">
        <f>IF($C368="","",DATE(YEAR($C368),MONTH($C368),1))</f>
        <v/>
      </c>
      <c r="Q368">
        <f>IF(ISNUMBER($G368),ABS($G368),0)</f>
        <v/>
      </c>
      <c r="R368">
        <f>IF(AND($D368="Расход",COUNTIFS(Счета!$B$10:$B$21,$H368,Счета!$C$10:$C$21,"Кредитная")&gt;0),1,0)</f>
        <v/>
      </c>
    </row>
    <row r="369" ht="19" customHeight="1">
      <c r="B369" s="53">
        <f>IF(AND($C369="",$F369=""),"",ROW()-9)</f>
        <v/>
      </c>
      <c r="C369" s="213" t="n"/>
      <c r="D369" s="55" t="n"/>
      <c r="E369" s="55" t="n"/>
      <c r="F369" s="56" t="n"/>
      <c r="G369" s="196" t="n"/>
      <c r="H369" s="21" t="n"/>
      <c r="I369" s="21" t="n"/>
      <c r="J369" s="53">
        <f>IF($C369="","",INDEX(Настройки!$V$6:$V$17,MONTH($C369))&amp;" "&amp;YEAR($C369))</f>
        <v/>
      </c>
      <c r="K369" s="57">
        <f>IF(OR($F369="",$D369="Перевод"),"",IF(AND(N($G369)&lt;&gt;0,COUNTIFS(Журнал!$C$10:$C$1509,$C369,Журнал!$P$10:$P$1509,$G369)&gt;0),"есть в Журнале",IF(COUNTIF(Постоянные!$C$8:$C$37,$F369)&gt;0,"есть в Постоянных",IF(COUNTIF(Покупки!$C$7:$C$18,$F369)&gt;0,"есть в Покупках",""))))</f>
        <v/>
      </c>
      <c r="P369">
        <f>IF($C369="","",DATE(YEAR($C369),MONTH($C369),1))</f>
        <v/>
      </c>
      <c r="Q369">
        <f>IF(ISNUMBER($G369),ABS($G369),0)</f>
        <v/>
      </c>
      <c r="R369">
        <f>IF(AND($D369="Расход",COUNTIFS(Счета!$B$10:$B$21,$H369,Счета!$C$10:$C$21,"Кредитная")&gt;0),1,0)</f>
        <v/>
      </c>
    </row>
    <row r="370" ht="19" customHeight="1">
      <c r="B370" s="53">
        <f>IF(AND($C370="",$F370=""),"",ROW()-9)</f>
        <v/>
      </c>
      <c r="C370" s="213" t="n"/>
      <c r="D370" s="55" t="n"/>
      <c r="E370" s="55" t="n"/>
      <c r="F370" s="56" t="n"/>
      <c r="G370" s="196" t="n"/>
      <c r="H370" s="21" t="n"/>
      <c r="I370" s="21" t="n"/>
      <c r="J370" s="53">
        <f>IF($C370="","",INDEX(Настройки!$V$6:$V$17,MONTH($C370))&amp;" "&amp;YEAR($C370))</f>
        <v/>
      </c>
      <c r="K370" s="57">
        <f>IF(OR($F370="",$D370="Перевод"),"",IF(AND(N($G370)&lt;&gt;0,COUNTIFS(Журнал!$C$10:$C$1509,$C370,Журнал!$P$10:$P$1509,$G370)&gt;0),"есть в Журнале",IF(COUNTIF(Постоянные!$C$8:$C$37,$F370)&gt;0,"есть в Постоянных",IF(COUNTIF(Покупки!$C$7:$C$18,$F370)&gt;0,"есть в Покупках",""))))</f>
        <v/>
      </c>
      <c r="P370">
        <f>IF($C370="","",DATE(YEAR($C370),MONTH($C370),1))</f>
        <v/>
      </c>
      <c r="Q370">
        <f>IF(ISNUMBER($G370),ABS($G370),0)</f>
        <v/>
      </c>
      <c r="R370">
        <f>IF(AND($D370="Расход",COUNTIFS(Счета!$B$10:$B$21,$H370,Счета!$C$10:$C$21,"Кредитная")&gt;0),1,0)</f>
        <v/>
      </c>
    </row>
    <row r="371" ht="19" customHeight="1">
      <c r="B371" s="53">
        <f>IF(AND($C371="",$F371=""),"",ROW()-9)</f>
        <v/>
      </c>
      <c r="C371" s="213" t="n"/>
      <c r="D371" s="55" t="n"/>
      <c r="E371" s="55" t="n"/>
      <c r="F371" s="56" t="n"/>
      <c r="G371" s="196" t="n"/>
      <c r="H371" s="21" t="n"/>
      <c r="I371" s="21" t="n"/>
      <c r="J371" s="53">
        <f>IF($C371="","",INDEX(Настройки!$V$6:$V$17,MONTH($C371))&amp;" "&amp;YEAR($C371))</f>
        <v/>
      </c>
      <c r="K371" s="57">
        <f>IF(OR($F371="",$D371="Перевод"),"",IF(AND(N($G371)&lt;&gt;0,COUNTIFS(Журнал!$C$10:$C$1509,$C371,Журнал!$P$10:$P$1509,$G371)&gt;0),"есть в Журнале",IF(COUNTIF(Постоянные!$C$8:$C$37,$F371)&gt;0,"есть в Постоянных",IF(COUNTIF(Покупки!$C$7:$C$18,$F371)&gt;0,"есть в Покупках",""))))</f>
        <v/>
      </c>
      <c r="P371">
        <f>IF($C371="","",DATE(YEAR($C371),MONTH($C371),1))</f>
        <v/>
      </c>
      <c r="Q371">
        <f>IF(ISNUMBER($G371),ABS($G371),0)</f>
        <v/>
      </c>
      <c r="R371">
        <f>IF(AND($D371="Расход",COUNTIFS(Счета!$B$10:$B$21,$H371,Счета!$C$10:$C$21,"Кредитная")&gt;0),1,0)</f>
        <v/>
      </c>
    </row>
    <row r="372" ht="19" customHeight="1">
      <c r="B372" s="53">
        <f>IF(AND($C372="",$F372=""),"",ROW()-9)</f>
        <v/>
      </c>
      <c r="C372" s="213" t="n"/>
      <c r="D372" s="55" t="n"/>
      <c r="E372" s="55" t="n"/>
      <c r="F372" s="56" t="n"/>
      <c r="G372" s="196" t="n"/>
      <c r="H372" s="21" t="n"/>
      <c r="I372" s="21" t="n"/>
      <c r="J372" s="53">
        <f>IF($C372="","",INDEX(Настройки!$V$6:$V$17,MONTH($C372))&amp;" "&amp;YEAR($C372))</f>
        <v/>
      </c>
      <c r="K372" s="57">
        <f>IF(OR($F372="",$D372="Перевод"),"",IF(AND(N($G372)&lt;&gt;0,COUNTIFS(Журнал!$C$10:$C$1509,$C372,Журнал!$P$10:$P$1509,$G372)&gt;0),"есть в Журнале",IF(COUNTIF(Постоянные!$C$8:$C$37,$F372)&gt;0,"есть в Постоянных",IF(COUNTIF(Покупки!$C$7:$C$18,$F372)&gt;0,"есть в Покупках",""))))</f>
        <v/>
      </c>
      <c r="P372">
        <f>IF($C372="","",DATE(YEAR($C372),MONTH($C372),1))</f>
        <v/>
      </c>
      <c r="Q372">
        <f>IF(ISNUMBER($G372),ABS($G372),0)</f>
        <v/>
      </c>
      <c r="R372">
        <f>IF(AND($D372="Расход",COUNTIFS(Счета!$B$10:$B$21,$H372,Счета!$C$10:$C$21,"Кредитная")&gt;0),1,0)</f>
        <v/>
      </c>
    </row>
    <row r="373" ht="19" customHeight="1">
      <c r="B373" s="53">
        <f>IF(AND($C373="",$F373=""),"",ROW()-9)</f>
        <v/>
      </c>
      <c r="C373" s="213" t="n"/>
      <c r="D373" s="55" t="n"/>
      <c r="E373" s="55" t="n"/>
      <c r="F373" s="56" t="n"/>
      <c r="G373" s="196" t="n"/>
      <c r="H373" s="21" t="n"/>
      <c r="I373" s="21" t="n"/>
      <c r="J373" s="53">
        <f>IF($C373="","",INDEX(Настройки!$V$6:$V$17,MONTH($C373))&amp;" "&amp;YEAR($C373))</f>
        <v/>
      </c>
      <c r="K373" s="57">
        <f>IF(OR($F373="",$D373="Перевод"),"",IF(AND(N($G373)&lt;&gt;0,COUNTIFS(Журнал!$C$10:$C$1509,$C373,Журнал!$P$10:$P$1509,$G373)&gt;0),"есть в Журнале",IF(COUNTIF(Постоянные!$C$8:$C$37,$F373)&gt;0,"есть в Постоянных",IF(COUNTIF(Покупки!$C$7:$C$18,$F373)&gt;0,"есть в Покупках",""))))</f>
        <v/>
      </c>
      <c r="P373">
        <f>IF($C373="","",DATE(YEAR($C373),MONTH($C373),1))</f>
        <v/>
      </c>
      <c r="Q373">
        <f>IF(ISNUMBER($G373),ABS($G373),0)</f>
        <v/>
      </c>
      <c r="R373">
        <f>IF(AND($D373="Расход",COUNTIFS(Счета!$B$10:$B$21,$H373,Счета!$C$10:$C$21,"Кредитная")&gt;0),1,0)</f>
        <v/>
      </c>
    </row>
    <row r="374" ht="19" customHeight="1">
      <c r="B374" s="53">
        <f>IF(AND($C374="",$F374=""),"",ROW()-9)</f>
        <v/>
      </c>
      <c r="C374" s="213" t="n"/>
      <c r="D374" s="55" t="n"/>
      <c r="E374" s="55" t="n"/>
      <c r="F374" s="56" t="n"/>
      <c r="G374" s="196" t="n"/>
      <c r="H374" s="21" t="n"/>
      <c r="I374" s="21" t="n"/>
      <c r="J374" s="53">
        <f>IF($C374="","",INDEX(Настройки!$V$6:$V$17,MONTH($C374))&amp;" "&amp;YEAR($C374))</f>
        <v/>
      </c>
      <c r="K374" s="57">
        <f>IF(OR($F374="",$D374="Перевод"),"",IF(AND(N($G374)&lt;&gt;0,COUNTIFS(Журнал!$C$10:$C$1509,$C374,Журнал!$P$10:$P$1509,$G374)&gt;0),"есть в Журнале",IF(COUNTIF(Постоянные!$C$8:$C$37,$F374)&gt;0,"есть в Постоянных",IF(COUNTIF(Покупки!$C$7:$C$18,$F374)&gt;0,"есть в Покупках",""))))</f>
        <v/>
      </c>
      <c r="P374">
        <f>IF($C374="","",DATE(YEAR($C374),MONTH($C374),1))</f>
        <v/>
      </c>
      <c r="Q374">
        <f>IF(ISNUMBER($G374),ABS($G374),0)</f>
        <v/>
      </c>
      <c r="R374">
        <f>IF(AND($D374="Расход",COUNTIFS(Счета!$B$10:$B$21,$H374,Счета!$C$10:$C$21,"Кредитная")&gt;0),1,0)</f>
        <v/>
      </c>
    </row>
    <row r="375" ht="19" customHeight="1">
      <c r="B375" s="53">
        <f>IF(AND($C375="",$F375=""),"",ROW()-9)</f>
        <v/>
      </c>
      <c r="C375" s="213" t="n"/>
      <c r="D375" s="55" t="n"/>
      <c r="E375" s="55" t="n"/>
      <c r="F375" s="56" t="n"/>
      <c r="G375" s="196" t="n"/>
      <c r="H375" s="21" t="n"/>
      <c r="I375" s="21" t="n"/>
      <c r="J375" s="53">
        <f>IF($C375="","",INDEX(Настройки!$V$6:$V$17,MONTH($C375))&amp;" "&amp;YEAR($C375))</f>
        <v/>
      </c>
      <c r="K375" s="57">
        <f>IF(OR($F375="",$D375="Перевод"),"",IF(AND(N($G375)&lt;&gt;0,COUNTIFS(Журнал!$C$10:$C$1509,$C375,Журнал!$P$10:$P$1509,$G375)&gt;0),"есть в Журнале",IF(COUNTIF(Постоянные!$C$8:$C$37,$F375)&gt;0,"есть в Постоянных",IF(COUNTIF(Покупки!$C$7:$C$18,$F375)&gt;0,"есть в Покупках",""))))</f>
        <v/>
      </c>
      <c r="P375">
        <f>IF($C375="","",DATE(YEAR($C375),MONTH($C375),1))</f>
        <v/>
      </c>
      <c r="Q375">
        <f>IF(ISNUMBER($G375),ABS($G375),0)</f>
        <v/>
      </c>
      <c r="R375">
        <f>IF(AND($D375="Расход",COUNTIFS(Счета!$B$10:$B$21,$H375,Счета!$C$10:$C$21,"Кредитная")&gt;0),1,0)</f>
        <v/>
      </c>
    </row>
    <row r="376" ht="19" customHeight="1">
      <c r="B376" s="53">
        <f>IF(AND($C376="",$F376=""),"",ROW()-9)</f>
        <v/>
      </c>
      <c r="C376" s="213" t="n"/>
      <c r="D376" s="55" t="n"/>
      <c r="E376" s="55" t="n"/>
      <c r="F376" s="56" t="n"/>
      <c r="G376" s="196" t="n"/>
      <c r="H376" s="21" t="n"/>
      <c r="I376" s="21" t="n"/>
      <c r="J376" s="53">
        <f>IF($C376="","",INDEX(Настройки!$V$6:$V$17,MONTH($C376))&amp;" "&amp;YEAR($C376))</f>
        <v/>
      </c>
      <c r="K376" s="57">
        <f>IF(OR($F376="",$D376="Перевод"),"",IF(AND(N($G376)&lt;&gt;0,COUNTIFS(Журнал!$C$10:$C$1509,$C376,Журнал!$P$10:$P$1509,$G376)&gt;0),"есть в Журнале",IF(COUNTIF(Постоянные!$C$8:$C$37,$F376)&gt;0,"есть в Постоянных",IF(COUNTIF(Покупки!$C$7:$C$18,$F376)&gt;0,"есть в Покупках",""))))</f>
        <v/>
      </c>
      <c r="P376">
        <f>IF($C376="","",DATE(YEAR($C376),MONTH($C376),1))</f>
        <v/>
      </c>
      <c r="Q376">
        <f>IF(ISNUMBER($G376),ABS($G376),0)</f>
        <v/>
      </c>
      <c r="R376">
        <f>IF(AND($D376="Расход",COUNTIFS(Счета!$B$10:$B$21,$H376,Счета!$C$10:$C$21,"Кредитная")&gt;0),1,0)</f>
        <v/>
      </c>
    </row>
    <row r="377" ht="19" customHeight="1">
      <c r="B377" s="53">
        <f>IF(AND($C377="",$F377=""),"",ROW()-9)</f>
        <v/>
      </c>
      <c r="C377" s="213" t="n"/>
      <c r="D377" s="55" t="n"/>
      <c r="E377" s="55" t="n"/>
      <c r="F377" s="56" t="n"/>
      <c r="G377" s="196" t="n"/>
      <c r="H377" s="21" t="n"/>
      <c r="I377" s="21" t="n"/>
      <c r="J377" s="53">
        <f>IF($C377="","",INDEX(Настройки!$V$6:$V$17,MONTH($C377))&amp;" "&amp;YEAR($C377))</f>
        <v/>
      </c>
      <c r="K377" s="57">
        <f>IF(OR($F377="",$D377="Перевод"),"",IF(AND(N($G377)&lt;&gt;0,COUNTIFS(Журнал!$C$10:$C$1509,$C377,Журнал!$P$10:$P$1509,$G377)&gt;0),"есть в Журнале",IF(COUNTIF(Постоянные!$C$8:$C$37,$F377)&gt;0,"есть в Постоянных",IF(COUNTIF(Покупки!$C$7:$C$18,$F377)&gt;0,"есть в Покупках",""))))</f>
        <v/>
      </c>
      <c r="P377">
        <f>IF($C377="","",DATE(YEAR($C377),MONTH($C377),1))</f>
        <v/>
      </c>
      <c r="Q377">
        <f>IF(ISNUMBER($G377),ABS($G377),0)</f>
        <v/>
      </c>
      <c r="R377">
        <f>IF(AND($D377="Расход",COUNTIFS(Счета!$B$10:$B$21,$H377,Счета!$C$10:$C$21,"Кредитная")&gt;0),1,0)</f>
        <v/>
      </c>
    </row>
    <row r="378" ht="19" customHeight="1">
      <c r="B378" s="53">
        <f>IF(AND($C378="",$F378=""),"",ROW()-9)</f>
        <v/>
      </c>
      <c r="C378" s="213" t="n"/>
      <c r="D378" s="55" t="n"/>
      <c r="E378" s="55" t="n"/>
      <c r="F378" s="56" t="n"/>
      <c r="G378" s="196" t="n"/>
      <c r="H378" s="21" t="n"/>
      <c r="I378" s="21" t="n"/>
      <c r="J378" s="53">
        <f>IF($C378="","",INDEX(Настройки!$V$6:$V$17,MONTH($C378))&amp;" "&amp;YEAR($C378))</f>
        <v/>
      </c>
      <c r="K378" s="57">
        <f>IF(OR($F378="",$D378="Перевод"),"",IF(AND(N($G378)&lt;&gt;0,COUNTIFS(Журнал!$C$10:$C$1509,$C378,Журнал!$P$10:$P$1509,$G378)&gt;0),"есть в Журнале",IF(COUNTIF(Постоянные!$C$8:$C$37,$F378)&gt;0,"есть в Постоянных",IF(COUNTIF(Покупки!$C$7:$C$18,$F378)&gt;0,"есть в Покупках",""))))</f>
        <v/>
      </c>
      <c r="P378">
        <f>IF($C378="","",DATE(YEAR($C378),MONTH($C378),1))</f>
        <v/>
      </c>
      <c r="Q378">
        <f>IF(ISNUMBER($G378),ABS($G378),0)</f>
        <v/>
      </c>
      <c r="R378">
        <f>IF(AND($D378="Расход",COUNTIFS(Счета!$B$10:$B$21,$H378,Счета!$C$10:$C$21,"Кредитная")&gt;0),1,0)</f>
        <v/>
      </c>
    </row>
    <row r="379" ht="19" customHeight="1">
      <c r="B379" s="53">
        <f>IF(AND($C379="",$F379=""),"",ROW()-9)</f>
        <v/>
      </c>
      <c r="C379" s="213" t="n"/>
      <c r="D379" s="55" t="n"/>
      <c r="E379" s="55" t="n"/>
      <c r="F379" s="56" t="n"/>
      <c r="G379" s="196" t="n"/>
      <c r="H379" s="21" t="n"/>
      <c r="I379" s="21" t="n"/>
      <c r="J379" s="53">
        <f>IF($C379="","",INDEX(Настройки!$V$6:$V$17,MONTH($C379))&amp;" "&amp;YEAR($C379))</f>
        <v/>
      </c>
      <c r="K379" s="57">
        <f>IF(OR($F379="",$D379="Перевод"),"",IF(AND(N($G379)&lt;&gt;0,COUNTIFS(Журнал!$C$10:$C$1509,$C379,Журнал!$P$10:$P$1509,$G379)&gt;0),"есть в Журнале",IF(COUNTIF(Постоянные!$C$8:$C$37,$F379)&gt;0,"есть в Постоянных",IF(COUNTIF(Покупки!$C$7:$C$18,$F379)&gt;0,"есть в Покупках",""))))</f>
        <v/>
      </c>
      <c r="P379">
        <f>IF($C379="","",DATE(YEAR($C379),MONTH($C379),1))</f>
        <v/>
      </c>
      <c r="Q379">
        <f>IF(ISNUMBER($G379),ABS($G379),0)</f>
        <v/>
      </c>
      <c r="R379">
        <f>IF(AND($D379="Расход",COUNTIFS(Счета!$B$10:$B$21,$H379,Счета!$C$10:$C$21,"Кредитная")&gt;0),1,0)</f>
        <v/>
      </c>
    </row>
    <row r="380" ht="19" customHeight="1">
      <c r="B380" s="53">
        <f>IF(AND($C380="",$F380=""),"",ROW()-9)</f>
        <v/>
      </c>
      <c r="C380" s="213" t="n"/>
      <c r="D380" s="55" t="n"/>
      <c r="E380" s="55" t="n"/>
      <c r="F380" s="56" t="n"/>
      <c r="G380" s="196" t="n"/>
      <c r="H380" s="21" t="n"/>
      <c r="I380" s="21" t="n"/>
      <c r="J380" s="53">
        <f>IF($C380="","",INDEX(Настройки!$V$6:$V$17,MONTH($C380))&amp;" "&amp;YEAR($C380))</f>
        <v/>
      </c>
      <c r="K380" s="57">
        <f>IF(OR($F380="",$D380="Перевод"),"",IF(AND(N($G380)&lt;&gt;0,COUNTIFS(Журнал!$C$10:$C$1509,$C380,Журнал!$P$10:$P$1509,$G380)&gt;0),"есть в Журнале",IF(COUNTIF(Постоянные!$C$8:$C$37,$F380)&gt;0,"есть в Постоянных",IF(COUNTIF(Покупки!$C$7:$C$18,$F380)&gt;0,"есть в Покупках",""))))</f>
        <v/>
      </c>
      <c r="P380">
        <f>IF($C380="","",DATE(YEAR($C380),MONTH($C380),1))</f>
        <v/>
      </c>
      <c r="Q380">
        <f>IF(ISNUMBER($G380),ABS($G380),0)</f>
        <v/>
      </c>
      <c r="R380">
        <f>IF(AND($D380="Расход",COUNTIFS(Счета!$B$10:$B$21,$H380,Счета!$C$10:$C$21,"Кредитная")&gt;0),1,0)</f>
        <v/>
      </c>
    </row>
    <row r="381" ht="19" customHeight="1">
      <c r="B381" s="53">
        <f>IF(AND($C381="",$F381=""),"",ROW()-9)</f>
        <v/>
      </c>
      <c r="C381" s="213" t="n"/>
      <c r="D381" s="55" t="n"/>
      <c r="E381" s="55" t="n"/>
      <c r="F381" s="56" t="n"/>
      <c r="G381" s="196" t="n"/>
      <c r="H381" s="21" t="n"/>
      <c r="I381" s="21" t="n"/>
      <c r="J381" s="53">
        <f>IF($C381="","",INDEX(Настройки!$V$6:$V$17,MONTH($C381))&amp;" "&amp;YEAR($C381))</f>
        <v/>
      </c>
      <c r="K381" s="57">
        <f>IF(OR($F381="",$D381="Перевод"),"",IF(AND(N($G381)&lt;&gt;0,COUNTIFS(Журнал!$C$10:$C$1509,$C381,Журнал!$P$10:$P$1509,$G381)&gt;0),"есть в Журнале",IF(COUNTIF(Постоянные!$C$8:$C$37,$F381)&gt;0,"есть в Постоянных",IF(COUNTIF(Покупки!$C$7:$C$18,$F381)&gt;0,"есть в Покупках",""))))</f>
        <v/>
      </c>
      <c r="P381">
        <f>IF($C381="","",DATE(YEAR($C381),MONTH($C381),1))</f>
        <v/>
      </c>
      <c r="Q381">
        <f>IF(ISNUMBER($G381),ABS($G381),0)</f>
        <v/>
      </c>
      <c r="R381">
        <f>IF(AND($D381="Расход",COUNTIFS(Счета!$B$10:$B$21,$H381,Счета!$C$10:$C$21,"Кредитная")&gt;0),1,0)</f>
        <v/>
      </c>
    </row>
    <row r="382" ht="19" customHeight="1">
      <c r="B382" s="53">
        <f>IF(AND($C382="",$F382=""),"",ROW()-9)</f>
        <v/>
      </c>
      <c r="C382" s="213" t="n"/>
      <c r="D382" s="55" t="n"/>
      <c r="E382" s="55" t="n"/>
      <c r="F382" s="56" t="n"/>
      <c r="G382" s="196" t="n"/>
      <c r="H382" s="21" t="n"/>
      <c r="I382" s="21" t="n"/>
      <c r="J382" s="53">
        <f>IF($C382="","",INDEX(Настройки!$V$6:$V$17,MONTH($C382))&amp;" "&amp;YEAR($C382))</f>
        <v/>
      </c>
      <c r="K382" s="57">
        <f>IF(OR($F382="",$D382="Перевод"),"",IF(AND(N($G382)&lt;&gt;0,COUNTIFS(Журнал!$C$10:$C$1509,$C382,Журнал!$P$10:$P$1509,$G382)&gt;0),"есть в Журнале",IF(COUNTIF(Постоянные!$C$8:$C$37,$F382)&gt;0,"есть в Постоянных",IF(COUNTIF(Покупки!$C$7:$C$18,$F382)&gt;0,"есть в Покупках",""))))</f>
        <v/>
      </c>
      <c r="P382">
        <f>IF($C382="","",DATE(YEAR($C382),MONTH($C382),1))</f>
        <v/>
      </c>
      <c r="Q382">
        <f>IF(ISNUMBER($G382),ABS($G382),0)</f>
        <v/>
      </c>
      <c r="R382">
        <f>IF(AND($D382="Расход",COUNTIFS(Счета!$B$10:$B$21,$H382,Счета!$C$10:$C$21,"Кредитная")&gt;0),1,0)</f>
        <v/>
      </c>
    </row>
    <row r="383" ht="19" customHeight="1">
      <c r="B383" s="53">
        <f>IF(AND($C383="",$F383=""),"",ROW()-9)</f>
        <v/>
      </c>
      <c r="C383" s="213" t="n"/>
      <c r="D383" s="55" t="n"/>
      <c r="E383" s="55" t="n"/>
      <c r="F383" s="56" t="n"/>
      <c r="G383" s="196" t="n"/>
      <c r="H383" s="21" t="n"/>
      <c r="I383" s="21" t="n"/>
      <c r="J383" s="53">
        <f>IF($C383="","",INDEX(Настройки!$V$6:$V$17,MONTH($C383))&amp;" "&amp;YEAR($C383))</f>
        <v/>
      </c>
      <c r="K383" s="57">
        <f>IF(OR($F383="",$D383="Перевод"),"",IF(AND(N($G383)&lt;&gt;0,COUNTIFS(Журнал!$C$10:$C$1509,$C383,Журнал!$P$10:$P$1509,$G383)&gt;0),"есть в Журнале",IF(COUNTIF(Постоянные!$C$8:$C$37,$F383)&gt;0,"есть в Постоянных",IF(COUNTIF(Покупки!$C$7:$C$18,$F383)&gt;0,"есть в Покупках",""))))</f>
        <v/>
      </c>
      <c r="P383">
        <f>IF($C383="","",DATE(YEAR($C383),MONTH($C383),1))</f>
        <v/>
      </c>
      <c r="Q383">
        <f>IF(ISNUMBER($G383),ABS($G383),0)</f>
        <v/>
      </c>
      <c r="R383">
        <f>IF(AND($D383="Расход",COUNTIFS(Счета!$B$10:$B$21,$H383,Счета!$C$10:$C$21,"Кредитная")&gt;0),1,0)</f>
        <v/>
      </c>
    </row>
    <row r="384" ht="19" customHeight="1">
      <c r="B384" s="53">
        <f>IF(AND($C384="",$F384=""),"",ROW()-9)</f>
        <v/>
      </c>
      <c r="C384" s="213" t="n"/>
      <c r="D384" s="55" t="n"/>
      <c r="E384" s="55" t="n"/>
      <c r="F384" s="56" t="n"/>
      <c r="G384" s="196" t="n"/>
      <c r="H384" s="21" t="n"/>
      <c r="I384" s="21" t="n"/>
      <c r="J384" s="53">
        <f>IF($C384="","",INDEX(Настройки!$V$6:$V$17,MONTH($C384))&amp;" "&amp;YEAR($C384))</f>
        <v/>
      </c>
      <c r="K384" s="57">
        <f>IF(OR($F384="",$D384="Перевод"),"",IF(AND(N($G384)&lt;&gt;0,COUNTIFS(Журнал!$C$10:$C$1509,$C384,Журнал!$P$10:$P$1509,$G384)&gt;0),"есть в Журнале",IF(COUNTIF(Постоянные!$C$8:$C$37,$F384)&gt;0,"есть в Постоянных",IF(COUNTIF(Покупки!$C$7:$C$18,$F384)&gt;0,"есть в Покупках",""))))</f>
        <v/>
      </c>
      <c r="P384">
        <f>IF($C384="","",DATE(YEAR($C384),MONTH($C384),1))</f>
        <v/>
      </c>
      <c r="Q384">
        <f>IF(ISNUMBER($G384),ABS($G384),0)</f>
        <v/>
      </c>
      <c r="R384">
        <f>IF(AND($D384="Расход",COUNTIFS(Счета!$B$10:$B$21,$H384,Счета!$C$10:$C$21,"Кредитная")&gt;0),1,0)</f>
        <v/>
      </c>
    </row>
    <row r="385" ht="19" customHeight="1">
      <c r="B385" s="53">
        <f>IF(AND($C385="",$F385=""),"",ROW()-9)</f>
        <v/>
      </c>
      <c r="C385" s="213" t="n"/>
      <c r="D385" s="55" t="n"/>
      <c r="E385" s="55" t="n"/>
      <c r="F385" s="56" t="n"/>
      <c r="G385" s="196" t="n"/>
      <c r="H385" s="21" t="n"/>
      <c r="I385" s="21" t="n"/>
      <c r="J385" s="53">
        <f>IF($C385="","",INDEX(Настройки!$V$6:$V$17,MONTH($C385))&amp;" "&amp;YEAR($C385))</f>
        <v/>
      </c>
      <c r="K385" s="57">
        <f>IF(OR($F385="",$D385="Перевод"),"",IF(AND(N($G385)&lt;&gt;0,COUNTIFS(Журнал!$C$10:$C$1509,$C385,Журнал!$P$10:$P$1509,$G385)&gt;0),"есть в Журнале",IF(COUNTIF(Постоянные!$C$8:$C$37,$F385)&gt;0,"есть в Постоянных",IF(COUNTIF(Покупки!$C$7:$C$18,$F385)&gt;0,"есть в Покупках",""))))</f>
        <v/>
      </c>
      <c r="P385">
        <f>IF($C385="","",DATE(YEAR($C385),MONTH($C385),1))</f>
        <v/>
      </c>
      <c r="Q385">
        <f>IF(ISNUMBER($G385),ABS($G385),0)</f>
        <v/>
      </c>
      <c r="R385">
        <f>IF(AND($D385="Расход",COUNTIFS(Счета!$B$10:$B$21,$H385,Счета!$C$10:$C$21,"Кредитная")&gt;0),1,0)</f>
        <v/>
      </c>
    </row>
    <row r="386" ht="19" customHeight="1">
      <c r="B386" s="53">
        <f>IF(AND($C386="",$F386=""),"",ROW()-9)</f>
        <v/>
      </c>
      <c r="C386" s="213" t="n"/>
      <c r="D386" s="55" t="n"/>
      <c r="E386" s="55" t="n"/>
      <c r="F386" s="56" t="n"/>
      <c r="G386" s="196" t="n"/>
      <c r="H386" s="21" t="n"/>
      <c r="I386" s="21" t="n"/>
      <c r="J386" s="53">
        <f>IF($C386="","",INDEX(Настройки!$V$6:$V$17,MONTH($C386))&amp;" "&amp;YEAR($C386))</f>
        <v/>
      </c>
      <c r="K386" s="57">
        <f>IF(OR($F386="",$D386="Перевод"),"",IF(AND(N($G386)&lt;&gt;0,COUNTIFS(Журнал!$C$10:$C$1509,$C386,Журнал!$P$10:$P$1509,$G386)&gt;0),"есть в Журнале",IF(COUNTIF(Постоянные!$C$8:$C$37,$F386)&gt;0,"есть в Постоянных",IF(COUNTIF(Покупки!$C$7:$C$18,$F386)&gt;0,"есть в Покупках",""))))</f>
        <v/>
      </c>
      <c r="P386">
        <f>IF($C386="","",DATE(YEAR($C386),MONTH($C386),1))</f>
        <v/>
      </c>
      <c r="Q386">
        <f>IF(ISNUMBER($G386),ABS($G386),0)</f>
        <v/>
      </c>
      <c r="R386">
        <f>IF(AND($D386="Расход",COUNTIFS(Счета!$B$10:$B$21,$H386,Счета!$C$10:$C$21,"Кредитная")&gt;0),1,0)</f>
        <v/>
      </c>
    </row>
    <row r="387" ht="19" customHeight="1">
      <c r="B387" s="53">
        <f>IF(AND($C387="",$F387=""),"",ROW()-9)</f>
        <v/>
      </c>
      <c r="C387" s="213" t="n"/>
      <c r="D387" s="55" t="n"/>
      <c r="E387" s="55" t="n"/>
      <c r="F387" s="56" t="n"/>
      <c r="G387" s="196" t="n"/>
      <c r="H387" s="21" t="n"/>
      <c r="I387" s="21" t="n"/>
      <c r="J387" s="53">
        <f>IF($C387="","",INDEX(Настройки!$V$6:$V$17,MONTH($C387))&amp;" "&amp;YEAR($C387))</f>
        <v/>
      </c>
      <c r="K387" s="57">
        <f>IF(OR($F387="",$D387="Перевод"),"",IF(AND(N($G387)&lt;&gt;0,COUNTIFS(Журнал!$C$10:$C$1509,$C387,Журнал!$P$10:$P$1509,$G387)&gt;0),"есть в Журнале",IF(COUNTIF(Постоянные!$C$8:$C$37,$F387)&gt;0,"есть в Постоянных",IF(COUNTIF(Покупки!$C$7:$C$18,$F387)&gt;0,"есть в Покупках",""))))</f>
        <v/>
      </c>
      <c r="P387">
        <f>IF($C387="","",DATE(YEAR($C387),MONTH($C387),1))</f>
        <v/>
      </c>
      <c r="Q387">
        <f>IF(ISNUMBER($G387),ABS($G387),0)</f>
        <v/>
      </c>
      <c r="R387">
        <f>IF(AND($D387="Расход",COUNTIFS(Счета!$B$10:$B$21,$H387,Счета!$C$10:$C$21,"Кредитная")&gt;0),1,0)</f>
        <v/>
      </c>
    </row>
    <row r="388" ht="19" customHeight="1">
      <c r="B388" s="53">
        <f>IF(AND($C388="",$F388=""),"",ROW()-9)</f>
        <v/>
      </c>
      <c r="C388" s="213" t="n"/>
      <c r="D388" s="55" t="n"/>
      <c r="E388" s="55" t="n"/>
      <c r="F388" s="56" t="n"/>
      <c r="G388" s="196" t="n"/>
      <c r="H388" s="21" t="n"/>
      <c r="I388" s="21" t="n"/>
      <c r="J388" s="53">
        <f>IF($C388="","",INDEX(Настройки!$V$6:$V$17,MONTH($C388))&amp;" "&amp;YEAR($C388))</f>
        <v/>
      </c>
      <c r="K388" s="57">
        <f>IF(OR($F388="",$D388="Перевод"),"",IF(AND(N($G388)&lt;&gt;0,COUNTIFS(Журнал!$C$10:$C$1509,$C388,Журнал!$P$10:$P$1509,$G388)&gt;0),"есть в Журнале",IF(COUNTIF(Постоянные!$C$8:$C$37,$F388)&gt;0,"есть в Постоянных",IF(COUNTIF(Покупки!$C$7:$C$18,$F388)&gt;0,"есть в Покупках",""))))</f>
        <v/>
      </c>
      <c r="P388">
        <f>IF($C388="","",DATE(YEAR($C388),MONTH($C388),1))</f>
        <v/>
      </c>
      <c r="Q388">
        <f>IF(ISNUMBER($G388),ABS($G388),0)</f>
        <v/>
      </c>
      <c r="R388">
        <f>IF(AND($D388="Расход",COUNTIFS(Счета!$B$10:$B$21,$H388,Счета!$C$10:$C$21,"Кредитная")&gt;0),1,0)</f>
        <v/>
      </c>
    </row>
    <row r="389" ht="19" customHeight="1">
      <c r="B389" s="53">
        <f>IF(AND($C389="",$F389=""),"",ROW()-9)</f>
        <v/>
      </c>
      <c r="C389" s="213" t="n"/>
      <c r="D389" s="55" t="n"/>
      <c r="E389" s="55" t="n"/>
      <c r="F389" s="56" t="n"/>
      <c r="G389" s="196" t="n"/>
      <c r="H389" s="21" t="n"/>
      <c r="I389" s="21" t="n"/>
      <c r="J389" s="53">
        <f>IF($C389="","",INDEX(Настройки!$V$6:$V$17,MONTH($C389))&amp;" "&amp;YEAR($C389))</f>
        <v/>
      </c>
      <c r="K389" s="57">
        <f>IF(OR($F389="",$D389="Перевод"),"",IF(AND(N($G389)&lt;&gt;0,COUNTIFS(Журнал!$C$10:$C$1509,$C389,Журнал!$P$10:$P$1509,$G389)&gt;0),"есть в Журнале",IF(COUNTIF(Постоянные!$C$8:$C$37,$F389)&gt;0,"есть в Постоянных",IF(COUNTIF(Покупки!$C$7:$C$18,$F389)&gt;0,"есть в Покупках",""))))</f>
        <v/>
      </c>
      <c r="P389">
        <f>IF($C389="","",DATE(YEAR($C389),MONTH($C389),1))</f>
        <v/>
      </c>
      <c r="Q389">
        <f>IF(ISNUMBER($G389),ABS($G389),0)</f>
        <v/>
      </c>
      <c r="R389">
        <f>IF(AND($D389="Расход",COUNTIFS(Счета!$B$10:$B$21,$H389,Счета!$C$10:$C$21,"Кредитная")&gt;0),1,0)</f>
        <v/>
      </c>
    </row>
    <row r="390" ht="19" customHeight="1">
      <c r="B390" s="53">
        <f>IF(AND($C390="",$F390=""),"",ROW()-9)</f>
        <v/>
      </c>
      <c r="C390" s="213" t="n"/>
      <c r="D390" s="55" t="n"/>
      <c r="E390" s="55" t="n"/>
      <c r="F390" s="56" t="n"/>
      <c r="G390" s="196" t="n"/>
      <c r="H390" s="21" t="n"/>
      <c r="I390" s="21" t="n"/>
      <c r="J390" s="53">
        <f>IF($C390="","",INDEX(Настройки!$V$6:$V$17,MONTH($C390))&amp;" "&amp;YEAR($C390))</f>
        <v/>
      </c>
      <c r="K390" s="57">
        <f>IF(OR($F390="",$D390="Перевод"),"",IF(AND(N($G390)&lt;&gt;0,COUNTIFS(Журнал!$C$10:$C$1509,$C390,Журнал!$P$10:$P$1509,$G390)&gt;0),"есть в Журнале",IF(COUNTIF(Постоянные!$C$8:$C$37,$F390)&gt;0,"есть в Постоянных",IF(COUNTIF(Покупки!$C$7:$C$18,$F390)&gt;0,"есть в Покупках",""))))</f>
        <v/>
      </c>
      <c r="P390">
        <f>IF($C390="","",DATE(YEAR($C390),MONTH($C390),1))</f>
        <v/>
      </c>
      <c r="Q390">
        <f>IF(ISNUMBER($G390),ABS($G390),0)</f>
        <v/>
      </c>
      <c r="R390">
        <f>IF(AND($D390="Расход",COUNTIFS(Счета!$B$10:$B$21,$H390,Счета!$C$10:$C$21,"Кредитная")&gt;0),1,0)</f>
        <v/>
      </c>
    </row>
    <row r="391" ht="19" customHeight="1">
      <c r="B391" s="53">
        <f>IF(AND($C391="",$F391=""),"",ROW()-9)</f>
        <v/>
      </c>
      <c r="C391" s="213" t="n"/>
      <c r="D391" s="55" t="n"/>
      <c r="E391" s="55" t="n"/>
      <c r="F391" s="56" t="n"/>
      <c r="G391" s="196" t="n"/>
      <c r="H391" s="21" t="n"/>
      <c r="I391" s="21" t="n"/>
      <c r="J391" s="53">
        <f>IF($C391="","",INDEX(Настройки!$V$6:$V$17,MONTH($C391))&amp;" "&amp;YEAR($C391))</f>
        <v/>
      </c>
      <c r="K391" s="57">
        <f>IF(OR($F391="",$D391="Перевод"),"",IF(AND(N($G391)&lt;&gt;0,COUNTIFS(Журнал!$C$10:$C$1509,$C391,Журнал!$P$10:$P$1509,$G391)&gt;0),"есть в Журнале",IF(COUNTIF(Постоянные!$C$8:$C$37,$F391)&gt;0,"есть в Постоянных",IF(COUNTIF(Покупки!$C$7:$C$18,$F391)&gt;0,"есть в Покупках",""))))</f>
        <v/>
      </c>
      <c r="P391">
        <f>IF($C391="","",DATE(YEAR($C391),MONTH($C391),1))</f>
        <v/>
      </c>
      <c r="Q391">
        <f>IF(ISNUMBER($G391),ABS($G391),0)</f>
        <v/>
      </c>
      <c r="R391">
        <f>IF(AND($D391="Расход",COUNTIFS(Счета!$B$10:$B$21,$H391,Счета!$C$10:$C$21,"Кредитная")&gt;0),1,0)</f>
        <v/>
      </c>
    </row>
    <row r="392" ht="19" customHeight="1">
      <c r="B392" s="53">
        <f>IF(AND($C392="",$F392=""),"",ROW()-9)</f>
        <v/>
      </c>
      <c r="C392" s="213" t="n"/>
      <c r="D392" s="55" t="n"/>
      <c r="E392" s="55" t="n"/>
      <c r="F392" s="56" t="n"/>
      <c r="G392" s="196" t="n"/>
      <c r="H392" s="21" t="n"/>
      <c r="I392" s="21" t="n"/>
      <c r="J392" s="53">
        <f>IF($C392="","",INDEX(Настройки!$V$6:$V$17,MONTH($C392))&amp;" "&amp;YEAR($C392))</f>
        <v/>
      </c>
      <c r="K392" s="57">
        <f>IF(OR($F392="",$D392="Перевод"),"",IF(AND(N($G392)&lt;&gt;0,COUNTIFS(Журнал!$C$10:$C$1509,$C392,Журнал!$P$10:$P$1509,$G392)&gt;0),"есть в Журнале",IF(COUNTIF(Постоянные!$C$8:$C$37,$F392)&gt;0,"есть в Постоянных",IF(COUNTIF(Покупки!$C$7:$C$18,$F392)&gt;0,"есть в Покупках",""))))</f>
        <v/>
      </c>
      <c r="P392">
        <f>IF($C392="","",DATE(YEAR($C392),MONTH($C392),1))</f>
        <v/>
      </c>
      <c r="Q392">
        <f>IF(ISNUMBER($G392),ABS($G392),0)</f>
        <v/>
      </c>
      <c r="R392">
        <f>IF(AND($D392="Расход",COUNTIFS(Счета!$B$10:$B$21,$H392,Счета!$C$10:$C$21,"Кредитная")&gt;0),1,0)</f>
        <v/>
      </c>
    </row>
    <row r="393" ht="19" customHeight="1">
      <c r="B393" s="53">
        <f>IF(AND($C393="",$F393=""),"",ROW()-9)</f>
        <v/>
      </c>
      <c r="C393" s="213" t="n"/>
      <c r="D393" s="55" t="n"/>
      <c r="E393" s="55" t="n"/>
      <c r="F393" s="56" t="n"/>
      <c r="G393" s="196" t="n"/>
      <c r="H393" s="21" t="n"/>
      <c r="I393" s="21" t="n"/>
      <c r="J393" s="53">
        <f>IF($C393="","",INDEX(Настройки!$V$6:$V$17,MONTH($C393))&amp;" "&amp;YEAR($C393))</f>
        <v/>
      </c>
      <c r="K393" s="57">
        <f>IF(OR($F393="",$D393="Перевод"),"",IF(AND(N($G393)&lt;&gt;0,COUNTIFS(Журнал!$C$10:$C$1509,$C393,Журнал!$P$10:$P$1509,$G393)&gt;0),"есть в Журнале",IF(COUNTIF(Постоянные!$C$8:$C$37,$F393)&gt;0,"есть в Постоянных",IF(COUNTIF(Покупки!$C$7:$C$18,$F393)&gt;0,"есть в Покупках",""))))</f>
        <v/>
      </c>
      <c r="P393">
        <f>IF($C393="","",DATE(YEAR($C393),MONTH($C393),1))</f>
        <v/>
      </c>
      <c r="Q393">
        <f>IF(ISNUMBER($G393),ABS($G393),0)</f>
        <v/>
      </c>
      <c r="R393">
        <f>IF(AND($D393="Расход",COUNTIFS(Счета!$B$10:$B$21,$H393,Счета!$C$10:$C$21,"Кредитная")&gt;0),1,0)</f>
        <v/>
      </c>
    </row>
    <row r="394" ht="19" customHeight="1">
      <c r="B394" s="53">
        <f>IF(AND($C394="",$F394=""),"",ROW()-9)</f>
        <v/>
      </c>
      <c r="C394" s="213" t="n"/>
      <c r="D394" s="55" t="n"/>
      <c r="E394" s="55" t="n"/>
      <c r="F394" s="56" t="n"/>
      <c r="G394" s="196" t="n"/>
      <c r="H394" s="21" t="n"/>
      <c r="I394" s="21" t="n"/>
      <c r="J394" s="53">
        <f>IF($C394="","",INDEX(Настройки!$V$6:$V$17,MONTH($C394))&amp;" "&amp;YEAR($C394))</f>
        <v/>
      </c>
      <c r="K394" s="57">
        <f>IF(OR($F394="",$D394="Перевод"),"",IF(AND(N($G394)&lt;&gt;0,COUNTIFS(Журнал!$C$10:$C$1509,$C394,Журнал!$P$10:$P$1509,$G394)&gt;0),"есть в Журнале",IF(COUNTIF(Постоянные!$C$8:$C$37,$F394)&gt;0,"есть в Постоянных",IF(COUNTIF(Покупки!$C$7:$C$18,$F394)&gt;0,"есть в Покупках",""))))</f>
        <v/>
      </c>
      <c r="P394">
        <f>IF($C394="","",DATE(YEAR($C394),MONTH($C394),1))</f>
        <v/>
      </c>
      <c r="Q394">
        <f>IF(ISNUMBER($G394),ABS($G394),0)</f>
        <v/>
      </c>
      <c r="R394">
        <f>IF(AND($D394="Расход",COUNTIFS(Счета!$B$10:$B$21,$H394,Счета!$C$10:$C$21,"Кредитная")&gt;0),1,0)</f>
        <v/>
      </c>
    </row>
    <row r="395" ht="19" customHeight="1">
      <c r="B395" s="53">
        <f>IF(AND($C395="",$F395=""),"",ROW()-9)</f>
        <v/>
      </c>
      <c r="C395" s="213" t="n"/>
      <c r="D395" s="55" t="n"/>
      <c r="E395" s="55" t="n"/>
      <c r="F395" s="56" t="n"/>
      <c r="G395" s="196" t="n"/>
      <c r="H395" s="21" t="n"/>
      <c r="I395" s="21" t="n"/>
      <c r="J395" s="53">
        <f>IF($C395="","",INDEX(Настройки!$V$6:$V$17,MONTH($C395))&amp;" "&amp;YEAR($C395))</f>
        <v/>
      </c>
      <c r="K395" s="57">
        <f>IF(OR($F395="",$D395="Перевод"),"",IF(AND(N($G395)&lt;&gt;0,COUNTIFS(Журнал!$C$10:$C$1509,$C395,Журнал!$P$10:$P$1509,$G395)&gt;0),"есть в Журнале",IF(COUNTIF(Постоянные!$C$8:$C$37,$F395)&gt;0,"есть в Постоянных",IF(COUNTIF(Покупки!$C$7:$C$18,$F395)&gt;0,"есть в Покупках",""))))</f>
        <v/>
      </c>
      <c r="P395">
        <f>IF($C395="","",DATE(YEAR($C395),MONTH($C395),1))</f>
        <v/>
      </c>
      <c r="Q395">
        <f>IF(ISNUMBER($G395),ABS($G395),0)</f>
        <v/>
      </c>
      <c r="R395">
        <f>IF(AND($D395="Расход",COUNTIFS(Счета!$B$10:$B$21,$H395,Счета!$C$10:$C$21,"Кредитная")&gt;0),1,0)</f>
        <v/>
      </c>
    </row>
    <row r="396" ht="19" customHeight="1">
      <c r="B396" s="53">
        <f>IF(AND($C396="",$F396=""),"",ROW()-9)</f>
        <v/>
      </c>
      <c r="C396" s="213" t="n"/>
      <c r="D396" s="55" t="n"/>
      <c r="E396" s="55" t="n"/>
      <c r="F396" s="56" t="n"/>
      <c r="G396" s="196" t="n"/>
      <c r="H396" s="21" t="n"/>
      <c r="I396" s="21" t="n"/>
      <c r="J396" s="53">
        <f>IF($C396="","",INDEX(Настройки!$V$6:$V$17,MONTH($C396))&amp;" "&amp;YEAR($C396))</f>
        <v/>
      </c>
      <c r="K396" s="57">
        <f>IF(OR($F396="",$D396="Перевод"),"",IF(AND(N($G396)&lt;&gt;0,COUNTIFS(Журнал!$C$10:$C$1509,$C396,Журнал!$P$10:$P$1509,$G396)&gt;0),"есть в Журнале",IF(COUNTIF(Постоянные!$C$8:$C$37,$F396)&gt;0,"есть в Постоянных",IF(COUNTIF(Покупки!$C$7:$C$18,$F396)&gt;0,"есть в Покупках",""))))</f>
        <v/>
      </c>
      <c r="P396">
        <f>IF($C396="","",DATE(YEAR($C396),MONTH($C396),1))</f>
        <v/>
      </c>
      <c r="Q396">
        <f>IF(ISNUMBER($G396),ABS($G396),0)</f>
        <v/>
      </c>
      <c r="R396">
        <f>IF(AND($D396="Расход",COUNTIFS(Счета!$B$10:$B$21,$H396,Счета!$C$10:$C$21,"Кредитная")&gt;0),1,0)</f>
        <v/>
      </c>
    </row>
    <row r="397" ht="19" customHeight="1">
      <c r="B397" s="53">
        <f>IF(AND($C397="",$F397=""),"",ROW()-9)</f>
        <v/>
      </c>
      <c r="C397" s="213" t="n"/>
      <c r="D397" s="55" t="n"/>
      <c r="E397" s="55" t="n"/>
      <c r="F397" s="56" t="n"/>
      <c r="G397" s="196" t="n"/>
      <c r="H397" s="21" t="n"/>
      <c r="I397" s="21" t="n"/>
      <c r="J397" s="53">
        <f>IF($C397="","",INDEX(Настройки!$V$6:$V$17,MONTH($C397))&amp;" "&amp;YEAR($C397))</f>
        <v/>
      </c>
      <c r="K397" s="57">
        <f>IF(OR($F397="",$D397="Перевод"),"",IF(AND(N($G397)&lt;&gt;0,COUNTIFS(Журнал!$C$10:$C$1509,$C397,Журнал!$P$10:$P$1509,$G397)&gt;0),"есть в Журнале",IF(COUNTIF(Постоянные!$C$8:$C$37,$F397)&gt;0,"есть в Постоянных",IF(COUNTIF(Покупки!$C$7:$C$18,$F397)&gt;0,"есть в Покупках",""))))</f>
        <v/>
      </c>
      <c r="P397">
        <f>IF($C397="","",DATE(YEAR($C397),MONTH($C397),1))</f>
        <v/>
      </c>
      <c r="Q397">
        <f>IF(ISNUMBER($G397),ABS($G397),0)</f>
        <v/>
      </c>
      <c r="R397">
        <f>IF(AND($D397="Расход",COUNTIFS(Счета!$B$10:$B$21,$H397,Счета!$C$10:$C$21,"Кредитная")&gt;0),1,0)</f>
        <v/>
      </c>
    </row>
    <row r="398" ht="19" customHeight="1">
      <c r="B398" s="53">
        <f>IF(AND($C398="",$F398=""),"",ROW()-9)</f>
        <v/>
      </c>
      <c r="C398" s="213" t="n"/>
      <c r="D398" s="55" t="n"/>
      <c r="E398" s="55" t="n"/>
      <c r="F398" s="56" t="n"/>
      <c r="G398" s="196" t="n"/>
      <c r="H398" s="21" t="n"/>
      <c r="I398" s="21" t="n"/>
      <c r="J398" s="53">
        <f>IF($C398="","",INDEX(Настройки!$V$6:$V$17,MONTH($C398))&amp;" "&amp;YEAR($C398))</f>
        <v/>
      </c>
      <c r="K398" s="57">
        <f>IF(OR($F398="",$D398="Перевод"),"",IF(AND(N($G398)&lt;&gt;0,COUNTIFS(Журнал!$C$10:$C$1509,$C398,Журнал!$P$10:$P$1509,$G398)&gt;0),"есть в Журнале",IF(COUNTIF(Постоянные!$C$8:$C$37,$F398)&gt;0,"есть в Постоянных",IF(COUNTIF(Покупки!$C$7:$C$18,$F398)&gt;0,"есть в Покупках",""))))</f>
        <v/>
      </c>
      <c r="P398">
        <f>IF($C398="","",DATE(YEAR($C398),MONTH($C398),1))</f>
        <v/>
      </c>
      <c r="Q398">
        <f>IF(ISNUMBER($G398),ABS($G398),0)</f>
        <v/>
      </c>
      <c r="R398">
        <f>IF(AND($D398="Расход",COUNTIFS(Счета!$B$10:$B$21,$H398,Счета!$C$10:$C$21,"Кредитная")&gt;0),1,0)</f>
        <v/>
      </c>
    </row>
    <row r="399" ht="19" customHeight="1">
      <c r="B399" s="53">
        <f>IF(AND($C399="",$F399=""),"",ROW()-9)</f>
        <v/>
      </c>
      <c r="C399" s="213" t="n"/>
      <c r="D399" s="55" t="n"/>
      <c r="E399" s="55" t="n"/>
      <c r="F399" s="56" t="n"/>
      <c r="G399" s="196" t="n"/>
      <c r="H399" s="21" t="n"/>
      <c r="I399" s="21" t="n"/>
      <c r="J399" s="53">
        <f>IF($C399="","",INDEX(Настройки!$V$6:$V$17,MONTH($C399))&amp;" "&amp;YEAR($C399))</f>
        <v/>
      </c>
      <c r="K399" s="57">
        <f>IF(OR($F399="",$D399="Перевод"),"",IF(AND(N($G399)&lt;&gt;0,COUNTIFS(Журнал!$C$10:$C$1509,$C399,Журнал!$P$10:$P$1509,$G399)&gt;0),"есть в Журнале",IF(COUNTIF(Постоянные!$C$8:$C$37,$F399)&gt;0,"есть в Постоянных",IF(COUNTIF(Покупки!$C$7:$C$18,$F399)&gt;0,"есть в Покупках",""))))</f>
        <v/>
      </c>
      <c r="P399">
        <f>IF($C399="","",DATE(YEAR($C399),MONTH($C399),1))</f>
        <v/>
      </c>
      <c r="Q399">
        <f>IF(ISNUMBER($G399),ABS($G399),0)</f>
        <v/>
      </c>
      <c r="R399">
        <f>IF(AND($D399="Расход",COUNTIFS(Счета!$B$10:$B$21,$H399,Счета!$C$10:$C$21,"Кредитная")&gt;0),1,0)</f>
        <v/>
      </c>
    </row>
    <row r="400" ht="19" customHeight="1">
      <c r="B400" s="53">
        <f>IF(AND($C400="",$F400=""),"",ROW()-9)</f>
        <v/>
      </c>
      <c r="C400" s="213" t="n"/>
      <c r="D400" s="55" t="n"/>
      <c r="E400" s="55" t="n"/>
      <c r="F400" s="56" t="n"/>
      <c r="G400" s="196" t="n"/>
      <c r="H400" s="21" t="n"/>
      <c r="I400" s="21" t="n"/>
      <c r="J400" s="53">
        <f>IF($C400="","",INDEX(Настройки!$V$6:$V$17,MONTH($C400))&amp;" "&amp;YEAR($C400))</f>
        <v/>
      </c>
      <c r="K400" s="57">
        <f>IF(OR($F400="",$D400="Перевод"),"",IF(AND(N($G400)&lt;&gt;0,COUNTIFS(Журнал!$C$10:$C$1509,$C400,Журнал!$P$10:$P$1509,$G400)&gt;0),"есть в Журнале",IF(COUNTIF(Постоянные!$C$8:$C$37,$F400)&gt;0,"есть в Постоянных",IF(COUNTIF(Покупки!$C$7:$C$18,$F400)&gt;0,"есть в Покупках",""))))</f>
        <v/>
      </c>
      <c r="P400">
        <f>IF($C400="","",DATE(YEAR($C400),MONTH($C400),1))</f>
        <v/>
      </c>
      <c r="Q400">
        <f>IF(ISNUMBER($G400),ABS($G400),0)</f>
        <v/>
      </c>
      <c r="R400">
        <f>IF(AND($D400="Расход",COUNTIFS(Счета!$B$10:$B$21,$H400,Счета!$C$10:$C$21,"Кредитная")&gt;0),1,0)</f>
        <v/>
      </c>
    </row>
    <row r="401" ht="19" customHeight="1">
      <c r="B401" s="53">
        <f>IF(AND($C401="",$F401=""),"",ROW()-9)</f>
        <v/>
      </c>
      <c r="C401" s="213" t="n"/>
      <c r="D401" s="55" t="n"/>
      <c r="E401" s="55" t="n"/>
      <c r="F401" s="56" t="n"/>
      <c r="G401" s="196" t="n"/>
      <c r="H401" s="21" t="n"/>
      <c r="I401" s="21" t="n"/>
      <c r="J401" s="53">
        <f>IF($C401="","",INDEX(Настройки!$V$6:$V$17,MONTH($C401))&amp;" "&amp;YEAR($C401))</f>
        <v/>
      </c>
      <c r="K401" s="57">
        <f>IF(OR($F401="",$D401="Перевод"),"",IF(AND(N($G401)&lt;&gt;0,COUNTIFS(Журнал!$C$10:$C$1509,$C401,Журнал!$P$10:$P$1509,$G401)&gt;0),"есть в Журнале",IF(COUNTIF(Постоянные!$C$8:$C$37,$F401)&gt;0,"есть в Постоянных",IF(COUNTIF(Покупки!$C$7:$C$18,$F401)&gt;0,"есть в Покупках",""))))</f>
        <v/>
      </c>
      <c r="P401">
        <f>IF($C401="","",DATE(YEAR($C401),MONTH($C401),1))</f>
        <v/>
      </c>
      <c r="Q401">
        <f>IF(ISNUMBER($G401),ABS($G401),0)</f>
        <v/>
      </c>
      <c r="R401">
        <f>IF(AND($D401="Расход",COUNTIFS(Счета!$B$10:$B$21,$H401,Счета!$C$10:$C$21,"Кредитная")&gt;0),1,0)</f>
        <v/>
      </c>
    </row>
    <row r="402" ht="19" customHeight="1">
      <c r="B402" s="53">
        <f>IF(AND($C402="",$F402=""),"",ROW()-9)</f>
        <v/>
      </c>
      <c r="C402" s="213" t="n"/>
      <c r="D402" s="55" t="n"/>
      <c r="E402" s="55" t="n"/>
      <c r="F402" s="56" t="n"/>
      <c r="G402" s="196" t="n"/>
      <c r="H402" s="21" t="n"/>
      <c r="I402" s="21" t="n"/>
      <c r="J402" s="53">
        <f>IF($C402="","",INDEX(Настройки!$V$6:$V$17,MONTH($C402))&amp;" "&amp;YEAR($C402))</f>
        <v/>
      </c>
      <c r="K402" s="57">
        <f>IF(OR($F402="",$D402="Перевод"),"",IF(AND(N($G402)&lt;&gt;0,COUNTIFS(Журнал!$C$10:$C$1509,$C402,Журнал!$P$10:$P$1509,$G402)&gt;0),"есть в Журнале",IF(COUNTIF(Постоянные!$C$8:$C$37,$F402)&gt;0,"есть в Постоянных",IF(COUNTIF(Покупки!$C$7:$C$18,$F402)&gt;0,"есть в Покупках",""))))</f>
        <v/>
      </c>
      <c r="P402">
        <f>IF($C402="","",DATE(YEAR($C402),MONTH($C402),1))</f>
        <v/>
      </c>
      <c r="Q402">
        <f>IF(ISNUMBER($G402),ABS($G402),0)</f>
        <v/>
      </c>
      <c r="R402">
        <f>IF(AND($D402="Расход",COUNTIFS(Счета!$B$10:$B$21,$H402,Счета!$C$10:$C$21,"Кредитная")&gt;0),1,0)</f>
        <v/>
      </c>
    </row>
    <row r="403" ht="19" customHeight="1">
      <c r="B403" s="53">
        <f>IF(AND($C403="",$F403=""),"",ROW()-9)</f>
        <v/>
      </c>
      <c r="C403" s="213" t="n"/>
      <c r="D403" s="55" t="n"/>
      <c r="E403" s="55" t="n"/>
      <c r="F403" s="56" t="n"/>
      <c r="G403" s="196" t="n"/>
      <c r="H403" s="21" t="n"/>
      <c r="I403" s="21" t="n"/>
      <c r="J403" s="53">
        <f>IF($C403="","",INDEX(Настройки!$V$6:$V$17,MONTH($C403))&amp;" "&amp;YEAR($C403))</f>
        <v/>
      </c>
      <c r="K403" s="57">
        <f>IF(OR($F403="",$D403="Перевод"),"",IF(AND(N($G403)&lt;&gt;0,COUNTIFS(Журнал!$C$10:$C$1509,$C403,Журнал!$P$10:$P$1509,$G403)&gt;0),"есть в Журнале",IF(COUNTIF(Постоянные!$C$8:$C$37,$F403)&gt;0,"есть в Постоянных",IF(COUNTIF(Покупки!$C$7:$C$18,$F403)&gt;0,"есть в Покупках",""))))</f>
        <v/>
      </c>
      <c r="P403">
        <f>IF($C403="","",DATE(YEAR($C403),MONTH($C403),1))</f>
        <v/>
      </c>
      <c r="Q403">
        <f>IF(ISNUMBER($G403),ABS($G403),0)</f>
        <v/>
      </c>
      <c r="R403">
        <f>IF(AND($D403="Расход",COUNTIFS(Счета!$B$10:$B$21,$H403,Счета!$C$10:$C$21,"Кредитная")&gt;0),1,0)</f>
        <v/>
      </c>
    </row>
    <row r="404" ht="19" customHeight="1">
      <c r="B404" s="53">
        <f>IF(AND($C404="",$F404=""),"",ROW()-9)</f>
        <v/>
      </c>
      <c r="C404" s="213" t="n"/>
      <c r="D404" s="55" t="n"/>
      <c r="E404" s="55" t="n"/>
      <c r="F404" s="56" t="n"/>
      <c r="G404" s="196" t="n"/>
      <c r="H404" s="21" t="n"/>
      <c r="I404" s="21" t="n"/>
      <c r="J404" s="53">
        <f>IF($C404="","",INDEX(Настройки!$V$6:$V$17,MONTH($C404))&amp;" "&amp;YEAR($C404))</f>
        <v/>
      </c>
      <c r="K404" s="57">
        <f>IF(OR($F404="",$D404="Перевод"),"",IF(AND(N($G404)&lt;&gt;0,COUNTIFS(Журнал!$C$10:$C$1509,$C404,Журнал!$P$10:$P$1509,$G404)&gt;0),"есть в Журнале",IF(COUNTIF(Постоянные!$C$8:$C$37,$F404)&gt;0,"есть в Постоянных",IF(COUNTIF(Покупки!$C$7:$C$18,$F404)&gt;0,"есть в Покупках",""))))</f>
        <v/>
      </c>
      <c r="P404">
        <f>IF($C404="","",DATE(YEAR($C404),MONTH($C404),1))</f>
        <v/>
      </c>
      <c r="Q404">
        <f>IF(ISNUMBER($G404),ABS($G404),0)</f>
        <v/>
      </c>
      <c r="R404">
        <f>IF(AND($D404="Расход",COUNTIFS(Счета!$B$10:$B$21,$H404,Счета!$C$10:$C$21,"Кредитная")&gt;0),1,0)</f>
        <v/>
      </c>
    </row>
    <row r="405" ht="19" customHeight="1">
      <c r="B405" s="53">
        <f>IF(AND($C405="",$F405=""),"",ROW()-9)</f>
        <v/>
      </c>
      <c r="C405" s="213" t="n"/>
      <c r="D405" s="55" t="n"/>
      <c r="E405" s="55" t="n"/>
      <c r="F405" s="56" t="n"/>
      <c r="G405" s="196" t="n"/>
      <c r="H405" s="21" t="n"/>
      <c r="I405" s="21" t="n"/>
      <c r="J405" s="53">
        <f>IF($C405="","",INDEX(Настройки!$V$6:$V$17,MONTH($C405))&amp;" "&amp;YEAR($C405))</f>
        <v/>
      </c>
      <c r="K405" s="57">
        <f>IF(OR($F405="",$D405="Перевод"),"",IF(AND(N($G405)&lt;&gt;0,COUNTIFS(Журнал!$C$10:$C$1509,$C405,Журнал!$P$10:$P$1509,$G405)&gt;0),"есть в Журнале",IF(COUNTIF(Постоянные!$C$8:$C$37,$F405)&gt;0,"есть в Постоянных",IF(COUNTIF(Покупки!$C$7:$C$18,$F405)&gt;0,"есть в Покупках",""))))</f>
        <v/>
      </c>
      <c r="P405">
        <f>IF($C405="","",DATE(YEAR($C405),MONTH($C405),1))</f>
        <v/>
      </c>
      <c r="Q405">
        <f>IF(ISNUMBER($G405),ABS($G405),0)</f>
        <v/>
      </c>
      <c r="R405">
        <f>IF(AND($D405="Расход",COUNTIFS(Счета!$B$10:$B$21,$H405,Счета!$C$10:$C$21,"Кредитная")&gt;0),1,0)</f>
        <v/>
      </c>
    </row>
    <row r="406" ht="19" customHeight="1">
      <c r="B406" s="53">
        <f>IF(AND($C406="",$F406=""),"",ROW()-9)</f>
        <v/>
      </c>
      <c r="C406" s="213" t="n"/>
      <c r="D406" s="55" t="n"/>
      <c r="E406" s="55" t="n"/>
      <c r="F406" s="56" t="n"/>
      <c r="G406" s="196" t="n"/>
      <c r="H406" s="21" t="n"/>
      <c r="I406" s="21" t="n"/>
      <c r="J406" s="53">
        <f>IF($C406="","",INDEX(Настройки!$V$6:$V$17,MONTH($C406))&amp;" "&amp;YEAR($C406))</f>
        <v/>
      </c>
      <c r="K406" s="57">
        <f>IF(OR($F406="",$D406="Перевод"),"",IF(AND(N($G406)&lt;&gt;0,COUNTIFS(Журнал!$C$10:$C$1509,$C406,Журнал!$P$10:$P$1509,$G406)&gt;0),"есть в Журнале",IF(COUNTIF(Постоянные!$C$8:$C$37,$F406)&gt;0,"есть в Постоянных",IF(COUNTIF(Покупки!$C$7:$C$18,$F406)&gt;0,"есть в Покупках",""))))</f>
        <v/>
      </c>
      <c r="P406">
        <f>IF($C406="","",DATE(YEAR($C406),MONTH($C406),1))</f>
        <v/>
      </c>
      <c r="Q406">
        <f>IF(ISNUMBER($G406),ABS($G406),0)</f>
        <v/>
      </c>
      <c r="R406">
        <f>IF(AND($D406="Расход",COUNTIFS(Счета!$B$10:$B$21,$H406,Счета!$C$10:$C$21,"Кредитная")&gt;0),1,0)</f>
        <v/>
      </c>
    </row>
    <row r="407" ht="19" customHeight="1">
      <c r="B407" s="53">
        <f>IF(AND($C407="",$F407=""),"",ROW()-9)</f>
        <v/>
      </c>
      <c r="C407" s="213" t="n"/>
      <c r="D407" s="55" t="n"/>
      <c r="E407" s="55" t="n"/>
      <c r="F407" s="56" t="n"/>
      <c r="G407" s="196" t="n"/>
      <c r="H407" s="21" t="n"/>
      <c r="I407" s="21" t="n"/>
      <c r="J407" s="53">
        <f>IF($C407="","",INDEX(Настройки!$V$6:$V$17,MONTH($C407))&amp;" "&amp;YEAR($C407))</f>
        <v/>
      </c>
      <c r="K407" s="57">
        <f>IF(OR($F407="",$D407="Перевод"),"",IF(AND(N($G407)&lt;&gt;0,COUNTIFS(Журнал!$C$10:$C$1509,$C407,Журнал!$P$10:$P$1509,$G407)&gt;0),"есть в Журнале",IF(COUNTIF(Постоянные!$C$8:$C$37,$F407)&gt;0,"есть в Постоянных",IF(COUNTIF(Покупки!$C$7:$C$18,$F407)&gt;0,"есть в Покупках",""))))</f>
        <v/>
      </c>
      <c r="P407">
        <f>IF($C407="","",DATE(YEAR($C407),MONTH($C407),1))</f>
        <v/>
      </c>
      <c r="Q407">
        <f>IF(ISNUMBER($G407),ABS($G407),0)</f>
        <v/>
      </c>
      <c r="R407">
        <f>IF(AND($D407="Расход",COUNTIFS(Счета!$B$10:$B$21,$H407,Счета!$C$10:$C$21,"Кредитная")&gt;0),1,0)</f>
        <v/>
      </c>
    </row>
    <row r="408" ht="19" customHeight="1">
      <c r="B408" s="53">
        <f>IF(AND($C408="",$F408=""),"",ROW()-9)</f>
        <v/>
      </c>
      <c r="C408" s="213" t="n"/>
      <c r="D408" s="55" t="n"/>
      <c r="E408" s="55" t="n"/>
      <c r="F408" s="56" t="n"/>
      <c r="G408" s="196" t="n"/>
      <c r="H408" s="21" t="n"/>
      <c r="I408" s="21" t="n"/>
      <c r="J408" s="53">
        <f>IF($C408="","",INDEX(Настройки!$V$6:$V$17,MONTH($C408))&amp;" "&amp;YEAR($C408))</f>
        <v/>
      </c>
      <c r="K408" s="57">
        <f>IF(OR($F408="",$D408="Перевод"),"",IF(AND(N($G408)&lt;&gt;0,COUNTIFS(Журнал!$C$10:$C$1509,$C408,Журнал!$P$10:$P$1509,$G408)&gt;0),"есть в Журнале",IF(COUNTIF(Постоянные!$C$8:$C$37,$F408)&gt;0,"есть в Постоянных",IF(COUNTIF(Покупки!$C$7:$C$18,$F408)&gt;0,"есть в Покупках",""))))</f>
        <v/>
      </c>
      <c r="P408">
        <f>IF($C408="","",DATE(YEAR($C408),MONTH($C408),1))</f>
        <v/>
      </c>
      <c r="Q408">
        <f>IF(ISNUMBER($G408),ABS($G408),0)</f>
        <v/>
      </c>
      <c r="R408">
        <f>IF(AND($D408="Расход",COUNTIFS(Счета!$B$10:$B$21,$H408,Счета!$C$10:$C$21,"Кредитная")&gt;0),1,0)</f>
        <v/>
      </c>
    </row>
    <row r="409" ht="19" customHeight="1">
      <c r="B409" s="53">
        <f>IF(AND($C409="",$F409=""),"",ROW()-9)</f>
        <v/>
      </c>
      <c r="C409" s="213" t="n"/>
      <c r="D409" s="55" t="n"/>
      <c r="E409" s="55" t="n"/>
      <c r="F409" s="56" t="n"/>
      <c r="G409" s="196" t="n"/>
      <c r="H409" s="21" t="n"/>
      <c r="I409" s="21" t="n"/>
      <c r="J409" s="53">
        <f>IF($C409="","",INDEX(Настройки!$V$6:$V$17,MONTH($C409))&amp;" "&amp;YEAR($C409))</f>
        <v/>
      </c>
      <c r="K409" s="57">
        <f>IF(OR($F409="",$D409="Перевод"),"",IF(AND(N($G409)&lt;&gt;0,COUNTIFS(Журнал!$C$10:$C$1509,$C409,Журнал!$P$10:$P$1509,$G409)&gt;0),"есть в Журнале",IF(COUNTIF(Постоянные!$C$8:$C$37,$F409)&gt;0,"есть в Постоянных",IF(COUNTIF(Покупки!$C$7:$C$18,$F409)&gt;0,"есть в Покупках",""))))</f>
        <v/>
      </c>
      <c r="P409">
        <f>IF($C409="","",DATE(YEAR($C409),MONTH($C409),1))</f>
        <v/>
      </c>
      <c r="Q409">
        <f>IF(ISNUMBER($G409),ABS($G409),0)</f>
        <v/>
      </c>
      <c r="R409">
        <f>IF(AND($D409="Расход",COUNTIFS(Счета!$B$10:$B$21,$H409,Счета!$C$10:$C$21,"Кредитная")&gt;0),1,0)</f>
        <v/>
      </c>
    </row>
    <row r="410" ht="19" customHeight="1">
      <c r="B410" s="53">
        <f>IF(AND($C410="",$F410=""),"",ROW()-9)</f>
        <v/>
      </c>
      <c r="C410" s="213" t="n"/>
      <c r="D410" s="55" t="n"/>
      <c r="E410" s="55" t="n"/>
      <c r="F410" s="56" t="n"/>
      <c r="G410" s="196" t="n"/>
      <c r="H410" s="21" t="n"/>
      <c r="I410" s="21" t="n"/>
      <c r="J410" s="53">
        <f>IF($C410="","",INDEX(Настройки!$V$6:$V$17,MONTH($C410))&amp;" "&amp;YEAR($C410))</f>
        <v/>
      </c>
      <c r="K410" s="57">
        <f>IF(OR($F410="",$D410="Перевод"),"",IF(AND(N($G410)&lt;&gt;0,COUNTIFS(Журнал!$C$10:$C$1509,$C410,Журнал!$P$10:$P$1509,$G410)&gt;0),"есть в Журнале",IF(COUNTIF(Постоянные!$C$8:$C$37,$F410)&gt;0,"есть в Постоянных",IF(COUNTIF(Покупки!$C$7:$C$18,$F410)&gt;0,"есть в Покупках",""))))</f>
        <v/>
      </c>
      <c r="P410">
        <f>IF($C410="","",DATE(YEAR($C410),MONTH($C410),1))</f>
        <v/>
      </c>
      <c r="Q410">
        <f>IF(ISNUMBER($G410),ABS($G410),0)</f>
        <v/>
      </c>
      <c r="R410">
        <f>IF(AND($D410="Расход",COUNTIFS(Счета!$B$10:$B$21,$H410,Счета!$C$10:$C$21,"Кредитная")&gt;0),1,0)</f>
        <v/>
      </c>
    </row>
    <row r="411" ht="19" customHeight="1">
      <c r="B411" s="53">
        <f>IF(AND($C411="",$F411=""),"",ROW()-9)</f>
        <v/>
      </c>
      <c r="C411" s="213" t="n"/>
      <c r="D411" s="55" t="n"/>
      <c r="E411" s="55" t="n"/>
      <c r="F411" s="56" t="n"/>
      <c r="G411" s="196" t="n"/>
      <c r="H411" s="21" t="n"/>
      <c r="I411" s="21" t="n"/>
      <c r="J411" s="53">
        <f>IF($C411="","",INDEX(Настройки!$V$6:$V$17,MONTH($C411))&amp;" "&amp;YEAR($C411))</f>
        <v/>
      </c>
      <c r="K411" s="57">
        <f>IF(OR($F411="",$D411="Перевод"),"",IF(AND(N($G411)&lt;&gt;0,COUNTIFS(Журнал!$C$10:$C$1509,$C411,Журнал!$P$10:$P$1509,$G411)&gt;0),"есть в Журнале",IF(COUNTIF(Постоянные!$C$8:$C$37,$F411)&gt;0,"есть в Постоянных",IF(COUNTIF(Покупки!$C$7:$C$18,$F411)&gt;0,"есть в Покупках",""))))</f>
        <v/>
      </c>
      <c r="P411">
        <f>IF($C411="","",DATE(YEAR($C411),MONTH($C411),1))</f>
        <v/>
      </c>
      <c r="Q411">
        <f>IF(ISNUMBER($G411),ABS($G411),0)</f>
        <v/>
      </c>
      <c r="R411">
        <f>IF(AND($D411="Расход",COUNTIFS(Счета!$B$10:$B$21,$H411,Счета!$C$10:$C$21,"Кредитная")&gt;0),1,0)</f>
        <v/>
      </c>
    </row>
    <row r="412" ht="19" customHeight="1">
      <c r="B412" s="53">
        <f>IF(AND($C412="",$F412=""),"",ROW()-9)</f>
        <v/>
      </c>
      <c r="C412" s="213" t="n"/>
      <c r="D412" s="55" t="n"/>
      <c r="E412" s="55" t="n"/>
      <c r="F412" s="56" t="n"/>
      <c r="G412" s="196" t="n"/>
      <c r="H412" s="21" t="n"/>
      <c r="I412" s="21" t="n"/>
      <c r="J412" s="53">
        <f>IF($C412="","",INDEX(Настройки!$V$6:$V$17,MONTH($C412))&amp;" "&amp;YEAR($C412))</f>
        <v/>
      </c>
      <c r="K412" s="57">
        <f>IF(OR($F412="",$D412="Перевод"),"",IF(AND(N($G412)&lt;&gt;0,COUNTIFS(Журнал!$C$10:$C$1509,$C412,Журнал!$P$10:$P$1509,$G412)&gt;0),"есть в Журнале",IF(COUNTIF(Постоянные!$C$8:$C$37,$F412)&gt;0,"есть в Постоянных",IF(COUNTIF(Покупки!$C$7:$C$18,$F412)&gt;0,"есть в Покупках",""))))</f>
        <v/>
      </c>
      <c r="P412">
        <f>IF($C412="","",DATE(YEAR($C412),MONTH($C412),1))</f>
        <v/>
      </c>
      <c r="Q412">
        <f>IF(ISNUMBER($G412),ABS($G412),0)</f>
        <v/>
      </c>
      <c r="R412">
        <f>IF(AND($D412="Расход",COUNTIFS(Счета!$B$10:$B$21,$H412,Счета!$C$10:$C$21,"Кредитная")&gt;0),1,0)</f>
        <v/>
      </c>
    </row>
    <row r="413" ht="19" customHeight="1">
      <c r="B413" s="53">
        <f>IF(AND($C413="",$F413=""),"",ROW()-9)</f>
        <v/>
      </c>
      <c r="C413" s="213" t="n"/>
      <c r="D413" s="55" t="n"/>
      <c r="E413" s="55" t="n"/>
      <c r="F413" s="56" t="n"/>
      <c r="G413" s="196" t="n"/>
      <c r="H413" s="21" t="n"/>
      <c r="I413" s="21" t="n"/>
      <c r="J413" s="53">
        <f>IF($C413="","",INDEX(Настройки!$V$6:$V$17,MONTH($C413))&amp;" "&amp;YEAR($C413))</f>
        <v/>
      </c>
      <c r="K413" s="57">
        <f>IF(OR($F413="",$D413="Перевод"),"",IF(AND(N($G413)&lt;&gt;0,COUNTIFS(Журнал!$C$10:$C$1509,$C413,Журнал!$P$10:$P$1509,$G413)&gt;0),"есть в Журнале",IF(COUNTIF(Постоянные!$C$8:$C$37,$F413)&gt;0,"есть в Постоянных",IF(COUNTIF(Покупки!$C$7:$C$18,$F413)&gt;0,"есть в Покупках",""))))</f>
        <v/>
      </c>
      <c r="P413">
        <f>IF($C413="","",DATE(YEAR($C413),MONTH($C413),1))</f>
        <v/>
      </c>
      <c r="Q413">
        <f>IF(ISNUMBER($G413),ABS($G413),0)</f>
        <v/>
      </c>
      <c r="R413">
        <f>IF(AND($D413="Расход",COUNTIFS(Счета!$B$10:$B$21,$H413,Счета!$C$10:$C$21,"Кредитная")&gt;0),1,0)</f>
        <v/>
      </c>
    </row>
    <row r="414" ht="19" customHeight="1">
      <c r="B414" s="53">
        <f>IF(AND($C414="",$F414=""),"",ROW()-9)</f>
        <v/>
      </c>
      <c r="C414" s="213" t="n"/>
      <c r="D414" s="55" t="n"/>
      <c r="E414" s="55" t="n"/>
      <c r="F414" s="56" t="n"/>
      <c r="G414" s="196" t="n"/>
      <c r="H414" s="21" t="n"/>
      <c r="I414" s="21" t="n"/>
      <c r="J414" s="53">
        <f>IF($C414="","",INDEX(Настройки!$V$6:$V$17,MONTH($C414))&amp;" "&amp;YEAR($C414))</f>
        <v/>
      </c>
      <c r="K414" s="57">
        <f>IF(OR($F414="",$D414="Перевод"),"",IF(AND(N($G414)&lt;&gt;0,COUNTIFS(Журнал!$C$10:$C$1509,$C414,Журнал!$P$10:$P$1509,$G414)&gt;0),"есть в Журнале",IF(COUNTIF(Постоянные!$C$8:$C$37,$F414)&gt;0,"есть в Постоянных",IF(COUNTIF(Покупки!$C$7:$C$18,$F414)&gt;0,"есть в Покупках",""))))</f>
        <v/>
      </c>
      <c r="P414">
        <f>IF($C414="","",DATE(YEAR($C414),MONTH($C414),1))</f>
        <v/>
      </c>
      <c r="Q414">
        <f>IF(ISNUMBER($G414),ABS($G414),0)</f>
        <v/>
      </c>
      <c r="R414">
        <f>IF(AND($D414="Расход",COUNTIFS(Счета!$B$10:$B$21,$H414,Счета!$C$10:$C$21,"Кредитная")&gt;0),1,0)</f>
        <v/>
      </c>
    </row>
    <row r="415" ht="19" customHeight="1">
      <c r="B415" s="53">
        <f>IF(AND($C415="",$F415=""),"",ROW()-9)</f>
        <v/>
      </c>
      <c r="C415" s="213" t="n"/>
      <c r="D415" s="55" t="n"/>
      <c r="E415" s="55" t="n"/>
      <c r="F415" s="56" t="n"/>
      <c r="G415" s="196" t="n"/>
      <c r="H415" s="21" t="n"/>
      <c r="I415" s="21" t="n"/>
      <c r="J415" s="53">
        <f>IF($C415="","",INDEX(Настройки!$V$6:$V$17,MONTH($C415))&amp;" "&amp;YEAR($C415))</f>
        <v/>
      </c>
      <c r="K415" s="57">
        <f>IF(OR($F415="",$D415="Перевод"),"",IF(AND(N($G415)&lt;&gt;0,COUNTIFS(Журнал!$C$10:$C$1509,$C415,Журнал!$P$10:$P$1509,$G415)&gt;0),"есть в Журнале",IF(COUNTIF(Постоянные!$C$8:$C$37,$F415)&gt;0,"есть в Постоянных",IF(COUNTIF(Покупки!$C$7:$C$18,$F415)&gt;0,"есть в Покупках",""))))</f>
        <v/>
      </c>
      <c r="P415">
        <f>IF($C415="","",DATE(YEAR($C415),MONTH($C415),1))</f>
        <v/>
      </c>
      <c r="Q415">
        <f>IF(ISNUMBER($G415),ABS($G415),0)</f>
        <v/>
      </c>
      <c r="R415">
        <f>IF(AND($D415="Расход",COUNTIFS(Счета!$B$10:$B$21,$H415,Счета!$C$10:$C$21,"Кредитная")&gt;0),1,0)</f>
        <v/>
      </c>
    </row>
    <row r="416" ht="19" customHeight="1">
      <c r="B416" s="53">
        <f>IF(AND($C416="",$F416=""),"",ROW()-9)</f>
        <v/>
      </c>
      <c r="C416" s="213" t="n"/>
      <c r="D416" s="55" t="n"/>
      <c r="E416" s="55" t="n"/>
      <c r="F416" s="56" t="n"/>
      <c r="G416" s="196" t="n"/>
      <c r="H416" s="21" t="n"/>
      <c r="I416" s="21" t="n"/>
      <c r="J416" s="53">
        <f>IF($C416="","",INDEX(Настройки!$V$6:$V$17,MONTH($C416))&amp;" "&amp;YEAR($C416))</f>
        <v/>
      </c>
      <c r="K416" s="57">
        <f>IF(OR($F416="",$D416="Перевод"),"",IF(AND(N($G416)&lt;&gt;0,COUNTIFS(Журнал!$C$10:$C$1509,$C416,Журнал!$P$10:$P$1509,$G416)&gt;0),"есть в Журнале",IF(COUNTIF(Постоянные!$C$8:$C$37,$F416)&gt;0,"есть в Постоянных",IF(COUNTIF(Покупки!$C$7:$C$18,$F416)&gt;0,"есть в Покупках",""))))</f>
        <v/>
      </c>
      <c r="P416">
        <f>IF($C416="","",DATE(YEAR($C416),MONTH($C416),1))</f>
        <v/>
      </c>
      <c r="Q416">
        <f>IF(ISNUMBER($G416),ABS($G416),0)</f>
        <v/>
      </c>
      <c r="R416">
        <f>IF(AND($D416="Расход",COUNTIFS(Счета!$B$10:$B$21,$H416,Счета!$C$10:$C$21,"Кредитная")&gt;0),1,0)</f>
        <v/>
      </c>
    </row>
    <row r="417" ht="19" customHeight="1">
      <c r="B417" s="53">
        <f>IF(AND($C417="",$F417=""),"",ROW()-9)</f>
        <v/>
      </c>
      <c r="C417" s="213" t="n"/>
      <c r="D417" s="55" t="n"/>
      <c r="E417" s="55" t="n"/>
      <c r="F417" s="56" t="n"/>
      <c r="G417" s="196" t="n"/>
      <c r="H417" s="21" t="n"/>
      <c r="I417" s="21" t="n"/>
      <c r="J417" s="53">
        <f>IF($C417="","",INDEX(Настройки!$V$6:$V$17,MONTH($C417))&amp;" "&amp;YEAR($C417))</f>
        <v/>
      </c>
      <c r="K417" s="57">
        <f>IF(OR($F417="",$D417="Перевод"),"",IF(AND(N($G417)&lt;&gt;0,COUNTIFS(Журнал!$C$10:$C$1509,$C417,Журнал!$P$10:$P$1509,$G417)&gt;0),"есть в Журнале",IF(COUNTIF(Постоянные!$C$8:$C$37,$F417)&gt;0,"есть в Постоянных",IF(COUNTIF(Покупки!$C$7:$C$18,$F417)&gt;0,"есть в Покупках",""))))</f>
        <v/>
      </c>
      <c r="P417">
        <f>IF($C417="","",DATE(YEAR($C417),MONTH($C417),1))</f>
        <v/>
      </c>
      <c r="Q417">
        <f>IF(ISNUMBER($G417),ABS($G417),0)</f>
        <v/>
      </c>
      <c r="R417">
        <f>IF(AND($D417="Расход",COUNTIFS(Счета!$B$10:$B$21,$H417,Счета!$C$10:$C$21,"Кредитная")&gt;0),1,0)</f>
        <v/>
      </c>
    </row>
    <row r="418" ht="19" customHeight="1">
      <c r="B418" s="53">
        <f>IF(AND($C418="",$F418=""),"",ROW()-9)</f>
        <v/>
      </c>
      <c r="C418" s="213" t="n"/>
      <c r="D418" s="55" t="n"/>
      <c r="E418" s="55" t="n"/>
      <c r="F418" s="56" t="n"/>
      <c r="G418" s="196" t="n"/>
      <c r="H418" s="21" t="n"/>
      <c r="I418" s="21" t="n"/>
      <c r="J418" s="53">
        <f>IF($C418="","",INDEX(Настройки!$V$6:$V$17,MONTH($C418))&amp;" "&amp;YEAR($C418))</f>
        <v/>
      </c>
      <c r="K418" s="57">
        <f>IF(OR($F418="",$D418="Перевод"),"",IF(AND(N($G418)&lt;&gt;0,COUNTIFS(Журнал!$C$10:$C$1509,$C418,Журнал!$P$10:$P$1509,$G418)&gt;0),"есть в Журнале",IF(COUNTIF(Постоянные!$C$8:$C$37,$F418)&gt;0,"есть в Постоянных",IF(COUNTIF(Покупки!$C$7:$C$18,$F418)&gt;0,"есть в Покупках",""))))</f>
        <v/>
      </c>
      <c r="P418">
        <f>IF($C418="","",DATE(YEAR($C418),MONTH($C418),1))</f>
        <v/>
      </c>
      <c r="Q418">
        <f>IF(ISNUMBER($G418),ABS($G418),0)</f>
        <v/>
      </c>
      <c r="R418">
        <f>IF(AND($D418="Расход",COUNTIFS(Счета!$B$10:$B$21,$H418,Счета!$C$10:$C$21,"Кредитная")&gt;0),1,0)</f>
        <v/>
      </c>
    </row>
    <row r="419" ht="19" customHeight="1">
      <c r="B419" s="53">
        <f>IF(AND($C419="",$F419=""),"",ROW()-9)</f>
        <v/>
      </c>
      <c r="C419" s="213" t="n"/>
      <c r="D419" s="55" t="n"/>
      <c r="E419" s="55" t="n"/>
      <c r="F419" s="56" t="n"/>
      <c r="G419" s="196" t="n"/>
      <c r="H419" s="21" t="n"/>
      <c r="I419" s="21" t="n"/>
      <c r="J419" s="53">
        <f>IF($C419="","",INDEX(Настройки!$V$6:$V$17,MONTH($C419))&amp;" "&amp;YEAR($C419))</f>
        <v/>
      </c>
      <c r="K419" s="57">
        <f>IF(OR($F419="",$D419="Перевод"),"",IF(AND(N($G419)&lt;&gt;0,COUNTIFS(Журнал!$C$10:$C$1509,$C419,Журнал!$P$10:$P$1509,$G419)&gt;0),"есть в Журнале",IF(COUNTIF(Постоянные!$C$8:$C$37,$F419)&gt;0,"есть в Постоянных",IF(COUNTIF(Покупки!$C$7:$C$18,$F419)&gt;0,"есть в Покупках",""))))</f>
        <v/>
      </c>
      <c r="P419">
        <f>IF($C419="","",DATE(YEAR($C419),MONTH($C419),1))</f>
        <v/>
      </c>
      <c r="Q419">
        <f>IF(ISNUMBER($G419),ABS($G419),0)</f>
        <v/>
      </c>
      <c r="R419">
        <f>IF(AND($D419="Расход",COUNTIFS(Счета!$B$10:$B$21,$H419,Счета!$C$10:$C$21,"Кредитная")&gt;0),1,0)</f>
        <v/>
      </c>
    </row>
    <row r="420" ht="19" customHeight="1">
      <c r="B420" s="53">
        <f>IF(AND($C420="",$F420=""),"",ROW()-9)</f>
        <v/>
      </c>
      <c r="C420" s="213" t="n"/>
      <c r="D420" s="55" t="n"/>
      <c r="E420" s="55" t="n"/>
      <c r="F420" s="56" t="n"/>
      <c r="G420" s="196" t="n"/>
      <c r="H420" s="21" t="n"/>
      <c r="I420" s="21" t="n"/>
      <c r="J420" s="53">
        <f>IF($C420="","",INDEX(Настройки!$V$6:$V$17,MONTH($C420))&amp;" "&amp;YEAR($C420))</f>
        <v/>
      </c>
      <c r="K420" s="57">
        <f>IF(OR($F420="",$D420="Перевод"),"",IF(AND(N($G420)&lt;&gt;0,COUNTIFS(Журнал!$C$10:$C$1509,$C420,Журнал!$P$10:$P$1509,$G420)&gt;0),"есть в Журнале",IF(COUNTIF(Постоянные!$C$8:$C$37,$F420)&gt;0,"есть в Постоянных",IF(COUNTIF(Покупки!$C$7:$C$18,$F420)&gt;0,"есть в Покупках",""))))</f>
        <v/>
      </c>
      <c r="P420">
        <f>IF($C420="","",DATE(YEAR($C420),MONTH($C420),1))</f>
        <v/>
      </c>
      <c r="Q420">
        <f>IF(ISNUMBER($G420),ABS($G420),0)</f>
        <v/>
      </c>
      <c r="R420">
        <f>IF(AND($D420="Расход",COUNTIFS(Счета!$B$10:$B$21,$H420,Счета!$C$10:$C$21,"Кредитная")&gt;0),1,0)</f>
        <v/>
      </c>
    </row>
    <row r="421" ht="19" customHeight="1">
      <c r="B421" s="53">
        <f>IF(AND($C421="",$F421=""),"",ROW()-9)</f>
        <v/>
      </c>
      <c r="C421" s="213" t="n"/>
      <c r="D421" s="55" t="n"/>
      <c r="E421" s="55" t="n"/>
      <c r="F421" s="56" t="n"/>
      <c r="G421" s="196" t="n"/>
      <c r="H421" s="21" t="n"/>
      <c r="I421" s="21" t="n"/>
      <c r="J421" s="53">
        <f>IF($C421="","",INDEX(Настройки!$V$6:$V$17,MONTH($C421))&amp;" "&amp;YEAR($C421))</f>
        <v/>
      </c>
      <c r="K421" s="57">
        <f>IF(OR($F421="",$D421="Перевод"),"",IF(AND(N($G421)&lt;&gt;0,COUNTIFS(Журнал!$C$10:$C$1509,$C421,Журнал!$P$10:$P$1509,$G421)&gt;0),"есть в Журнале",IF(COUNTIF(Постоянные!$C$8:$C$37,$F421)&gt;0,"есть в Постоянных",IF(COUNTIF(Покупки!$C$7:$C$18,$F421)&gt;0,"есть в Покупках",""))))</f>
        <v/>
      </c>
      <c r="P421">
        <f>IF($C421="","",DATE(YEAR($C421),MONTH($C421),1))</f>
        <v/>
      </c>
      <c r="Q421">
        <f>IF(ISNUMBER($G421),ABS($G421),0)</f>
        <v/>
      </c>
      <c r="R421">
        <f>IF(AND($D421="Расход",COUNTIFS(Счета!$B$10:$B$21,$H421,Счета!$C$10:$C$21,"Кредитная")&gt;0),1,0)</f>
        <v/>
      </c>
    </row>
    <row r="422" ht="19" customHeight="1">
      <c r="B422" s="53">
        <f>IF(AND($C422="",$F422=""),"",ROW()-9)</f>
        <v/>
      </c>
      <c r="C422" s="213" t="n"/>
      <c r="D422" s="55" t="n"/>
      <c r="E422" s="55" t="n"/>
      <c r="F422" s="56" t="n"/>
      <c r="G422" s="196" t="n"/>
      <c r="H422" s="21" t="n"/>
      <c r="I422" s="21" t="n"/>
      <c r="J422" s="53">
        <f>IF($C422="","",INDEX(Настройки!$V$6:$V$17,MONTH($C422))&amp;" "&amp;YEAR($C422))</f>
        <v/>
      </c>
      <c r="K422" s="57">
        <f>IF(OR($F422="",$D422="Перевод"),"",IF(AND(N($G422)&lt;&gt;0,COUNTIFS(Журнал!$C$10:$C$1509,$C422,Журнал!$P$10:$P$1509,$G422)&gt;0),"есть в Журнале",IF(COUNTIF(Постоянные!$C$8:$C$37,$F422)&gt;0,"есть в Постоянных",IF(COUNTIF(Покупки!$C$7:$C$18,$F422)&gt;0,"есть в Покупках",""))))</f>
        <v/>
      </c>
      <c r="P422">
        <f>IF($C422="","",DATE(YEAR($C422),MONTH($C422),1))</f>
        <v/>
      </c>
      <c r="Q422">
        <f>IF(ISNUMBER($G422),ABS($G422),0)</f>
        <v/>
      </c>
      <c r="R422">
        <f>IF(AND($D422="Расход",COUNTIFS(Счета!$B$10:$B$21,$H422,Счета!$C$10:$C$21,"Кредитная")&gt;0),1,0)</f>
        <v/>
      </c>
    </row>
    <row r="423" ht="19" customHeight="1">
      <c r="B423" s="53">
        <f>IF(AND($C423="",$F423=""),"",ROW()-9)</f>
        <v/>
      </c>
      <c r="C423" s="213" t="n"/>
      <c r="D423" s="55" t="n"/>
      <c r="E423" s="55" t="n"/>
      <c r="F423" s="56" t="n"/>
      <c r="G423" s="196" t="n"/>
      <c r="H423" s="21" t="n"/>
      <c r="I423" s="21" t="n"/>
      <c r="J423" s="53">
        <f>IF($C423="","",INDEX(Настройки!$V$6:$V$17,MONTH($C423))&amp;" "&amp;YEAR($C423))</f>
        <v/>
      </c>
      <c r="K423" s="57">
        <f>IF(OR($F423="",$D423="Перевод"),"",IF(AND(N($G423)&lt;&gt;0,COUNTIFS(Журнал!$C$10:$C$1509,$C423,Журнал!$P$10:$P$1509,$G423)&gt;0),"есть в Журнале",IF(COUNTIF(Постоянные!$C$8:$C$37,$F423)&gt;0,"есть в Постоянных",IF(COUNTIF(Покупки!$C$7:$C$18,$F423)&gt;0,"есть в Покупках",""))))</f>
        <v/>
      </c>
      <c r="P423">
        <f>IF($C423="","",DATE(YEAR($C423),MONTH($C423),1))</f>
        <v/>
      </c>
      <c r="Q423">
        <f>IF(ISNUMBER($G423),ABS($G423),0)</f>
        <v/>
      </c>
      <c r="R423">
        <f>IF(AND($D423="Расход",COUNTIFS(Счета!$B$10:$B$21,$H423,Счета!$C$10:$C$21,"Кредитная")&gt;0),1,0)</f>
        <v/>
      </c>
    </row>
    <row r="424" ht="19" customHeight="1">
      <c r="B424" s="53">
        <f>IF(AND($C424="",$F424=""),"",ROW()-9)</f>
        <v/>
      </c>
      <c r="C424" s="213" t="n"/>
      <c r="D424" s="55" t="n"/>
      <c r="E424" s="55" t="n"/>
      <c r="F424" s="56" t="n"/>
      <c r="G424" s="196" t="n"/>
      <c r="H424" s="21" t="n"/>
      <c r="I424" s="21" t="n"/>
      <c r="J424" s="53">
        <f>IF($C424="","",INDEX(Настройки!$V$6:$V$17,MONTH($C424))&amp;" "&amp;YEAR($C424))</f>
        <v/>
      </c>
      <c r="K424" s="57">
        <f>IF(OR($F424="",$D424="Перевод"),"",IF(AND(N($G424)&lt;&gt;0,COUNTIFS(Журнал!$C$10:$C$1509,$C424,Журнал!$P$10:$P$1509,$G424)&gt;0),"есть в Журнале",IF(COUNTIF(Постоянные!$C$8:$C$37,$F424)&gt;0,"есть в Постоянных",IF(COUNTIF(Покупки!$C$7:$C$18,$F424)&gt;0,"есть в Покупках",""))))</f>
        <v/>
      </c>
      <c r="P424">
        <f>IF($C424="","",DATE(YEAR($C424),MONTH($C424),1))</f>
        <v/>
      </c>
      <c r="Q424">
        <f>IF(ISNUMBER($G424),ABS($G424),0)</f>
        <v/>
      </c>
      <c r="R424">
        <f>IF(AND($D424="Расход",COUNTIFS(Счета!$B$10:$B$21,$H424,Счета!$C$10:$C$21,"Кредитная")&gt;0),1,0)</f>
        <v/>
      </c>
    </row>
    <row r="425" ht="19" customHeight="1">
      <c r="B425" s="53">
        <f>IF(AND($C425="",$F425=""),"",ROW()-9)</f>
        <v/>
      </c>
      <c r="C425" s="213" t="n"/>
      <c r="D425" s="55" t="n"/>
      <c r="E425" s="55" t="n"/>
      <c r="F425" s="56" t="n"/>
      <c r="G425" s="196" t="n"/>
      <c r="H425" s="21" t="n"/>
      <c r="I425" s="21" t="n"/>
      <c r="J425" s="53">
        <f>IF($C425="","",INDEX(Настройки!$V$6:$V$17,MONTH($C425))&amp;" "&amp;YEAR($C425))</f>
        <v/>
      </c>
      <c r="K425" s="57">
        <f>IF(OR($F425="",$D425="Перевод"),"",IF(AND(N($G425)&lt;&gt;0,COUNTIFS(Журнал!$C$10:$C$1509,$C425,Журнал!$P$10:$P$1509,$G425)&gt;0),"есть в Журнале",IF(COUNTIF(Постоянные!$C$8:$C$37,$F425)&gt;0,"есть в Постоянных",IF(COUNTIF(Покупки!$C$7:$C$18,$F425)&gt;0,"есть в Покупках",""))))</f>
        <v/>
      </c>
      <c r="P425">
        <f>IF($C425="","",DATE(YEAR($C425),MONTH($C425),1))</f>
        <v/>
      </c>
      <c r="Q425">
        <f>IF(ISNUMBER($G425),ABS($G425),0)</f>
        <v/>
      </c>
      <c r="R425">
        <f>IF(AND($D425="Расход",COUNTIFS(Счета!$B$10:$B$21,$H425,Счета!$C$10:$C$21,"Кредитная")&gt;0),1,0)</f>
        <v/>
      </c>
    </row>
    <row r="426" ht="19" customHeight="1">
      <c r="B426" s="53">
        <f>IF(AND($C426="",$F426=""),"",ROW()-9)</f>
        <v/>
      </c>
      <c r="C426" s="213" t="n"/>
      <c r="D426" s="55" t="n"/>
      <c r="E426" s="55" t="n"/>
      <c r="F426" s="56" t="n"/>
      <c r="G426" s="196" t="n"/>
      <c r="H426" s="21" t="n"/>
      <c r="I426" s="21" t="n"/>
      <c r="J426" s="53">
        <f>IF($C426="","",INDEX(Настройки!$V$6:$V$17,MONTH($C426))&amp;" "&amp;YEAR($C426))</f>
        <v/>
      </c>
      <c r="K426" s="57">
        <f>IF(OR($F426="",$D426="Перевод"),"",IF(AND(N($G426)&lt;&gt;0,COUNTIFS(Журнал!$C$10:$C$1509,$C426,Журнал!$P$10:$P$1509,$G426)&gt;0),"есть в Журнале",IF(COUNTIF(Постоянные!$C$8:$C$37,$F426)&gt;0,"есть в Постоянных",IF(COUNTIF(Покупки!$C$7:$C$18,$F426)&gt;0,"есть в Покупках",""))))</f>
        <v/>
      </c>
      <c r="P426">
        <f>IF($C426="","",DATE(YEAR($C426),MONTH($C426),1))</f>
        <v/>
      </c>
      <c r="Q426">
        <f>IF(ISNUMBER($G426),ABS($G426),0)</f>
        <v/>
      </c>
      <c r="R426">
        <f>IF(AND($D426="Расход",COUNTIFS(Счета!$B$10:$B$21,$H426,Счета!$C$10:$C$21,"Кредитная")&gt;0),1,0)</f>
        <v/>
      </c>
    </row>
    <row r="427" ht="19" customHeight="1">
      <c r="B427" s="53">
        <f>IF(AND($C427="",$F427=""),"",ROW()-9)</f>
        <v/>
      </c>
      <c r="C427" s="213" t="n"/>
      <c r="D427" s="55" t="n"/>
      <c r="E427" s="55" t="n"/>
      <c r="F427" s="56" t="n"/>
      <c r="G427" s="196" t="n"/>
      <c r="H427" s="21" t="n"/>
      <c r="I427" s="21" t="n"/>
      <c r="J427" s="53">
        <f>IF($C427="","",INDEX(Настройки!$V$6:$V$17,MONTH($C427))&amp;" "&amp;YEAR($C427))</f>
        <v/>
      </c>
      <c r="K427" s="57">
        <f>IF(OR($F427="",$D427="Перевод"),"",IF(AND(N($G427)&lt;&gt;0,COUNTIFS(Журнал!$C$10:$C$1509,$C427,Журнал!$P$10:$P$1509,$G427)&gt;0),"есть в Журнале",IF(COUNTIF(Постоянные!$C$8:$C$37,$F427)&gt;0,"есть в Постоянных",IF(COUNTIF(Покупки!$C$7:$C$18,$F427)&gt;0,"есть в Покупках",""))))</f>
        <v/>
      </c>
      <c r="P427">
        <f>IF($C427="","",DATE(YEAR($C427),MONTH($C427),1))</f>
        <v/>
      </c>
      <c r="Q427">
        <f>IF(ISNUMBER($G427),ABS($G427),0)</f>
        <v/>
      </c>
      <c r="R427">
        <f>IF(AND($D427="Расход",COUNTIFS(Счета!$B$10:$B$21,$H427,Счета!$C$10:$C$21,"Кредитная")&gt;0),1,0)</f>
        <v/>
      </c>
    </row>
    <row r="428" ht="19" customHeight="1">
      <c r="B428" s="53">
        <f>IF(AND($C428="",$F428=""),"",ROW()-9)</f>
        <v/>
      </c>
      <c r="C428" s="213" t="n"/>
      <c r="D428" s="55" t="n"/>
      <c r="E428" s="55" t="n"/>
      <c r="F428" s="56" t="n"/>
      <c r="G428" s="196" t="n"/>
      <c r="H428" s="21" t="n"/>
      <c r="I428" s="21" t="n"/>
      <c r="J428" s="53">
        <f>IF($C428="","",INDEX(Настройки!$V$6:$V$17,MONTH($C428))&amp;" "&amp;YEAR($C428))</f>
        <v/>
      </c>
      <c r="K428" s="57">
        <f>IF(OR($F428="",$D428="Перевод"),"",IF(AND(N($G428)&lt;&gt;0,COUNTIFS(Журнал!$C$10:$C$1509,$C428,Журнал!$P$10:$P$1509,$G428)&gt;0),"есть в Журнале",IF(COUNTIF(Постоянные!$C$8:$C$37,$F428)&gt;0,"есть в Постоянных",IF(COUNTIF(Покупки!$C$7:$C$18,$F428)&gt;0,"есть в Покупках",""))))</f>
        <v/>
      </c>
      <c r="P428">
        <f>IF($C428="","",DATE(YEAR($C428),MONTH($C428),1))</f>
        <v/>
      </c>
      <c r="Q428">
        <f>IF(ISNUMBER($G428),ABS($G428),0)</f>
        <v/>
      </c>
      <c r="R428">
        <f>IF(AND($D428="Расход",COUNTIFS(Счета!$B$10:$B$21,$H428,Счета!$C$10:$C$21,"Кредитная")&gt;0),1,0)</f>
        <v/>
      </c>
    </row>
    <row r="429" ht="19" customHeight="1">
      <c r="B429" s="53">
        <f>IF(AND($C429="",$F429=""),"",ROW()-9)</f>
        <v/>
      </c>
      <c r="C429" s="213" t="n"/>
      <c r="D429" s="55" t="n"/>
      <c r="E429" s="55" t="n"/>
      <c r="F429" s="56" t="n"/>
      <c r="G429" s="196" t="n"/>
      <c r="H429" s="21" t="n"/>
      <c r="I429" s="21" t="n"/>
      <c r="J429" s="53">
        <f>IF($C429="","",INDEX(Настройки!$V$6:$V$17,MONTH($C429))&amp;" "&amp;YEAR($C429))</f>
        <v/>
      </c>
      <c r="K429" s="57">
        <f>IF(OR($F429="",$D429="Перевод"),"",IF(AND(N($G429)&lt;&gt;0,COUNTIFS(Журнал!$C$10:$C$1509,$C429,Журнал!$P$10:$P$1509,$G429)&gt;0),"есть в Журнале",IF(COUNTIF(Постоянные!$C$8:$C$37,$F429)&gt;0,"есть в Постоянных",IF(COUNTIF(Покупки!$C$7:$C$18,$F429)&gt;0,"есть в Покупках",""))))</f>
        <v/>
      </c>
      <c r="P429">
        <f>IF($C429="","",DATE(YEAR($C429),MONTH($C429),1))</f>
        <v/>
      </c>
      <c r="Q429">
        <f>IF(ISNUMBER($G429),ABS($G429),0)</f>
        <v/>
      </c>
      <c r="R429">
        <f>IF(AND($D429="Расход",COUNTIFS(Счета!$B$10:$B$21,$H429,Счета!$C$10:$C$21,"Кредитная")&gt;0),1,0)</f>
        <v/>
      </c>
    </row>
    <row r="430" ht="19" customHeight="1">
      <c r="B430" s="53">
        <f>IF(AND($C430="",$F430=""),"",ROW()-9)</f>
        <v/>
      </c>
      <c r="C430" s="213" t="n"/>
      <c r="D430" s="55" t="n"/>
      <c r="E430" s="55" t="n"/>
      <c r="F430" s="56" t="n"/>
      <c r="G430" s="196" t="n"/>
      <c r="H430" s="21" t="n"/>
      <c r="I430" s="21" t="n"/>
      <c r="J430" s="53">
        <f>IF($C430="","",INDEX(Настройки!$V$6:$V$17,MONTH($C430))&amp;" "&amp;YEAR($C430))</f>
        <v/>
      </c>
      <c r="K430" s="57">
        <f>IF(OR($F430="",$D430="Перевод"),"",IF(AND(N($G430)&lt;&gt;0,COUNTIFS(Журнал!$C$10:$C$1509,$C430,Журнал!$P$10:$P$1509,$G430)&gt;0),"есть в Журнале",IF(COUNTIF(Постоянные!$C$8:$C$37,$F430)&gt;0,"есть в Постоянных",IF(COUNTIF(Покупки!$C$7:$C$18,$F430)&gt;0,"есть в Покупках",""))))</f>
        <v/>
      </c>
      <c r="P430">
        <f>IF($C430="","",DATE(YEAR($C430),MONTH($C430),1))</f>
        <v/>
      </c>
      <c r="Q430">
        <f>IF(ISNUMBER($G430),ABS($G430),0)</f>
        <v/>
      </c>
      <c r="R430">
        <f>IF(AND($D430="Расход",COUNTIFS(Счета!$B$10:$B$21,$H430,Счета!$C$10:$C$21,"Кредитная")&gt;0),1,0)</f>
        <v/>
      </c>
    </row>
    <row r="431" ht="19" customHeight="1">
      <c r="B431" s="53">
        <f>IF(AND($C431="",$F431=""),"",ROW()-9)</f>
        <v/>
      </c>
      <c r="C431" s="213" t="n"/>
      <c r="D431" s="55" t="n"/>
      <c r="E431" s="55" t="n"/>
      <c r="F431" s="56" t="n"/>
      <c r="G431" s="196" t="n"/>
      <c r="H431" s="21" t="n"/>
      <c r="I431" s="21" t="n"/>
      <c r="J431" s="53">
        <f>IF($C431="","",INDEX(Настройки!$V$6:$V$17,MONTH($C431))&amp;" "&amp;YEAR($C431))</f>
        <v/>
      </c>
      <c r="K431" s="57">
        <f>IF(OR($F431="",$D431="Перевод"),"",IF(AND(N($G431)&lt;&gt;0,COUNTIFS(Журнал!$C$10:$C$1509,$C431,Журнал!$P$10:$P$1509,$G431)&gt;0),"есть в Журнале",IF(COUNTIF(Постоянные!$C$8:$C$37,$F431)&gt;0,"есть в Постоянных",IF(COUNTIF(Покупки!$C$7:$C$18,$F431)&gt;0,"есть в Покупках",""))))</f>
        <v/>
      </c>
      <c r="P431">
        <f>IF($C431="","",DATE(YEAR($C431),MONTH($C431),1))</f>
        <v/>
      </c>
      <c r="Q431">
        <f>IF(ISNUMBER($G431),ABS($G431),0)</f>
        <v/>
      </c>
      <c r="R431">
        <f>IF(AND($D431="Расход",COUNTIFS(Счета!$B$10:$B$21,$H431,Счета!$C$10:$C$21,"Кредитная")&gt;0),1,0)</f>
        <v/>
      </c>
    </row>
    <row r="432" ht="19" customHeight="1">
      <c r="B432" s="53">
        <f>IF(AND($C432="",$F432=""),"",ROW()-9)</f>
        <v/>
      </c>
      <c r="C432" s="213" t="n"/>
      <c r="D432" s="55" t="n"/>
      <c r="E432" s="55" t="n"/>
      <c r="F432" s="56" t="n"/>
      <c r="G432" s="196" t="n"/>
      <c r="H432" s="21" t="n"/>
      <c r="I432" s="21" t="n"/>
      <c r="J432" s="53">
        <f>IF($C432="","",INDEX(Настройки!$V$6:$V$17,MONTH($C432))&amp;" "&amp;YEAR($C432))</f>
        <v/>
      </c>
      <c r="K432" s="57">
        <f>IF(OR($F432="",$D432="Перевод"),"",IF(AND(N($G432)&lt;&gt;0,COUNTIFS(Журнал!$C$10:$C$1509,$C432,Журнал!$P$10:$P$1509,$G432)&gt;0),"есть в Журнале",IF(COUNTIF(Постоянные!$C$8:$C$37,$F432)&gt;0,"есть в Постоянных",IF(COUNTIF(Покупки!$C$7:$C$18,$F432)&gt;0,"есть в Покупках",""))))</f>
        <v/>
      </c>
      <c r="P432">
        <f>IF($C432="","",DATE(YEAR($C432),MONTH($C432),1))</f>
        <v/>
      </c>
      <c r="Q432">
        <f>IF(ISNUMBER($G432),ABS($G432),0)</f>
        <v/>
      </c>
      <c r="R432">
        <f>IF(AND($D432="Расход",COUNTIFS(Счета!$B$10:$B$21,$H432,Счета!$C$10:$C$21,"Кредитная")&gt;0),1,0)</f>
        <v/>
      </c>
    </row>
    <row r="433" ht="19" customHeight="1">
      <c r="B433" s="53">
        <f>IF(AND($C433="",$F433=""),"",ROW()-9)</f>
        <v/>
      </c>
      <c r="C433" s="213" t="n"/>
      <c r="D433" s="55" t="n"/>
      <c r="E433" s="55" t="n"/>
      <c r="F433" s="56" t="n"/>
      <c r="G433" s="196" t="n"/>
      <c r="H433" s="21" t="n"/>
      <c r="I433" s="21" t="n"/>
      <c r="J433" s="53">
        <f>IF($C433="","",INDEX(Настройки!$V$6:$V$17,MONTH($C433))&amp;" "&amp;YEAR($C433))</f>
        <v/>
      </c>
      <c r="K433" s="57">
        <f>IF(OR($F433="",$D433="Перевод"),"",IF(AND(N($G433)&lt;&gt;0,COUNTIFS(Журнал!$C$10:$C$1509,$C433,Журнал!$P$10:$P$1509,$G433)&gt;0),"есть в Журнале",IF(COUNTIF(Постоянные!$C$8:$C$37,$F433)&gt;0,"есть в Постоянных",IF(COUNTIF(Покупки!$C$7:$C$18,$F433)&gt;0,"есть в Покупках",""))))</f>
        <v/>
      </c>
      <c r="P433">
        <f>IF($C433="","",DATE(YEAR($C433),MONTH($C433),1))</f>
        <v/>
      </c>
      <c r="Q433">
        <f>IF(ISNUMBER($G433),ABS($G433),0)</f>
        <v/>
      </c>
      <c r="R433">
        <f>IF(AND($D433="Расход",COUNTIFS(Счета!$B$10:$B$21,$H433,Счета!$C$10:$C$21,"Кредитная")&gt;0),1,0)</f>
        <v/>
      </c>
    </row>
    <row r="434" ht="19" customHeight="1">
      <c r="B434" s="53">
        <f>IF(AND($C434="",$F434=""),"",ROW()-9)</f>
        <v/>
      </c>
      <c r="C434" s="213" t="n"/>
      <c r="D434" s="55" t="n"/>
      <c r="E434" s="55" t="n"/>
      <c r="F434" s="56" t="n"/>
      <c r="G434" s="196" t="n"/>
      <c r="H434" s="21" t="n"/>
      <c r="I434" s="21" t="n"/>
      <c r="J434" s="53">
        <f>IF($C434="","",INDEX(Настройки!$V$6:$V$17,MONTH($C434))&amp;" "&amp;YEAR($C434))</f>
        <v/>
      </c>
      <c r="K434" s="57">
        <f>IF(OR($F434="",$D434="Перевод"),"",IF(AND(N($G434)&lt;&gt;0,COUNTIFS(Журнал!$C$10:$C$1509,$C434,Журнал!$P$10:$P$1509,$G434)&gt;0),"есть в Журнале",IF(COUNTIF(Постоянные!$C$8:$C$37,$F434)&gt;0,"есть в Постоянных",IF(COUNTIF(Покупки!$C$7:$C$18,$F434)&gt;0,"есть в Покупках",""))))</f>
        <v/>
      </c>
      <c r="P434">
        <f>IF($C434="","",DATE(YEAR($C434),MONTH($C434),1))</f>
        <v/>
      </c>
      <c r="Q434">
        <f>IF(ISNUMBER($G434),ABS($G434),0)</f>
        <v/>
      </c>
      <c r="R434">
        <f>IF(AND($D434="Расход",COUNTIFS(Счета!$B$10:$B$21,$H434,Счета!$C$10:$C$21,"Кредитная")&gt;0),1,0)</f>
        <v/>
      </c>
    </row>
    <row r="435" ht="19" customHeight="1">
      <c r="B435" s="53">
        <f>IF(AND($C435="",$F435=""),"",ROW()-9)</f>
        <v/>
      </c>
      <c r="C435" s="213" t="n"/>
      <c r="D435" s="55" t="n"/>
      <c r="E435" s="55" t="n"/>
      <c r="F435" s="56" t="n"/>
      <c r="G435" s="196" t="n"/>
      <c r="H435" s="21" t="n"/>
      <c r="I435" s="21" t="n"/>
      <c r="J435" s="53">
        <f>IF($C435="","",INDEX(Настройки!$V$6:$V$17,MONTH($C435))&amp;" "&amp;YEAR($C435))</f>
        <v/>
      </c>
      <c r="K435" s="57">
        <f>IF(OR($F435="",$D435="Перевод"),"",IF(AND(N($G435)&lt;&gt;0,COUNTIFS(Журнал!$C$10:$C$1509,$C435,Журнал!$P$10:$P$1509,$G435)&gt;0),"есть в Журнале",IF(COUNTIF(Постоянные!$C$8:$C$37,$F435)&gt;0,"есть в Постоянных",IF(COUNTIF(Покупки!$C$7:$C$18,$F435)&gt;0,"есть в Покупках",""))))</f>
        <v/>
      </c>
      <c r="P435">
        <f>IF($C435="","",DATE(YEAR($C435),MONTH($C435),1))</f>
        <v/>
      </c>
      <c r="Q435">
        <f>IF(ISNUMBER($G435),ABS($G435),0)</f>
        <v/>
      </c>
      <c r="R435">
        <f>IF(AND($D435="Расход",COUNTIFS(Счета!$B$10:$B$21,$H435,Счета!$C$10:$C$21,"Кредитная")&gt;0),1,0)</f>
        <v/>
      </c>
    </row>
    <row r="436" ht="19" customHeight="1">
      <c r="B436" s="53">
        <f>IF(AND($C436="",$F436=""),"",ROW()-9)</f>
        <v/>
      </c>
      <c r="C436" s="213" t="n"/>
      <c r="D436" s="55" t="n"/>
      <c r="E436" s="55" t="n"/>
      <c r="F436" s="56" t="n"/>
      <c r="G436" s="196" t="n"/>
      <c r="H436" s="21" t="n"/>
      <c r="I436" s="21" t="n"/>
      <c r="J436" s="53">
        <f>IF($C436="","",INDEX(Настройки!$V$6:$V$17,MONTH($C436))&amp;" "&amp;YEAR($C436))</f>
        <v/>
      </c>
      <c r="K436" s="57">
        <f>IF(OR($F436="",$D436="Перевод"),"",IF(AND(N($G436)&lt;&gt;0,COUNTIFS(Журнал!$C$10:$C$1509,$C436,Журнал!$P$10:$P$1509,$G436)&gt;0),"есть в Журнале",IF(COUNTIF(Постоянные!$C$8:$C$37,$F436)&gt;0,"есть в Постоянных",IF(COUNTIF(Покупки!$C$7:$C$18,$F436)&gt;0,"есть в Покупках",""))))</f>
        <v/>
      </c>
      <c r="P436">
        <f>IF($C436="","",DATE(YEAR($C436),MONTH($C436),1))</f>
        <v/>
      </c>
      <c r="Q436">
        <f>IF(ISNUMBER($G436),ABS($G436),0)</f>
        <v/>
      </c>
      <c r="R436">
        <f>IF(AND($D436="Расход",COUNTIFS(Счета!$B$10:$B$21,$H436,Счета!$C$10:$C$21,"Кредитная")&gt;0),1,0)</f>
        <v/>
      </c>
    </row>
    <row r="437" ht="19" customHeight="1">
      <c r="B437" s="53">
        <f>IF(AND($C437="",$F437=""),"",ROW()-9)</f>
        <v/>
      </c>
      <c r="C437" s="213" t="n"/>
      <c r="D437" s="55" t="n"/>
      <c r="E437" s="55" t="n"/>
      <c r="F437" s="56" t="n"/>
      <c r="G437" s="196" t="n"/>
      <c r="H437" s="21" t="n"/>
      <c r="I437" s="21" t="n"/>
      <c r="J437" s="53">
        <f>IF($C437="","",INDEX(Настройки!$V$6:$V$17,MONTH($C437))&amp;" "&amp;YEAR($C437))</f>
        <v/>
      </c>
      <c r="K437" s="57">
        <f>IF(OR($F437="",$D437="Перевод"),"",IF(AND(N($G437)&lt;&gt;0,COUNTIFS(Журнал!$C$10:$C$1509,$C437,Журнал!$P$10:$P$1509,$G437)&gt;0),"есть в Журнале",IF(COUNTIF(Постоянные!$C$8:$C$37,$F437)&gt;0,"есть в Постоянных",IF(COUNTIF(Покупки!$C$7:$C$18,$F437)&gt;0,"есть в Покупках",""))))</f>
        <v/>
      </c>
      <c r="P437">
        <f>IF($C437="","",DATE(YEAR($C437),MONTH($C437),1))</f>
        <v/>
      </c>
      <c r="Q437">
        <f>IF(ISNUMBER($G437),ABS($G437),0)</f>
        <v/>
      </c>
      <c r="R437">
        <f>IF(AND($D437="Расход",COUNTIFS(Счета!$B$10:$B$21,$H437,Счета!$C$10:$C$21,"Кредитная")&gt;0),1,0)</f>
        <v/>
      </c>
    </row>
    <row r="438" ht="19" customHeight="1">
      <c r="B438" s="53">
        <f>IF(AND($C438="",$F438=""),"",ROW()-9)</f>
        <v/>
      </c>
      <c r="C438" s="213" t="n"/>
      <c r="D438" s="55" t="n"/>
      <c r="E438" s="55" t="n"/>
      <c r="F438" s="56" t="n"/>
      <c r="G438" s="196" t="n"/>
      <c r="H438" s="21" t="n"/>
      <c r="I438" s="21" t="n"/>
      <c r="J438" s="53">
        <f>IF($C438="","",INDEX(Настройки!$V$6:$V$17,MONTH($C438))&amp;" "&amp;YEAR($C438))</f>
        <v/>
      </c>
      <c r="K438" s="57">
        <f>IF(OR($F438="",$D438="Перевод"),"",IF(AND(N($G438)&lt;&gt;0,COUNTIFS(Журнал!$C$10:$C$1509,$C438,Журнал!$P$10:$P$1509,$G438)&gt;0),"есть в Журнале",IF(COUNTIF(Постоянные!$C$8:$C$37,$F438)&gt;0,"есть в Постоянных",IF(COUNTIF(Покупки!$C$7:$C$18,$F438)&gt;0,"есть в Покупках",""))))</f>
        <v/>
      </c>
      <c r="P438">
        <f>IF($C438="","",DATE(YEAR($C438),MONTH($C438),1))</f>
        <v/>
      </c>
      <c r="Q438">
        <f>IF(ISNUMBER($G438),ABS($G438),0)</f>
        <v/>
      </c>
      <c r="R438">
        <f>IF(AND($D438="Расход",COUNTIFS(Счета!$B$10:$B$21,$H438,Счета!$C$10:$C$21,"Кредитная")&gt;0),1,0)</f>
        <v/>
      </c>
    </row>
    <row r="439" ht="19" customHeight="1">
      <c r="B439" s="53">
        <f>IF(AND($C439="",$F439=""),"",ROW()-9)</f>
        <v/>
      </c>
      <c r="C439" s="213" t="n"/>
      <c r="D439" s="55" t="n"/>
      <c r="E439" s="55" t="n"/>
      <c r="F439" s="56" t="n"/>
      <c r="G439" s="196" t="n"/>
      <c r="H439" s="21" t="n"/>
      <c r="I439" s="21" t="n"/>
      <c r="J439" s="53">
        <f>IF($C439="","",INDEX(Настройки!$V$6:$V$17,MONTH($C439))&amp;" "&amp;YEAR($C439))</f>
        <v/>
      </c>
      <c r="K439" s="57">
        <f>IF(OR($F439="",$D439="Перевод"),"",IF(AND(N($G439)&lt;&gt;0,COUNTIFS(Журнал!$C$10:$C$1509,$C439,Журнал!$P$10:$P$1509,$G439)&gt;0),"есть в Журнале",IF(COUNTIF(Постоянные!$C$8:$C$37,$F439)&gt;0,"есть в Постоянных",IF(COUNTIF(Покупки!$C$7:$C$18,$F439)&gt;0,"есть в Покупках",""))))</f>
        <v/>
      </c>
      <c r="P439">
        <f>IF($C439="","",DATE(YEAR($C439),MONTH($C439),1))</f>
        <v/>
      </c>
      <c r="Q439">
        <f>IF(ISNUMBER($G439),ABS($G439),0)</f>
        <v/>
      </c>
      <c r="R439">
        <f>IF(AND($D439="Расход",COUNTIFS(Счета!$B$10:$B$21,$H439,Счета!$C$10:$C$21,"Кредитная")&gt;0),1,0)</f>
        <v/>
      </c>
    </row>
    <row r="440" ht="19" customHeight="1">
      <c r="B440" s="53">
        <f>IF(AND($C440="",$F440=""),"",ROW()-9)</f>
        <v/>
      </c>
      <c r="C440" s="213" t="n"/>
      <c r="D440" s="55" t="n"/>
      <c r="E440" s="55" t="n"/>
      <c r="F440" s="56" t="n"/>
      <c r="G440" s="196" t="n"/>
      <c r="H440" s="21" t="n"/>
      <c r="I440" s="21" t="n"/>
      <c r="J440" s="53">
        <f>IF($C440="","",INDEX(Настройки!$V$6:$V$17,MONTH($C440))&amp;" "&amp;YEAR($C440))</f>
        <v/>
      </c>
      <c r="K440" s="57">
        <f>IF(OR($F440="",$D440="Перевод"),"",IF(AND(N($G440)&lt;&gt;0,COUNTIFS(Журнал!$C$10:$C$1509,$C440,Журнал!$P$10:$P$1509,$G440)&gt;0),"есть в Журнале",IF(COUNTIF(Постоянные!$C$8:$C$37,$F440)&gt;0,"есть в Постоянных",IF(COUNTIF(Покупки!$C$7:$C$18,$F440)&gt;0,"есть в Покупках",""))))</f>
        <v/>
      </c>
      <c r="P440">
        <f>IF($C440="","",DATE(YEAR($C440),MONTH($C440),1))</f>
        <v/>
      </c>
      <c r="Q440">
        <f>IF(ISNUMBER($G440),ABS($G440),0)</f>
        <v/>
      </c>
      <c r="R440">
        <f>IF(AND($D440="Расход",COUNTIFS(Счета!$B$10:$B$21,$H440,Счета!$C$10:$C$21,"Кредитная")&gt;0),1,0)</f>
        <v/>
      </c>
    </row>
    <row r="441" ht="19" customHeight="1">
      <c r="B441" s="53">
        <f>IF(AND($C441="",$F441=""),"",ROW()-9)</f>
        <v/>
      </c>
      <c r="C441" s="213" t="n"/>
      <c r="D441" s="55" t="n"/>
      <c r="E441" s="55" t="n"/>
      <c r="F441" s="56" t="n"/>
      <c r="G441" s="196" t="n"/>
      <c r="H441" s="21" t="n"/>
      <c r="I441" s="21" t="n"/>
      <c r="J441" s="53">
        <f>IF($C441="","",INDEX(Настройки!$V$6:$V$17,MONTH($C441))&amp;" "&amp;YEAR($C441))</f>
        <v/>
      </c>
      <c r="K441" s="57">
        <f>IF(OR($F441="",$D441="Перевод"),"",IF(AND(N($G441)&lt;&gt;0,COUNTIFS(Журнал!$C$10:$C$1509,$C441,Журнал!$P$10:$P$1509,$G441)&gt;0),"есть в Журнале",IF(COUNTIF(Постоянные!$C$8:$C$37,$F441)&gt;0,"есть в Постоянных",IF(COUNTIF(Покупки!$C$7:$C$18,$F441)&gt;0,"есть в Покупках",""))))</f>
        <v/>
      </c>
      <c r="P441">
        <f>IF($C441="","",DATE(YEAR($C441),MONTH($C441),1))</f>
        <v/>
      </c>
      <c r="Q441">
        <f>IF(ISNUMBER($G441),ABS($G441),0)</f>
        <v/>
      </c>
      <c r="R441">
        <f>IF(AND($D441="Расход",COUNTIFS(Счета!$B$10:$B$21,$H441,Счета!$C$10:$C$21,"Кредитная")&gt;0),1,0)</f>
        <v/>
      </c>
    </row>
    <row r="442" ht="19" customHeight="1">
      <c r="B442" s="53">
        <f>IF(AND($C442="",$F442=""),"",ROW()-9)</f>
        <v/>
      </c>
      <c r="C442" s="213" t="n"/>
      <c r="D442" s="55" t="n"/>
      <c r="E442" s="55" t="n"/>
      <c r="F442" s="56" t="n"/>
      <c r="G442" s="196" t="n"/>
      <c r="H442" s="21" t="n"/>
      <c r="I442" s="21" t="n"/>
      <c r="J442" s="53">
        <f>IF($C442="","",INDEX(Настройки!$V$6:$V$17,MONTH($C442))&amp;" "&amp;YEAR($C442))</f>
        <v/>
      </c>
      <c r="K442" s="57">
        <f>IF(OR($F442="",$D442="Перевод"),"",IF(AND(N($G442)&lt;&gt;0,COUNTIFS(Журнал!$C$10:$C$1509,$C442,Журнал!$P$10:$P$1509,$G442)&gt;0),"есть в Журнале",IF(COUNTIF(Постоянные!$C$8:$C$37,$F442)&gt;0,"есть в Постоянных",IF(COUNTIF(Покупки!$C$7:$C$18,$F442)&gt;0,"есть в Покупках",""))))</f>
        <v/>
      </c>
      <c r="P442">
        <f>IF($C442="","",DATE(YEAR($C442),MONTH($C442),1))</f>
        <v/>
      </c>
      <c r="Q442">
        <f>IF(ISNUMBER($G442),ABS($G442),0)</f>
        <v/>
      </c>
      <c r="R442">
        <f>IF(AND($D442="Расход",COUNTIFS(Счета!$B$10:$B$21,$H442,Счета!$C$10:$C$21,"Кредитная")&gt;0),1,0)</f>
        <v/>
      </c>
    </row>
    <row r="443" ht="19" customHeight="1">
      <c r="B443" s="53">
        <f>IF(AND($C443="",$F443=""),"",ROW()-9)</f>
        <v/>
      </c>
      <c r="C443" s="213" t="n"/>
      <c r="D443" s="55" t="n"/>
      <c r="E443" s="55" t="n"/>
      <c r="F443" s="56" t="n"/>
      <c r="G443" s="196" t="n"/>
      <c r="H443" s="21" t="n"/>
      <c r="I443" s="21" t="n"/>
      <c r="J443" s="53">
        <f>IF($C443="","",INDEX(Настройки!$V$6:$V$17,MONTH($C443))&amp;" "&amp;YEAR($C443))</f>
        <v/>
      </c>
      <c r="K443" s="57">
        <f>IF(OR($F443="",$D443="Перевод"),"",IF(AND(N($G443)&lt;&gt;0,COUNTIFS(Журнал!$C$10:$C$1509,$C443,Журнал!$P$10:$P$1509,$G443)&gt;0),"есть в Журнале",IF(COUNTIF(Постоянные!$C$8:$C$37,$F443)&gt;0,"есть в Постоянных",IF(COUNTIF(Покупки!$C$7:$C$18,$F443)&gt;0,"есть в Покупках",""))))</f>
        <v/>
      </c>
      <c r="P443">
        <f>IF($C443="","",DATE(YEAR($C443),MONTH($C443),1))</f>
        <v/>
      </c>
      <c r="Q443">
        <f>IF(ISNUMBER($G443),ABS($G443),0)</f>
        <v/>
      </c>
      <c r="R443">
        <f>IF(AND($D443="Расход",COUNTIFS(Счета!$B$10:$B$21,$H443,Счета!$C$10:$C$21,"Кредитная")&gt;0),1,0)</f>
        <v/>
      </c>
    </row>
    <row r="444" ht="19" customHeight="1">
      <c r="B444" s="53">
        <f>IF(AND($C444="",$F444=""),"",ROW()-9)</f>
        <v/>
      </c>
      <c r="C444" s="213" t="n"/>
      <c r="D444" s="55" t="n"/>
      <c r="E444" s="55" t="n"/>
      <c r="F444" s="56" t="n"/>
      <c r="G444" s="196" t="n"/>
      <c r="H444" s="21" t="n"/>
      <c r="I444" s="21" t="n"/>
      <c r="J444" s="53">
        <f>IF($C444="","",INDEX(Настройки!$V$6:$V$17,MONTH($C444))&amp;" "&amp;YEAR($C444))</f>
        <v/>
      </c>
      <c r="K444" s="57">
        <f>IF(OR($F444="",$D444="Перевод"),"",IF(AND(N($G444)&lt;&gt;0,COUNTIFS(Журнал!$C$10:$C$1509,$C444,Журнал!$P$10:$P$1509,$G444)&gt;0),"есть в Журнале",IF(COUNTIF(Постоянные!$C$8:$C$37,$F444)&gt;0,"есть в Постоянных",IF(COUNTIF(Покупки!$C$7:$C$18,$F444)&gt;0,"есть в Покупках",""))))</f>
        <v/>
      </c>
      <c r="P444">
        <f>IF($C444="","",DATE(YEAR($C444),MONTH($C444),1))</f>
        <v/>
      </c>
      <c r="Q444">
        <f>IF(ISNUMBER($G444),ABS($G444),0)</f>
        <v/>
      </c>
      <c r="R444">
        <f>IF(AND($D444="Расход",COUNTIFS(Счета!$B$10:$B$21,$H444,Счета!$C$10:$C$21,"Кредитная")&gt;0),1,0)</f>
        <v/>
      </c>
    </row>
    <row r="445" ht="19" customHeight="1">
      <c r="B445" s="53">
        <f>IF(AND($C445="",$F445=""),"",ROW()-9)</f>
        <v/>
      </c>
      <c r="C445" s="213" t="n"/>
      <c r="D445" s="55" t="n"/>
      <c r="E445" s="55" t="n"/>
      <c r="F445" s="56" t="n"/>
      <c r="G445" s="196" t="n"/>
      <c r="H445" s="21" t="n"/>
      <c r="I445" s="21" t="n"/>
      <c r="J445" s="53">
        <f>IF($C445="","",INDEX(Настройки!$V$6:$V$17,MONTH($C445))&amp;" "&amp;YEAR($C445))</f>
        <v/>
      </c>
      <c r="K445" s="57">
        <f>IF(OR($F445="",$D445="Перевод"),"",IF(AND(N($G445)&lt;&gt;0,COUNTIFS(Журнал!$C$10:$C$1509,$C445,Журнал!$P$10:$P$1509,$G445)&gt;0),"есть в Журнале",IF(COUNTIF(Постоянные!$C$8:$C$37,$F445)&gt;0,"есть в Постоянных",IF(COUNTIF(Покупки!$C$7:$C$18,$F445)&gt;0,"есть в Покупках",""))))</f>
        <v/>
      </c>
      <c r="P445">
        <f>IF($C445="","",DATE(YEAR($C445),MONTH($C445),1))</f>
        <v/>
      </c>
      <c r="Q445">
        <f>IF(ISNUMBER($G445),ABS($G445),0)</f>
        <v/>
      </c>
      <c r="R445">
        <f>IF(AND($D445="Расход",COUNTIFS(Счета!$B$10:$B$21,$H445,Счета!$C$10:$C$21,"Кредитная")&gt;0),1,0)</f>
        <v/>
      </c>
    </row>
    <row r="446" ht="19" customHeight="1">
      <c r="B446" s="53">
        <f>IF(AND($C446="",$F446=""),"",ROW()-9)</f>
        <v/>
      </c>
      <c r="C446" s="213" t="n"/>
      <c r="D446" s="55" t="n"/>
      <c r="E446" s="55" t="n"/>
      <c r="F446" s="56" t="n"/>
      <c r="G446" s="196" t="n"/>
      <c r="H446" s="21" t="n"/>
      <c r="I446" s="21" t="n"/>
      <c r="J446" s="53">
        <f>IF($C446="","",INDEX(Настройки!$V$6:$V$17,MONTH($C446))&amp;" "&amp;YEAR($C446))</f>
        <v/>
      </c>
      <c r="K446" s="57">
        <f>IF(OR($F446="",$D446="Перевод"),"",IF(AND(N($G446)&lt;&gt;0,COUNTIFS(Журнал!$C$10:$C$1509,$C446,Журнал!$P$10:$P$1509,$G446)&gt;0),"есть в Журнале",IF(COUNTIF(Постоянные!$C$8:$C$37,$F446)&gt;0,"есть в Постоянных",IF(COUNTIF(Покупки!$C$7:$C$18,$F446)&gt;0,"есть в Покупках",""))))</f>
        <v/>
      </c>
      <c r="P446">
        <f>IF($C446="","",DATE(YEAR($C446),MONTH($C446),1))</f>
        <v/>
      </c>
      <c r="Q446">
        <f>IF(ISNUMBER($G446),ABS($G446),0)</f>
        <v/>
      </c>
      <c r="R446">
        <f>IF(AND($D446="Расход",COUNTIFS(Счета!$B$10:$B$21,$H446,Счета!$C$10:$C$21,"Кредитная")&gt;0),1,0)</f>
        <v/>
      </c>
    </row>
    <row r="447" ht="19" customHeight="1">
      <c r="B447" s="53">
        <f>IF(AND($C447="",$F447=""),"",ROW()-9)</f>
        <v/>
      </c>
      <c r="C447" s="213" t="n"/>
      <c r="D447" s="55" t="n"/>
      <c r="E447" s="55" t="n"/>
      <c r="F447" s="56" t="n"/>
      <c r="G447" s="196" t="n"/>
      <c r="H447" s="21" t="n"/>
      <c r="I447" s="21" t="n"/>
      <c r="J447" s="53">
        <f>IF($C447="","",INDEX(Настройки!$V$6:$V$17,MONTH($C447))&amp;" "&amp;YEAR($C447))</f>
        <v/>
      </c>
      <c r="K447" s="57">
        <f>IF(OR($F447="",$D447="Перевод"),"",IF(AND(N($G447)&lt;&gt;0,COUNTIFS(Журнал!$C$10:$C$1509,$C447,Журнал!$P$10:$P$1509,$G447)&gt;0),"есть в Журнале",IF(COUNTIF(Постоянные!$C$8:$C$37,$F447)&gt;0,"есть в Постоянных",IF(COUNTIF(Покупки!$C$7:$C$18,$F447)&gt;0,"есть в Покупках",""))))</f>
        <v/>
      </c>
      <c r="P447">
        <f>IF($C447="","",DATE(YEAR($C447),MONTH($C447),1))</f>
        <v/>
      </c>
      <c r="Q447">
        <f>IF(ISNUMBER($G447),ABS($G447),0)</f>
        <v/>
      </c>
      <c r="R447">
        <f>IF(AND($D447="Расход",COUNTIFS(Счета!$B$10:$B$21,$H447,Счета!$C$10:$C$21,"Кредитная")&gt;0),1,0)</f>
        <v/>
      </c>
    </row>
    <row r="448" ht="19" customHeight="1">
      <c r="B448" s="53">
        <f>IF(AND($C448="",$F448=""),"",ROW()-9)</f>
        <v/>
      </c>
      <c r="C448" s="213" t="n"/>
      <c r="D448" s="55" t="n"/>
      <c r="E448" s="55" t="n"/>
      <c r="F448" s="56" t="n"/>
      <c r="G448" s="196" t="n"/>
      <c r="H448" s="21" t="n"/>
      <c r="I448" s="21" t="n"/>
      <c r="J448" s="53">
        <f>IF($C448="","",INDEX(Настройки!$V$6:$V$17,MONTH($C448))&amp;" "&amp;YEAR($C448))</f>
        <v/>
      </c>
      <c r="K448" s="57">
        <f>IF(OR($F448="",$D448="Перевод"),"",IF(AND(N($G448)&lt;&gt;0,COUNTIFS(Журнал!$C$10:$C$1509,$C448,Журнал!$P$10:$P$1509,$G448)&gt;0),"есть в Журнале",IF(COUNTIF(Постоянные!$C$8:$C$37,$F448)&gt;0,"есть в Постоянных",IF(COUNTIF(Покупки!$C$7:$C$18,$F448)&gt;0,"есть в Покупках",""))))</f>
        <v/>
      </c>
      <c r="P448">
        <f>IF($C448="","",DATE(YEAR($C448),MONTH($C448),1))</f>
        <v/>
      </c>
      <c r="Q448">
        <f>IF(ISNUMBER($G448),ABS($G448),0)</f>
        <v/>
      </c>
      <c r="R448">
        <f>IF(AND($D448="Расход",COUNTIFS(Счета!$B$10:$B$21,$H448,Счета!$C$10:$C$21,"Кредитная")&gt;0),1,0)</f>
        <v/>
      </c>
    </row>
    <row r="449" ht="19" customHeight="1">
      <c r="B449" s="53">
        <f>IF(AND($C449="",$F449=""),"",ROW()-9)</f>
        <v/>
      </c>
      <c r="C449" s="213" t="n"/>
      <c r="D449" s="55" t="n"/>
      <c r="E449" s="55" t="n"/>
      <c r="F449" s="56" t="n"/>
      <c r="G449" s="196" t="n"/>
      <c r="H449" s="21" t="n"/>
      <c r="I449" s="21" t="n"/>
      <c r="J449" s="53">
        <f>IF($C449="","",INDEX(Настройки!$V$6:$V$17,MONTH($C449))&amp;" "&amp;YEAR($C449))</f>
        <v/>
      </c>
      <c r="K449" s="57">
        <f>IF(OR($F449="",$D449="Перевод"),"",IF(AND(N($G449)&lt;&gt;0,COUNTIFS(Журнал!$C$10:$C$1509,$C449,Журнал!$P$10:$P$1509,$G449)&gt;0),"есть в Журнале",IF(COUNTIF(Постоянные!$C$8:$C$37,$F449)&gt;0,"есть в Постоянных",IF(COUNTIF(Покупки!$C$7:$C$18,$F449)&gt;0,"есть в Покупках",""))))</f>
        <v/>
      </c>
      <c r="P449">
        <f>IF($C449="","",DATE(YEAR($C449),MONTH($C449),1))</f>
        <v/>
      </c>
      <c r="Q449">
        <f>IF(ISNUMBER($G449),ABS($G449),0)</f>
        <v/>
      </c>
      <c r="R449">
        <f>IF(AND($D449="Расход",COUNTIFS(Счета!$B$10:$B$21,$H449,Счета!$C$10:$C$21,"Кредитная")&gt;0),1,0)</f>
        <v/>
      </c>
    </row>
    <row r="450" ht="19" customHeight="1">
      <c r="B450" s="53">
        <f>IF(AND($C450="",$F450=""),"",ROW()-9)</f>
        <v/>
      </c>
      <c r="C450" s="213" t="n"/>
      <c r="D450" s="55" t="n"/>
      <c r="E450" s="55" t="n"/>
      <c r="F450" s="56" t="n"/>
      <c r="G450" s="196" t="n"/>
      <c r="H450" s="21" t="n"/>
      <c r="I450" s="21" t="n"/>
      <c r="J450" s="53">
        <f>IF($C450="","",INDEX(Настройки!$V$6:$V$17,MONTH($C450))&amp;" "&amp;YEAR($C450))</f>
        <v/>
      </c>
      <c r="K450" s="57">
        <f>IF(OR($F450="",$D450="Перевод"),"",IF(AND(N($G450)&lt;&gt;0,COUNTIFS(Журнал!$C$10:$C$1509,$C450,Журнал!$P$10:$P$1509,$G450)&gt;0),"есть в Журнале",IF(COUNTIF(Постоянные!$C$8:$C$37,$F450)&gt;0,"есть в Постоянных",IF(COUNTIF(Покупки!$C$7:$C$18,$F450)&gt;0,"есть в Покупках",""))))</f>
        <v/>
      </c>
      <c r="P450">
        <f>IF($C450="","",DATE(YEAR($C450),MONTH($C450),1))</f>
        <v/>
      </c>
      <c r="Q450">
        <f>IF(ISNUMBER($G450),ABS($G450),0)</f>
        <v/>
      </c>
      <c r="R450">
        <f>IF(AND($D450="Расход",COUNTIFS(Счета!$B$10:$B$21,$H450,Счета!$C$10:$C$21,"Кредитная")&gt;0),1,0)</f>
        <v/>
      </c>
    </row>
    <row r="451" ht="19" customHeight="1">
      <c r="B451" s="53">
        <f>IF(AND($C451="",$F451=""),"",ROW()-9)</f>
        <v/>
      </c>
      <c r="C451" s="213" t="n"/>
      <c r="D451" s="55" t="n"/>
      <c r="E451" s="55" t="n"/>
      <c r="F451" s="56" t="n"/>
      <c r="G451" s="196" t="n"/>
      <c r="H451" s="21" t="n"/>
      <c r="I451" s="21" t="n"/>
      <c r="J451" s="53">
        <f>IF($C451="","",INDEX(Настройки!$V$6:$V$17,MONTH($C451))&amp;" "&amp;YEAR($C451))</f>
        <v/>
      </c>
      <c r="K451" s="57">
        <f>IF(OR($F451="",$D451="Перевод"),"",IF(AND(N($G451)&lt;&gt;0,COUNTIFS(Журнал!$C$10:$C$1509,$C451,Журнал!$P$10:$P$1509,$G451)&gt;0),"есть в Журнале",IF(COUNTIF(Постоянные!$C$8:$C$37,$F451)&gt;0,"есть в Постоянных",IF(COUNTIF(Покупки!$C$7:$C$18,$F451)&gt;0,"есть в Покупках",""))))</f>
        <v/>
      </c>
      <c r="P451">
        <f>IF($C451="","",DATE(YEAR($C451),MONTH($C451),1))</f>
        <v/>
      </c>
      <c r="Q451">
        <f>IF(ISNUMBER($G451),ABS($G451),0)</f>
        <v/>
      </c>
      <c r="R451">
        <f>IF(AND($D451="Расход",COUNTIFS(Счета!$B$10:$B$21,$H451,Счета!$C$10:$C$21,"Кредитная")&gt;0),1,0)</f>
        <v/>
      </c>
    </row>
    <row r="452" ht="19" customHeight="1">
      <c r="B452" s="53">
        <f>IF(AND($C452="",$F452=""),"",ROW()-9)</f>
        <v/>
      </c>
      <c r="C452" s="213" t="n"/>
      <c r="D452" s="55" t="n"/>
      <c r="E452" s="55" t="n"/>
      <c r="F452" s="56" t="n"/>
      <c r="G452" s="196" t="n"/>
      <c r="H452" s="21" t="n"/>
      <c r="I452" s="21" t="n"/>
      <c r="J452" s="53">
        <f>IF($C452="","",INDEX(Настройки!$V$6:$V$17,MONTH($C452))&amp;" "&amp;YEAR($C452))</f>
        <v/>
      </c>
      <c r="K452" s="57">
        <f>IF(OR($F452="",$D452="Перевод"),"",IF(AND(N($G452)&lt;&gt;0,COUNTIFS(Журнал!$C$10:$C$1509,$C452,Журнал!$P$10:$P$1509,$G452)&gt;0),"есть в Журнале",IF(COUNTIF(Постоянные!$C$8:$C$37,$F452)&gt;0,"есть в Постоянных",IF(COUNTIF(Покупки!$C$7:$C$18,$F452)&gt;0,"есть в Покупках",""))))</f>
        <v/>
      </c>
      <c r="P452">
        <f>IF($C452="","",DATE(YEAR($C452),MONTH($C452),1))</f>
        <v/>
      </c>
      <c r="Q452">
        <f>IF(ISNUMBER($G452),ABS($G452),0)</f>
        <v/>
      </c>
      <c r="R452">
        <f>IF(AND($D452="Расход",COUNTIFS(Счета!$B$10:$B$21,$H452,Счета!$C$10:$C$21,"Кредитная")&gt;0),1,0)</f>
        <v/>
      </c>
    </row>
    <row r="453" ht="19" customHeight="1">
      <c r="B453" s="53">
        <f>IF(AND($C453="",$F453=""),"",ROW()-9)</f>
        <v/>
      </c>
      <c r="C453" s="213" t="n"/>
      <c r="D453" s="55" t="n"/>
      <c r="E453" s="55" t="n"/>
      <c r="F453" s="56" t="n"/>
      <c r="G453" s="196" t="n"/>
      <c r="H453" s="21" t="n"/>
      <c r="I453" s="21" t="n"/>
      <c r="J453" s="53">
        <f>IF($C453="","",INDEX(Настройки!$V$6:$V$17,MONTH($C453))&amp;" "&amp;YEAR($C453))</f>
        <v/>
      </c>
      <c r="K453" s="57">
        <f>IF(OR($F453="",$D453="Перевод"),"",IF(AND(N($G453)&lt;&gt;0,COUNTIFS(Журнал!$C$10:$C$1509,$C453,Журнал!$P$10:$P$1509,$G453)&gt;0),"есть в Журнале",IF(COUNTIF(Постоянные!$C$8:$C$37,$F453)&gt;0,"есть в Постоянных",IF(COUNTIF(Покупки!$C$7:$C$18,$F453)&gt;0,"есть в Покупках",""))))</f>
        <v/>
      </c>
      <c r="P453">
        <f>IF($C453="","",DATE(YEAR($C453),MONTH($C453),1))</f>
        <v/>
      </c>
      <c r="Q453">
        <f>IF(ISNUMBER($G453),ABS($G453),0)</f>
        <v/>
      </c>
      <c r="R453">
        <f>IF(AND($D453="Расход",COUNTIFS(Счета!$B$10:$B$21,$H453,Счета!$C$10:$C$21,"Кредитная")&gt;0),1,0)</f>
        <v/>
      </c>
    </row>
    <row r="454" ht="19" customHeight="1">
      <c r="B454" s="53">
        <f>IF(AND($C454="",$F454=""),"",ROW()-9)</f>
        <v/>
      </c>
      <c r="C454" s="213" t="n"/>
      <c r="D454" s="55" t="n"/>
      <c r="E454" s="55" t="n"/>
      <c r="F454" s="56" t="n"/>
      <c r="G454" s="196" t="n"/>
      <c r="H454" s="21" t="n"/>
      <c r="I454" s="21" t="n"/>
      <c r="J454" s="53">
        <f>IF($C454="","",INDEX(Настройки!$V$6:$V$17,MONTH($C454))&amp;" "&amp;YEAR($C454))</f>
        <v/>
      </c>
      <c r="K454" s="57">
        <f>IF(OR($F454="",$D454="Перевод"),"",IF(AND(N($G454)&lt;&gt;0,COUNTIFS(Журнал!$C$10:$C$1509,$C454,Журнал!$P$10:$P$1509,$G454)&gt;0),"есть в Журнале",IF(COUNTIF(Постоянные!$C$8:$C$37,$F454)&gt;0,"есть в Постоянных",IF(COUNTIF(Покупки!$C$7:$C$18,$F454)&gt;0,"есть в Покупках",""))))</f>
        <v/>
      </c>
      <c r="P454">
        <f>IF($C454="","",DATE(YEAR($C454),MONTH($C454),1))</f>
        <v/>
      </c>
      <c r="Q454">
        <f>IF(ISNUMBER($G454),ABS($G454),0)</f>
        <v/>
      </c>
      <c r="R454">
        <f>IF(AND($D454="Расход",COUNTIFS(Счета!$B$10:$B$21,$H454,Счета!$C$10:$C$21,"Кредитная")&gt;0),1,0)</f>
        <v/>
      </c>
    </row>
    <row r="455" ht="19" customHeight="1">
      <c r="B455" s="53">
        <f>IF(AND($C455="",$F455=""),"",ROW()-9)</f>
        <v/>
      </c>
      <c r="C455" s="213" t="n"/>
      <c r="D455" s="55" t="n"/>
      <c r="E455" s="55" t="n"/>
      <c r="F455" s="56" t="n"/>
      <c r="G455" s="196" t="n"/>
      <c r="H455" s="21" t="n"/>
      <c r="I455" s="21" t="n"/>
      <c r="J455" s="53">
        <f>IF($C455="","",INDEX(Настройки!$V$6:$V$17,MONTH($C455))&amp;" "&amp;YEAR($C455))</f>
        <v/>
      </c>
      <c r="K455" s="57">
        <f>IF(OR($F455="",$D455="Перевод"),"",IF(AND(N($G455)&lt;&gt;0,COUNTIFS(Журнал!$C$10:$C$1509,$C455,Журнал!$P$10:$P$1509,$G455)&gt;0),"есть в Журнале",IF(COUNTIF(Постоянные!$C$8:$C$37,$F455)&gt;0,"есть в Постоянных",IF(COUNTIF(Покупки!$C$7:$C$18,$F455)&gt;0,"есть в Покупках",""))))</f>
        <v/>
      </c>
      <c r="P455">
        <f>IF($C455="","",DATE(YEAR($C455),MONTH($C455),1))</f>
        <v/>
      </c>
      <c r="Q455">
        <f>IF(ISNUMBER($G455),ABS($G455),0)</f>
        <v/>
      </c>
      <c r="R455">
        <f>IF(AND($D455="Расход",COUNTIFS(Счета!$B$10:$B$21,$H455,Счета!$C$10:$C$21,"Кредитная")&gt;0),1,0)</f>
        <v/>
      </c>
    </row>
    <row r="456" ht="19" customHeight="1">
      <c r="B456" s="53">
        <f>IF(AND($C456="",$F456=""),"",ROW()-9)</f>
        <v/>
      </c>
      <c r="C456" s="213" t="n"/>
      <c r="D456" s="55" t="n"/>
      <c r="E456" s="55" t="n"/>
      <c r="F456" s="56" t="n"/>
      <c r="G456" s="196" t="n"/>
      <c r="H456" s="21" t="n"/>
      <c r="I456" s="21" t="n"/>
      <c r="J456" s="53">
        <f>IF($C456="","",INDEX(Настройки!$V$6:$V$17,MONTH($C456))&amp;" "&amp;YEAR($C456))</f>
        <v/>
      </c>
      <c r="K456" s="57">
        <f>IF(OR($F456="",$D456="Перевод"),"",IF(AND(N($G456)&lt;&gt;0,COUNTIFS(Журнал!$C$10:$C$1509,$C456,Журнал!$P$10:$P$1509,$G456)&gt;0),"есть в Журнале",IF(COUNTIF(Постоянные!$C$8:$C$37,$F456)&gt;0,"есть в Постоянных",IF(COUNTIF(Покупки!$C$7:$C$18,$F456)&gt;0,"есть в Покупках",""))))</f>
        <v/>
      </c>
      <c r="P456">
        <f>IF($C456="","",DATE(YEAR($C456),MONTH($C456),1))</f>
        <v/>
      </c>
      <c r="Q456">
        <f>IF(ISNUMBER($G456),ABS($G456),0)</f>
        <v/>
      </c>
      <c r="R456">
        <f>IF(AND($D456="Расход",COUNTIFS(Счета!$B$10:$B$21,$H456,Счета!$C$10:$C$21,"Кредитная")&gt;0),1,0)</f>
        <v/>
      </c>
    </row>
    <row r="457" ht="19" customHeight="1">
      <c r="B457" s="53">
        <f>IF(AND($C457="",$F457=""),"",ROW()-9)</f>
        <v/>
      </c>
      <c r="C457" s="213" t="n"/>
      <c r="D457" s="55" t="n"/>
      <c r="E457" s="55" t="n"/>
      <c r="F457" s="56" t="n"/>
      <c r="G457" s="196" t="n"/>
      <c r="H457" s="21" t="n"/>
      <c r="I457" s="21" t="n"/>
      <c r="J457" s="53">
        <f>IF($C457="","",INDEX(Настройки!$V$6:$V$17,MONTH($C457))&amp;" "&amp;YEAR($C457))</f>
        <v/>
      </c>
      <c r="K457" s="57">
        <f>IF(OR($F457="",$D457="Перевод"),"",IF(AND(N($G457)&lt;&gt;0,COUNTIFS(Журнал!$C$10:$C$1509,$C457,Журнал!$P$10:$P$1509,$G457)&gt;0),"есть в Журнале",IF(COUNTIF(Постоянные!$C$8:$C$37,$F457)&gt;0,"есть в Постоянных",IF(COUNTIF(Покупки!$C$7:$C$18,$F457)&gt;0,"есть в Покупках",""))))</f>
        <v/>
      </c>
      <c r="P457">
        <f>IF($C457="","",DATE(YEAR($C457),MONTH($C457),1))</f>
        <v/>
      </c>
      <c r="Q457">
        <f>IF(ISNUMBER($G457),ABS($G457),0)</f>
        <v/>
      </c>
      <c r="R457">
        <f>IF(AND($D457="Расход",COUNTIFS(Счета!$B$10:$B$21,$H457,Счета!$C$10:$C$21,"Кредитная")&gt;0),1,0)</f>
        <v/>
      </c>
    </row>
    <row r="458" ht="19" customHeight="1">
      <c r="B458" s="53">
        <f>IF(AND($C458="",$F458=""),"",ROW()-9)</f>
        <v/>
      </c>
      <c r="C458" s="213" t="n"/>
      <c r="D458" s="55" t="n"/>
      <c r="E458" s="55" t="n"/>
      <c r="F458" s="56" t="n"/>
      <c r="G458" s="196" t="n"/>
      <c r="H458" s="21" t="n"/>
      <c r="I458" s="21" t="n"/>
      <c r="J458" s="53">
        <f>IF($C458="","",INDEX(Настройки!$V$6:$V$17,MONTH($C458))&amp;" "&amp;YEAR($C458))</f>
        <v/>
      </c>
      <c r="K458" s="57">
        <f>IF(OR($F458="",$D458="Перевод"),"",IF(AND(N($G458)&lt;&gt;0,COUNTIFS(Журнал!$C$10:$C$1509,$C458,Журнал!$P$10:$P$1509,$G458)&gt;0),"есть в Журнале",IF(COUNTIF(Постоянные!$C$8:$C$37,$F458)&gt;0,"есть в Постоянных",IF(COUNTIF(Покупки!$C$7:$C$18,$F458)&gt;0,"есть в Покупках",""))))</f>
        <v/>
      </c>
      <c r="P458">
        <f>IF($C458="","",DATE(YEAR($C458),MONTH($C458),1))</f>
        <v/>
      </c>
      <c r="Q458">
        <f>IF(ISNUMBER($G458),ABS($G458),0)</f>
        <v/>
      </c>
      <c r="R458">
        <f>IF(AND($D458="Расход",COUNTIFS(Счета!$B$10:$B$21,$H458,Счета!$C$10:$C$21,"Кредитная")&gt;0),1,0)</f>
        <v/>
      </c>
    </row>
    <row r="459" ht="19" customHeight="1">
      <c r="B459" s="53">
        <f>IF(AND($C459="",$F459=""),"",ROW()-9)</f>
        <v/>
      </c>
      <c r="C459" s="213" t="n"/>
      <c r="D459" s="55" t="n"/>
      <c r="E459" s="55" t="n"/>
      <c r="F459" s="56" t="n"/>
      <c r="G459" s="196" t="n"/>
      <c r="H459" s="21" t="n"/>
      <c r="I459" s="21" t="n"/>
      <c r="J459" s="53">
        <f>IF($C459="","",INDEX(Настройки!$V$6:$V$17,MONTH($C459))&amp;" "&amp;YEAR($C459))</f>
        <v/>
      </c>
      <c r="K459" s="57">
        <f>IF(OR($F459="",$D459="Перевод"),"",IF(AND(N($G459)&lt;&gt;0,COUNTIFS(Журнал!$C$10:$C$1509,$C459,Журнал!$P$10:$P$1509,$G459)&gt;0),"есть в Журнале",IF(COUNTIF(Постоянные!$C$8:$C$37,$F459)&gt;0,"есть в Постоянных",IF(COUNTIF(Покупки!$C$7:$C$18,$F459)&gt;0,"есть в Покупках",""))))</f>
        <v/>
      </c>
      <c r="P459">
        <f>IF($C459="","",DATE(YEAR($C459),MONTH($C459),1))</f>
        <v/>
      </c>
      <c r="Q459">
        <f>IF(ISNUMBER($G459),ABS($G459),0)</f>
        <v/>
      </c>
      <c r="R459">
        <f>IF(AND($D459="Расход",COUNTIFS(Счета!$B$10:$B$21,$H459,Счета!$C$10:$C$21,"Кредитная")&gt;0),1,0)</f>
        <v/>
      </c>
    </row>
    <row r="460" ht="19" customHeight="1">
      <c r="B460" s="53">
        <f>IF(AND($C460="",$F460=""),"",ROW()-9)</f>
        <v/>
      </c>
      <c r="C460" s="213" t="n"/>
      <c r="D460" s="55" t="n"/>
      <c r="E460" s="55" t="n"/>
      <c r="F460" s="56" t="n"/>
      <c r="G460" s="196" t="n"/>
      <c r="H460" s="21" t="n"/>
      <c r="I460" s="21" t="n"/>
      <c r="J460" s="53">
        <f>IF($C460="","",INDEX(Настройки!$V$6:$V$17,MONTH($C460))&amp;" "&amp;YEAR($C460))</f>
        <v/>
      </c>
      <c r="K460" s="57">
        <f>IF(OR($F460="",$D460="Перевод"),"",IF(AND(N($G460)&lt;&gt;0,COUNTIFS(Журнал!$C$10:$C$1509,$C460,Журнал!$P$10:$P$1509,$G460)&gt;0),"есть в Журнале",IF(COUNTIF(Постоянные!$C$8:$C$37,$F460)&gt;0,"есть в Постоянных",IF(COUNTIF(Покупки!$C$7:$C$18,$F460)&gt;0,"есть в Покупках",""))))</f>
        <v/>
      </c>
      <c r="P460">
        <f>IF($C460="","",DATE(YEAR($C460),MONTH($C460),1))</f>
        <v/>
      </c>
      <c r="Q460">
        <f>IF(ISNUMBER($G460),ABS($G460),0)</f>
        <v/>
      </c>
      <c r="R460">
        <f>IF(AND($D460="Расход",COUNTIFS(Счета!$B$10:$B$21,$H460,Счета!$C$10:$C$21,"Кредитная")&gt;0),1,0)</f>
        <v/>
      </c>
    </row>
    <row r="461" ht="19" customHeight="1">
      <c r="B461" s="53">
        <f>IF(AND($C461="",$F461=""),"",ROW()-9)</f>
        <v/>
      </c>
      <c r="C461" s="213" t="n"/>
      <c r="D461" s="55" t="n"/>
      <c r="E461" s="55" t="n"/>
      <c r="F461" s="56" t="n"/>
      <c r="G461" s="196" t="n"/>
      <c r="H461" s="21" t="n"/>
      <c r="I461" s="21" t="n"/>
      <c r="J461" s="53">
        <f>IF($C461="","",INDEX(Настройки!$V$6:$V$17,MONTH($C461))&amp;" "&amp;YEAR($C461))</f>
        <v/>
      </c>
      <c r="K461" s="57">
        <f>IF(OR($F461="",$D461="Перевод"),"",IF(AND(N($G461)&lt;&gt;0,COUNTIFS(Журнал!$C$10:$C$1509,$C461,Журнал!$P$10:$P$1509,$G461)&gt;0),"есть в Журнале",IF(COUNTIF(Постоянные!$C$8:$C$37,$F461)&gt;0,"есть в Постоянных",IF(COUNTIF(Покупки!$C$7:$C$18,$F461)&gt;0,"есть в Покупках",""))))</f>
        <v/>
      </c>
      <c r="P461">
        <f>IF($C461="","",DATE(YEAR($C461),MONTH($C461),1))</f>
        <v/>
      </c>
      <c r="Q461">
        <f>IF(ISNUMBER($G461),ABS($G461),0)</f>
        <v/>
      </c>
      <c r="R461">
        <f>IF(AND($D461="Расход",COUNTIFS(Счета!$B$10:$B$21,$H461,Счета!$C$10:$C$21,"Кредитная")&gt;0),1,0)</f>
        <v/>
      </c>
    </row>
    <row r="462" ht="19" customHeight="1">
      <c r="B462" s="53">
        <f>IF(AND($C462="",$F462=""),"",ROW()-9)</f>
        <v/>
      </c>
      <c r="C462" s="213" t="n"/>
      <c r="D462" s="55" t="n"/>
      <c r="E462" s="55" t="n"/>
      <c r="F462" s="56" t="n"/>
      <c r="G462" s="196" t="n"/>
      <c r="H462" s="21" t="n"/>
      <c r="I462" s="21" t="n"/>
      <c r="J462" s="53">
        <f>IF($C462="","",INDEX(Настройки!$V$6:$V$17,MONTH($C462))&amp;" "&amp;YEAR($C462))</f>
        <v/>
      </c>
      <c r="K462" s="57">
        <f>IF(OR($F462="",$D462="Перевод"),"",IF(AND(N($G462)&lt;&gt;0,COUNTIFS(Журнал!$C$10:$C$1509,$C462,Журнал!$P$10:$P$1509,$G462)&gt;0),"есть в Журнале",IF(COUNTIF(Постоянные!$C$8:$C$37,$F462)&gt;0,"есть в Постоянных",IF(COUNTIF(Покупки!$C$7:$C$18,$F462)&gt;0,"есть в Покупках",""))))</f>
        <v/>
      </c>
      <c r="P462">
        <f>IF($C462="","",DATE(YEAR($C462),MONTH($C462),1))</f>
        <v/>
      </c>
      <c r="Q462">
        <f>IF(ISNUMBER($G462),ABS($G462),0)</f>
        <v/>
      </c>
      <c r="R462">
        <f>IF(AND($D462="Расход",COUNTIFS(Счета!$B$10:$B$21,$H462,Счета!$C$10:$C$21,"Кредитная")&gt;0),1,0)</f>
        <v/>
      </c>
    </row>
    <row r="463" ht="19" customHeight="1">
      <c r="B463" s="53">
        <f>IF(AND($C463="",$F463=""),"",ROW()-9)</f>
        <v/>
      </c>
      <c r="C463" s="213" t="n"/>
      <c r="D463" s="55" t="n"/>
      <c r="E463" s="55" t="n"/>
      <c r="F463" s="56" t="n"/>
      <c r="G463" s="196" t="n"/>
      <c r="H463" s="21" t="n"/>
      <c r="I463" s="21" t="n"/>
      <c r="J463" s="53">
        <f>IF($C463="","",INDEX(Настройки!$V$6:$V$17,MONTH($C463))&amp;" "&amp;YEAR($C463))</f>
        <v/>
      </c>
      <c r="K463" s="57">
        <f>IF(OR($F463="",$D463="Перевод"),"",IF(AND(N($G463)&lt;&gt;0,COUNTIFS(Журнал!$C$10:$C$1509,$C463,Журнал!$P$10:$P$1509,$G463)&gt;0),"есть в Журнале",IF(COUNTIF(Постоянные!$C$8:$C$37,$F463)&gt;0,"есть в Постоянных",IF(COUNTIF(Покупки!$C$7:$C$18,$F463)&gt;0,"есть в Покупках",""))))</f>
        <v/>
      </c>
      <c r="P463">
        <f>IF($C463="","",DATE(YEAR($C463),MONTH($C463),1))</f>
        <v/>
      </c>
      <c r="Q463">
        <f>IF(ISNUMBER($G463),ABS($G463),0)</f>
        <v/>
      </c>
      <c r="R463">
        <f>IF(AND($D463="Расход",COUNTIFS(Счета!$B$10:$B$21,$H463,Счета!$C$10:$C$21,"Кредитная")&gt;0),1,0)</f>
        <v/>
      </c>
    </row>
    <row r="464" ht="19" customHeight="1">
      <c r="B464" s="53">
        <f>IF(AND($C464="",$F464=""),"",ROW()-9)</f>
        <v/>
      </c>
      <c r="C464" s="213" t="n"/>
      <c r="D464" s="55" t="n"/>
      <c r="E464" s="55" t="n"/>
      <c r="F464" s="56" t="n"/>
      <c r="G464" s="196" t="n"/>
      <c r="H464" s="21" t="n"/>
      <c r="I464" s="21" t="n"/>
      <c r="J464" s="53">
        <f>IF($C464="","",INDEX(Настройки!$V$6:$V$17,MONTH($C464))&amp;" "&amp;YEAR($C464))</f>
        <v/>
      </c>
      <c r="K464" s="57">
        <f>IF(OR($F464="",$D464="Перевод"),"",IF(AND(N($G464)&lt;&gt;0,COUNTIFS(Журнал!$C$10:$C$1509,$C464,Журнал!$P$10:$P$1509,$G464)&gt;0),"есть в Журнале",IF(COUNTIF(Постоянные!$C$8:$C$37,$F464)&gt;0,"есть в Постоянных",IF(COUNTIF(Покупки!$C$7:$C$18,$F464)&gt;0,"есть в Покупках",""))))</f>
        <v/>
      </c>
      <c r="P464">
        <f>IF($C464="","",DATE(YEAR($C464),MONTH($C464),1))</f>
        <v/>
      </c>
      <c r="Q464">
        <f>IF(ISNUMBER($G464),ABS($G464),0)</f>
        <v/>
      </c>
      <c r="R464">
        <f>IF(AND($D464="Расход",COUNTIFS(Счета!$B$10:$B$21,$H464,Счета!$C$10:$C$21,"Кредитная")&gt;0),1,0)</f>
        <v/>
      </c>
    </row>
    <row r="465" ht="19" customHeight="1">
      <c r="B465" s="53">
        <f>IF(AND($C465="",$F465=""),"",ROW()-9)</f>
        <v/>
      </c>
      <c r="C465" s="213" t="n"/>
      <c r="D465" s="55" t="n"/>
      <c r="E465" s="55" t="n"/>
      <c r="F465" s="56" t="n"/>
      <c r="G465" s="196" t="n"/>
      <c r="H465" s="21" t="n"/>
      <c r="I465" s="21" t="n"/>
      <c r="J465" s="53">
        <f>IF($C465="","",INDEX(Настройки!$V$6:$V$17,MONTH($C465))&amp;" "&amp;YEAR($C465))</f>
        <v/>
      </c>
      <c r="K465" s="57">
        <f>IF(OR($F465="",$D465="Перевод"),"",IF(AND(N($G465)&lt;&gt;0,COUNTIFS(Журнал!$C$10:$C$1509,$C465,Журнал!$P$10:$P$1509,$G465)&gt;0),"есть в Журнале",IF(COUNTIF(Постоянные!$C$8:$C$37,$F465)&gt;0,"есть в Постоянных",IF(COUNTIF(Покупки!$C$7:$C$18,$F465)&gt;0,"есть в Покупках",""))))</f>
        <v/>
      </c>
      <c r="P465">
        <f>IF($C465="","",DATE(YEAR($C465),MONTH($C465),1))</f>
        <v/>
      </c>
      <c r="Q465">
        <f>IF(ISNUMBER($G465),ABS($G465),0)</f>
        <v/>
      </c>
      <c r="R465">
        <f>IF(AND($D465="Расход",COUNTIFS(Счета!$B$10:$B$21,$H465,Счета!$C$10:$C$21,"Кредитная")&gt;0),1,0)</f>
        <v/>
      </c>
    </row>
    <row r="466" ht="19" customHeight="1">
      <c r="B466" s="53">
        <f>IF(AND($C466="",$F466=""),"",ROW()-9)</f>
        <v/>
      </c>
      <c r="C466" s="213" t="n"/>
      <c r="D466" s="55" t="n"/>
      <c r="E466" s="55" t="n"/>
      <c r="F466" s="56" t="n"/>
      <c r="G466" s="196" t="n"/>
      <c r="H466" s="21" t="n"/>
      <c r="I466" s="21" t="n"/>
      <c r="J466" s="53">
        <f>IF($C466="","",INDEX(Настройки!$V$6:$V$17,MONTH($C466))&amp;" "&amp;YEAR($C466))</f>
        <v/>
      </c>
      <c r="K466" s="57">
        <f>IF(OR($F466="",$D466="Перевод"),"",IF(AND(N($G466)&lt;&gt;0,COUNTIFS(Журнал!$C$10:$C$1509,$C466,Журнал!$P$10:$P$1509,$G466)&gt;0),"есть в Журнале",IF(COUNTIF(Постоянные!$C$8:$C$37,$F466)&gt;0,"есть в Постоянных",IF(COUNTIF(Покупки!$C$7:$C$18,$F466)&gt;0,"есть в Покупках",""))))</f>
        <v/>
      </c>
      <c r="P466">
        <f>IF($C466="","",DATE(YEAR($C466),MONTH($C466),1))</f>
        <v/>
      </c>
      <c r="Q466">
        <f>IF(ISNUMBER($G466),ABS($G466),0)</f>
        <v/>
      </c>
      <c r="R466">
        <f>IF(AND($D466="Расход",COUNTIFS(Счета!$B$10:$B$21,$H466,Счета!$C$10:$C$21,"Кредитная")&gt;0),1,0)</f>
        <v/>
      </c>
    </row>
    <row r="467" ht="19" customHeight="1">
      <c r="B467" s="53">
        <f>IF(AND($C467="",$F467=""),"",ROW()-9)</f>
        <v/>
      </c>
      <c r="C467" s="213" t="n"/>
      <c r="D467" s="55" t="n"/>
      <c r="E467" s="55" t="n"/>
      <c r="F467" s="56" t="n"/>
      <c r="G467" s="196" t="n"/>
      <c r="H467" s="21" t="n"/>
      <c r="I467" s="21" t="n"/>
      <c r="J467" s="53">
        <f>IF($C467="","",INDEX(Настройки!$V$6:$V$17,MONTH($C467))&amp;" "&amp;YEAR($C467))</f>
        <v/>
      </c>
      <c r="K467" s="57">
        <f>IF(OR($F467="",$D467="Перевод"),"",IF(AND(N($G467)&lt;&gt;0,COUNTIFS(Журнал!$C$10:$C$1509,$C467,Журнал!$P$10:$P$1509,$G467)&gt;0),"есть в Журнале",IF(COUNTIF(Постоянные!$C$8:$C$37,$F467)&gt;0,"есть в Постоянных",IF(COUNTIF(Покупки!$C$7:$C$18,$F467)&gt;0,"есть в Покупках",""))))</f>
        <v/>
      </c>
      <c r="P467">
        <f>IF($C467="","",DATE(YEAR($C467),MONTH($C467),1))</f>
        <v/>
      </c>
      <c r="Q467">
        <f>IF(ISNUMBER($G467),ABS($G467),0)</f>
        <v/>
      </c>
      <c r="R467">
        <f>IF(AND($D467="Расход",COUNTIFS(Счета!$B$10:$B$21,$H467,Счета!$C$10:$C$21,"Кредитная")&gt;0),1,0)</f>
        <v/>
      </c>
    </row>
    <row r="468" ht="19" customHeight="1">
      <c r="B468" s="53">
        <f>IF(AND($C468="",$F468=""),"",ROW()-9)</f>
        <v/>
      </c>
      <c r="C468" s="213" t="n"/>
      <c r="D468" s="55" t="n"/>
      <c r="E468" s="55" t="n"/>
      <c r="F468" s="56" t="n"/>
      <c r="G468" s="196" t="n"/>
      <c r="H468" s="21" t="n"/>
      <c r="I468" s="21" t="n"/>
      <c r="J468" s="53">
        <f>IF($C468="","",INDEX(Настройки!$V$6:$V$17,MONTH($C468))&amp;" "&amp;YEAR($C468))</f>
        <v/>
      </c>
      <c r="K468" s="57">
        <f>IF(OR($F468="",$D468="Перевод"),"",IF(AND(N($G468)&lt;&gt;0,COUNTIFS(Журнал!$C$10:$C$1509,$C468,Журнал!$P$10:$P$1509,$G468)&gt;0),"есть в Журнале",IF(COUNTIF(Постоянные!$C$8:$C$37,$F468)&gt;0,"есть в Постоянных",IF(COUNTIF(Покупки!$C$7:$C$18,$F468)&gt;0,"есть в Покупках",""))))</f>
        <v/>
      </c>
      <c r="P468">
        <f>IF($C468="","",DATE(YEAR($C468),MONTH($C468),1))</f>
        <v/>
      </c>
      <c r="Q468">
        <f>IF(ISNUMBER($G468),ABS($G468),0)</f>
        <v/>
      </c>
      <c r="R468">
        <f>IF(AND($D468="Расход",COUNTIFS(Счета!$B$10:$B$21,$H468,Счета!$C$10:$C$21,"Кредитная")&gt;0),1,0)</f>
        <v/>
      </c>
    </row>
    <row r="469" ht="19" customHeight="1">
      <c r="B469" s="53">
        <f>IF(AND($C469="",$F469=""),"",ROW()-9)</f>
        <v/>
      </c>
      <c r="C469" s="213" t="n"/>
      <c r="D469" s="55" t="n"/>
      <c r="E469" s="55" t="n"/>
      <c r="F469" s="56" t="n"/>
      <c r="G469" s="196" t="n"/>
      <c r="H469" s="21" t="n"/>
      <c r="I469" s="21" t="n"/>
      <c r="J469" s="53">
        <f>IF($C469="","",INDEX(Настройки!$V$6:$V$17,MONTH($C469))&amp;" "&amp;YEAR($C469))</f>
        <v/>
      </c>
      <c r="K469" s="57">
        <f>IF(OR($F469="",$D469="Перевод"),"",IF(AND(N($G469)&lt;&gt;0,COUNTIFS(Журнал!$C$10:$C$1509,$C469,Журнал!$P$10:$P$1509,$G469)&gt;0),"есть в Журнале",IF(COUNTIF(Постоянные!$C$8:$C$37,$F469)&gt;0,"есть в Постоянных",IF(COUNTIF(Покупки!$C$7:$C$18,$F469)&gt;0,"есть в Покупках",""))))</f>
        <v/>
      </c>
      <c r="P469">
        <f>IF($C469="","",DATE(YEAR($C469),MONTH($C469),1))</f>
        <v/>
      </c>
      <c r="Q469">
        <f>IF(ISNUMBER($G469),ABS($G469),0)</f>
        <v/>
      </c>
      <c r="R469">
        <f>IF(AND($D469="Расход",COUNTIFS(Счета!$B$10:$B$21,$H469,Счета!$C$10:$C$21,"Кредитная")&gt;0),1,0)</f>
        <v/>
      </c>
    </row>
    <row r="470" ht="19" customHeight="1">
      <c r="B470" s="53">
        <f>IF(AND($C470="",$F470=""),"",ROW()-9)</f>
        <v/>
      </c>
      <c r="C470" s="213" t="n"/>
      <c r="D470" s="55" t="n"/>
      <c r="E470" s="55" t="n"/>
      <c r="F470" s="56" t="n"/>
      <c r="G470" s="196" t="n"/>
      <c r="H470" s="21" t="n"/>
      <c r="I470" s="21" t="n"/>
      <c r="J470" s="53">
        <f>IF($C470="","",INDEX(Настройки!$V$6:$V$17,MONTH($C470))&amp;" "&amp;YEAR($C470))</f>
        <v/>
      </c>
      <c r="K470" s="57">
        <f>IF(OR($F470="",$D470="Перевод"),"",IF(AND(N($G470)&lt;&gt;0,COUNTIFS(Журнал!$C$10:$C$1509,$C470,Журнал!$P$10:$P$1509,$G470)&gt;0),"есть в Журнале",IF(COUNTIF(Постоянные!$C$8:$C$37,$F470)&gt;0,"есть в Постоянных",IF(COUNTIF(Покупки!$C$7:$C$18,$F470)&gt;0,"есть в Покупках",""))))</f>
        <v/>
      </c>
      <c r="P470">
        <f>IF($C470="","",DATE(YEAR($C470),MONTH($C470),1))</f>
        <v/>
      </c>
      <c r="Q470">
        <f>IF(ISNUMBER($G470),ABS($G470),0)</f>
        <v/>
      </c>
      <c r="R470">
        <f>IF(AND($D470="Расход",COUNTIFS(Счета!$B$10:$B$21,$H470,Счета!$C$10:$C$21,"Кредитная")&gt;0),1,0)</f>
        <v/>
      </c>
    </row>
    <row r="471" ht="19" customHeight="1">
      <c r="B471" s="53">
        <f>IF(AND($C471="",$F471=""),"",ROW()-9)</f>
        <v/>
      </c>
      <c r="C471" s="213" t="n"/>
      <c r="D471" s="55" t="n"/>
      <c r="E471" s="55" t="n"/>
      <c r="F471" s="56" t="n"/>
      <c r="G471" s="196" t="n"/>
      <c r="H471" s="21" t="n"/>
      <c r="I471" s="21" t="n"/>
      <c r="J471" s="53">
        <f>IF($C471="","",INDEX(Настройки!$V$6:$V$17,MONTH($C471))&amp;" "&amp;YEAR($C471))</f>
        <v/>
      </c>
      <c r="K471" s="57">
        <f>IF(OR($F471="",$D471="Перевод"),"",IF(AND(N($G471)&lt;&gt;0,COUNTIFS(Журнал!$C$10:$C$1509,$C471,Журнал!$P$10:$P$1509,$G471)&gt;0),"есть в Журнале",IF(COUNTIF(Постоянные!$C$8:$C$37,$F471)&gt;0,"есть в Постоянных",IF(COUNTIF(Покупки!$C$7:$C$18,$F471)&gt;0,"есть в Покупках",""))))</f>
        <v/>
      </c>
      <c r="P471">
        <f>IF($C471="","",DATE(YEAR($C471),MONTH($C471),1))</f>
        <v/>
      </c>
      <c r="Q471">
        <f>IF(ISNUMBER($G471),ABS($G471),0)</f>
        <v/>
      </c>
      <c r="R471">
        <f>IF(AND($D471="Расход",COUNTIFS(Счета!$B$10:$B$21,$H471,Счета!$C$10:$C$21,"Кредитная")&gt;0),1,0)</f>
        <v/>
      </c>
    </row>
    <row r="472" ht="19" customHeight="1">
      <c r="B472" s="53">
        <f>IF(AND($C472="",$F472=""),"",ROW()-9)</f>
        <v/>
      </c>
      <c r="C472" s="213" t="n"/>
      <c r="D472" s="55" t="n"/>
      <c r="E472" s="55" t="n"/>
      <c r="F472" s="56" t="n"/>
      <c r="G472" s="196" t="n"/>
      <c r="H472" s="21" t="n"/>
      <c r="I472" s="21" t="n"/>
      <c r="J472" s="53">
        <f>IF($C472="","",INDEX(Настройки!$V$6:$V$17,MONTH($C472))&amp;" "&amp;YEAR($C472))</f>
        <v/>
      </c>
      <c r="K472" s="57">
        <f>IF(OR($F472="",$D472="Перевод"),"",IF(AND(N($G472)&lt;&gt;0,COUNTIFS(Журнал!$C$10:$C$1509,$C472,Журнал!$P$10:$P$1509,$G472)&gt;0),"есть в Журнале",IF(COUNTIF(Постоянные!$C$8:$C$37,$F472)&gt;0,"есть в Постоянных",IF(COUNTIF(Покупки!$C$7:$C$18,$F472)&gt;0,"есть в Покупках",""))))</f>
        <v/>
      </c>
      <c r="P472">
        <f>IF($C472="","",DATE(YEAR($C472),MONTH($C472),1))</f>
        <v/>
      </c>
      <c r="Q472">
        <f>IF(ISNUMBER($G472),ABS($G472),0)</f>
        <v/>
      </c>
      <c r="R472">
        <f>IF(AND($D472="Расход",COUNTIFS(Счета!$B$10:$B$21,$H472,Счета!$C$10:$C$21,"Кредитная")&gt;0),1,0)</f>
        <v/>
      </c>
    </row>
    <row r="473" ht="19" customHeight="1">
      <c r="B473" s="53">
        <f>IF(AND($C473="",$F473=""),"",ROW()-9)</f>
        <v/>
      </c>
      <c r="C473" s="213" t="n"/>
      <c r="D473" s="55" t="n"/>
      <c r="E473" s="55" t="n"/>
      <c r="F473" s="56" t="n"/>
      <c r="G473" s="196" t="n"/>
      <c r="H473" s="21" t="n"/>
      <c r="I473" s="21" t="n"/>
      <c r="J473" s="53">
        <f>IF($C473="","",INDEX(Настройки!$V$6:$V$17,MONTH($C473))&amp;" "&amp;YEAR($C473))</f>
        <v/>
      </c>
      <c r="K473" s="57">
        <f>IF(OR($F473="",$D473="Перевод"),"",IF(AND(N($G473)&lt;&gt;0,COUNTIFS(Журнал!$C$10:$C$1509,$C473,Журнал!$P$10:$P$1509,$G473)&gt;0),"есть в Журнале",IF(COUNTIF(Постоянные!$C$8:$C$37,$F473)&gt;0,"есть в Постоянных",IF(COUNTIF(Покупки!$C$7:$C$18,$F473)&gt;0,"есть в Покупках",""))))</f>
        <v/>
      </c>
      <c r="P473">
        <f>IF($C473="","",DATE(YEAR($C473),MONTH($C473),1))</f>
        <v/>
      </c>
      <c r="Q473">
        <f>IF(ISNUMBER($G473),ABS($G473),0)</f>
        <v/>
      </c>
      <c r="R473">
        <f>IF(AND($D473="Расход",COUNTIFS(Счета!$B$10:$B$21,$H473,Счета!$C$10:$C$21,"Кредитная")&gt;0),1,0)</f>
        <v/>
      </c>
    </row>
    <row r="474" ht="19" customHeight="1">
      <c r="B474" s="53">
        <f>IF(AND($C474="",$F474=""),"",ROW()-9)</f>
        <v/>
      </c>
      <c r="C474" s="213" t="n"/>
      <c r="D474" s="55" t="n"/>
      <c r="E474" s="55" t="n"/>
      <c r="F474" s="56" t="n"/>
      <c r="G474" s="196" t="n"/>
      <c r="H474" s="21" t="n"/>
      <c r="I474" s="21" t="n"/>
      <c r="J474" s="53">
        <f>IF($C474="","",INDEX(Настройки!$V$6:$V$17,MONTH($C474))&amp;" "&amp;YEAR($C474))</f>
        <v/>
      </c>
      <c r="K474" s="57">
        <f>IF(OR($F474="",$D474="Перевод"),"",IF(AND(N($G474)&lt;&gt;0,COUNTIFS(Журнал!$C$10:$C$1509,$C474,Журнал!$P$10:$P$1509,$G474)&gt;0),"есть в Журнале",IF(COUNTIF(Постоянные!$C$8:$C$37,$F474)&gt;0,"есть в Постоянных",IF(COUNTIF(Покупки!$C$7:$C$18,$F474)&gt;0,"есть в Покупках",""))))</f>
        <v/>
      </c>
      <c r="P474">
        <f>IF($C474="","",DATE(YEAR($C474),MONTH($C474),1))</f>
        <v/>
      </c>
      <c r="Q474">
        <f>IF(ISNUMBER($G474),ABS($G474),0)</f>
        <v/>
      </c>
      <c r="R474">
        <f>IF(AND($D474="Расход",COUNTIFS(Счета!$B$10:$B$21,$H474,Счета!$C$10:$C$21,"Кредитная")&gt;0),1,0)</f>
        <v/>
      </c>
    </row>
    <row r="475" ht="19" customHeight="1">
      <c r="B475" s="53">
        <f>IF(AND($C475="",$F475=""),"",ROW()-9)</f>
        <v/>
      </c>
      <c r="C475" s="213" t="n"/>
      <c r="D475" s="55" t="n"/>
      <c r="E475" s="55" t="n"/>
      <c r="F475" s="56" t="n"/>
      <c r="G475" s="196" t="n"/>
      <c r="H475" s="21" t="n"/>
      <c r="I475" s="21" t="n"/>
      <c r="J475" s="53">
        <f>IF($C475="","",INDEX(Настройки!$V$6:$V$17,MONTH($C475))&amp;" "&amp;YEAR($C475))</f>
        <v/>
      </c>
      <c r="K475" s="57">
        <f>IF(OR($F475="",$D475="Перевод"),"",IF(AND(N($G475)&lt;&gt;0,COUNTIFS(Журнал!$C$10:$C$1509,$C475,Журнал!$P$10:$P$1509,$G475)&gt;0),"есть в Журнале",IF(COUNTIF(Постоянные!$C$8:$C$37,$F475)&gt;0,"есть в Постоянных",IF(COUNTIF(Покупки!$C$7:$C$18,$F475)&gt;0,"есть в Покупках",""))))</f>
        <v/>
      </c>
      <c r="P475">
        <f>IF($C475="","",DATE(YEAR($C475),MONTH($C475),1))</f>
        <v/>
      </c>
      <c r="Q475">
        <f>IF(ISNUMBER($G475),ABS($G475),0)</f>
        <v/>
      </c>
      <c r="R475">
        <f>IF(AND($D475="Расход",COUNTIFS(Счета!$B$10:$B$21,$H475,Счета!$C$10:$C$21,"Кредитная")&gt;0),1,0)</f>
        <v/>
      </c>
    </row>
    <row r="476" ht="19" customHeight="1">
      <c r="B476" s="53">
        <f>IF(AND($C476="",$F476=""),"",ROW()-9)</f>
        <v/>
      </c>
      <c r="C476" s="213" t="n"/>
      <c r="D476" s="55" t="n"/>
      <c r="E476" s="55" t="n"/>
      <c r="F476" s="56" t="n"/>
      <c r="G476" s="196" t="n"/>
      <c r="H476" s="21" t="n"/>
      <c r="I476" s="21" t="n"/>
      <c r="J476" s="53">
        <f>IF($C476="","",INDEX(Настройки!$V$6:$V$17,MONTH($C476))&amp;" "&amp;YEAR($C476))</f>
        <v/>
      </c>
      <c r="K476" s="57">
        <f>IF(OR($F476="",$D476="Перевод"),"",IF(AND(N($G476)&lt;&gt;0,COUNTIFS(Журнал!$C$10:$C$1509,$C476,Журнал!$P$10:$P$1509,$G476)&gt;0),"есть в Журнале",IF(COUNTIF(Постоянные!$C$8:$C$37,$F476)&gt;0,"есть в Постоянных",IF(COUNTIF(Покупки!$C$7:$C$18,$F476)&gt;0,"есть в Покупках",""))))</f>
        <v/>
      </c>
      <c r="P476">
        <f>IF($C476="","",DATE(YEAR($C476),MONTH($C476),1))</f>
        <v/>
      </c>
      <c r="Q476">
        <f>IF(ISNUMBER($G476),ABS($G476),0)</f>
        <v/>
      </c>
      <c r="R476">
        <f>IF(AND($D476="Расход",COUNTIFS(Счета!$B$10:$B$21,$H476,Счета!$C$10:$C$21,"Кредитная")&gt;0),1,0)</f>
        <v/>
      </c>
    </row>
    <row r="477" ht="19" customHeight="1">
      <c r="B477" s="53">
        <f>IF(AND($C477="",$F477=""),"",ROW()-9)</f>
        <v/>
      </c>
      <c r="C477" s="213" t="n"/>
      <c r="D477" s="55" t="n"/>
      <c r="E477" s="55" t="n"/>
      <c r="F477" s="56" t="n"/>
      <c r="G477" s="196" t="n"/>
      <c r="H477" s="21" t="n"/>
      <c r="I477" s="21" t="n"/>
      <c r="J477" s="53">
        <f>IF($C477="","",INDEX(Настройки!$V$6:$V$17,MONTH($C477))&amp;" "&amp;YEAR($C477))</f>
        <v/>
      </c>
      <c r="K477" s="57">
        <f>IF(OR($F477="",$D477="Перевод"),"",IF(AND(N($G477)&lt;&gt;0,COUNTIFS(Журнал!$C$10:$C$1509,$C477,Журнал!$P$10:$P$1509,$G477)&gt;0),"есть в Журнале",IF(COUNTIF(Постоянные!$C$8:$C$37,$F477)&gt;0,"есть в Постоянных",IF(COUNTIF(Покупки!$C$7:$C$18,$F477)&gt;0,"есть в Покупках",""))))</f>
        <v/>
      </c>
      <c r="P477">
        <f>IF($C477="","",DATE(YEAR($C477),MONTH($C477),1))</f>
        <v/>
      </c>
      <c r="Q477">
        <f>IF(ISNUMBER($G477),ABS($G477),0)</f>
        <v/>
      </c>
      <c r="R477">
        <f>IF(AND($D477="Расход",COUNTIFS(Счета!$B$10:$B$21,$H477,Счета!$C$10:$C$21,"Кредитная")&gt;0),1,0)</f>
        <v/>
      </c>
    </row>
    <row r="478" ht="19" customHeight="1">
      <c r="B478" s="53">
        <f>IF(AND($C478="",$F478=""),"",ROW()-9)</f>
        <v/>
      </c>
      <c r="C478" s="213" t="n"/>
      <c r="D478" s="55" t="n"/>
      <c r="E478" s="55" t="n"/>
      <c r="F478" s="56" t="n"/>
      <c r="G478" s="196" t="n"/>
      <c r="H478" s="21" t="n"/>
      <c r="I478" s="21" t="n"/>
      <c r="J478" s="53">
        <f>IF($C478="","",INDEX(Настройки!$V$6:$V$17,MONTH($C478))&amp;" "&amp;YEAR($C478))</f>
        <v/>
      </c>
      <c r="K478" s="57">
        <f>IF(OR($F478="",$D478="Перевод"),"",IF(AND(N($G478)&lt;&gt;0,COUNTIFS(Журнал!$C$10:$C$1509,$C478,Журнал!$P$10:$P$1509,$G478)&gt;0),"есть в Журнале",IF(COUNTIF(Постоянные!$C$8:$C$37,$F478)&gt;0,"есть в Постоянных",IF(COUNTIF(Покупки!$C$7:$C$18,$F478)&gt;0,"есть в Покупках",""))))</f>
        <v/>
      </c>
      <c r="P478">
        <f>IF($C478="","",DATE(YEAR($C478),MONTH($C478),1))</f>
        <v/>
      </c>
      <c r="Q478">
        <f>IF(ISNUMBER($G478),ABS($G478),0)</f>
        <v/>
      </c>
      <c r="R478">
        <f>IF(AND($D478="Расход",COUNTIFS(Счета!$B$10:$B$21,$H478,Счета!$C$10:$C$21,"Кредитная")&gt;0),1,0)</f>
        <v/>
      </c>
    </row>
    <row r="479" ht="19" customHeight="1">
      <c r="B479" s="53">
        <f>IF(AND($C479="",$F479=""),"",ROW()-9)</f>
        <v/>
      </c>
      <c r="C479" s="213" t="n"/>
      <c r="D479" s="55" t="n"/>
      <c r="E479" s="55" t="n"/>
      <c r="F479" s="56" t="n"/>
      <c r="G479" s="196" t="n"/>
      <c r="H479" s="21" t="n"/>
      <c r="I479" s="21" t="n"/>
      <c r="J479" s="53">
        <f>IF($C479="","",INDEX(Настройки!$V$6:$V$17,MONTH($C479))&amp;" "&amp;YEAR($C479))</f>
        <v/>
      </c>
      <c r="K479" s="57">
        <f>IF(OR($F479="",$D479="Перевод"),"",IF(AND(N($G479)&lt;&gt;0,COUNTIFS(Журнал!$C$10:$C$1509,$C479,Журнал!$P$10:$P$1509,$G479)&gt;0),"есть в Журнале",IF(COUNTIF(Постоянные!$C$8:$C$37,$F479)&gt;0,"есть в Постоянных",IF(COUNTIF(Покупки!$C$7:$C$18,$F479)&gt;0,"есть в Покупках",""))))</f>
        <v/>
      </c>
      <c r="P479">
        <f>IF($C479="","",DATE(YEAR($C479),MONTH($C479),1))</f>
        <v/>
      </c>
      <c r="Q479">
        <f>IF(ISNUMBER($G479),ABS($G479),0)</f>
        <v/>
      </c>
      <c r="R479">
        <f>IF(AND($D479="Расход",COUNTIFS(Счета!$B$10:$B$21,$H479,Счета!$C$10:$C$21,"Кредитная")&gt;0),1,0)</f>
        <v/>
      </c>
    </row>
    <row r="480" ht="19" customHeight="1">
      <c r="B480" s="53">
        <f>IF(AND($C480="",$F480=""),"",ROW()-9)</f>
        <v/>
      </c>
      <c r="C480" s="213" t="n"/>
      <c r="D480" s="55" t="n"/>
      <c r="E480" s="55" t="n"/>
      <c r="F480" s="56" t="n"/>
      <c r="G480" s="196" t="n"/>
      <c r="H480" s="21" t="n"/>
      <c r="I480" s="21" t="n"/>
      <c r="J480" s="53">
        <f>IF($C480="","",INDEX(Настройки!$V$6:$V$17,MONTH($C480))&amp;" "&amp;YEAR($C480))</f>
        <v/>
      </c>
      <c r="K480" s="57">
        <f>IF(OR($F480="",$D480="Перевод"),"",IF(AND(N($G480)&lt;&gt;0,COUNTIFS(Журнал!$C$10:$C$1509,$C480,Журнал!$P$10:$P$1509,$G480)&gt;0),"есть в Журнале",IF(COUNTIF(Постоянные!$C$8:$C$37,$F480)&gt;0,"есть в Постоянных",IF(COUNTIF(Покупки!$C$7:$C$18,$F480)&gt;0,"есть в Покупках",""))))</f>
        <v/>
      </c>
      <c r="P480">
        <f>IF($C480="","",DATE(YEAR($C480),MONTH($C480),1))</f>
        <v/>
      </c>
      <c r="Q480">
        <f>IF(ISNUMBER($G480),ABS($G480),0)</f>
        <v/>
      </c>
      <c r="R480">
        <f>IF(AND($D480="Расход",COUNTIFS(Счета!$B$10:$B$21,$H480,Счета!$C$10:$C$21,"Кредитная")&gt;0),1,0)</f>
        <v/>
      </c>
    </row>
    <row r="481" ht="19" customHeight="1">
      <c r="B481" s="53">
        <f>IF(AND($C481="",$F481=""),"",ROW()-9)</f>
        <v/>
      </c>
      <c r="C481" s="213" t="n"/>
      <c r="D481" s="55" t="n"/>
      <c r="E481" s="55" t="n"/>
      <c r="F481" s="56" t="n"/>
      <c r="G481" s="196" t="n"/>
      <c r="H481" s="21" t="n"/>
      <c r="I481" s="21" t="n"/>
      <c r="J481" s="53">
        <f>IF($C481="","",INDEX(Настройки!$V$6:$V$17,MONTH($C481))&amp;" "&amp;YEAR($C481))</f>
        <v/>
      </c>
      <c r="K481" s="57">
        <f>IF(OR($F481="",$D481="Перевод"),"",IF(AND(N($G481)&lt;&gt;0,COUNTIFS(Журнал!$C$10:$C$1509,$C481,Журнал!$P$10:$P$1509,$G481)&gt;0),"есть в Журнале",IF(COUNTIF(Постоянные!$C$8:$C$37,$F481)&gt;0,"есть в Постоянных",IF(COUNTIF(Покупки!$C$7:$C$18,$F481)&gt;0,"есть в Покупках",""))))</f>
        <v/>
      </c>
      <c r="P481">
        <f>IF($C481="","",DATE(YEAR($C481),MONTH($C481),1))</f>
        <v/>
      </c>
      <c r="Q481">
        <f>IF(ISNUMBER($G481),ABS($G481),0)</f>
        <v/>
      </c>
      <c r="R481">
        <f>IF(AND($D481="Расход",COUNTIFS(Счета!$B$10:$B$21,$H481,Счета!$C$10:$C$21,"Кредитная")&gt;0),1,0)</f>
        <v/>
      </c>
    </row>
    <row r="482" ht="19" customHeight="1">
      <c r="B482" s="53">
        <f>IF(AND($C482="",$F482=""),"",ROW()-9)</f>
        <v/>
      </c>
      <c r="C482" s="213" t="n"/>
      <c r="D482" s="55" t="n"/>
      <c r="E482" s="55" t="n"/>
      <c r="F482" s="56" t="n"/>
      <c r="G482" s="196" t="n"/>
      <c r="H482" s="21" t="n"/>
      <c r="I482" s="21" t="n"/>
      <c r="J482" s="53">
        <f>IF($C482="","",INDEX(Настройки!$V$6:$V$17,MONTH($C482))&amp;" "&amp;YEAR($C482))</f>
        <v/>
      </c>
      <c r="K482" s="57">
        <f>IF(OR($F482="",$D482="Перевод"),"",IF(AND(N($G482)&lt;&gt;0,COUNTIFS(Журнал!$C$10:$C$1509,$C482,Журнал!$P$10:$P$1509,$G482)&gt;0),"есть в Журнале",IF(COUNTIF(Постоянные!$C$8:$C$37,$F482)&gt;0,"есть в Постоянных",IF(COUNTIF(Покупки!$C$7:$C$18,$F482)&gt;0,"есть в Покупках",""))))</f>
        <v/>
      </c>
      <c r="P482">
        <f>IF($C482="","",DATE(YEAR($C482),MONTH($C482),1))</f>
        <v/>
      </c>
      <c r="Q482">
        <f>IF(ISNUMBER($G482),ABS($G482),0)</f>
        <v/>
      </c>
      <c r="R482">
        <f>IF(AND($D482="Расход",COUNTIFS(Счета!$B$10:$B$21,$H482,Счета!$C$10:$C$21,"Кредитная")&gt;0),1,0)</f>
        <v/>
      </c>
    </row>
    <row r="483" ht="19" customHeight="1">
      <c r="B483" s="53">
        <f>IF(AND($C483="",$F483=""),"",ROW()-9)</f>
        <v/>
      </c>
      <c r="C483" s="213" t="n"/>
      <c r="D483" s="55" t="n"/>
      <c r="E483" s="55" t="n"/>
      <c r="F483" s="56" t="n"/>
      <c r="G483" s="196" t="n"/>
      <c r="H483" s="21" t="n"/>
      <c r="I483" s="21" t="n"/>
      <c r="J483" s="53">
        <f>IF($C483="","",INDEX(Настройки!$V$6:$V$17,MONTH($C483))&amp;" "&amp;YEAR($C483))</f>
        <v/>
      </c>
      <c r="K483" s="57">
        <f>IF(OR($F483="",$D483="Перевод"),"",IF(AND(N($G483)&lt;&gt;0,COUNTIFS(Журнал!$C$10:$C$1509,$C483,Журнал!$P$10:$P$1509,$G483)&gt;0),"есть в Журнале",IF(COUNTIF(Постоянные!$C$8:$C$37,$F483)&gt;0,"есть в Постоянных",IF(COUNTIF(Покупки!$C$7:$C$18,$F483)&gt;0,"есть в Покупках",""))))</f>
        <v/>
      </c>
      <c r="P483">
        <f>IF($C483="","",DATE(YEAR($C483),MONTH($C483),1))</f>
        <v/>
      </c>
      <c r="Q483">
        <f>IF(ISNUMBER($G483),ABS($G483),0)</f>
        <v/>
      </c>
      <c r="R483">
        <f>IF(AND($D483="Расход",COUNTIFS(Счета!$B$10:$B$21,$H483,Счета!$C$10:$C$21,"Кредитная")&gt;0),1,0)</f>
        <v/>
      </c>
    </row>
    <row r="484" ht="19" customHeight="1">
      <c r="B484" s="53">
        <f>IF(AND($C484="",$F484=""),"",ROW()-9)</f>
        <v/>
      </c>
      <c r="C484" s="213" t="n"/>
      <c r="D484" s="55" t="n"/>
      <c r="E484" s="55" t="n"/>
      <c r="F484" s="56" t="n"/>
      <c r="G484" s="196" t="n"/>
      <c r="H484" s="21" t="n"/>
      <c r="I484" s="21" t="n"/>
      <c r="J484" s="53">
        <f>IF($C484="","",INDEX(Настройки!$V$6:$V$17,MONTH($C484))&amp;" "&amp;YEAR($C484))</f>
        <v/>
      </c>
      <c r="K484" s="57">
        <f>IF(OR($F484="",$D484="Перевод"),"",IF(AND(N($G484)&lt;&gt;0,COUNTIFS(Журнал!$C$10:$C$1509,$C484,Журнал!$P$10:$P$1509,$G484)&gt;0),"есть в Журнале",IF(COUNTIF(Постоянные!$C$8:$C$37,$F484)&gt;0,"есть в Постоянных",IF(COUNTIF(Покупки!$C$7:$C$18,$F484)&gt;0,"есть в Покупках",""))))</f>
        <v/>
      </c>
      <c r="P484">
        <f>IF($C484="","",DATE(YEAR($C484),MONTH($C484),1))</f>
        <v/>
      </c>
      <c r="Q484">
        <f>IF(ISNUMBER($G484),ABS($G484),0)</f>
        <v/>
      </c>
      <c r="R484">
        <f>IF(AND($D484="Расход",COUNTIFS(Счета!$B$10:$B$21,$H484,Счета!$C$10:$C$21,"Кредитная")&gt;0),1,0)</f>
        <v/>
      </c>
    </row>
    <row r="485" ht="19" customHeight="1">
      <c r="B485" s="53">
        <f>IF(AND($C485="",$F485=""),"",ROW()-9)</f>
        <v/>
      </c>
      <c r="C485" s="213" t="n"/>
      <c r="D485" s="55" t="n"/>
      <c r="E485" s="55" t="n"/>
      <c r="F485" s="56" t="n"/>
      <c r="G485" s="196" t="n"/>
      <c r="H485" s="21" t="n"/>
      <c r="I485" s="21" t="n"/>
      <c r="J485" s="53">
        <f>IF($C485="","",INDEX(Настройки!$V$6:$V$17,MONTH($C485))&amp;" "&amp;YEAR($C485))</f>
        <v/>
      </c>
      <c r="K485" s="57">
        <f>IF(OR($F485="",$D485="Перевод"),"",IF(AND(N($G485)&lt;&gt;0,COUNTIFS(Журнал!$C$10:$C$1509,$C485,Журнал!$P$10:$P$1509,$G485)&gt;0),"есть в Журнале",IF(COUNTIF(Постоянные!$C$8:$C$37,$F485)&gt;0,"есть в Постоянных",IF(COUNTIF(Покупки!$C$7:$C$18,$F485)&gt;0,"есть в Покупках",""))))</f>
        <v/>
      </c>
      <c r="P485">
        <f>IF($C485="","",DATE(YEAR($C485),MONTH($C485),1))</f>
        <v/>
      </c>
      <c r="Q485">
        <f>IF(ISNUMBER($G485),ABS($G485),0)</f>
        <v/>
      </c>
      <c r="R485">
        <f>IF(AND($D485="Расход",COUNTIFS(Счета!$B$10:$B$21,$H485,Счета!$C$10:$C$21,"Кредитная")&gt;0),1,0)</f>
        <v/>
      </c>
    </row>
    <row r="486" ht="19" customHeight="1">
      <c r="B486" s="53">
        <f>IF(AND($C486="",$F486=""),"",ROW()-9)</f>
        <v/>
      </c>
      <c r="C486" s="213" t="n"/>
      <c r="D486" s="55" t="n"/>
      <c r="E486" s="55" t="n"/>
      <c r="F486" s="56" t="n"/>
      <c r="G486" s="196" t="n"/>
      <c r="H486" s="21" t="n"/>
      <c r="I486" s="21" t="n"/>
      <c r="J486" s="53">
        <f>IF($C486="","",INDEX(Настройки!$V$6:$V$17,MONTH($C486))&amp;" "&amp;YEAR($C486))</f>
        <v/>
      </c>
      <c r="K486" s="57">
        <f>IF(OR($F486="",$D486="Перевод"),"",IF(AND(N($G486)&lt;&gt;0,COUNTIFS(Журнал!$C$10:$C$1509,$C486,Журнал!$P$10:$P$1509,$G486)&gt;0),"есть в Журнале",IF(COUNTIF(Постоянные!$C$8:$C$37,$F486)&gt;0,"есть в Постоянных",IF(COUNTIF(Покупки!$C$7:$C$18,$F486)&gt;0,"есть в Покупках",""))))</f>
        <v/>
      </c>
      <c r="P486">
        <f>IF($C486="","",DATE(YEAR($C486),MONTH($C486),1))</f>
        <v/>
      </c>
      <c r="Q486">
        <f>IF(ISNUMBER($G486),ABS($G486),0)</f>
        <v/>
      </c>
      <c r="R486">
        <f>IF(AND($D486="Расход",COUNTIFS(Счета!$B$10:$B$21,$H486,Счета!$C$10:$C$21,"Кредитная")&gt;0),1,0)</f>
        <v/>
      </c>
    </row>
    <row r="487" ht="19" customHeight="1">
      <c r="B487" s="53">
        <f>IF(AND($C487="",$F487=""),"",ROW()-9)</f>
        <v/>
      </c>
      <c r="C487" s="213" t="n"/>
      <c r="D487" s="55" t="n"/>
      <c r="E487" s="55" t="n"/>
      <c r="F487" s="56" t="n"/>
      <c r="G487" s="196" t="n"/>
      <c r="H487" s="21" t="n"/>
      <c r="I487" s="21" t="n"/>
      <c r="J487" s="53">
        <f>IF($C487="","",INDEX(Настройки!$V$6:$V$17,MONTH($C487))&amp;" "&amp;YEAR($C487))</f>
        <v/>
      </c>
      <c r="K487" s="57">
        <f>IF(OR($F487="",$D487="Перевод"),"",IF(AND(N($G487)&lt;&gt;0,COUNTIFS(Журнал!$C$10:$C$1509,$C487,Журнал!$P$10:$P$1509,$G487)&gt;0),"есть в Журнале",IF(COUNTIF(Постоянные!$C$8:$C$37,$F487)&gt;0,"есть в Постоянных",IF(COUNTIF(Покупки!$C$7:$C$18,$F487)&gt;0,"есть в Покупках",""))))</f>
        <v/>
      </c>
      <c r="P487">
        <f>IF($C487="","",DATE(YEAR($C487),MONTH($C487),1))</f>
        <v/>
      </c>
      <c r="Q487">
        <f>IF(ISNUMBER($G487),ABS($G487),0)</f>
        <v/>
      </c>
      <c r="R487">
        <f>IF(AND($D487="Расход",COUNTIFS(Счета!$B$10:$B$21,$H487,Счета!$C$10:$C$21,"Кредитная")&gt;0),1,0)</f>
        <v/>
      </c>
    </row>
    <row r="488" ht="19" customHeight="1">
      <c r="B488" s="53">
        <f>IF(AND($C488="",$F488=""),"",ROW()-9)</f>
        <v/>
      </c>
      <c r="C488" s="213" t="n"/>
      <c r="D488" s="55" t="n"/>
      <c r="E488" s="55" t="n"/>
      <c r="F488" s="56" t="n"/>
      <c r="G488" s="196" t="n"/>
      <c r="H488" s="21" t="n"/>
      <c r="I488" s="21" t="n"/>
      <c r="J488" s="53">
        <f>IF($C488="","",INDEX(Настройки!$V$6:$V$17,MONTH($C488))&amp;" "&amp;YEAR($C488))</f>
        <v/>
      </c>
      <c r="K488" s="57">
        <f>IF(OR($F488="",$D488="Перевод"),"",IF(AND(N($G488)&lt;&gt;0,COUNTIFS(Журнал!$C$10:$C$1509,$C488,Журнал!$P$10:$P$1509,$G488)&gt;0),"есть в Журнале",IF(COUNTIF(Постоянные!$C$8:$C$37,$F488)&gt;0,"есть в Постоянных",IF(COUNTIF(Покупки!$C$7:$C$18,$F488)&gt;0,"есть в Покупках",""))))</f>
        <v/>
      </c>
      <c r="P488">
        <f>IF($C488="","",DATE(YEAR($C488),MONTH($C488),1))</f>
        <v/>
      </c>
      <c r="Q488">
        <f>IF(ISNUMBER($G488),ABS($G488),0)</f>
        <v/>
      </c>
      <c r="R488">
        <f>IF(AND($D488="Расход",COUNTIFS(Счета!$B$10:$B$21,$H488,Счета!$C$10:$C$21,"Кредитная")&gt;0),1,0)</f>
        <v/>
      </c>
    </row>
    <row r="489" ht="19" customHeight="1">
      <c r="B489" s="53">
        <f>IF(AND($C489="",$F489=""),"",ROW()-9)</f>
        <v/>
      </c>
      <c r="C489" s="213" t="n"/>
      <c r="D489" s="55" t="n"/>
      <c r="E489" s="55" t="n"/>
      <c r="F489" s="56" t="n"/>
      <c r="G489" s="196" t="n"/>
      <c r="H489" s="21" t="n"/>
      <c r="I489" s="21" t="n"/>
      <c r="J489" s="53">
        <f>IF($C489="","",INDEX(Настройки!$V$6:$V$17,MONTH($C489))&amp;" "&amp;YEAR($C489))</f>
        <v/>
      </c>
      <c r="K489" s="57">
        <f>IF(OR($F489="",$D489="Перевод"),"",IF(AND(N($G489)&lt;&gt;0,COUNTIFS(Журнал!$C$10:$C$1509,$C489,Журнал!$P$10:$P$1509,$G489)&gt;0),"есть в Журнале",IF(COUNTIF(Постоянные!$C$8:$C$37,$F489)&gt;0,"есть в Постоянных",IF(COUNTIF(Покупки!$C$7:$C$18,$F489)&gt;0,"есть в Покупках",""))))</f>
        <v/>
      </c>
      <c r="P489">
        <f>IF($C489="","",DATE(YEAR($C489),MONTH($C489),1))</f>
        <v/>
      </c>
      <c r="Q489">
        <f>IF(ISNUMBER($G489),ABS($G489),0)</f>
        <v/>
      </c>
      <c r="R489">
        <f>IF(AND($D489="Расход",COUNTIFS(Счета!$B$10:$B$21,$H489,Счета!$C$10:$C$21,"Кредитная")&gt;0),1,0)</f>
        <v/>
      </c>
    </row>
    <row r="490" ht="19" customHeight="1">
      <c r="B490" s="53">
        <f>IF(AND($C490="",$F490=""),"",ROW()-9)</f>
        <v/>
      </c>
      <c r="C490" s="213" t="n"/>
      <c r="D490" s="55" t="n"/>
      <c r="E490" s="55" t="n"/>
      <c r="F490" s="56" t="n"/>
      <c r="G490" s="196" t="n"/>
      <c r="H490" s="21" t="n"/>
      <c r="I490" s="21" t="n"/>
      <c r="J490" s="53">
        <f>IF($C490="","",INDEX(Настройки!$V$6:$V$17,MONTH($C490))&amp;" "&amp;YEAR($C490))</f>
        <v/>
      </c>
      <c r="K490" s="57">
        <f>IF(OR($F490="",$D490="Перевод"),"",IF(AND(N($G490)&lt;&gt;0,COUNTIFS(Журнал!$C$10:$C$1509,$C490,Журнал!$P$10:$P$1509,$G490)&gt;0),"есть в Журнале",IF(COUNTIF(Постоянные!$C$8:$C$37,$F490)&gt;0,"есть в Постоянных",IF(COUNTIF(Покупки!$C$7:$C$18,$F490)&gt;0,"есть в Покупках",""))))</f>
        <v/>
      </c>
      <c r="P490">
        <f>IF($C490="","",DATE(YEAR($C490),MONTH($C490),1))</f>
        <v/>
      </c>
      <c r="Q490">
        <f>IF(ISNUMBER($G490),ABS($G490),0)</f>
        <v/>
      </c>
      <c r="R490">
        <f>IF(AND($D490="Расход",COUNTIFS(Счета!$B$10:$B$21,$H490,Счета!$C$10:$C$21,"Кредитная")&gt;0),1,0)</f>
        <v/>
      </c>
    </row>
    <row r="491" ht="19" customHeight="1">
      <c r="B491" s="53">
        <f>IF(AND($C491="",$F491=""),"",ROW()-9)</f>
        <v/>
      </c>
      <c r="C491" s="213" t="n"/>
      <c r="D491" s="55" t="n"/>
      <c r="E491" s="55" t="n"/>
      <c r="F491" s="56" t="n"/>
      <c r="G491" s="196" t="n"/>
      <c r="H491" s="21" t="n"/>
      <c r="I491" s="21" t="n"/>
      <c r="J491" s="53">
        <f>IF($C491="","",INDEX(Настройки!$V$6:$V$17,MONTH($C491))&amp;" "&amp;YEAR($C491))</f>
        <v/>
      </c>
      <c r="K491" s="57">
        <f>IF(OR($F491="",$D491="Перевод"),"",IF(AND(N($G491)&lt;&gt;0,COUNTIFS(Журнал!$C$10:$C$1509,$C491,Журнал!$P$10:$P$1509,$G491)&gt;0),"есть в Журнале",IF(COUNTIF(Постоянные!$C$8:$C$37,$F491)&gt;0,"есть в Постоянных",IF(COUNTIF(Покупки!$C$7:$C$18,$F491)&gt;0,"есть в Покупках",""))))</f>
        <v/>
      </c>
      <c r="P491">
        <f>IF($C491="","",DATE(YEAR($C491),MONTH($C491),1))</f>
        <v/>
      </c>
      <c r="Q491">
        <f>IF(ISNUMBER($G491),ABS($G491),0)</f>
        <v/>
      </c>
      <c r="R491">
        <f>IF(AND($D491="Расход",COUNTIFS(Счета!$B$10:$B$21,$H491,Счета!$C$10:$C$21,"Кредитная")&gt;0),1,0)</f>
        <v/>
      </c>
    </row>
    <row r="492" ht="19" customHeight="1">
      <c r="B492" s="53">
        <f>IF(AND($C492="",$F492=""),"",ROW()-9)</f>
        <v/>
      </c>
      <c r="C492" s="213" t="n"/>
      <c r="D492" s="55" t="n"/>
      <c r="E492" s="55" t="n"/>
      <c r="F492" s="56" t="n"/>
      <c r="G492" s="196" t="n"/>
      <c r="H492" s="21" t="n"/>
      <c r="I492" s="21" t="n"/>
      <c r="J492" s="53">
        <f>IF($C492="","",INDEX(Настройки!$V$6:$V$17,MONTH($C492))&amp;" "&amp;YEAR($C492))</f>
        <v/>
      </c>
      <c r="K492" s="57">
        <f>IF(OR($F492="",$D492="Перевод"),"",IF(AND(N($G492)&lt;&gt;0,COUNTIFS(Журнал!$C$10:$C$1509,$C492,Журнал!$P$10:$P$1509,$G492)&gt;0),"есть в Журнале",IF(COUNTIF(Постоянные!$C$8:$C$37,$F492)&gt;0,"есть в Постоянных",IF(COUNTIF(Покупки!$C$7:$C$18,$F492)&gt;0,"есть в Покупках",""))))</f>
        <v/>
      </c>
      <c r="P492">
        <f>IF($C492="","",DATE(YEAR($C492),MONTH($C492),1))</f>
        <v/>
      </c>
      <c r="Q492">
        <f>IF(ISNUMBER($G492),ABS($G492),0)</f>
        <v/>
      </c>
      <c r="R492">
        <f>IF(AND($D492="Расход",COUNTIFS(Счета!$B$10:$B$21,$H492,Счета!$C$10:$C$21,"Кредитная")&gt;0),1,0)</f>
        <v/>
      </c>
    </row>
    <row r="493" ht="19" customHeight="1">
      <c r="B493" s="53">
        <f>IF(AND($C493="",$F493=""),"",ROW()-9)</f>
        <v/>
      </c>
      <c r="C493" s="213" t="n"/>
      <c r="D493" s="55" t="n"/>
      <c r="E493" s="55" t="n"/>
      <c r="F493" s="56" t="n"/>
      <c r="G493" s="196" t="n"/>
      <c r="H493" s="21" t="n"/>
      <c r="I493" s="21" t="n"/>
      <c r="J493" s="53">
        <f>IF($C493="","",INDEX(Настройки!$V$6:$V$17,MONTH($C493))&amp;" "&amp;YEAR($C493))</f>
        <v/>
      </c>
      <c r="K493" s="57">
        <f>IF(OR($F493="",$D493="Перевод"),"",IF(AND(N($G493)&lt;&gt;0,COUNTIFS(Журнал!$C$10:$C$1509,$C493,Журнал!$P$10:$P$1509,$G493)&gt;0),"есть в Журнале",IF(COUNTIF(Постоянные!$C$8:$C$37,$F493)&gt;0,"есть в Постоянных",IF(COUNTIF(Покупки!$C$7:$C$18,$F493)&gt;0,"есть в Покупках",""))))</f>
        <v/>
      </c>
      <c r="P493">
        <f>IF($C493="","",DATE(YEAR($C493),MONTH($C493),1))</f>
        <v/>
      </c>
      <c r="Q493">
        <f>IF(ISNUMBER($G493),ABS($G493),0)</f>
        <v/>
      </c>
      <c r="R493">
        <f>IF(AND($D493="Расход",COUNTIFS(Счета!$B$10:$B$21,$H493,Счета!$C$10:$C$21,"Кредитная")&gt;0),1,0)</f>
        <v/>
      </c>
    </row>
    <row r="494" ht="19" customHeight="1">
      <c r="B494" s="53">
        <f>IF(AND($C494="",$F494=""),"",ROW()-9)</f>
        <v/>
      </c>
      <c r="C494" s="213" t="n"/>
      <c r="D494" s="55" t="n"/>
      <c r="E494" s="55" t="n"/>
      <c r="F494" s="56" t="n"/>
      <c r="G494" s="196" t="n"/>
      <c r="H494" s="21" t="n"/>
      <c r="I494" s="21" t="n"/>
      <c r="J494" s="53">
        <f>IF($C494="","",INDEX(Настройки!$V$6:$V$17,MONTH($C494))&amp;" "&amp;YEAR($C494))</f>
        <v/>
      </c>
      <c r="K494" s="57">
        <f>IF(OR($F494="",$D494="Перевод"),"",IF(AND(N($G494)&lt;&gt;0,COUNTIFS(Журнал!$C$10:$C$1509,$C494,Журнал!$P$10:$P$1509,$G494)&gt;0),"есть в Журнале",IF(COUNTIF(Постоянные!$C$8:$C$37,$F494)&gt;0,"есть в Постоянных",IF(COUNTIF(Покупки!$C$7:$C$18,$F494)&gt;0,"есть в Покупках",""))))</f>
        <v/>
      </c>
      <c r="P494">
        <f>IF($C494="","",DATE(YEAR($C494),MONTH($C494),1))</f>
        <v/>
      </c>
      <c r="Q494">
        <f>IF(ISNUMBER($G494),ABS($G494),0)</f>
        <v/>
      </c>
      <c r="R494">
        <f>IF(AND($D494="Расход",COUNTIFS(Счета!$B$10:$B$21,$H494,Счета!$C$10:$C$21,"Кредитная")&gt;0),1,0)</f>
        <v/>
      </c>
    </row>
    <row r="495" ht="19" customHeight="1">
      <c r="B495" s="53">
        <f>IF(AND($C495="",$F495=""),"",ROW()-9)</f>
        <v/>
      </c>
      <c r="C495" s="213" t="n"/>
      <c r="D495" s="55" t="n"/>
      <c r="E495" s="55" t="n"/>
      <c r="F495" s="56" t="n"/>
      <c r="G495" s="196" t="n"/>
      <c r="H495" s="21" t="n"/>
      <c r="I495" s="21" t="n"/>
      <c r="J495" s="53">
        <f>IF($C495="","",INDEX(Настройки!$V$6:$V$17,MONTH($C495))&amp;" "&amp;YEAR($C495))</f>
        <v/>
      </c>
      <c r="K495" s="57">
        <f>IF(OR($F495="",$D495="Перевод"),"",IF(AND(N($G495)&lt;&gt;0,COUNTIFS(Журнал!$C$10:$C$1509,$C495,Журнал!$P$10:$P$1509,$G495)&gt;0),"есть в Журнале",IF(COUNTIF(Постоянные!$C$8:$C$37,$F495)&gt;0,"есть в Постоянных",IF(COUNTIF(Покупки!$C$7:$C$18,$F495)&gt;0,"есть в Покупках",""))))</f>
        <v/>
      </c>
      <c r="P495">
        <f>IF($C495="","",DATE(YEAR($C495),MONTH($C495),1))</f>
        <v/>
      </c>
      <c r="Q495">
        <f>IF(ISNUMBER($G495),ABS($G495),0)</f>
        <v/>
      </c>
      <c r="R495">
        <f>IF(AND($D495="Расход",COUNTIFS(Счета!$B$10:$B$21,$H495,Счета!$C$10:$C$21,"Кредитная")&gt;0),1,0)</f>
        <v/>
      </c>
    </row>
    <row r="496" ht="19" customHeight="1">
      <c r="B496" s="53">
        <f>IF(AND($C496="",$F496=""),"",ROW()-9)</f>
        <v/>
      </c>
      <c r="C496" s="213" t="n"/>
      <c r="D496" s="55" t="n"/>
      <c r="E496" s="55" t="n"/>
      <c r="F496" s="56" t="n"/>
      <c r="G496" s="196" t="n"/>
      <c r="H496" s="21" t="n"/>
      <c r="I496" s="21" t="n"/>
      <c r="J496" s="53">
        <f>IF($C496="","",INDEX(Настройки!$V$6:$V$17,MONTH($C496))&amp;" "&amp;YEAR($C496))</f>
        <v/>
      </c>
      <c r="K496" s="57">
        <f>IF(OR($F496="",$D496="Перевод"),"",IF(AND(N($G496)&lt;&gt;0,COUNTIFS(Журнал!$C$10:$C$1509,$C496,Журнал!$P$10:$P$1509,$G496)&gt;0),"есть в Журнале",IF(COUNTIF(Постоянные!$C$8:$C$37,$F496)&gt;0,"есть в Постоянных",IF(COUNTIF(Покупки!$C$7:$C$18,$F496)&gt;0,"есть в Покупках",""))))</f>
        <v/>
      </c>
      <c r="P496">
        <f>IF($C496="","",DATE(YEAR($C496),MONTH($C496),1))</f>
        <v/>
      </c>
      <c r="Q496">
        <f>IF(ISNUMBER($G496),ABS($G496),0)</f>
        <v/>
      </c>
      <c r="R496">
        <f>IF(AND($D496="Расход",COUNTIFS(Счета!$B$10:$B$21,$H496,Счета!$C$10:$C$21,"Кредитная")&gt;0),1,0)</f>
        <v/>
      </c>
    </row>
    <row r="497" ht="19" customHeight="1">
      <c r="B497" s="53">
        <f>IF(AND($C497="",$F497=""),"",ROW()-9)</f>
        <v/>
      </c>
      <c r="C497" s="213" t="n"/>
      <c r="D497" s="55" t="n"/>
      <c r="E497" s="55" t="n"/>
      <c r="F497" s="56" t="n"/>
      <c r="G497" s="196" t="n"/>
      <c r="H497" s="21" t="n"/>
      <c r="I497" s="21" t="n"/>
      <c r="J497" s="53">
        <f>IF($C497="","",INDEX(Настройки!$V$6:$V$17,MONTH($C497))&amp;" "&amp;YEAR($C497))</f>
        <v/>
      </c>
      <c r="K497" s="57">
        <f>IF(OR($F497="",$D497="Перевод"),"",IF(AND(N($G497)&lt;&gt;0,COUNTIFS(Журнал!$C$10:$C$1509,$C497,Журнал!$P$10:$P$1509,$G497)&gt;0),"есть в Журнале",IF(COUNTIF(Постоянные!$C$8:$C$37,$F497)&gt;0,"есть в Постоянных",IF(COUNTIF(Покупки!$C$7:$C$18,$F497)&gt;0,"есть в Покупках",""))))</f>
        <v/>
      </c>
      <c r="P497">
        <f>IF($C497="","",DATE(YEAR($C497),MONTH($C497),1))</f>
        <v/>
      </c>
      <c r="Q497">
        <f>IF(ISNUMBER($G497),ABS($G497),0)</f>
        <v/>
      </c>
      <c r="R497">
        <f>IF(AND($D497="Расход",COUNTIFS(Счета!$B$10:$B$21,$H497,Счета!$C$10:$C$21,"Кредитная")&gt;0),1,0)</f>
        <v/>
      </c>
    </row>
    <row r="498" ht="19" customHeight="1">
      <c r="B498" s="53">
        <f>IF(AND($C498="",$F498=""),"",ROW()-9)</f>
        <v/>
      </c>
      <c r="C498" s="213" t="n"/>
      <c r="D498" s="55" t="n"/>
      <c r="E498" s="55" t="n"/>
      <c r="F498" s="56" t="n"/>
      <c r="G498" s="196" t="n"/>
      <c r="H498" s="21" t="n"/>
      <c r="I498" s="21" t="n"/>
      <c r="J498" s="53">
        <f>IF($C498="","",INDEX(Настройки!$V$6:$V$17,MONTH($C498))&amp;" "&amp;YEAR($C498))</f>
        <v/>
      </c>
      <c r="K498" s="57">
        <f>IF(OR($F498="",$D498="Перевод"),"",IF(AND(N($G498)&lt;&gt;0,COUNTIFS(Журнал!$C$10:$C$1509,$C498,Журнал!$P$10:$P$1509,$G498)&gt;0),"есть в Журнале",IF(COUNTIF(Постоянные!$C$8:$C$37,$F498)&gt;0,"есть в Постоянных",IF(COUNTIF(Покупки!$C$7:$C$18,$F498)&gt;0,"есть в Покупках",""))))</f>
        <v/>
      </c>
      <c r="P498">
        <f>IF($C498="","",DATE(YEAR($C498),MONTH($C498),1))</f>
        <v/>
      </c>
      <c r="Q498">
        <f>IF(ISNUMBER($G498),ABS($G498),0)</f>
        <v/>
      </c>
      <c r="R498">
        <f>IF(AND($D498="Расход",COUNTIFS(Счета!$B$10:$B$21,$H498,Счета!$C$10:$C$21,"Кредитная")&gt;0),1,0)</f>
        <v/>
      </c>
    </row>
    <row r="499" ht="19" customHeight="1">
      <c r="B499" s="53">
        <f>IF(AND($C499="",$F499=""),"",ROW()-9)</f>
        <v/>
      </c>
      <c r="C499" s="213" t="n"/>
      <c r="D499" s="55" t="n"/>
      <c r="E499" s="55" t="n"/>
      <c r="F499" s="56" t="n"/>
      <c r="G499" s="196" t="n"/>
      <c r="H499" s="21" t="n"/>
      <c r="I499" s="21" t="n"/>
      <c r="J499" s="53">
        <f>IF($C499="","",INDEX(Настройки!$V$6:$V$17,MONTH($C499))&amp;" "&amp;YEAR($C499))</f>
        <v/>
      </c>
      <c r="K499" s="57">
        <f>IF(OR($F499="",$D499="Перевод"),"",IF(AND(N($G499)&lt;&gt;0,COUNTIFS(Журнал!$C$10:$C$1509,$C499,Журнал!$P$10:$P$1509,$G499)&gt;0),"есть в Журнале",IF(COUNTIF(Постоянные!$C$8:$C$37,$F499)&gt;0,"есть в Постоянных",IF(COUNTIF(Покупки!$C$7:$C$18,$F499)&gt;0,"есть в Покупках",""))))</f>
        <v/>
      </c>
      <c r="P499">
        <f>IF($C499="","",DATE(YEAR($C499),MONTH($C499),1))</f>
        <v/>
      </c>
      <c r="Q499">
        <f>IF(ISNUMBER($G499),ABS($G499),0)</f>
        <v/>
      </c>
      <c r="R499">
        <f>IF(AND($D499="Расход",COUNTIFS(Счета!$B$10:$B$21,$H499,Счета!$C$10:$C$21,"Кредитная")&gt;0),1,0)</f>
        <v/>
      </c>
    </row>
    <row r="500" ht="19" customHeight="1">
      <c r="B500" s="53">
        <f>IF(AND($C500="",$F500=""),"",ROW()-9)</f>
        <v/>
      </c>
      <c r="C500" s="213" t="n"/>
      <c r="D500" s="55" t="n"/>
      <c r="E500" s="55" t="n"/>
      <c r="F500" s="56" t="n"/>
      <c r="G500" s="196" t="n"/>
      <c r="H500" s="21" t="n"/>
      <c r="I500" s="21" t="n"/>
      <c r="J500" s="53">
        <f>IF($C500="","",INDEX(Настройки!$V$6:$V$17,MONTH($C500))&amp;" "&amp;YEAR($C500))</f>
        <v/>
      </c>
      <c r="K500" s="57">
        <f>IF(OR($F500="",$D500="Перевод"),"",IF(AND(N($G500)&lt;&gt;0,COUNTIFS(Журнал!$C$10:$C$1509,$C500,Журнал!$P$10:$P$1509,$G500)&gt;0),"есть в Журнале",IF(COUNTIF(Постоянные!$C$8:$C$37,$F500)&gt;0,"есть в Постоянных",IF(COUNTIF(Покупки!$C$7:$C$18,$F500)&gt;0,"есть в Покупках",""))))</f>
        <v/>
      </c>
      <c r="P500">
        <f>IF($C500="","",DATE(YEAR($C500),MONTH($C500),1))</f>
        <v/>
      </c>
      <c r="Q500">
        <f>IF(ISNUMBER($G500),ABS($G500),0)</f>
        <v/>
      </c>
      <c r="R500">
        <f>IF(AND($D500="Расход",COUNTIFS(Счета!$B$10:$B$21,$H500,Счета!$C$10:$C$21,"Кредитная")&gt;0),1,0)</f>
        <v/>
      </c>
    </row>
    <row r="501" ht="19" customHeight="1">
      <c r="B501" s="53">
        <f>IF(AND($C501="",$F501=""),"",ROW()-9)</f>
        <v/>
      </c>
      <c r="C501" s="213" t="n"/>
      <c r="D501" s="55" t="n"/>
      <c r="E501" s="55" t="n"/>
      <c r="F501" s="56" t="n"/>
      <c r="G501" s="196" t="n"/>
      <c r="H501" s="21" t="n"/>
      <c r="I501" s="21" t="n"/>
      <c r="J501" s="53">
        <f>IF($C501="","",INDEX(Настройки!$V$6:$V$17,MONTH($C501))&amp;" "&amp;YEAR($C501))</f>
        <v/>
      </c>
      <c r="K501" s="57">
        <f>IF(OR($F501="",$D501="Перевод"),"",IF(AND(N($G501)&lt;&gt;0,COUNTIFS(Журнал!$C$10:$C$1509,$C501,Журнал!$P$10:$P$1509,$G501)&gt;0),"есть в Журнале",IF(COUNTIF(Постоянные!$C$8:$C$37,$F501)&gt;0,"есть в Постоянных",IF(COUNTIF(Покупки!$C$7:$C$18,$F501)&gt;0,"есть в Покупках",""))))</f>
        <v/>
      </c>
      <c r="P501">
        <f>IF($C501="","",DATE(YEAR($C501),MONTH($C501),1))</f>
        <v/>
      </c>
      <c r="Q501">
        <f>IF(ISNUMBER($G501),ABS($G501),0)</f>
        <v/>
      </c>
      <c r="R501">
        <f>IF(AND($D501="Расход",COUNTIFS(Счета!$B$10:$B$21,$H501,Счета!$C$10:$C$21,"Кредитная")&gt;0),1,0)</f>
        <v/>
      </c>
    </row>
    <row r="502" ht="19" customHeight="1">
      <c r="B502" s="53">
        <f>IF(AND($C502="",$F502=""),"",ROW()-9)</f>
        <v/>
      </c>
      <c r="C502" s="213" t="n"/>
      <c r="D502" s="55" t="n"/>
      <c r="E502" s="55" t="n"/>
      <c r="F502" s="56" t="n"/>
      <c r="G502" s="196" t="n"/>
      <c r="H502" s="21" t="n"/>
      <c r="I502" s="21" t="n"/>
      <c r="J502" s="53">
        <f>IF($C502="","",INDEX(Настройки!$V$6:$V$17,MONTH($C502))&amp;" "&amp;YEAR($C502))</f>
        <v/>
      </c>
      <c r="K502" s="57">
        <f>IF(OR($F502="",$D502="Перевод"),"",IF(AND(N($G502)&lt;&gt;0,COUNTIFS(Журнал!$C$10:$C$1509,$C502,Журнал!$P$10:$P$1509,$G502)&gt;0),"есть в Журнале",IF(COUNTIF(Постоянные!$C$8:$C$37,$F502)&gt;0,"есть в Постоянных",IF(COUNTIF(Покупки!$C$7:$C$18,$F502)&gt;0,"есть в Покупках",""))))</f>
        <v/>
      </c>
      <c r="P502">
        <f>IF($C502="","",DATE(YEAR($C502),MONTH($C502),1))</f>
        <v/>
      </c>
      <c r="Q502">
        <f>IF(ISNUMBER($G502),ABS($G502),0)</f>
        <v/>
      </c>
      <c r="R502">
        <f>IF(AND($D502="Расход",COUNTIFS(Счета!$B$10:$B$21,$H502,Счета!$C$10:$C$21,"Кредитная")&gt;0),1,0)</f>
        <v/>
      </c>
    </row>
    <row r="503" ht="19" customHeight="1">
      <c r="B503" s="53">
        <f>IF(AND($C503="",$F503=""),"",ROW()-9)</f>
        <v/>
      </c>
      <c r="C503" s="213" t="n"/>
      <c r="D503" s="55" t="n"/>
      <c r="E503" s="55" t="n"/>
      <c r="F503" s="56" t="n"/>
      <c r="G503" s="196" t="n"/>
      <c r="H503" s="21" t="n"/>
      <c r="I503" s="21" t="n"/>
      <c r="J503" s="53">
        <f>IF($C503="","",INDEX(Настройки!$V$6:$V$17,MONTH($C503))&amp;" "&amp;YEAR($C503))</f>
        <v/>
      </c>
      <c r="K503" s="57">
        <f>IF(OR($F503="",$D503="Перевод"),"",IF(AND(N($G503)&lt;&gt;0,COUNTIFS(Журнал!$C$10:$C$1509,$C503,Журнал!$P$10:$P$1509,$G503)&gt;0),"есть в Журнале",IF(COUNTIF(Постоянные!$C$8:$C$37,$F503)&gt;0,"есть в Постоянных",IF(COUNTIF(Покупки!$C$7:$C$18,$F503)&gt;0,"есть в Покупках",""))))</f>
        <v/>
      </c>
      <c r="P503">
        <f>IF($C503="","",DATE(YEAR($C503),MONTH($C503),1))</f>
        <v/>
      </c>
      <c r="Q503">
        <f>IF(ISNUMBER($G503),ABS($G503),0)</f>
        <v/>
      </c>
      <c r="R503">
        <f>IF(AND($D503="Расход",COUNTIFS(Счета!$B$10:$B$21,$H503,Счета!$C$10:$C$21,"Кредитная")&gt;0),1,0)</f>
        <v/>
      </c>
    </row>
    <row r="504" ht="19" customHeight="1">
      <c r="B504" s="53">
        <f>IF(AND($C504="",$F504=""),"",ROW()-9)</f>
        <v/>
      </c>
      <c r="C504" s="213" t="n"/>
      <c r="D504" s="55" t="n"/>
      <c r="E504" s="55" t="n"/>
      <c r="F504" s="56" t="n"/>
      <c r="G504" s="196" t="n"/>
      <c r="H504" s="21" t="n"/>
      <c r="I504" s="21" t="n"/>
      <c r="J504" s="53">
        <f>IF($C504="","",INDEX(Настройки!$V$6:$V$17,MONTH($C504))&amp;" "&amp;YEAR($C504))</f>
        <v/>
      </c>
      <c r="K504" s="57">
        <f>IF(OR($F504="",$D504="Перевод"),"",IF(AND(N($G504)&lt;&gt;0,COUNTIFS(Журнал!$C$10:$C$1509,$C504,Журнал!$P$10:$P$1509,$G504)&gt;0),"есть в Журнале",IF(COUNTIF(Постоянные!$C$8:$C$37,$F504)&gt;0,"есть в Постоянных",IF(COUNTIF(Покупки!$C$7:$C$18,$F504)&gt;0,"есть в Покупках",""))))</f>
        <v/>
      </c>
      <c r="P504">
        <f>IF($C504="","",DATE(YEAR($C504),MONTH($C504),1))</f>
        <v/>
      </c>
      <c r="Q504">
        <f>IF(ISNUMBER($G504),ABS($G504),0)</f>
        <v/>
      </c>
      <c r="R504">
        <f>IF(AND($D504="Расход",COUNTIFS(Счета!$B$10:$B$21,$H504,Счета!$C$10:$C$21,"Кредитная")&gt;0),1,0)</f>
        <v/>
      </c>
    </row>
    <row r="505" ht="19" customHeight="1">
      <c r="B505" s="53">
        <f>IF(AND($C505="",$F505=""),"",ROW()-9)</f>
        <v/>
      </c>
      <c r="C505" s="213" t="n"/>
      <c r="D505" s="55" t="n"/>
      <c r="E505" s="55" t="n"/>
      <c r="F505" s="56" t="n"/>
      <c r="G505" s="196" t="n"/>
      <c r="H505" s="21" t="n"/>
      <c r="I505" s="21" t="n"/>
      <c r="J505" s="53">
        <f>IF($C505="","",INDEX(Настройки!$V$6:$V$17,MONTH($C505))&amp;" "&amp;YEAR($C505))</f>
        <v/>
      </c>
      <c r="K505" s="57">
        <f>IF(OR($F505="",$D505="Перевод"),"",IF(AND(N($G505)&lt;&gt;0,COUNTIFS(Журнал!$C$10:$C$1509,$C505,Журнал!$P$10:$P$1509,$G505)&gt;0),"есть в Журнале",IF(COUNTIF(Постоянные!$C$8:$C$37,$F505)&gt;0,"есть в Постоянных",IF(COUNTIF(Покупки!$C$7:$C$18,$F505)&gt;0,"есть в Покупках",""))))</f>
        <v/>
      </c>
      <c r="P505">
        <f>IF($C505="","",DATE(YEAR($C505),MONTH($C505),1))</f>
        <v/>
      </c>
      <c r="Q505">
        <f>IF(ISNUMBER($G505),ABS($G505),0)</f>
        <v/>
      </c>
      <c r="R505">
        <f>IF(AND($D505="Расход",COUNTIFS(Счета!$B$10:$B$21,$H505,Счета!$C$10:$C$21,"Кредитная")&gt;0),1,0)</f>
        <v/>
      </c>
    </row>
    <row r="506" ht="19" customHeight="1">
      <c r="B506" s="53">
        <f>IF(AND($C506="",$F506=""),"",ROW()-9)</f>
        <v/>
      </c>
      <c r="C506" s="213" t="n"/>
      <c r="D506" s="55" t="n"/>
      <c r="E506" s="55" t="n"/>
      <c r="F506" s="56" t="n"/>
      <c r="G506" s="196" t="n"/>
      <c r="H506" s="21" t="n"/>
      <c r="I506" s="21" t="n"/>
      <c r="J506" s="53">
        <f>IF($C506="","",INDEX(Настройки!$V$6:$V$17,MONTH($C506))&amp;" "&amp;YEAR($C506))</f>
        <v/>
      </c>
      <c r="K506" s="57">
        <f>IF(OR($F506="",$D506="Перевод"),"",IF(AND(N($G506)&lt;&gt;0,COUNTIFS(Журнал!$C$10:$C$1509,$C506,Журнал!$P$10:$P$1509,$G506)&gt;0),"есть в Журнале",IF(COUNTIF(Постоянные!$C$8:$C$37,$F506)&gt;0,"есть в Постоянных",IF(COUNTIF(Покупки!$C$7:$C$18,$F506)&gt;0,"есть в Покупках",""))))</f>
        <v/>
      </c>
      <c r="P506">
        <f>IF($C506="","",DATE(YEAR($C506),MONTH($C506),1))</f>
        <v/>
      </c>
      <c r="Q506">
        <f>IF(ISNUMBER($G506),ABS($G506),0)</f>
        <v/>
      </c>
      <c r="R506">
        <f>IF(AND($D506="Расход",COUNTIFS(Счета!$B$10:$B$21,$H506,Счета!$C$10:$C$21,"Кредитная")&gt;0),1,0)</f>
        <v/>
      </c>
    </row>
    <row r="507" ht="19" customHeight="1">
      <c r="B507" s="53">
        <f>IF(AND($C507="",$F507=""),"",ROW()-9)</f>
        <v/>
      </c>
      <c r="C507" s="213" t="n"/>
      <c r="D507" s="55" t="n"/>
      <c r="E507" s="55" t="n"/>
      <c r="F507" s="56" t="n"/>
      <c r="G507" s="196" t="n"/>
      <c r="H507" s="21" t="n"/>
      <c r="I507" s="21" t="n"/>
      <c r="J507" s="53">
        <f>IF($C507="","",INDEX(Настройки!$V$6:$V$17,MONTH($C507))&amp;" "&amp;YEAR($C507))</f>
        <v/>
      </c>
      <c r="K507" s="57">
        <f>IF(OR($F507="",$D507="Перевод"),"",IF(AND(N($G507)&lt;&gt;0,COUNTIFS(Журнал!$C$10:$C$1509,$C507,Журнал!$P$10:$P$1509,$G507)&gt;0),"есть в Журнале",IF(COUNTIF(Постоянные!$C$8:$C$37,$F507)&gt;0,"есть в Постоянных",IF(COUNTIF(Покупки!$C$7:$C$18,$F507)&gt;0,"есть в Покупках",""))))</f>
        <v/>
      </c>
      <c r="P507">
        <f>IF($C507="","",DATE(YEAR($C507),MONTH($C507),1))</f>
        <v/>
      </c>
      <c r="Q507">
        <f>IF(ISNUMBER($G507),ABS($G507),0)</f>
        <v/>
      </c>
      <c r="R507">
        <f>IF(AND($D507="Расход",COUNTIFS(Счета!$B$10:$B$21,$H507,Счета!$C$10:$C$21,"Кредитная")&gt;0),1,0)</f>
        <v/>
      </c>
    </row>
    <row r="508" ht="19" customHeight="1">
      <c r="B508" s="53">
        <f>IF(AND($C508="",$F508=""),"",ROW()-9)</f>
        <v/>
      </c>
      <c r="C508" s="213" t="n"/>
      <c r="D508" s="55" t="n"/>
      <c r="E508" s="55" t="n"/>
      <c r="F508" s="56" t="n"/>
      <c r="G508" s="196" t="n"/>
      <c r="H508" s="21" t="n"/>
      <c r="I508" s="21" t="n"/>
      <c r="J508" s="53">
        <f>IF($C508="","",INDEX(Настройки!$V$6:$V$17,MONTH($C508))&amp;" "&amp;YEAR($C508))</f>
        <v/>
      </c>
      <c r="K508" s="57">
        <f>IF(OR($F508="",$D508="Перевод"),"",IF(AND(N($G508)&lt;&gt;0,COUNTIFS(Журнал!$C$10:$C$1509,$C508,Журнал!$P$10:$P$1509,$G508)&gt;0),"есть в Журнале",IF(COUNTIF(Постоянные!$C$8:$C$37,$F508)&gt;0,"есть в Постоянных",IF(COUNTIF(Покупки!$C$7:$C$18,$F508)&gt;0,"есть в Покупках",""))))</f>
        <v/>
      </c>
      <c r="P508">
        <f>IF($C508="","",DATE(YEAR($C508),MONTH($C508),1))</f>
        <v/>
      </c>
      <c r="Q508">
        <f>IF(ISNUMBER($G508),ABS($G508),0)</f>
        <v/>
      </c>
      <c r="R508">
        <f>IF(AND($D508="Расход",COUNTIFS(Счета!$B$10:$B$21,$H508,Счета!$C$10:$C$21,"Кредитная")&gt;0),1,0)</f>
        <v/>
      </c>
    </row>
    <row r="509" ht="19" customHeight="1">
      <c r="B509" s="53">
        <f>IF(AND($C509="",$F509=""),"",ROW()-9)</f>
        <v/>
      </c>
      <c r="C509" s="213" t="n"/>
      <c r="D509" s="55" t="n"/>
      <c r="E509" s="55" t="n"/>
      <c r="F509" s="56" t="n"/>
      <c r="G509" s="196" t="n"/>
      <c r="H509" s="21" t="n"/>
      <c r="I509" s="21" t="n"/>
      <c r="J509" s="53">
        <f>IF($C509="","",INDEX(Настройки!$V$6:$V$17,MONTH($C509))&amp;" "&amp;YEAR($C509))</f>
        <v/>
      </c>
      <c r="K509" s="57">
        <f>IF(OR($F509="",$D509="Перевод"),"",IF(AND(N($G509)&lt;&gt;0,COUNTIFS(Журнал!$C$10:$C$1509,$C509,Журнал!$P$10:$P$1509,$G509)&gt;0),"есть в Журнале",IF(COUNTIF(Постоянные!$C$8:$C$37,$F509)&gt;0,"есть в Постоянных",IF(COUNTIF(Покупки!$C$7:$C$18,$F509)&gt;0,"есть в Покупках",""))))</f>
        <v/>
      </c>
      <c r="P509">
        <f>IF($C509="","",DATE(YEAR($C509),MONTH($C509),1))</f>
        <v/>
      </c>
      <c r="Q509">
        <f>IF(ISNUMBER($G509),ABS($G509),0)</f>
        <v/>
      </c>
      <c r="R509">
        <f>IF(AND($D509="Расход",COUNTIFS(Счета!$B$10:$B$21,$H509,Счета!$C$10:$C$21,"Кредитная")&gt;0),1,0)</f>
        <v/>
      </c>
    </row>
    <row r="510" ht="19" customHeight="1">
      <c r="B510" s="53">
        <f>IF(AND($C510="",$F510=""),"",ROW()-9)</f>
        <v/>
      </c>
      <c r="C510" s="213" t="n"/>
      <c r="D510" s="55" t="n"/>
      <c r="E510" s="55" t="n"/>
      <c r="F510" s="56" t="n"/>
      <c r="G510" s="196" t="n"/>
      <c r="H510" s="21" t="n"/>
      <c r="I510" s="21" t="n"/>
      <c r="J510" s="53">
        <f>IF($C510="","",INDEX(Настройки!$V$6:$V$17,MONTH($C510))&amp;" "&amp;YEAR($C510))</f>
        <v/>
      </c>
      <c r="K510" s="57">
        <f>IF(OR($F510="",$D510="Перевод"),"",IF(AND(N($G510)&lt;&gt;0,COUNTIFS(Журнал!$C$10:$C$1509,$C510,Журнал!$P$10:$P$1509,$G510)&gt;0),"есть в Журнале",IF(COUNTIF(Постоянные!$C$8:$C$37,$F510)&gt;0,"есть в Постоянных",IF(COUNTIF(Покупки!$C$7:$C$18,$F510)&gt;0,"есть в Покупках",""))))</f>
        <v/>
      </c>
      <c r="P510">
        <f>IF($C510="","",DATE(YEAR($C510),MONTH($C510),1))</f>
        <v/>
      </c>
      <c r="Q510">
        <f>IF(ISNUMBER($G510),ABS($G510),0)</f>
        <v/>
      </c>
      <c r="R510">
        <f>IF(AND($D510="Расход",COUNTIFS(Счета!$B$10:$B$21,$H510,Счета!$C$10:$C$21,"Кредитная")&gt;0),1,0)</f>
        <v/>
      </c>
    </row>
    <row r="511" ht="19" customHeight="1">
      <c r="B511" s="53">
        <f>IF(AND($C511="",$F511=""),"",ROW()-9)</f>
        <v/>
      </c>
      <c r="C511" s="213" t="n"/>
      <c r="D511" s="55" t="n"/>
      <c r="E511" s="55" t="n"/>
      <c r="F511" s="56" t="n"/>
      <c r="G511" s="196" t="n"/>
      <c r="H511" s="21" t="n"/>
      <c r="I511" s="21" t="n"/>
      <c r="J511" s="53">
        <f>IF($C511="","",INDEX(Настройки!$V$6:$V$17,MONTH($C511))&amp;" "&amp;YEAR($C511))</f>
        <v/>
      </c>
      <c r="K511" s="57">
        <f>IF(OR($F511="",$D511="Перевод"),"",IF(AND(N($G511)&lt;&gt;0,COUNTIFS(Журнал!$C$10:$C$1509,$C511,Журнал!$P$10:$P$1509,$G511)&gt;0),"есть в Журнале",IF(COUNTIF(Постоянные!$C$8:$C$37,$F511)&gt;0,"есть в Постоянных",IF(COUNTIF(Покупки!$C$7:$C$18,$F511)&gt;0,"есть в Покупках",""))))</f>
        <v/>
      </c>
      <c r="P511">
        <f>IF($C511="","",DATE(YEAR($C511),MONTH($C511),1))</f>
        <v/>
      </c>
      <c r="Q511">
        <f>IF(ISNUMBER($G511),ABS($G511),0)</f>
        <v/>
      </c>
      <c r="R511">
        <f>IF(AND($D511="Расход",COUNTIFS(Счета!$B$10:$B$21,$H511,Счета!$C$10:$C$21,"Кредитная")&gt;0),1,0)</f>
        <v/>
      </c>
    </row>
    <row r="512" ht="19" customHeight="1">
      <c r="B512" s="53">
        <f>IF(AND($C512="",$F512=""),"",ROW()-9)</f>
        <v/>
      </c>
      <c r="C512" s="213" t="n"/>
      <c r="D512" s="55" t="n"/>
      <c r="E512" s="55" t="n"/>
      <c r="F512" s="56" t="n"/>
      <c r="G512" s="196" t="n"/>
      <c r="H512" s="21" t="n"/>
      <c r="I512" s="21" t="n"/>
      <c r="J512" s="53">
        <f>IF($C512="","",INDEX(Настройки!$V$6:$V$17,MONTH($C512))&amp;" "&amp;YEAR($C512))</f>
        <v/>
      </c>
      <c r="K512" s="57">
        <f>IF(OR($F512="",$D512="Перевод"),"",IF(AND(N($G512)&lt;&gt;0,COUNTIFS(Журнал!$C$10:$C$1509,$C512,Журнал!$P$10:$P$1509,$G512)&gt;0),"есть в Журнале",IF(COUNTIF(Постоянные!$C$8:$C$37,$F512)&gt;0,"есть в Постоянных",IF(COUNTIF(Покупки!$C$7:$C$18,$F512)&gt;0,"есть в Покупках",""))))</f>
        <v/>
      </c>
      <c r="P512">
        <f>IF($C512="","",DATE(YEAR($C512),MONTH($C512),1))</f>
        <v/>
      </c>
      <c r="Q512">
        <f>IF(ISNUMBER($G512),ABS($G512),0)</f>
        <v/>
      </c>
      <c r="R512">
        <f>IF(AND($D512="Расход",COUNTIFS(Счета!$B$10:$B$21,$H512,Счета!$C$10:$C$21,"Кредитная")&gt;0),1,0)</f>
        <v/>
      </c>
    </row>
    <row r="513" ht="19" customHeight="1">
      <c r="B513" s="53">
        <f>IF(AND($C513="",$F513=""),"",ROW()-9)</f>
        <v/>
      </c>
      <c r="C513" s="213" t="n"/>
      <c r="D513" s="55" t="n"/>
      <c r="E513" s="55" t="n"/>
      <c r="F513" s="56" t="n"/>
      <c r="G513" s="196" t="n"/>
      <c r="H513" s="21" t="n"/>
      <c r="I513" s="21" t="n"/>
      <c r="J513" s="53">
        <f>IF($C513="","",INDEX(Настройки!$V$6:$V$17,MONTH($C513))&amp;" "&amp;YEAR($C513))</f>
        <v/>
      </c>
      <c r="K513" s="57">
        <f>IF(OR($F513="",$D513="Перевод"),"",IF(AND(N($G513)&lt;&gt;0,COUNTIFS(Журнал!$C$10:$C$1509,$C513,Журнал!$P$10:$P$1509,$G513)&gt;0),"есть в Журнале",IF(COUNTIF(Постоянные!$C$8:$C$37,$F513)&gt;0,"есть в Постоянных",IF(COUNTIF(Покупки!$C$7:$C$18,$F513)&gt;0,"есть в Покупках",""))))</f>
        <v/>
      </c>
      <c r="P513">
        <f>IF($C513="","",DATE(YEAR($C513),MONTH($C513),1))</f>
        <v/>
      </c>
      <c r="Q513">
        <f>IF(ISNUMBER($G513),ABS($G513),0)</f>
        <v/>
      </c>
      <c r="R513">
        <f>IF(AND($D513="Расход",COUNTIFS(Счета!$B$10:$B$21,$H513,Счета!$C$10:$C$21,"Кредитная")&gt;0),1,0)</f>
        <v/>
      </c>
    </row>
    <row r="514" ht="19" customHeight="1">
      <c r="B514" s="53">
        <f>IF(AND($C514="",$F514=""),"",ROW()-9)</f>
        <v/>
      </c>
      <c r="C514" s="213" t="n"/>
      <c r="D514" s="55" t="n"/>
      <c r="E514" s="55" t="n"/>
      <c r="F514" s="56" t="n"/>
      <c r="G514" s="196" t="n"/>
      <c r="H514" s="21" t="n"/>
      <c r="I514" s="21" t="n"/>
      <c r="J514" s="53">
        <f>IF($C514="","",INDEX(Настройки!$V$6:$V$17,MONTH($C514))&amp;" "&amp;YEAR($C514))</f>
        <v/>
      </c>
      <c r="K514" s="57">
        <f>IF(OR($F514="",$D514="Перевод"),"",IF(AND(N($G514)&lt;&gt;0,COUNTIFS(Журнал!$C$10:$C$1509,$C514,Журнал!$P$10:$P$1509,$G514)&gt;0),"есть в Журнале",IF(COUNTIF(Постоянные!$C$8:$C$37,$F514)&gt;0,"есть в Постоянных",IF(COUNTIF(Покупки!$C$7:$C$18,$F514)&gt;0,"есть в Покупках",""))))</f>
        <v/>
      </c>
      <c r="P514">
        <f>IF($C514="","",DATE(YEAR($C514),MONTH($C514),1))</f>
        <v/>
      </c>
      <c r="Q514">
        <f>IF(ISNUMBER($G514),ABS($G514),0)</f>
        <v/>
      </c>
      <c r="R514">
        <f>IF(AND($D514="Расход",COUNTIFS(Счета!$B$10:$B$21,$H514,Счета!$C$10:$C$21,"Кредитная")&gt;0),1,0)</f>
        <v/>
      </c>
    </row>
    <row r="515" ht="19" customHeight="1">
      <c r="B515" s="53">
        <f>IF(AND($C515="",$F515=""),"",ROW()-9)</f>
        <v/>
      </c>
      <c r="C515" s="213" t="n"/>
      <c r="D515" s="55" t="n"/>
      <c r="E515" s="55" t="n"/>
      <c r="F515" s="56" t="n"/>
      <c r="G515" s="196" t="n"/>
      <c r="H515" s="21" t="n"/>
      <c r="I515" s="21" t="n"/>
      <c r="J515" s="53">
        <f>IF($C515="","",INDEX(Настройки!$V$6:$V$17,MONTH($C515))&amp;" "&amp;YEAR($C515))</f>
        <v/>
      </c>
      <c r="K515" s="57">
        <f>IF(OR($F515="",$D515="Перевод"),"",IF(AND(N($G515)&lt;&gt;0,COUNTIFS(Журнал!$C$10:$C$1509,$C515,Журнал!$P$10:$P$1509,$G515)&gt;0),"есть в Журнале",IF(COUNTIF(Постоянные!$C$8:$C$37,$F515)&gt;0,"есть в Постоянных",IF(COUNTIF(Покупки!$C$7:$C$18,$F515)&gt;0,"есть в Покупках",""))))</f>
        <v/>
      </c>
      <c r="P515">
        <f>IF($C515="","",DATE(YEAR($C515),MONTH($C515),1))</f>
        <v/>
      </c>
      <c r="Q515">
        <f>IF(ISNUMBER($G515),ABS($G515),0)</f>
        <v/>
      </c>
      <c r="R515">
        <f>IF(AND($D515="Расход",COUNTIFS(Счета!$B$10:$B$21,$H515,Счета!$C$10:$C$21,"Кредитная")&gt;0),1,0)</f>
        <v/>
      </c>
    </row>
    <row r="516" ht="19" customHeight="1">
      <c r="B516" s="53">
        <f>IF(AND($C516="",$F516=""),"",ROW()-9)</f>
        <v/>
      </c>
      <c r="C516" s="213" t="n"/>
      <c r="D516" s="55" t="n"/>
      <c r="E516" s="55" t="n"/>
      <c r="F516" s="56" t="n"/>
      <c r="G516" s="196" t="n"/>
      <c r="H516" s="21" t="n"/>
      <c r="I516" s="21" t="n"/>
      <c r="J516" s="53">
        <f>IF($C516="","",INDEX(Настройки!$V$6:$V$17,MONTH($C516))&amp;" "&amp;YEAR($C516))</f>
        <v/>
      </c>
      <c r="K516" s="57">
        <f>IF(OR($F516="",$D516="Перевод"),"",IF(AND(N($G516)&lt;&gt;0,COUNTIFS(Журнал!$C$10:$C$1509,$C516,Журнал!$P$10:$P$1509,$G516)&gt;0),"есть в Журнале",IF(COUNTIF(Постоянные!$C$8:$C$37,$F516)&gt;0,"есть в Постоянных",IF(COUNTIF(Покупки!$C$7:$C$18,$F516)&gt;0,"есть в Покупках",""))))</f>
        <v/>
      </c>
      <c r="P516">
        <f>IF($C516="","",DATE(YEAR($C516),MONTH($C516),1))</f>
        <v/>
      </c>
      <c r="Q516">
        <f>IF(ISNUMBER($G516),ABS($G516),0)</f>
        <v/>
      </c>
      <c r="R516">
        <f>IF(AND($D516="Расход",COUNTIFS(Счета!$B$10:$B$21,$H516,Счета!$C$10:$C$21,"Кредитная")&gt;0),1,0)</f>
        <v/>
      </c>
    </row>
    <row r="517" ht="19" customHeight="1">
      <c r="B517" s="53">
        <f>IF(AND($C517="",$F517=""),"",ROW()-9)</f>
        <v/>
      </c>
      <c r="C517" s="213" t="n"/>
      <c r="D517" s="55" t="n"/>
      <c r="E517" s="55" t="n"/>
      <c r="F517" s="56" t="n"/>
      <c r="G517" s="196" t="n"/>
      <c r="H517" s="21" t="n"/>
      <c r="I517" s="21" t="n"/>
      <c r="J517" s="53">
        <f>IF($C517="","",INDEX(Настройки!$V$6:$V$17,MONTH($C517))&amp;" "&amp;YEAR($C517))</f>
        <v/>
      </c>
      <c r="K517" s="57">
        <f>IF(OR($F517="",$D517="Перевод"),"",IF(AND(N($G517)&lt;&gt;0,COUNTIFS(Журнал!$C$10:$C$1509,$C517,Журнал!$P$10:$P$1509,$G517)&gt;0),"есть в Журнале",IF(COUNTIF(Постоянные!$C$8:$C$37,$F517)&gt;0,"есть в Постоянных",IF(COUNTIF(Покупки!$C$7:$C$18,$F517)&gt;0,"есть в Покупках",""))))</f>
        <v/>
      </c>
      <c r="P517">
        <f>IF($C517="","",DATE(YEAR($C517),MONTH($C517),1))</f>
        <v/>
      </c>
      <c r="Q517">
        <f>IF(ISNUMBER($G517),ABS($G517),0)</f>
        <v/>
      </c>
      <c r="R517">
        <f>IF(AND($D517="Расход",COUNTIFS(Счета!$B$10:$B$21,$H517,Счета!$C$10:$C$21,"Кредитная")&gt;0),1,0)</f>
        <v/>
      </c>
    </row>
    <row r="518" ht="19" customHeight="1">
      <c r="B518" s="53">
        <f>IF(AND($C518="",$F518=""),"",ROW()-9)</f>
        <v/>
      </c>
      <c r="C518" s="213" t="n"/>
      <c r="D518" s="55" t="n"/>
      <c r="E518" s="55" t="n"/>
      <c r="F518" s="56" t="n"/>
      <c r="G518" s="196" t="n"/>
      <c r="H518" s="21" t="n"/>
      <c r="I518" s="21" t="n"/>
      <c r="J518" s="53">
        <f>IF($C518="","",INDEX(Настройки!$V$6:$V$17,MONTH($C518))&amp;" "&amp;YEAR($C518))</f>
        <v/>
      </c>
      <c r="K518" s="57">
        <f>IF(OR($F518="",$D518="Перевод"),"",IF(AND(N($G518)&lt;&gt;0,COUNTIFS(Журнал!$C$10:$C$1509,$C518,Журнал!$P$10:$P$1509,$G518)&gt;0),"есть в Журнале",IF(COUNTIF(Постоянные!$C$8:$C$37,$F518)&gt;0,"есть в Постоянных",IF(COUNTIF(Покупки!$C$7:$C$18,$F518)&gt;0,"есть в Покупках",""))))</f>
        <v/>
      </c>
      <c r="P518">
        <f>IF($C518="","",DATE(YEAR($C518),MONTH($C518),1))</f>
        <v/>
      </c>
      <c r="Q518">
        <f>IF(ISNUMBER($G518),ABS($G518),0)</f>
        <v/>
      </c>
      <c r="R518">
        <f>IF(AND($D518="Расход",COUNTIFS(Счета!$B$10:$B$21,$H518,Счета!$C$10:$C$21,"Кредитная")&gt;0),1,0)</f>
        <v/>
      </c>
    </row>
    <row r="519" ht="19" customHeight="1">
      <c r="B519" s="53">
        <f>IF(AND($C519="",$F519=""),"",ROW()-9)</f>
        <v/>
      </c>
      <c r="C519" s="213" t="n"/>
      <c r="D519" s="55" t="n"/>
      <c r="E519" s="55" t="n"/>
      <c r="F519" s="56" t="n"/>
      <c r="G519" s="196" t="n"/>
      <c r="H519" s="21" t="n"/>
      <c r="I519" s="21" t="n"/>
      <c r="J519" s="53">
        <f>IF($C519="","",INDEX(Настройки!$V$6:$V$17,MONTH($C519))&amp;" "&amp;YEAR($C519))</f>
        <v/>
      </c>
      <c r="K519" s="57">
        <f>IF(OR($F519="",$D519="Перевод"),"",IF(AND(N($G519)&lt;&gt;0,COUNTIFS(Журнал!$C$10:$C$1509,$C519,Журнал!$P$10:$P$1509,$G519)&gt;0),"есть в Журнале",IF(COUNTIF(Постоянные!$C$8:$C$37,$F519)&gt;0,"есть в Постоянных",IF(COUNTIF(Покупки!$C$7:$C$18,$F519)&gt;0,"есть в Покупках",""))))</f>
        <v/>
      </c>
      <c r="P519">
        <f>IF($C519="","",DATE(YEAR($C519),MONTH($C519),1))</f>
        <v/>
      </c>
      <c r="Q519">
        <f>IF(ISNUMBER($G519),ABS($G519),0)</f>
        <v/>
      </c>
      <c r="R519">
        <f>IF(AND($D519="Расход",COUNTIFS(Счета!$B$10:$B$21,$H519,Счета!$C$10:$C$21,"Кредитная")&gt;0),1,0)</f>
        <v/>
      </c>
    </row>
    <row r="520" ht="19" customHeight="1">
      <c r="B520" s="53">
        <f>IF(AND($C520="",$F520=""),"",ROW()-9)</f>
        <v/>
      </c>
      <c r="C520" s="213" t="n"/>
      <c r="D520" s="55" t="n"/>
      <c r="E520" s="55" t="n"/>
      <c r="F520" s="56" t="n"/>
      <c r="G520" s="196" t="n"/>
      <c r="H520" s="21" t="n"/>
      <c r="I520" s="21" t="n"/>
      <c r="J520" s="53">
        <f>IF($C520="","",INDEX(Настройки!$V$6:$V$17,MONTH($C520))&amp;" "&amp;YEAR($C520))</f>
        <v/>
      </c>
      <c r="K520" s="57">
        <f>IF(OR($F520="",$D520="Перевод"),"",IF(AND(N($G520)&lt;&gt;0,COUNTIFS(Журнал!$C$10:$C$1509,$C520,Журнал!$P$10:$P$1509,$G520)&gt;0),"есть в Журнале",IF(COUNTIF(Постоянные!$C$8:$C$37,$F520)&gt;0,"есть в Постоянных",IF(COUNTIF(Покупки!$C$7:$C$18,$F520)&gt;0,"есть в Покупках",""))))</f>
        <v/>
      </c>
      <c r="P520">
        <f>IF($C520="","",DATE(YEAR($C520),MONTH($C520),1))</f>
        <v/>
      </c>
      <c r="Q520">
        <f>IF(ISNUMBER($G520),ABS($G520),0)</f>
        <v/>
      </c>
      <c r="R520">
        <f>IF(AND($D520="Расход",COUNTIFS(Счета!$B$10:$B$21,$H520,Счета!$C$10:$C$21,"Кредитная")&gt;0),1,0)</f>
        <v/>
      </c>
    </row>
    <row r="521" ht="19" customHeight="1">
      <c r="B521" s="53">
        <f>IF(AND($C521="",$F521=""),"",ROW()-9)</f>
        <v/>
      </c>
      <c r="C521" s="213" t="n"/>
      <c r="D521" s="55" t="n"/>
      <c r="E521" s="55" t="n"/>
      <c r="F521" s="56" t="n"/>
      <c r="G521" s="196" t="n"/>
      <c r="H521" s="21" t="n"/>
      <c r="I521" s="21" t="n"/>
      <c r="J521" s="53">
        <f>IF($C521="","",INDEX(Настройки!$V$6:$V$17,MONTH($C521))&amp;" "&amp;YEAR($C521))</f>
        <v/>
      </c>
      <c r="K521" s="57">
        <f>IF(OR($F521="",$D521="Перевод"),"",IF(AND(N($G521)&lt;&gt;0,COUNTIFS(Журнал!$C$10:$C$1509,$C521,Журнал!$P$10:$P$1509,$G521)&gt;0),"есть в Журнале",IF(COUNTIF(Постоянные!$C$8:$C$37,$F521)&gt;0,"есть в Постоянных",IF(COUNTIF(Покупки!$C$7:$C$18,$F521)&gt;0,"есть в Покупках",""))))</f>
        <v/>
      </c>
      <c r="P521">
        <f>IF($C521="","",DATE(YEAR($C521),MONTH($C521),1))</f>
        <v/>
      </c>
      <c r="Q521">
        <f>IF(ISNUMBER($G521),ABS($G521),0)</f>
        <v/>
      </c>
      <c r="R521">
        <f>IF(AND($D521="Расход",COUNTIFS(Счета!$B$10:$B$21,$H521,Счета!$C$10:$C$21,"Кредитная")&gt;0),1,0)</f>
        <v/>
      </c>
    </row>
    <row r="522" ht="19" customHeight="1">
      <c r="B522" s="53">
        <f>IF(AND($C522="",$F522=""),"",ROW()-9)</f>
        <v/>
      </c>
      <c r="C522" s="213" t="n"/>
      <c r="D522" s="55" t="n"/>
      <c r="E522" s="55" t="n"/>
      <c r="F522" s="56" t="n"/>
      <c r="G522" s="196" t="n"/>
      <c r="H522" s="21" t="n"/>
      <c r="I522" s="21" t="n"/>
      <c r="J522" s="53">
        <f>IF($C522="","",INDEX(Настройки!$V$6:$V$17,MONTH($C522))&amp;" "&amp;YEAR($C522))</f>
        <v/>
      </c>
      <c r="K522" s="57">
        <f>IF(OR($F522="",$D522="Перевод"),"",IF(AND(N($G522)&lt;&gt;0,COUNTIFS(Журнал!$C$10:$C$1509,$C522,Журнал!$P$10:$P$1509,$G522)&gt;0),"есть в Журнале",IF(COUNTIF(Постоянные!$C$8:$C$37,$F522)&gt;0,"есть в Постоянных",IF(COUNTIF(Покупки!$C$7:$C$18,$F522)&gt;0,"есть в Покупках",""))))</f>
        <v/>
      </c>
      <c r="P522">
        <f>IF($C522="","",DATE(YEAR($C522),MONTH($C522),1))</f>
        <v/>
      </c>
      <c r="Q522">
        <f>IF(ISNUMBER($G522),ABS($G522),0)</f>
        <v/>
      </c>
      <c r="R522">
        <f>IF(AND($D522="Расход",COUNTIFS(Счета!$B$10:$B$21,$H522,Счета!$C$10:$C$21,"Кредитная")&gt;0),1,0)</f>
        <v/>
      </c>
    </row>
    <row r="523" ht="19" customHeight="1">
      <c r="B523" s="53">
        <f>IF(AND($C523="",$F523=""),"",ROW()-9)</f>
        <v/>
      </c>
      <c r="C523" s="213" t="n"/>
      <c r="D523" s="55" t="n"/>
      <c r="E523" s="55" t="n"/>
      <c r="F523" s="56" t="n"/>
      <c r="G523" s="196" t="n"/>
      <c r="H523" s="21" t="n"/>
      <c r="I523" s="21" t="n"/>
      <c r="J523" s="53">
        <f>IF($C523="","",INDEX(Настройки!$V$6:$V$17,MONTH($C523))&amp;" "&amp;YEAR($C523))</f>
        <v/>
      </c>
      <c r="K523" s="57">
        <f>IF(OR($F523="",$D523="Перевод"),"",IF(AND(N($G523)&lt;&gt;0,COUNTIFS(Журнал!$C$10:$C$1509,$C523,Журнал!$P$10:$P$1509,$G523)&gt;0),"есть в Журнале",IF(COUNTIF(Постоянные!$C$8:$C$37,$F523)&gt;0,"есть в Постоянных",IF(COUNTIF(Покупки!$C$7:$C$18,$F523)&gt;0,"есть в Покупках",""))))</f>
        <v/>
      </c>
      <c r="P523">
        <f>IF($C523="","",DATE(YEAR($C523),MONTH($C523),1))</f>
        <v/>
      </c>
      <c r="Q523">
        <f>IF(ISNUMBER($G523),ABS($G523),0)</f>
        <v/>
      </c>
      <c r="R523">
        <f>IF(AND($D523="Расход",COUNTIFS(Счета!$B$10:$B$21,$H523,Счета!$C$10:$C$21,"Кредитная")&gt;0),1,0)</f>
        <v/>
      </c>
    </row>
    <row r="524" ht="19" customHeight="1">
      <c r="B524" s="53">
        <f>IF(AND($C524="",$F524=""),"",ROW()-9)</f>
        <v/>
      </c>
      <c r="C524" s="213" t="n"/>
      <c r="D524" s="55" t="n"/>
      <c r="E524" s="55" t="n"/>
      <c r="F524" s="56" t="n"/>
      <c r="G524" s="196" t="n"/>
      <c r="H524" s="21" t="n"/>
      <c r="I524" s="21" t="n"/>
      <c r="J524" s="53">
        <f>IF($C524="","",INDEX(Настройки!$V$6:$V$17,MONTH($C524))&amp;" "&amp;YEAR($C524))</f>
        <v/>
      </c>
      <c r="K524" s="57">
        <f>IF(OR($F524="",$D524="Перевод"),"",IF(AND(N($G524)&lt;&gt;0,COUNTIFS(Журнал!$C$10:$C$1509,$C524,Журнал!$P$10:$P$1509,$G524)&gt;0),"есть в Журнале",IF(COUNTIF(Постоянные!$C$8:$C$37,$F524)&gt;0,"есть в Постоянных",IF(COUNTIF(Покупки!$C$7:$C$18,$F524)&gt;0,"есть в Покупках",""))))</f>
        <v/>
      </c>
      <c r="P524">
        <f>IF($C524="","",DATE(YEAR($C524),MONTH($C524),1))</f>
        <v/>
      </c>
      <c r="Q524">
        <f>IF(ISNUMBER($G524),ABS($G524),0)</f>
        <v/>
      </c>
      <c r="R524">
        <f>IF(AND($D524="Расход",COUNTIFS(Счета!$B$10:$B$21,$H524,Счета!$C$10:$C$21,"Кредитная")&gt;0),1,0)</f>
        <v/>
      </c>
    </row>
    <row r="525" ht="19" customHeight="1">
      <c r="B525" s="53">
        <f>IF(AND($C525="",$F525=""),"",ROW()-9)</f>
        <v/>
      </c>
      <c r="C525" s="213" t="n"/>
      <c r="D525" s="55" t="n"/>
      <c r="E525" s="55" t="n"/>
      <c r="F525" s="56" t="n"/>
      <c r="G525" s="196" t="n"/>
      <c r="H525" s="21" t="n"/>
      <c r="I525" s="21" t="n"/>
      <c r="J525" s="53">
        <f>IF($C525="","",INDEX(Настройки!$V$6:$V$17,MONTH($C525))&amp;" "&amp;YEAR($C525))</f>
        <v/>
      </c>
      <c r="K525" s="57">
        <f>IF(OR($F525="",$D525="Перевод"),"",IF(AND(N($G525)&lt;&gt;0,COUNTIFS(Журнал!$C$10:$C$1509,$C525,Журнал!$P$10:$P$1509,$G525)&gt;0),"есть в Журнале",IF(COUNTIF(Постоянные!$C$8:$C$37,$F525)&gt;0,"есть в Постоянных",IF(COUNTIF(Покупки!$C$7:$C$18,$F525)&gt;0,"есть в Покупках",""))))</f>
        <v/>
      </c>
      <c r="P525">
        <f>IF($C525="","",DATE(YEAR($C525),MONTH($C525),1))</f>
        <v/>
      </c>
      <c r="Q525">
        <f>IF(ISNUMBER($G525),ABS($G525),0)</f>
        <v/>
      </c>
      <c r="R525">
        <f>IF(AND($D525="Расход",COUNTIFS(Счета!$B$10:$B$21,$H525,Счета!$C$10:$C$21,"Кредитная")&gt;0),1,0)</f>
        <v/>
      </c>
    </row>
    <row r="526" ht="19" customHeight="1">
      <c r="B526" s="53">
        <f>IF(AND($C526="",$F526=""),"",ROW()-9)</f>
        <v/>
      </c>
      <c r="C526" s="213" t="n"/>
      <c r="D526" s="55" t="n"/>
      <c r="E526" s="55" t="n"/>
      <c r="F526" s="56" t="n"/>
      <c r="G526" s="196" t="n"/>
      <c r="H526" s="21" t="n"/>
      <c r="I526" s="21" t="n"/>
      <c r="J526" s="53">
        <f>IF($C526="","",INDEX(Настройки!$V$6:$V$17,MONTH($C526))&amp;" "&amp;YEAR($C526))</f>
        <v/>
      </c>
      <c r="K526" s="57">
        <f>IF(OR($F526="",$D526="Перевод"),"",IF(AND(N($G526)&lt;&gt;0,COUNTIFS(Журнал!$C$10:$C$1509,$C526,Журнал!$P$10:$P$1509,$G526)&gt;0),"есть в Журнале",IF(COUNTIF(Постоянные!$C$8:$C$37,$F526)&gt;0,"есть в Постоянных",IF(COUNTIF(Покупки!$C$7:$C$18,$F526)&gt;0,"есть в Покупках",""))))</f>
        <v/>
      </c>
      <c r="P526">
        <f>IF($C526="","",DATE(YEAR($C526),MONTH($C526),1))</f>
        <v/>
      </c>
      <c r="Q526">
        <f>IF(ISNUMBER($G526),ABS($G526),0)</f>
        <v/>
      </c>
      <c r="R526">
        <f>IF(AND($D526="Расход",COUNTIFS(Счета!$B$10:$B$21,$H526,Счета!$C$10:$C$21,"Кредитная")&gt;0),1,0)</f>
        <v/>
      </c>
    </row>
    <row r="527" ht="19" customHeight="1">
      <c r="B527" s="53">
        <f>IF(AND($C527="",$F527=""),"",ROW()-9)</f>
        <v/>
      </c>
      <c r="C527" s="213" t="n"/>
      <c r="D527" s="55" t="n"/>
      <c r="E527" s="55" t="n"/>
      <c r="F527" s="56" t="n"/>
      <c r="G527" s="196" t="n"/>
      <c r="H527" s="21" t="n"/>
      <c r="I527" s="21" t="n"/>
      <c r="J527" s="53">
        <f>IF($C527="","",INDEX(Настройки!$V$6:$V$17,MONTH($C527))&amp;" "&amp;YEAR($C527))</f>
        <v/>
      </c>
      <c r="K527" s="57">
        <f>IF(OR($F527="",$D527="Перевод"),"",IF(AND(N($G527)&lt;&gt;0,COUNTIFS(Журнал!$C$10:$C$1509,$C527,Журнал!$P$10:$P$1509,$G527)&gt;0),"есть в Журнале",IF(COUNTIF(Постоянные!$C$8:$C$37,$F527)&gt;0,"есть в Постоянных",IF(COUNTIF(Покупки!$C$7:$C$18,$F527)&gt;0,"есть в Покупках",""))))</f>
        <v/>
      </c>
      <c r="P527">
        <f>IF($C527="","",DATE(YEAR($C527),MONTH($C527),1))</f>
        <v/>
      </c>
      <c r="Q527">
        <f>IF(ISNUMBER($G527),ABS($G527),0)</f>
        <v/>
      </c>
      <c r="R527">
        <f>IF(AND($D527="Расход",COUNTIFS(Счета!$B$10:$B$21,$H527,Счета!$C$10:$C$21,"Кредитная")&gt;0),1,0)</f>
        <v/>
      </c>
    </row>
    <row r="528" ht="19" customHeight="1">
      <c r="B528" s="53">
        <f>IF(AND($C528="",$F528=""),"",ROW()-9)</f>
        <v/>
      </c>
      <c r="C528" s="213" t="n"/>
      <c r="D528" s="55" t="n"/>
      <c r="E528" s="55" t="n"/>
      <c r="F528" s="56" t="n"/>
      <c r="G528" s="196" t="n"/>
      <c r="H528" s="21" t="n"/>
      <c r="I528" s="21" t="n"/>
      <c r="J528" s="53">
        <f>IF($C528="","",INDEX(Настройки!$V$6:$V$17,MONTH($C528))&amp;" "&amp;YEAR($C528))</f>
        <v/>
      </c>
      <c r="K528" s="57">
        <f>IF(OR($F528="",$D528="Перевод"),"",IF(AND(N($G528)&lt;&gt;0,COUNTIFS(Журнал!$C$10:$C$1509,$C528,Журнал!$P$10:$P$1509,$G528)&gt;0),"есть в Журнале",IF(COUNTIF(Постоянные!$C$8:$C$37,$F528)&gt;0,"есть в Постоянных",IF(COUNTIF(Покупки!$C$7:$C$18,$F528)&gt;0,"есть в Покупках",""))))</f>
        <v/>
      </c>
      <c r="P528">
        <f>IF($C528="","",DATE(YEAR($C528),MONTH($C528),1))</f>
        <v/>
      </c>
      <c r="Q528">
        <f>IF(ISNUMBER($G528),ABS($G528),0)</f>
        <v/>
      </c>
      <c r="R528">
        <f>IF(AND($D528="Расход",COUNTIFS(Счета!$B$10:$B$21,$H528,Счета!$C$10:$C$21,"Кредитная")&gt;0),1,0)</f>
        <v/>
      </c>
    </row>
    <row r="529" ht="19" customHeight="1">
      <c r="B529" s="53">
        <f>IF(AND($C529="",$F529=""),"",ROW()-9)</f>
        <v/>
      </c>
      <c r="C529" s="213" t="n"/>
      <c r="D529" s="55" t="n"/>
      <c r="E529" s="55" t="n"/>
      <c r="F529" s="56" t="n"/>
      <c r="G529" s="196" t="n"/>
      <c r="H529" s="21" t="n"/>
      <c r="I529" s="21" t="n"/>
      <c r="J529" s="53">
        <f>IF($C529="","",INDEX(Настройки!$V$6:$V$17,MONTH($C529))&amp;" "&amp;YEAR($C529))</f>
        <v/>
      </c>
      <c r="K529" s="57">
        <f>IF(OR($F529="",$D529="Перевод"),"",IF(AND(N($G529)&lt;&gt;0,COUNTIFS(Журнал!$C$10:$C$1509,$C529,Журнал!$P$10:$P$1509,$G529)&gt;0),"есть в Журнале",IF(COUNTIF(Постоянные!$C$8:$C$37,$F529)&gt;0,"есть в Постоянных",IF(COUNTIF(Покупки!$C$7:$C$18,$F529)&gt;0,"есть в Покупках",""))))</f>
        <v/>
      </c>
      <c r="P529">
        <f>IF($C529="","",DATE(YEAR($C529),MONTH($C529),1))</f>
        <v/>
      </c>
      <c r="Q529">
        <f>IF(ISNUMBER($G529),ABS($G529),0)</f>
        <v/>
      </c>
      <c r="R529">
        <f>IF(AND($D529="Расход",COUNTIFS(Счета!$B$10:$B$21,$H529,Счета!$C$10:$C$21,"Кредитная")&gt;0),1,0)</f>
        <v/>
      </c>
    </row>
    <row r="530" ht="19" customHeight="1">
      <c r="B530" s="53">
        <f>IF(AND($C530="",$F530=""),"",ROW()-9)</f>
        <v/>
      </c>
      <c r="C530" s="213" t="n"/>
      <c r="D530" s="55" t="n"/>
      <c r="E530" s="55" t="n"/>
      <c r="F530" s="56" t="n"/>
      <c r="G530" s="196" t="n"/>
      <c r="H530" s="21" t="n"/>
      <c r="I530" s="21" t="n"/>
      <c r="J530" s="53">
        <f>IF($C530="","",INDEX(Настройки!$V$6:$V$17,MONTH($C530))&amp;" "&amp;YEAR($C530))</f>
        <v/>
      </c>
      <c r="K530" s="57">
        <f>IF(OR($F530="",$D530="Перевод"),"",IF(AND(N($G530)&lt;&gt;0,COUNTIFS(Журнал!$C$10:$C$1509,$C530,Журнал!$P$10:$P$1509,$G530)&gt;0),"есть в Журнале",IF(COUNTIF(Постоянные!$C$8:$C$37,$F530)&gt;0,"есть в Постоянных",IF(COUNTIF(Покупки!$C$7:$C$18,$F530)&gt;0,"есть в Покупках",""))))</f>
        <v/>
      </c>
      <c r="P530">
        <f>IF($C530="","",DATE(YEAR($C530),MONTH($C530),1))</f>
        <v/>
      </c>
      <c r="Q530">
        <f>IF(ISNUMBER($G530),ABS($G530),0)</f>
        <v/>
      </c>
      <c r="R530">
        <f>IF(AND($D530="Расход",COUNTIFS(Счета!$B$10:$B$21,$H530,Счета!$C$10:$C$21,"Кредитная")&gt;0),1,0)</f>
        <v/>
      </c>
    </row>
    <row r="531" ht="19" customHeight="1">
      <c r="B531" s="53">
        <f>IF(AND($C531="",$F531=""),"",ROW()-9)</f>
        <v/>
      </c>
      <c r="C531" s="213" t="n"/>
      <c r="D531" s="55" t="n"/>
      <c r="E531" s="55" t="n"/>
      <c r="F531" s="56" t="n"/>
      <c r="G531" s="196" t="n"/>
      <c r="H531" s="21" t="n"/>
      <c r="I531" s="21" t="n"/>
      <c r="J531" s="53">
        <f>IF($C531="","",INDEX(Настройки!$V$6:$V$17,MONTH($C531))&amp;" "&amp;YEAR($C531))</f>
        <v/>
      </c>
      <c r="K531" s="57">
        <f>IF(OR($F531="",$D531="Перевод"),"",IF(AND(N($G531)&lt;&gt;0,COUNTIFS(Журнал!$C$10:$C$1509,$C531,Журнал!$P$10:$P$1509,$G531)&gt;0),"есть в Журнале",IF(COUNTIF(Постоянные!$C$8:$C$37,$F531)&gt;0,"есть в Постоянных",IF(COUNTIF(Покупки!$C$7:$C$18,$F531)&gt;0,"есть в Покупках",""))))</f>
        <v/>
      </c>
      <c r="P531">
        <f>IF($C531="","",DATE(YEAR($C531),MONTH($C531),1))</f>
        <v/>
      </c>
      <c r="Q531">
        <f>IF(ISNUMBER($G531),ABS($G531),0)</f>
        <v/>
      </c>
      <c r="R531">
        <f>IF(AND($D531="Расход",COUNTIFS(Счета!$B$10:$B$21,$H531,Счета!$C$10:$C$21,"Кредитная")&gt;0),1,0)</f>
        <v/>
      </c>
    </row>
    <row r="532" ht="19" customHeight="1">
      <c r="B532" s="53">
        <f>IF(AND($C532="",$F532=""),"",ROW()-9)</f>
        <v/>
      </c>
      <c r="C532" s="213" t="n"/>
      <c r="D532" s="55" t="n"/>
      <c r="E532" s="55" t="n"/>
      <c r="F532" s="56" t="n"/>
      <c r="G532" s="196" t="n"/>
      <c r="H532" s="21" t="n"/>
      <c r="I532" s="21" t="n"/>
      <c r="J532" s="53">
        <f>IF($C532="","",INDEX(Настройки!$V$6:$V$17,MONTH($C532))&amp;" "&amp;YEAR($C532))</f>
        <v/>
      </c>
      <c r="K532" s="57">
        <f>IF(OR($F532="",$D532="Перевод"),"",IF(AND(N($G532)&lt;&gt;0,COUNTIFS(Журнал!$C$10:$C$1509,$C532,Журнал!$P$10:$P$1509,$G532)&gt;0),"есть в Журнале",IF(COUNTIF(Постоянные!$C$8:$C$37,$F532)&gt;0,"есть в Постоянных",IF(COUNTIF(Покупки!$C$7:$C$18,$F532)&gt;0,"есть в Покупках",""))))</f>
        <v/>
      </c>
      <c r="P532">
        <f>IF($C532="","",DATE(YEAR($C532),MONTH($C532),1))</f>
        <v/>
      </c>
      <c r="Q532">
        <f>IF(ISNUMBER($G532),ABS($G532),0)</f>
        <v/>
      </c>
      <c r="R532">
        <f>IF(AND($D532="Расход",COUNTIFS(Счета!$B$10:$B$21,$H532,Счета!$C$10:$C$21,"Кредитная")&gt;0),1,0)</f>
        <v/>
      </c>
    </row>
    <row r="533" ht="19" customHeight="1">
      <c r="B533" s="53">
        <f>IF(AND($C533="",$F533=""),"",ROW()-9)</f>
        <v/>
      </c>
      <c r="C533" s="213" t="n"/>
      <c r="D533" s="55" t="n"/>
      <c r="E533" s="55" t="n"/>
      <c r="F533" s="56" t="n"/>
      <c r="G533" s="196" t="n"/>
      <c r="H533" s="21" t="n"/>
      <c r="I533" s="21" t="n"/>
      <c r="J533" s="53">
        <f>IF($C533="","",INDEX(Настройки!$V$6:$V$17,MONTH($C533))&amp;" "&amp;YEAR($C533))</f>
        <v/>
      </c>
      <c r="K533" s="57">
        <f>IF(OR($F533="",$D533="Перевод"),"",IF(AND(N($G533)&lt;&gt;0,COUNTIFS(Журнал!$C$10:$C$1509,$C533,Журнал!$P$10:$P$1509,$G533)&gt;0),"есть в Журнале",IF(COUNTIF(Постоянные!$C$8:$C$37,$F533)&gt;0,"есть в Постоянных",IF(COUNTIF(Покупки!$C$7:$C$18,$F533)&gt;0,"есть в Покупках",""))))</f>
        <v/>
      </c>
      <c r="P533">
        <f>IF($C533="","",DATE(YEAR($C533),MONTH($C533),1))</f>
        <v/>
      </c>
      <c r="Q533">
        <f>IF(ISNUMBER($G533),ABS($G533),0)</f>
        <v/>
      </c>
      <c r="R533">
        <f>IF(AND($D533="Расход",COUNTIFS(Счета!$B$10:$B$21,$H533,Счета!$C$10:$C$21,"Кредитная")&gt;0),1,0)</f>
        <v/>
      </c>
    </row>
    <row r="534" ht="19" customHeight="1">
      <c r="B534" s="53">
        <f>IF(AND($C534="",$F534=""),"",ROW()-9)</f>
        <v/>
      </c>
      <c r="C534" s="213" t="n"/>
      <c r="D534" s="55" t="n"/>
      <c r="E534" s="55" t="n"/>
      <c r="F534" s="56" t="n"/>
      <c r="G534" s="196" t="n"/>
      <c r="H534" s="21" t="n"/>
      <c r="I534" s="21" t="n"/>
      <c r="J534" s="53">
        <f>IF($C534="","",INDEX(Настройки!$V$6:$V$17,MONTH($C534))&amp;" "&amp;YEAR($C534))</f>
        <v/>
      </c>
      <c r="K534" s="57">
        <f>IF(OR($F534="",$D534="Перевод"),"",IF(AND(N($G534)&lt;&gt;0,COUNTIFS(Журнал!$C$10:$C$1509,$C534,Журнал!$P$10:$P$1509,$G534)&gt;0),"есть в Журнале",IF(COUNTIF(Постоянные!$C$8:$C$37,$F534)&gt;0,"есть в Постоянных",IF(COUNTIF(Покупки!$C$7:$C$18,$F534)&gt;0,"есть в Покупках",""))))</f>
        <v/>
      </c>
      <c r="P534">
        <f>IF($C534="","",DATE(YEAR($C534),MONTH($C534),1))</f>
        <v/>
      </c>
      <c r="Q534">
        <f>IF(ISNUMBER($G534),ABS($G534),0)</f>
        <v/>
      </c>
      <c r="R534">
        <f>IF(AND($D534="Расход",COUNTIFS(Счета!$B$10:$B$21,$H534,Счета!$C$10:$C$21,"Кредитная")&gt;0),1,0)</f>
        <v/>
      </c>
    </row>
    <row r="535" ht="19" customHeight="1">
      <c r="B535" s="53">
        <f>IF(AND($C535="",$F535=""),"",ROW()-9)</f>
        <v/>
      </c>
      <c r="C535" s="213" t="n"/>
      <c r="D535" s="55" t="n"/>
      <c r="E535" s="55" t="n"/>
      <c r="F535" s="56" t="n"/>
      <c r="G535" s="196" t="n"/>
      <c r="H535" s="21" t="n"/>
      <c r="I535" s="21" t="n"/>
      <c r="J535" s="53">
        <f>IF($C535="","",INDEX(Настройки!$V$6:$V$17,MONTH($C535))&amp;" "&amp;YEAR($C535))</f>
        <v/>
      </c>
      <c r="K535" s="57">
        <f>IF(OR($F535="",$D535="Перевод"),"",IF(AND(N($G535)&lt;&gt;0,COUNTIFS(Журнал!$C$10:$C$1509,$C535,Журнал!$P$10:$P$1509,$G535)&gt;0),"есть в Журнале",IF(COUNTIF(Постоянные!$C$8:$C$37,$F535)&gt;0,"есть в Постоянных",IF(COUNTIF(Покупки!$C$7:$C$18,$F535)&gt;0,"есть в Покупках",""))))</f>
        <v/>
      </c>
      <c r="P535">
        <f>IF($C535="","",DATE(YEAR($C535),MONTH($C535),1))</f>
        <v/>
      </c>
      <c r="Q535">
        <f>IF(ISNUMBER($G535),ABS($G535),0)</f>
        <v/>
      </c>
      <c r="R535">
        <f>IF(AND($D535="Расход",COUNTIFS(Счета!$B$10:$B$21,$H535,Счета!$C$10:$C$21,"Кредитная")&gt;0),1,0)</f>
        <v/>
      </c>
    </row>
    <row r="536" ht="19" customHeight="1">
      <c r="B536" s="53">
        <f>IF(AND($C536="",$F536=""),"",ROW()-9)</f>
        <v/>
      </c>
      <c r="C536" s="213" t="n"/>
      <c r="D536" s="55" t="n"/>
      <c r="E536" s="55" t="n"/>
      <c r="F536" s="56" t="n"/>
      <c r="G536" s="196" t="n"/>
      <c r="H536" s="21" t="n"/>
      <c r="I536" s="21" t="n"/>
      <c r="J536" s="53">
        <f>IF($C536="","",INDEX(Настройки!$V$6:$V$17,MONTH($C536))&amp;" "&amp;YEAR($C536))</f>
        <v/>
      </c>
      <c r="K536" s="57">
        <f>IF(OR($F536="",$D536="Перевод"),"",IF(AND(N($G536)&lt;&gt;0,COUNTIFS(Журнал!$C$10:$C$1509,$C536,Журнал!$P$10:$P$1509,$G536)&gt;0),"есть в Журнале",IF(COUNTIF(Постоянные!$C$8:$C$37,$F536)&gt;0,"есть в Постоянных",IF(COUNTIF(Покупки!$C$7:$C$18,$F536)&gt;0,"есть в Покупках",""))))</f>
        <v/>
      </c>
      <c r="P536">
        <f>IF($C536="","",DATE(YEAR($C536),MONTH($C536),1))</f>
        <v/>
      </c>
      <c r="Q536">
        <f>IF(ISNUMBER($G536),ABS($G536),0)</f>
        <v/>
      </c>
      <c r="R536">
        <f>IF(AND($D536="Расход",COUNTIFS(Счета!$B$10:$B$21,$H536,Счета!$C$10:$C$21,"Кредитная")&gt;0),1,0)</f>
        <v/>
      </c>
    </row>
    <row r="537" ht="19" customHeight="1">
      <c r="B537" s="53">
        <f>IF(AND($C537="",$F537=""),"",ROW()-9)</f>
        <v/>
      </c>
      <c r="C537" s="213" t="n"/>
      <c r="D537" s="55" t="n"/>
      <c r="E537" s="55" t="n"/>
      <c r="F537" s="56" t="n"/>
      <c r="G537" s="196" t="n"/>
      <c r="H537" s="21" t="n"/>
      <c r="I537" s="21" t="n"/>
      <c r="J537" s="53">
        <f>IF($C537="","",INDEX(Настройки!$V$6:$V$17,MONTH($C537))&amp;" "&amp;YEAR($C537))</f>
        <v/>
      </c>
      <c r="K537" s="57">
        <f>IF(OR($F537="",$D537="Перевод"),"",IF(AND(N($G537)&lt;&gt;0,COUNTIFS(Журнал!$C$10:$C$1509,$C537,Журнал!$P$10:$P$1509,$G537)&gt;0),"есть в Журнале",IF(COUNTIF(Постоянные!$C$8:$C$37,$F537)&gt;0,"есть в Постоянных",IF(COUNTIF(Покупки!$C$7:$C$18,$F537)&gt;0,"есть в Покупках",""))))</f>
        <v/>
      </c>
      <c r="P537">
        <f>IF($C537="","",DATE(YEAR($C537),MONTH($C537),1))</f>
        <v/>
      </c>
      <c r="Q537">
        <f>IF(ISNUMBER($G537),ABS($G537),0)</f>
        <v/>
      </c>
      <c r="R537">
        <f>IF(AND($D537="Расход",COUNTIFS(Счета!$B$10:$B$21,$H537,Счета!$C$10:$C$21,"Кредитная")&gt;0),1,0)</f>
        <v/>
      </c>
    </row>
    <row r="538" ht="19" customHeight="1">
      <c r="B538" s="53">
        <f>IF(AND($C538="",$F538=""),"",ROW()-9)</f>
        <v/>
      </c>
      <c r="C538" s="213" t="n"/>
      <c r="D538" s="55" t="n"/>
      <c r="E538" s="55" t="n"/>
      <c r="F538" s="56" t="n"/>
      <c r="G538" s="196" t="n"/>
      <c r="H538" s="21" t="n"/>
      <c r="I538" s="21" t="n"/>
      <c r="J538" s="53">
        <f>IF($C538="","",INDEX(Настройки!$V$6:$V$17,MONTH($C538))&amp;" "&amp;YEAR($C538))</f>
        <v/>
      </c>
      <c r="K538" s="57">
        <f>IF(OR($F538="",$D538="Перевод"),"",IF(AND(N($G538)&lt;&gt;0,COUNTIFS(Журнал!$C$10:$C$1509,$C538,Журнал!$P$10:$P$1509,$G538)&gt;0),"есть в Журнале",IF(COUNTIF(Постоянные!$C$8:$C$37,$F538)&gt;0,"есть в Постоянных",IF(COUNTIF(Покупки!$C$7:$C$18,$F538)&gt;0,"есть в Покупках",""))))</f>
        <v/>
      </c>
      <c r="P538">
        <f>IF($C538="","",DATE(YEAR($C538),MONTH($C538),1))</f>
        <v/>
      </c>
      <c r="Q538">
        <f>IF(ISNUMBER($G538),ABS($G538),0)</f>
        <v/>
      </c>
      <c r="R538">
        <f>IF(AND($D538="Расход",COUNTIFS(Счета!$B$10:$B$21,$H538,Счета!$C$10:$C$21,"Кредитная")&gt;0),1,0)</f>
        <v/>
      </c>
    </row>
    <row r="539" ht="19" customHeight="1">
      <c r="B539" s="53">
        <f>IF(AND($C539="",$F539=""),"",ROW()-9)</f>
        <v/>
      </c>
      <c r="C539" s="213" t="n"/>
      <c r="D539" s="55" t="n"/>
      <c r="E539" s="55" t="n"/>
      <c r="F539" s="56" t="n"/>
      <c r="G539" s="196" t="n"/>
      <c r="H539" s="21" t="n"/>
      <c r="I539" s="21" t="n"/>
      <c r="J539" s="53">
        <f>IF($C539="","",INDEX(Настройки!$V$6:$V$17,MONTH($C539))&amp;" "&amp;YEAR($C539))</f>
        <v/>
      </c>
      <c r="K539" s="57">
        <f>IF(OR($F539="",$D539="Перевод"),"",IF(AND(N($G539)&lt;&gt;0,COUNTIFS(Журнал!$C$10:$C$1509,$C539,Журнал!$P$10:$P$1509,$G539)&gt;0),"есть в Журнале",IF(COUNTIF(Постоянные!$C$8:$C$37,$F539)&gt;0,"есть в Постоянных",IF(COUNTIF(Покупки!$C$7:$C$18,$F539)&gt;0,"есть в Покупках",""))))</f>
        <v/>
      </c>
      <c r="P539">
        <f>IF($C539="","",DATE(YEAR($C539),MONTH($C539),1))</f>
        <v/>
      </c>
      <c r="Q539">
        <f>IF(ISNUMBER($G539),ABS($G539),0)</f>
        <v/>
      </c>
      <c r="R539">
        <f>IF(AND($D539="Расход",COUNTIFS(Счета!$B$10:$B$21,$H539,Счета!$C$10:$C$21,"Кредитная")&gt;0),1,0)</f>
        <v/>
      </c>
    </row>
    <row r="540" ht="19" customHeight="1">
      <c r="B540" s="53">
        <f>IF(AND($C540="",$F540=""),"",ROW()-9)</f>
        <v/>
      </c>
      <c r="C540" s="213" t="n"/>
      <c r="D540" s="55" t="n"/>
      <c r="E540" s="55" t="n"/>
      <c r="F540" s="56" t="n"/>
      <c r="G540" s="196" t="n"/>
      <c r="H540" s="21" t="n"/>
      <c r="I540" s="21" t="n"/>
      <c r="J540" s="53">
        <f>IF($C540="","",INDEX(Настройки!$V$6:$V$17,MONTH($C540))&amp;" "&amp;YEAR($C540))</f>
        <v/>
      </c>
      <c r="K540" s="57">
        <f>IF(OR($F540="",$D540="Перевод"),"",IF(AND(N($G540)&lt;&gt;0,COUNTIFS(Журнал!$C$10:$C$1509,$C540,Журнал!$P$10:$P$1509,$G540)&gt;0),"есть в Журнале",IF(COUNTIF(Постоянные!$C$8:$C$37,$F540)&gt;0,"есть в Постоянных",IF(COUNTIF(Покупки!$C$7:$C$18,$F540)&gt;0,"есть в Покупках",""))))</f>
        <v/>
      </c>
      <c r="P540">
        <f>IF($C540="","",DATE(YEAR($C540),MONTH($C540),1))</f>
        <v/>
      </c>
      <c r="Q540">
        <f>IF(ISNUMBER($G540),ABS($G540),0)</f>
        <v/>
      </c>
      <c r="R540">
        <f>IF(AND($D540="Расход",COUNTIFS(Счета!$B$10:$B$21,$H540,Счета!$C$10:$C$21,"Кредитная")&gt;0),1,0)</f>
        <v/>
      </c>
    </row>
    <row r="541" ht="19" customHeight="1">
      <c r="B541" s="53">
        <f>IF(AND($C541="",$F541=""),"",ROW()-9)</f>
        <v/>
      </c>
      <c r="C541" s="213" t="n"/>
      <c r="D541" s="55" t="n"/>
      <c r="E541" s="55" t="n"/>
      <c r="F541" s="56" t="n"/>
      <c r="G541" s="196" t="n"/>
      <c r="H541" s="21" t="n"/>
      <c r="I541" s="21" t="n"/>
      <c r="J541" s="53">
        <f>IF($C541="","",INDEX(Настройки!$V$6:$V$17,MONTH($C541))&amp;" "&amp;YEAR($C541))</f>
        <v/>
      </c>
      <c r="K541" s="57">
        <f>IF(OR($F541="",$D541="Перевод"),"",IF(AND(N($G541)&lt;&gt;0,COUNTIFS(Журнал!$C$10:$C$1509,$C541,Журнал!$P$10:$P$1509,$G541)&gt;0),"есть в Журнале",IF(COUNTIF(Постоянные!$C$8:$C$37,$F541)&gt;0,"есть в Постоянных",IF(COUNTIF(Покупки!$C$7:$C$18,$F541)&gt;0,"есть в Покупках",""))))</f>
        <v/>
      </c>
      <c r="P541">
        <f>IF($C541="","",DATE(YEAR($C541),MONTH($C541),1))</f>
        <v/>
      </c>
      <c r="Q541">
        <f>IF(ISNUMBER($G541),ABS($G541),0)</f>
        <v/>
      </c>
      <c r="R541">
        <f>IF(AND($D541="Расход",COUNTIFS(Счета!$B$10:$B$21,$H541,Счета!$C$10:$C$21,"Кредитная")&gt;0),1,0)</f>
        <v/>
      </c>
    </row>
    <row r="542" ht="19" customHeight="1">
      <c r="B542" s="53">
        <f>IF(AND($C542="",$F542=""),"",ROW()-9)</f>
        <v/>
      </c>
      <c r="C542" s="213" t="n"/>
      <c r="D542" s="55" t="n"/>
      <c r="E542" s="55" t="n"/>
      <c r="F542" s="56" t="n"/>
      <c r="G542" s="196" t="n"/>
      <c r="H542" s="21" t="n"/>
      <c r="I542" s="21" t="n"/>
      <c r="J542" s="53">
        <f>IF($C542="","",INDEX(Настройки!$V$6:$V$17,MONTH($C542))&amp;" "&amp;YEAR($C542))</f>
        <v/>
      </c>
      <c r="K542" s="57">
        <f>IF(OR($F542="",$D542="Перевод"),"",IF(AND(N($G542)&lt;&gt;0,COUNTIFS(Журнал!$C$10:$C$1509,$C542,Журнал!$P$10:$P$1509,$G542)&gt;0),"есть в Журнале",IF(COUNTIF(Постоянные!$C$8:$C$37,$F542)&gt;0,"есть в Постоянных",IF(COUNTIF(Покупки!$C$7:$C$18,$F542)&gt;0,"есть в Покупках",""))))</f>
        <v/>
      </c>
      <c r="P542">
        <f>IF($C542="","",DATE(YEAR($C542),MONTH($C542),1))</f>
        <v/>
      </c>
      <c r="Q542">
        <f>IF(ISNUMBER($G542),ABS($G542),0)</f>
        <v/>
      </c>
      <c r="R542">
        <f>IF(AND($D542="Расход",COUNTIFS(Счета!$B$10:$B$21,$H542,Счета!$C$10:$C$21,"Кредитная")&gt;0),1,0)</f>
        <v/>
      </c>
    </row>
    <row r="543" ht="19" customHeight="1">
      <c r="B543" s="53">
        <f>IF(AND($C543="",$F543=""),"",ROW()-9)</f>
        <v/>
      </c>
      <c r="C543" s="213" t="n"/>
      <c r="D543" s="55" t="n"/>
      <c r="E543" s="55" t="n"/>
      <c r="F543" s="56" t="n"/>
      <c r="G543" s="196" t="n"/>
      <c r="H543" s="21" t="n"/>
      <c r="I543" s="21" t="n"/>
      <c r="J543" s="53">
        <f>IF($C543="","",INDEX(Настройки!$V$6:$V$17,MONTH($C543))&amp;" "&amp;YEAR($C543))</f>
        <v/>
      </c>
      <c r="K543" s="57">
        <f>IF(OR($F543="",$D543="Перевод"),"",IF(AND(N($G543)&lt;&gt;0,COUNTIFS(Журнал!$C$10:$C$1509,$C543,Журнал!$P$10:$P$1509,$G543)&gt;0),"есть в Журнале",IF(COUNTIF(Постоянные!$C$8:$C$37,$F543)&gt;0,"есть в Постоянных",IF(COUNTIF(Покупки!$C$7:$C$18,$F543)&gt;0,"есть в Покупках",""))))</f>
        <v/>
      </c>
      <c r="P543">
        <f>IF($C543="","",DATE(YEAR($C543),MONTH($C543),1))</f>
        <v/>
      </c>
      <c r="Q543">
        <f>IF(ISNUMBER($G543),ABS($G543),0)</f>
        <v/>
      </c>
      <c r="R543">
        <f>IF(AND($D543="Расход",COUNTIFS(Счета!$B$10:$B$21,$H543,Счета!$C$10:$C$21,"Кредитная")&gt;0),1,0)</f>
        <v/>
      </c>
    </row>
    <row r="544" ht="19" customHeight="1">
      <c r="B544" s="53">
        <f>IF(AND($C544="",$F544=""),"",ROW()-9)</f>
        <v/>
      </c>
      <c r="C544" s="213" t="n"/>
      <c r="D544" s="55" t="n"/>
      <c r="E544" s="55" t="n"/>
      <c r="F544" s="56" t="n"/>
      <c r="G544" s="196" t="n"/>
      <c r="H544" s="21" t="n"/>
      <c r="I544" s="21" t="n"/>
      <c r="J544" s="53">
        <f>IF($C544="","",INDEX(Настройки!$V$6:$V$17,MONTH($C544))&amp;" "&amp;YEAR($C544))</f>
        <v/>
      </c>
      <c r="K544" s="57">
        <f>IF(OR($F544="",$D544="Перевод"),"",IF(AND(N($G544)&lt;&gt;0,COUNTIFS(Журнал!$C$10:$C$1509,$C544,Журнал!$P$10:$P$1509,$G544)&gt;0),"есть в Журнале",IF(COUNTIF(Постоянные!$C$8:$C$37,$F544)&gt;0,"есть в Постоянных",IF(COUNTIF(Покупки!$C$7:$C$18,$F544)&gt;0,"есть в Покупках",""))))</f>
        <v/>
      </c>
      <c r="P544">
        <f>IF($C544="","",DATE(YEAR($C544),MONTH($C544),1))</f>
        <v/>
      </c>
      <c r="Q544">
        <f>IF(ISNUMBER($G544),ABS($G544),0)</f>
        <v/>
      </c>
      <c r="R544">
        <f>IF(AND($D544="Расход",COUNTIFS(Счета!$B$10:$B$21,$H544,Счета!$C$10:$C$21,"Кредитная")&gt;0),1,0)</f>
        <v/>
      </c>
    </row>
    <row r="545" ht="19" customHeight="1">
      <c r="B545" s="53">
        <f>IF(AND($C545="",$F545=""),"",ROW()-9)</f>
        <v/>
      </c>
      <c r="C545" s="213" t="n"/>
      <c r="D545" s="55" t="n"/>
      <c r="E545" s="55" t="n"/>
      <c r="F545" s="56" t="n"/>
      <c r="G545" s="196" t="n"/>
      <c r="H545" s="21" t="n"/>
      <c r="I545" s="21" t="n"/>
      <c r="J545" s="53">
        <f>IF($C545="","",INDEX(Настройки!$V$6:$V$17,MONTH($C545))&amp;" "&amp;YEAR($C545))</f>
        <v/>
      </c>
      <c r="K545" s="57">
        <f>IF(OR($F545="",$D545="Перевод"),"",IF(AND(N($G545)&lt;&gt;0,COUNTIFS(Журнал!$C$10:$C$1509,$C545,Журнал!$P$10:$P$1509,$G545)&gt;0),"есть в Журнале",IF(COUNTIF(Постоянные!$C$8:$C$37,$F545)&gt;0,"есть в Постоянных",IF(COUNTIF(Покупки!$C$7:$C$18,$F545)&gt;0,"есть в Покупках",""))))</f>
        <v/>
      </c>
      <c r="P545">
        <f>IF($C545="","",DATE(YEAR($C545),MONTH($C545),1))</f>
        <v/>
      </c>
      <c r="Q545">
        <f>IF(ISNUMBER($G545),ABS($G545),0)</f>
        <v/>
      </c>
      <c r="R545">
        <f>IF(AND($D545="Расход",COUNTIFS(Счета!$B$10:$B$21,$H545,Счета!$C$10:$C$21,"Кредитная")&gt;0),1,0)</f>
        <v/>
      </c>
    </row>
    <row r="546" ht="19" customHeight="1">
      <c r="B546" s="53">
        <f>IF(AND($C546="",$F546=""),"",ROW()-9)</f>
        <v/>
      </c>
      <c r="C546" s="213" t="n"/>
      <c r="D546" s="55" t="n"/>
      <c r="E546" s="55" t="n"/>
      <c r="F546" s="56" t="n"/>
      <c r="G546" s="196" t="n"/>
      <c r="H546" s="21" t="n"/>
      <c r="I546" s="21" t="n"/>
      <c r="J546" s="53">
        <f>IF($C546="","",INDEX(Настройки!$V$6:$V$17,MONTH($C546))&amp;" "&amp;YEAR($C546))</f>
        <v/>
      </c>
      <c r="K546" s="57">
        <f>IF(OR($F546="",$D546="Перевод"),"",IF(AND(N($G546)&lt;&gt;0,COUNTIFS(Журнал!$C$10:$C$1509,$C546,Журнал!$P$10:$P$1509,$G546)&gt;0),"есть в Журнале",IF(COUNTIF(Постоянные!$C$8:$C$37,$F546)&gt;0,"есть в Постоянных",IF(COUNTIF(Покупки!$C$7:$C$18,$F546)&gt;0,"есть в Покупках",""))))</f>
        <v/>
      </c>
      <c r="P546">
        <f>IF($C546="","",DATE(YEAR($C546),MONTH($C546),1))</f>
        <v/>
      </c>
      <c r="Q546">
        <f>IF(ISNUMBER($G546),ABS($G546),0)</f>
        <v/>
      </c>
      <c r="R546">
        <f>IF(AND($D546="Расход",COUNTIFS(Счета!$B$10:$B$21,$H546,Счета!$C$10:$C$21,"Кредитная")&gt;0),1,0)</f>
        <v/>
      </c>
    </row>
    <row r="547" ht="19" customHeight="1">
      <c r="B547" s="53">
        <f>IF(AND($C547="",$F547=""),"",ROW()-9)</f>
        <v/>
      </c>
      <c r="C547" s="213" t="n"/>
      <c r="D547" s="55" t="n"/>
      <c r="E547" s="55" t="n"/>
      <c r="F547" s="56" t="n"/>
      <c r="G547" s="196" t="n"/>
      <c r="H547" s="21" t="n"/>
      <c r="I547" s="21" t="n"/>
      <c r="J547" s="53">
        <f>IF($C547="","",INDEX(Настройки!$V$6:$V$17,MONTH($C547))&amp;" "&amp;YEAR($C547))</f>
        <v/>
      </c>
      <c r="K547" s="57">
        <f>IF(OR($F547="",$D547="Перевод"),"",IF(AND(N($G547)&lt;&gt;0,COUNTIFS(Журнал!$C$10:$C$1509,$C547,Журнал!$P$10:$P$1509,$G547)&gt;0),"есть в Журнале",IF(COUNTIF(Постоянные!$C$8:$C$37,$F547)&gt;0,"есть в Постоянных",IF(COUNTIF(Покупки!$C$7:$C$18,$F547)&gt;0,"есть в Покупках",""))))</f>
        <v/>
      </c>
      <c r="P547">
        <f>IF($C547="","",DATE(YEAR($C547),MONTH($C547),1))</f>
        <v/>
      </c>
      <c r="Q547">
        <f>IF(ISNUMBER($G547),ABS($G547),0)</f>
        <v/>
      </c>
      <c r="R547">
        <f>IF(AND($D547="Расход",COUNTIFS(Счета!$B$10:$B$21,$H547,Счета!$C$10:$C$21,"Кредитная")&gt;0),1,0)</f>
        <v/>
      </c>
    </row>
    <row r="548" ht="19" customHeight="1">
      <c r="B548" s="53">
        <f>IF(AND($C548="",$F548=""),"",ROW()-9)</f>
        <v/>
      </c>
      <c r="C548" s="213" t="n"/>
      <c r="D548" s="55" t="n"/>
      <c r="E548" s="55" t="n"/>
      <c r="F548" s="56" t="n"/>
      <c r="G548" s="196" t="n"/>
      <c r="H548" s="21" t="n"/>
      <c r="I548" s="21" t="n"/>
      <c r="J548" s="53">
        <f>IF($C548="","",INDEX(Настройки!$V$6:$V$17,MONTH($C548))&amp;" "&amp;YEAR($C548))</f>
        <v/>
      </c>
      <c r="K548" s="57">
        <f>IF(OR($F548="",$D548="Перевод"),"",IF(AND(N($G548)&lt;&gt;0,COUNTIFS(Журнал!$C$10:$C$1509,$C548,Журнал!$P$10:$P$1509,$G548)&gt;0),"есть в Журнале",IF(COUNTIF(Постоянные!$C$8:$C$37,$F548)&gt;0,"есть в Постоянных",IF(COUNTIF(Покупки!$C$7:$C$18,$F548)&gt;0,"есть в Покупках",""))))</f>
        <v/>
      </c>
      <c r="P548">
        <f>IF($C548="","",DATE(YEAR($C548),MONTH($C548),1))</f>
        <v/>
      </c>
      <c r="Q548">
        <f>IF(ISNUMBER($G548),ABS($G548),0)</f>
        <v/>
      </c>
      <c r="R548">
        <f>IF(AND($D548="Расход",COUNTIFS(Счета!$B$10:$B$21,$H548,Счета!$C$10:$C$21,"Кредитная")&gt;0),1,0)</f>
        <v/>
      </c>
    </row>
    <row r="549" ht="19" customHeight="1">
      <c r="B549" s="53">
        <f>IF(AND($C549="",$F549=""),"",ROW()-9)</f>
        <v/>
      </c>
      <c r="C549" s="213" t="n"/>
      <c r="D549" s="55" t="n"/>
      <c r="E549" s="55" t="n"/>
      <c r="F549" s="56" t="n"/>
      <c r="G549" s="196" t="n"/>
      <c r="H549" s="21" t="n"/>
      <c r="I549" s="21" t="n"/>
      <c r="J549" s="53">
        <f>IF($C549="","",INDEX(Настройки!$V$6:$V$17,MONTH($C549))&amp;" "&amp;YEAR($C549))</f>
        <v/>
      </c>
      <c r="K549" s="57">
        <f>IF(OR($F549="",$D549="Перевод"),"",IF(AND(N($G549)&lt;&gt;0,COUNTIFS(Журнал!$C$10:$C$1509,$C549,Журнал!$P$10:$P$1509,$G549)&gt;0),"есть в Журнале",IF(COUNTIF(Постоянные!$C$8:$C$37,$F549)&gt;0,"есть в Постоянных",IF(COUNTIF(Покупки!$C$7:$C$18,$F549)&gt;0,"есть в Покупках",""))))</f>
        <v/>
      </c>
      <c r="P549">
        <f>IF($C549="","",DATE(YEAR($C549),MONTH($C549),1))</f>
        <v/>
      </c>
      <c r="Q549">
        <f>IF(ISNUMBER($G549),ABS($G549),0)</f>
        <v/>
      </c>
      <c r="R549">
        <f>IF(AND($D549="Расход",COUNTIFS(Счета!$B$10:$B$21,$H549,Счета!$C$10:$C$21,"Кредитная")&gt;0),1,0)</f>
        <v/>
      </c>
    </row>
    <row r="550" ht="19" customHeight="1">
      <c r="B550" s="53">
        <f>IF(AND($C550="",$F550=""),"",ROW()-9)</f>
        <v/>
      </c>
      <c r="C550" s="213" t="n"/>
      <c r="D550" s="55" t="n"/>
      <c r="E550" s="55" t="n"/>
      <c r="F550" s="56" t="n"/>
      <c r="G550" s="196" t="n"/>
      <c r="H550" s="21" t="n"/>
      <c r="I550" s="21" t="n"/>
      <c r="J550" s="53">
        <f>IF($C550="","",INDEX(Настройки!$V$6:$V$17,MONTH($C550))&amp;" "&amp;YEAR($C550))</f>
        <v/>
      </c>
      <c r="K550" s="57">
        <f>IF(OR($F550="",$D550="Перевод"),"",IF(AND(N($G550)&lt;&gt;0,COUNTIFS(Журнал!$C$10:$C$1509,$C550,Журнал!$P$10:$P$1509,$G550)&gt;0),"есть в Журнале",IF(COUNTIF(Постоянные!$C$8:$C$37,$F550)&gt;0,"есть в Постоянных",IF(COUNTIF(Покупки!$C$7:$C$18,$F550)&gt;0,"есть в Покупках",""))))</f>
        <v/>
      </c>
      <c r="P550">
        <f>IF($C550="","",DATE(YEAR($C550),MONTH($C550),1))</f>
        <v/>
      </c>
      <c r="Q550">
        <f>IF(ISNUMBER($G550),ABS($G550),0)</f>
        <v/>
      </c>
      <c r="R550">
        <f>IF(AND($D550="Расход",COUNTIFS(Счета!$B$10:$B$21,$H550,Счета!$C$10:$C$21,"Кредитная")&gt;0),1,0)</f>
        <v/>
      </c>
    </row>
    <row r="551" ht="19" customHeight="1">
      <c r="B551" s="53">
        <f>IF(AND($C551="",$F551=""),"",ROW()-9)</f>
        <v/>
      </c>
      <c r="C551" s="213" t="n"/>
      <c r="D551" s="55" t="n"/>
      <c r="E551" s="55" t="n"/>
      <c r="F551" s="56" t="n"/>
      <c r="G551" s="196" t="n"/>
      <c r="H551" s="21" t="n"/>
      <c r="I551" s="21" t="n"/>
      <c r="J551" s="53">
        <f>IF($C551="","",INDEX(Настройки!$V$6:$V$17,MONTH($C551))&amp;" "&amp;YEAR($C551))</f>
        <v/>
      </c>
      <c r="K551" s="57">
        <f>IF(OR($F551="",$D551="Перевод"),"",IF(AND(N($G551)&lt;&gt;0,COUNTIFS(Журнал!$C$10:$C$1509,$C551,Журнал!$P$10:$P$1509,$G551)&gt;0),"есть в Журнале",IF(COUNTIF(Постоянные!$C$8:$C$37,$F551)&gt;0,"есть в Постоянных",IF(COUNTIF(Покупки!$C$7:$C$18,$F551)&gt;0,"есть в Покупках",""))))</f>
        <v/>
      </c>
      <c r="P551">
        <f>IF($C551="","",DATE(YEAR($C551),MONTH($C551),1))</f>
        <v/>
      </c>
      <c r="Q551">
        <f>IF(ISNUMBER($G551),ABS($G551),0)</f>
        <v/>
      </c>
      <c r="R551">
        <f>IF(AND($D551="Расход",COUNTIFS(Счета!$B$10:$B$21,$H551,Счета!$C$10:$C$21,"Кредитная")&gt;0),1,0)</f>
        <v/>
      </c>
    </row>
    <row r="552" ht="19" customHeight="1">
      <c r="B552" s="53">
        <f>IF(AND($C552="",$F552=""),"",ROW()-9)</f>
        <v/>
      </c>
      <c r="C552" s="213" t="n"/>
      <c r="D552" s="55" t="n"/>
      <c r="E552" s="55" t="n"/>
      <c r="F552" s="56" t="n"/>
      <c r="G552" s="196" t="n"/>
      <c r="H552" s="21" t="n"/>
      <c r="I552" s="21" t="n"/>
      <c r="J552" s="53">
        <f>IF($C552="","",INDEX(Настройки!$V$6:$V$17,MONTH($C552))&amp;" "&amp;YEAR($C552))</f>
        <v/>
      </c>
      <c r="K552" s="57">
        <f>IF(OR($F552="",$D552="Перевод"),"",IF(AND(N($G552)&lt;&gt;0,COUNTIFS(Журнал!$C$10:$C$1509,$C552,Журнал!$P$10:$P$1509,$G552)&gt;0),"есть в Журнале",IF(COUNTIF(Постоянные!$C$8:$C$37,$F552)&gt;0,"есть в Постоянных",IF(COUNTIF(Покупки!$C$7:$C$18,$F552)&gt;0,"есть в Покупках",""))))</f>
        <v/>
      </c>
      <c r="P552">
        <f>IF($C552="","",DATE(YEAR($C552),MONTH($C552),1))</f>
        <v/>
      </c>
      <c r="Q552">
        <f>IF(ISNUMBER($G552),ABS($G552),0)</f>
        <v/>
      </c>
      <c r="R552">
        <f>IF(AND($D552="Расход",COUNTIFS(Счета!$B$10:$B$21,$H552,Счета!$C$10:$C$21,"Кредитная")&gt;0),1,0)</f>
        <v/>
      </c>
    </row>
    <row r="553" ht="19" customHeight="1">
      <c r="B553" s="53">
        <f>IF(AND($C553="",$F553=""),"",ROW()-9)</f>
        <v/>
      </c>
      <c r="C553" s="213" t="n"/>
      <c r="D553" s="55" t="n"/>
      <c r="E553" s="55" t="n"/>
      <c r="F553" s="56" t="n"/>
      <c r="G553" s="196" t="n"/>
      <c r="H553" s="21" t="n"/>
      <c r="I553" s="21" t="n"/>
      <c r="J553" s="53">
        <f>IF($C553="","",INDEX(Настройки!$V$6:$V$17,MONTH($C553))&amp;" "&amp;YEAR($C553))</f>
        <v/>
      </c>
      <c r="K553" s="57">
        <f>IF(OR($F553="",$D553="Перевод"),"",IF(AND(N($G553)&lt;&gt;0,COUNTIFS(Журнал!$C$10:$C$1509,$C553,Журнал!$P$10:$P$1509,$G553)&gt;0),"есть в Журнале",IF(COUNTIF(Постоянные!$C$8:$C$37,$F553)&gt;0,"есть в Постоянных",IF(COUNTIF(Покупки!$C$7:$C$18,$F553)&gt;0,"есть в Покупках",""))))</f>
        <v/>
      </c>
      <c r="P553">
        <f>IF($C553="","",DATE(YEAR($C553),MONTH($C553),1))</f>
        <v/>
      </c>
      <c r="Q553">
        <f>IF(ISNUMBER($G553),ABS($G553),0)</f>
        <v/>
      </c>
      <c r="R553">
        <f>IF(AND($D553="Расход",COUNTIFS(Счета!$B$10:$B$21,$H553,Счета!$C$10:$C$21,"Кредитная")&gt;0),1,0)</f>
        <v/>
      </c>
    </row>
    <row r="554" ht="19" customHeight="1">
      <c r="B554" s="53">
        <f>IF(AND($C554="",$F554=""),"",ROW()-9)</f>
        <v/>
      </c>
      <c r="C554" s="213" t="n"/>
      <c r="D554" s="55" t="n"/>
      <c r="E554" s="55" t="n"/>
      <c r="F554" s="56" t="n"/>
      <c r="G554" s="196" t="n"/>
      <c r="H554" s="21" t="n"/>
      <c r="I554" s="21" t="n"/>
      <c r="J554" s="53">
        <f>IF($C554="","",INDEX(Настройки!$V$6:$V$17,MONTH($C554))&amp;" "&amp;YEAR($C554))</f>
        <v/>
      </c>
      <c r="K554" s="57">
        <f>IF(OR($F554="",$D554="Перевод"),"",IF(AND(N($G554)&lt;&gt;0,COUNTIFS(Журнал!$C$10:$C$1509,$C554,Журнал!$P$10:$P$1509,$G554)&gt;0),"есть в Журнале",IF(COUNTIF(Постоянные!$C$8:$C$37,$F554)&gt;0,"есть в Постоянных",IF(COUNTIF(Покупки!$C$7:$C$18,$F554)&gt;0,"есть в Покупках",""))))</f>
        <v/>
      </c>
      <c r="P554">
        <f>IF($C554="","",DATE(YEAR($C554),MONTH($C554),1))</f>
        <v/>
      </c>
      <c r="Q554">
        <f>IF(ISNUMBER($G554),ABS($G554),0)</f>
        <v/>
      </c>
      <c r="R554">
        <f>IF(AND($D554="Расход",COUNTIFS(Счета!$B$10:$B$21,$H554,Счета!$C$10:$C$21,"Кредитная")&gt;0),1,0)</f>
        <v/>
      </c>
    </row>
    <row r="555" ht="19" customHeight="1">
      <c r="B555" s="53">
        <f>IF(AND($C555="",$F555=""),"",ROW()-9)</f>
        <v/>
      </c>
      <c r="C555" s="213" t="n"/>
      <c r="D555" s="55" t="n"/>
      <c r="E555" s="55" t="n"/>
      <c r="F555" s="56" t="n"/>
      <c r="G555" s="196" t="n"/>
      <c r="H555" s="21" t="n"/>
      <c r="I555" s="21" t="n"/>
      <c r="J555" s="53">
        <f>IF($C555="","",INDEX(Настройки!$V$6:$V$17,MONTH($C555))&amp;" "&amp;YEAR($C555))</f>
        <v/>
      </c>
      <c r="K555" s="57">
        <f>IF(OR($F555="",$D555="Перевод"),"",IF(AND(N($G555)&lt;&gt;0,COUNTIFS(Журнал!$C$10:$C$1509,$C555,Журнал!$P$10:$P$1509,$G555)&gt;0),"есть в Журнале",IF(COUNTIF(Постоянные!$C$8:$C$37,$F555)&gt;0,"есть в Постоянных",IF(COUNTIF(Покупки!$C$7:$C$18,$F555)&gt;0,"есть в Покупках",""))))</f>
        <v/>
      </c>
      <c r="P555">
        <f>IF($C555="","",DATE(YEAR($C555),MONTH($C555),1))</f>
        <v/>
      </c>
      <c r="Q555">
        <f>IF(ISNUMBER($G555),ABS($G555),0)</f>
        <v/>
      </c>
      <c r="R555">
        <f>IF(AND($D555="Расход",COUNTIFS(Счета!$B$10:$B$21,$H555,Счета!$C$10:$C$21,"Кредитная")&gt;0),1,0)</f>
        <v/>
      </c>
    </row>
    <row r="556" ht="19" customHeight="1">
      <c r="B556" s="53">
        <f>IF(AND($C556="",$F556=""),"",ROW()-9)</f>
        <v/>
      </c>
      <c r="C556" s="213" t="n"/>
      <c r="D556" s="55" t="n"/>
      <c r="E556" s="55" t="n"/>
      <c r="F556" s="56" t="n"/>
      <c r="G556" s="196" t="n"/>
      <c r="H556" s="21" t="n"/>
      <c r="I556" s="21" t="n"/>
      <c r="J556" s="53">
        <f>IF($C556="","",INDEX(Настройки!$V$6:$V$17,MONTH($C556))&amp;" "&amp;YEAR($C556))</f>
        <v/>
      </c>
      <c r="K556" s="57">
        <f>IF(OR($F556="",$D556="Перевод"),"",IF(AND(N($G556)&lt;&gt;0,COUNTIFS(Журнал!$C$10:$C$1509,$C556,Журнал!$P$10:$P$1509,$G556)&gt;0),"есть в Журнале",IF(COUNTIF(Постоянные!$C$8:$C$37,$F556)&gt;0,"есть в Постоянных",IF(COUNTIF(Покупки!$C$7:$C$18,$F556)&gt;0,"есть в Покупках",""))))</f>
        <v/>
      </c>
      <c r="P556">
        <f>IF($C556="","",DATE(YEAR($C556),MONTH($C556),1))</f>
        <v/>
      </c>
      <c r="Q556">
        <f>IF(ISNUMBER($G556),ABS($G556),0)</f>
        <v/>
      </c>
      <c r="R556">
        <f>IF(AND($D556="Расход",COUNTIFS(Счета!$B$10:$B$21,$H556,Счета!$C$10:$C$21,"Кредитная")&gt;0),1,0)</f>
        <v/>
      </c>
    </row>
    <row r="557" ht="19" customHeight="1">
      <c r="B557" s="53">
        <f>IF(AND($C557="",$F557=""),"",ROW()-9)</f>
        <v/>
      </c>
      <c r="C557" s="213" t="n"/>
      <c r="D557" s="55" t="n"/>
      <c r="E557" s="55" t="n"/>
      <c r="F557" s="56" t="n"/>
      <c r="G557" s="196" t="n"/>
      <c r="H557" s="21" t="n"/>
      <c r="I557" s="21" t="n"/>
      <c r="J557" s="53">
        <f>IF($C557="","",INDEX(Настройки!$V$6:$V$17,MONTH($C557))&amp;" "&amp;YEAR($C557))</f>
        <v/>
      </c>
      <c r="K557" s="57">
        <f>IF(OR($F557="",$D557="Перевод"),"",IF(AND(N($G557)&lt;&gt;0,COUNTIFS(Журнал!$C$10:$C$1509,$C557,Журнал!$P$10:$P$1509,$G557)&gt;0),"есть в Журнале",IF(COUNTIF(Постоянные!$C$8:$C$37,$F557)&gt;0,"есть в Постоянных",IF(COUNTIF(Покупки!$C$7:$C$18,$F557)&gt;0,"есть в Покупках",""))))</f>
        <v/>
      </c>
      <c r="P557">
        <f>IF($C557="","",DATE(YEAR($C557),MONTH($C557),1))</f>
        <v/>
      </c>
      <c r="Q557">
        <f>IF(ISNUMBER($G557),ABS($G557),0)</f>
        <v/>
      </c>
      <c r="R557">
        <f>IF(AND($D557="Расход",COUNTIFS(Счета!$B$10:$B$21,$H557,Счета!$C$10:$C$21,"Кредитная")&gt;0),1,0)</f>
        <v/>
      </c>
    </row>
    <row r="558" ht="19" customHeight="1">
      <c r="B558" s="53">
        <f>IF(AND($C558="",$F558=""),"",ROW()-9)</f>
        <v/>
      </c>
      <c r="C558" s="213" t="n"/>
      <c r="D558" s="55" t="n"/>
      <c r="E558" s="55" t="n"/>
      <c r="F558" s="56" t="n"/>
      <c r="G558" s="196" t="n"/>
      <c r="H558" s="21" t="n"/>
      <c r="I558" s="21" t="n"/>
      <c r="J558" s="53">
        <f>IF($C558="","",INDEX(Настройки!$V$6:$V$17,MONTH($C558))&amp;" "&amp;YEAR($C558))</f>
        <v/>
      </c>
      <c r="K558" s="57">
        <f>IF(OR($F558="",$D558="Перевод"),"",IF(AND(N($G558)&lt;&gt;0,COUNTIFS(Журнал!$C$10:$C$1509,$C558,Журнал!$P$10:$P$1509,$G558)&gt;0),"есть в Журнале",IF(COUNTIF(Постоянные!$C$8:$C$37,$F558)&gt;0,"есть в Постоянных",IF(COUNTIF(Покупки!$C$7:$C$18,$F558)&gt;0,"есть в Покупках",""))))</f>
        <v/>
      </c>
      <c r="P558">
        <f>IF($C558="","",DATE(YEAR($C558),MONTH($C558),1))</f>
        <v/>
      </c>
      <c r="Q558">
        <f>IF(ISNUMBER($G558),ABS($G558),0)</f>
        <v/>
      </c>
      <c r="R558">
        <f>IF(AND($D558="Расход",COUNTIFS(Счета!$B$10:$B$21,$H558,Счета!$C$10:$C$21,"Кредитная")&gt;0),1,0)</f>
        <v/>
      </c>
    </row>
    <row r="559" ht="19" customHeight="1">
      <c r="B559" s="53">
        <f>IF(AND($C559="",$F559=""),"",ROW()-9)</f>
        <v/>
      </c>
      <c r="C559" s="213" t="n"/>
      <c r="D559" s="55" t="n"/>
      <c r="E559" s="55" t="n"/>
      <c r="F559" s="56" t="n"/>
      <c r="G559" s="196" t="n"/>
      <c r="H559" s="21" t="n"/>
      <c r="I559" s="21" t="n"/>
      <c r="J559" s="53">
        <f>IF($C559="","",INDEX(Настройки!$V$6:$V$17,MONTH($C559))&amp;" "&amp;YEAR($C559))</f>
        <v/>
      </c>
      <c r="K559" s="57">
        <f>IF(OR($F559="",$D559="Перевод"),"",IF(AND(N($G559)&lt;&gt;0,COUNTIFS(Журнал!$C$10:$C$1509,$C559,Журнал!$P$10:$P$1509,$G559)&gt;0),"есть в Журнале",IF(COUNTIF(Постоянные!$C$8:$C$37,$F559)&gt;0,"есть в Постоянных",IF(COUNTIF(Покупки!$C$7:$C$18,$F559)&gt;0,"есть в Покупках",""))))</f>
        <v/>
      </c>
      <c r="P559">
        <f>IF($C559="","",DATE(YEAR($C559),MONTH($C559),1))</f>
        <v/>
      </c>
      <c r="Q559">
        <f>IF(ISNUMBER($G559),ABS($G559),0)</f>
        <v/>
      </c>
      <c r="R559">
        <f>IF(AND($D559="Расход",COUNTIFS(Счета!$B$10:$B$21,$H559,Счета!$C$10:$C$21,"Кредитная")&gt;0),1,0)</f>
        <v/>
      </c>
    </row>
    <row r="560" ht="19" customHeight="1">
      <c r="B560" s="53">
        <f>IF(AND($C560="",$F560=""),"",ROW()-9)</f>
        <v/>
      </c>
      <c r="C560" s="213" t="n"/>
      <c r="D560" s="55" t="n"/>
      <c r="E560" s="55" t="n"/>
      <c r="F560" s="56" t="n"/>
      <c r="G560" s="196" t="n"/>
      <c r="H560" s="21" t="n"/>
      <c r="I560" s="21" t="n"/>
      <c r="J560" s="53">
        <f>IF($C560="","",INDEX(Настройки!$V$6:$V$17,MONTH($C560))&amp;" "&amp;YEAR($C560))</f>
        <v/>
      </c>
      <c r="K560" s="57">
        <f>IF(OR($F560="",$D560="Перевод"),"",IF(AND(N($G560)&lt;&gt;0,COUNTIFS(Журнал!$C$10:$C$1509,$C560,Журнал!$P$10:$P$1509,$G560)&gt;0),"есть в Журнале",IF(COUNTIF(Постоянные!$C$8:$C$37,$F560)&gt;0,"есть в Постоянных",IF(COUNTIF(Покупки!$C$7:$C$18,$F560)&gt;0,"есть в Покупках",""))))</f>
        <v/>
      </c>
      <c r="P560">
        <f>IF($C560="","",DATE(YEAR($C560),MONTH($C560),1))</f>
        <v/>
      </c>
      <c r="Q560">
        <f>IF(ISNUMBER($G560),ABS($G560),0)</f>
        <v/>
      </c>
      <c r="R560">
        <f>IF(AND($D560="Расход",COUNTIFS(Счета!$B$10:$B$21,$H560,Счета!$C$10:$C$21,"Кредитная")&gt;0),1,0)</f>
        <v/>
      </c>
    </row>
    <row r="561" ht="19" customHeight="1">
      <c r="B561" s="53">
        <f>IF(AND($C561="",$F561=""),"",ROW()-9)</f>
        <v/>
      </c>
      <c r="C561" s="213" t="n"/>
      <c r="D561" s="55" t="n"/>
      <c r="E561" s="55" t="n"/>
      <c r="F561" s="56" t="n"/>
      <c r="G561" s="196" t="n"/>
      <c r="H561" s="21" t="n"/>
      <c r="I561" s="21" t="n"/>
      <c r="J561" s="53">
        <f>IF($C561="","",INDEX(Настройки!$V$6:$V$17,MONTH($C561))&amp;" "&amp;YEAR($C561))</f>
        <v/>
      </c>
      <c r="K561" s="57">
        <f>IF(OR($F561="",$D561="Перевод"),"",IF(AND(N($G561)&lt;&gt;0,COUNTIFS(Журнал!$C$10:$C$1509,$C561,Журнал!$P$10:$P$1509,$G561)&gt;0),"есть в Журнале",IF(COUNTIF(Постоянные!$C$8:$C$37,$F561)&gt;0,"есть в Постоянных",IF(COUNTIF(Покупки!$C$7:$C$18,$F561)&gt;0,"есть в Покупках",""))))</f>
        <v/>
      </c>
      <c r="P561">
        <f>IF($C561="","",DATE(YEAR($C561),MONTH($C561),1))</f>
        <v/>
      </c>
      <c r="Q561">
        <f>IF(ISNUMBER($G561),ABS($G561),0)</f>
        <v/>
      </c>
      <c r="R561">
        <f>IF(AND($D561="Расход",COUNTIFS(Счета!$B$10:$B$21,$H561,Счета!$C$10:$C$21,"Кредитная")&gt;0),1,0)</f>
        <v/>
      </c>
    </row>
    <row r="562" ht="19" customHeight="1">
      <c r="B562" s="53">
        <f>IF(AND($C562="",$F562=""),"",ROW()-9)</f>
        <v/>
      </c>
      <c r="C562" s="213" t="n"/>
      <c r="D562" s="55" t="n"/>
      <c r="E562" s="55" t="n"/>
      <c r="F562" s="56" t="n"/>
      <c r="G562" s="196" t="n"/>
      <c r="H562" s="21" t="n"/>
      <c r="I562" s="21" t="n"/>
      <c r="J562" s="53">
        <f>IF($C562="","",INDEX(Настройки!$V$6:$V$17,MONTH($C562))&amp;" "&amp;YEAR($C562))</f>
        <v/>
      </c>
      <c r="K562" s="57">
        <f>IF(OR($F562="",$D562="Перевод"),"",IF(AND(N($G562)&lt;&gt;0,COUNTIFS(Журнал!$C$10:$C$1509,$C562,Журнал!$P$10:$P$1509,$G562)&gt;0),"есть в Журнале",IF(COUNTIF(Постоянные!$C$8:$C$37,$F562)&gt;0,"есть в Постоянных",IF(COUNTIF(Покупки!$C$7:$C$18,$F562)&gt;0,"есть в Покупках",""))))</f>
        <v/>
      </c>
      <c r="P562">
        <f>IF($C562="","",DATE(YEAR($C562),MONTH($C562),1))</f>
        <v/>
      </c>
      <c r="Q562">
        <f>IF(ISNUMBER($G562),ABS($G562),0)</f>
        <v/>
      </c>
      <c r="R562">
        <f>IF(AND($D562="Расход",COUNTIFS(Счета!$B$10:$B$21,$H562,Счета!$C$10:$C$21,"Кредитная")&gt;0),1,0)</f>
        <v/>
      </c>
    </row>
    <row r="563" ht="19" customHeight="1">
      <c r="B563" s="53">
        <f>IF(AND($C563="",$F563=""),"",ROW()-9)</f>
        <v/>
      </c>
      <c r="C563" s="213" t="n"/>
      <c r="D563" s="55" t="n"/>
      <c r="E563" s="55" t="n"/>
      <c r="F563" s="56" t="n"/>
      <c r="G563" s="196" t="n"/>
      <c r="H563" s="21" t="n"/>
      <c r="I563" s="21" t="n"/>
      <c r="J563" s="53">
        <f>IF($C563="","",INDEX(Настройки!$V$6:$V$17,MONTH($C563))&amp;" "&amp;YEAR($C563))</f>
        <v/>
      </c>
      <c r="K563" s="57">
        <f>IF(OR($F563="",$D563="Перевод"),"",IF(AND(N($G563)&lt;&gt;0,COUNTIFS(Журнал!$C$10:$C$1509,$C563,Журнал!$P$10:$P$1509,$G563)&gt;0),"есть в Журнале",IF(COUNTIF(Постоянные!$C$8:$C$37,$F563)&gt;0,"есть в Постоянных",IF(COUNTIF(Покупки!$C$7:$C$18,$F563)&gt;0,"есть в Покупках",""))))</f>
        <v/>
      </c>
      <c r="P563">
        <f>IF($C563="","",DATE(YEAR($C563),MONTH($C563),1))</f>
        <v/>
      </c>
      <c r="Q563">
        <f>IF(ISNUMBER($G563),ABS($G563),0)</f>
        <v/>
      </c>
      <c r="R563">
        <f>IF(AND($D563="Расход",COUNTIFS(Счета!$B$10:$B$21,$H563,Счета!$C$10:$C$21,"Кредитная")&gt;0),1,0)</f>
        <v/>
      </c>
    </row>
    <row r="564" ht="19" customHeight="1">
      <c r="B564" s="53">
        <f>IF(AND($C564="",$F564=""),"",ROW()-9)</f>
        <v/>
      </c>
      <c r="C564" s="213" t="n"/>
      <c r="D564" s="55" t="n"/>
      <c r="E564" s="55" t="n"/>
      <c r="F564" s="56" t="n"/>
      <c r="G564" s="196" t="n"/>
      <c r="H564" s="21" t="n"/>
      <c r="I564" s="21" t="n"/>
      <c r="J564" s="53">
        <f>IF($C564="","",INDEX(Настройки!$V$6:$V$17,MONTH($C564))&amp;" "&amp;YEAR($C564))</f>
        <v/>
      </c>
      <c r="K564" s="57">
        <f>IF(OR($F564="",$D564="Перевод"),"",IF(AND(N($G564)&lt;&gt;0,COUNTIFS(Журнал!$C$10:$C$1509,$C564,Журнал!$P$10:$P$1509,$G564)&gt;0),"есть в Журнале",IF(COUNTIF(Постоянные!$C$8:$C$37,$F564)&gt;0,"есть в Постоянных",IF(COUNTIF(Покупки!$C$7:$C$18,$F564)&gt;0,"есть в Покупках",""))))</f>
        <v/>
      </c>
      <c r="P564">
        <f>IF($C564="","",DATE(YEAR($C564),MONTH($C564),1))</f>
        <v/>
      </c>
      <c r="Q564">
        <f>IF(ISNUMBER($G564),ABS($G564),0)</f>
        <v/>
      </c>
      <c r="R564">
        <f>IF(AND($D564="Расход",COUNTIFS(Счета!$B$10:$B$21,$H564,Счета!$C$10:$C$21,"Кредитная")&gt;0),1,0)</f>
        <v/>
      </c>
    </row>
    <row r="565" ht="19" customHeight="1">
      <c r="B565" s="53">
        <f>IF(AND($C565="",$F565=""),"",ROW()-9)</f>
        <v/>
      </c>
      <c r="C565" s="213" t="n"/>
      <c r="D565" s="55" t="n"/>
      <c r="E565" s="55" t="n"/>
      <c r="F565" s="56" t="n"/>
      <c r="G565" s="196" t="n"/>
      <c r="H565" s="21" t="n"/>
      <c r="I565" s="21" t="n"/>
      <c r="J565" s="53">
        <f>IF($C565="","",INDEX(Настройки!$V$6:$V$17,MONTH($C565))&amp;" "&amp;YEAR($C565))</f>
        <v/>
      </c>
      <c r="K565" s="57">
        <f>IF(OR($F565="",$D565="Перевод"),"",IF(AND(N($G565)&lt;&gt;0,COUNTIFS(Журнал!$C$10:$C$1509,$C565,Журнал!$P$10:$P$1509,$G565)&gt;0),"есть в Журнале",IF(COUNTIF(Постоянные!$C$8:$C$37,$F565)&gt;0,"есть в Постоянных",IF(COUNTIF(Покупки!$C$7:$C$18,$F565)&gt;0,"есть в Покупках",""))))</f>
        <v/>
      </c>
      <c r="P565">
        <f>IF($C565="","",DATE(YEAR($C565),MONTH($C565),1))</f>
        <v/>
      </c>
      <c r="Q565">
        <f>IF(ISNUMBER($G565),ABS($G565),0)</f>
        <v/>
      </c>
      <c r="R565">
        <f>IF(AND($D565="Расход",COUNTIFS(Счета!$B$10:$B$21,$H565,Счета!$C$10:$C$21,"Кредитная")&gt;0),1,0)</f>
        <v/>
      </c>
    </row>
    <row r="566" ht="19" customHeight="1">
      <c r="B566" s="53">
        <f>IF(AND($C566="",$F566=""),"",ROW()-9)</f>
        <v/>
      </c>
      <c r="C566" s="213" t="n"/>
      <c r="D566" s="55" t="n"/>
      <c r="E566" s="55" t="n"/>
      <c r="F566" s="56" t="n"/>
      <c r="G566" s="196" t="n"/>
      <c r="H566" s="21" t="n"/>
      <c r="I566" s="21" t="n"/>
      <c r="J566" s="53">
        <f>IF($C566="","",INDEX(Настройки!$V$6:$V$17,MONTH($C566))&amp;" "&amp;YEAR($C566))</f>
        <v/>
      </c>
      <c r="K566" s="57">
        <f>IF(OR($F566="",$D566="Перевод"),"",IF(AND(N($G566)&lt;&gt;0,COUNTIFS(Журнал!$C$10:$C$1509,$C566,Журнал!$P$10:$P$1509,$G566)&gt;0),"есть в Журнале",IF(COUNTIF(Постоянные!$C$8:$C$37,$F566)&gt;0,"есть в Постоянных",IF(COUNTIF(Покупки!$C$7:$C$18,$F566)&gt;0,"есть в Покупках",""))))</f>
        <v/>
      </c>
      <c r="P566">
        <f>IF($C566="","",DATE(YEAR($C566),MONTH($C566),1))</f>
        <v/>
      </c>
      <c r="Q566">
        <f>IF(ISNUMBER($G566),ABS($G566),0)</f>
        <v/>
      </c>
      <c r="R566">
        <f>IF(AND($D566="Расход",COUNTIFS(Счета!$B$10:$B$21,$H566,Счета!$C$10:$C$21,"Кредитная")&gt;0),1,0)</f>
        <v/>
      </c>
    </row>
    <row r="567" ht="19" customHeight="1">
      <c r="B567" s="53">
        <f>IF(AND($C567="",$F567=""),"",ROW()-9)</f>
        <v/>
      </c>
      <c r="C567" s="213" t="n"/>
      <c r="D567" s="55" t="n"/>
      <c r="E567" s="55" t="n"/>
      <c r="F567" s="56" t="n"/>
      <c r="G567" s="196" t="n"/>
      <c r="H567" s="21" t="n"/>
      <c r="I567" s="21" t="n"/>
      <c r="J567" s="53">
        <f>IF($C567="","",INDEX(Настройки!$V$6:$V$17,MONTH($C567))&amp;" "&amp;YEAR($C567))</f>
        <v/>
      </c>
      <c r="K567" s="57">
        <f>IF(OR($F567="",$D567="Перевод"),"",IF(AND(N($G567)&lt;&gt;0,COUNTIFS(Журнал!$C$10:$C$1509,$C567,Журнал!$P$10:$P$1509,$G567)&gt;0),"есть в Журнале",IF(COUNTIF(Постоянные!$C$8:$C$37,$F567)&gt;0,"есть в Постоянных",IF(COUNTIF(Покупки!$C$7:$C$18,$F567)&gt;0,"есть в Покупках",""))))</f>
        <v/>
      </c>
      <c r="P567">
        <f>IF($C567="","",DATE(YEAR($C567),MONTH($C567),1))</f>
        <v/>
      </c>
      <c r="Q567">
        <f>IF(ISNUMBER($G567),ABS($G567),0)</f>
        <v/>
      </c>
      <c r="R567">
        <f>IF(AND($D567="Расход",COUNTIFS(Счета!$B$10:$B$21,$H567,Счета!$C$10:$C$21,"Кредитная")&gt;0),1,0)</f>
        <v/>
      </c>
    </row>
    <row r="568" ht="19" customHeight="1">
      <c r="B568" s="53">
        <f>IF(AND($C568="",$F568=""),"",ROW()-9)</f>
        <v/>
      </c>
      <c r="C568" s="213" t="n"/>
      <c r="D568" s="55" t="n"/>
      <c r="E568" s="55" t="n"/>
      <c r="F568" s="56" t="n"/>
      <c r="G568" s="196" t="n"/>
      <c r="H568" s="21" t="n"/>
      <c r="I568" s="21" t="n"/>
      <c r="J568" s="53">
        <f>IF($C568="","",INDEX(Настройки!$V$6:$V$17,MONTH($C568))&amp;" "&amp;YEAR($C568))</f>
        <v/>
      </c>
      <c r="K568" s="57">
        <f>IF(OR($F568="",$D568="Перевод"),"",IF(AND(N($G568)&lt;&gt;0,COUNTIFS(Журнал!$C$10:$C$1509,$C568,Журнал!$P$10:$P$1509,$G568)&gt;0),"есть в Журнале",IF(COUNTIF(Постоянные!$C$8:$C$37,$F568)&gt;0,"есть в Постоянных",IF(COUNTIF(Покупки!$C$7:$C$18,$F568)&gt;0,"есть в Покупках",""))))</f>
        <v/>
      </c>
      <c r="P568">
        <f>IF($C568="","",DATE(YEAR($C568),MONTH($C568),1))</f>
        <v/>
      </c>
      <c r="Q568">
        <f>IF(ISNUMBER($G568),ABS($G568),0)</f>
        <v/>
      </c>
      <c r="R568">
        <f>IF(AND($D568="Расход",COUNTIFS(Счета!$B$10:$B$21,$H568,Счета!$C$10:$C$21,"Кредитная")&gt;0),1,0)</f>
        <v/>
      </c>
    </row>
    <row r="569" ht="19" customHeight="1">
      <c r="B569" s="53">
        <f>IF(AND($C569="",$F569=""),"",ROW()-9)</f>
        <v/>
      </c>
      <c r="C569" s="213" t="n"/>
      <c r="D569" s="55" t="n"/>
      <c r="E569" s="55" t="n"/>
      <c r="F569" s="56" t="n"/>
      <c r="G569" s="196" t="n"/>
      <c r="H569" s="21" t="n"/>
      <c r="I569" s="21" t="n"/>
      <c r="J569" s="53">
        <f>IF($C569="","",INDEX(Настройки!$V$6:$V$17,MONTH($C569))&amp;" "&amp;YEAR($C569))</f>
        <v/>
      </c>
      <c r="K569" s="57">
        <f>IF(OR($F569="",$D569="Перевод"),"",IF(AND(N($G569)&lt;&gt;0,COUNTIFS(Журнал!$C$10:$C$1509,$C569,Журнал!$P$10:$P$1509,$G569)&gt;0),"есть в Журнале",IF(COUNTIF(Постоянные!$C$8:$C$37,$F569)&gt;0,"есть в Постоянных",IF(COUNTIF(Покупки!$C$7:$C$18,$F569)&gt;0,"есть в Покупках",""))))</f>
        <v/>
      </c>
      <c r="P569">
        <f>IF($C569="","",DATE(YEAR($C569),MONTH($C569),1))</f>
        <v/>
      </c>
      <c r="Q569">
        <f>IF(ISNUMBER($G569),ABS($G569),0)</f>
        <v/>
      </c>
      <c r="R569">
        <f>IF(AND($D569="Расход",COUNTIFS(Счета!$B$10:$B$21,$H569,Счета!$C$10:$C$21,"Кредитная")&gt;0),1,0)</f>
        <v/>
      </c>
    </row>
    <row r="570" ht="19" customHeight="1">
      <c r="B570" s="53">
        <f>IF(AND($C570="",$F570=""),"",ROW()-9)</f>
        <v/>
      </c>
      <c r="C570" s="213" t="n"/>
      <c r="D570" s="55" t="n"/>
      <c r="E570" s="55" t="n"/>
      <c r="F570" s="56" t="n"/>
      <c r="G570" s="196" t="n"/>
      <c r="H570" s="21" t="n"/>
      <c r="I570" s="21" t="n"/>
      <c r="J570" s="53">
        <f>IF($C570="","",INDEX(Настройки!$V$6:$V$17,MONTH($C570))&amp;" "&amp;YEAR($C570))</f>
        <v/>
      </c>
      <c r="K570" s="57">
        <f>IF(OR($F570="",$D570="Перевод"),"",IF(AND(N($G570)&lt;&gt;0,COUNTIFS(Журнал!$C$10:$C$1509,$C570,Журнал!$P$10:$P$1509,$G570)&gt;0),"есть в Журнале",IF(COUNTIF(Постоянные!$C$8:$C$37,$F570)&gt;0,"есть в Постоянных",IF(COUNTIF(Покупки!$C$7:$C$18,$F570)&gt;0,"есть в Покупках",""))))</f>
        <v/>
      </c>
      <c r="P570">
        <f>IF($C570="","",DATE(YEAR($C570),MONTH($C570),1))</f>
        <v/>
      </c>
      <c r="Q570">
        <f>IF(ISNUMBER($G570),ABS($G570),0)</f>
        <v/>
      </c>
      <c r="R570">
        <f>IF(AND($D570="Расход",COUNTIFS(Счета!$B$10:$B$21,$H570,Счета!$C$10:$C$21,"Кредитная")&gt;0),1,0)</f>
        <v/>
      </c>
    </row>
    <row r="571" ht="19" customHeight="1">
      <c r="B571" s="53">
        <f>IF(AND($C571="",$F571=""),"",ROW()-9)</f>
        <v/>
      </c>
      <c r="C571" s="213" t="n"/>
      <c r="D571" s="55" t="n"/>
      <c r="E571" s="55" t="n"/>
      <c r="F571" s="56" t="n"/>
      <c r="G571" s="196" t="n"/>
      <c r="H571" s="21" t="n"/>
      <c r="I571" s="21" t="n"/>
      <c r="J571" s="53">
        <f>IF($C571="","",INDEX(Настройки!$V$6:$V$17,MONTH($C571))&amp;" "&amp;YEAR($C571))</f>
        <v/>
      </c>
      <c r="K571" s="57">
        <f>IF(OR($F571="",$D571="Перевод"),"",IF(AND(N($G571)&lt;&gt;0,COUNTIFS(Журнал!$C$10:$C$1509,$C571,Журнал!$P$10:$P$1509,$G571)&gt;0),"есть в Журнале",IF(COUNTIF(Постоянные!$C$8:$C$37,$F571)&gt;0,"есть в Постоянных",IF(COUNTIF(Покупки!$C$7:$C$18,$F571)&gt;0,"есть в Покупках",""))))</f>
        <v/>
      </c>
      <c r="P571">
        <f>IF($C571="","",DATE(YEAR($C571),MONTH($C571),1))</f>
        <v/>
      </c>
      <c r="Q571">
        <f>IF(ISNUMBER($G571),ABS($G571),0)</f>
        <v/>
      </c>
      <c r="R571">
        <f>IF(AND($D571="Расход",COUNTIFS(Счета!$B$10:$B$21,$H571,Счета!$C$10:$C$21,"Кредитная")&gt;0),1,0)</f>
        <v/>
      </c>
    </row>
    <row r="572" ht="19" customHeight="1">
      <c r="B572" s="53">
        <f>IF(AND($C572="",$F572=""),"",ROW()-9)</f>
        <v/>
      </c>
      <c r="C572" s="213" t="n"/>
      <c r="D572" s="55" t="n"/>
      <c r="E572" s="55" t="n"/>
      <c r="F572" s="56" t="n"/>
      <c r="G572" s="196" t="n"/>
      <c r="H572" s="21" t="n"/>
      <c r="I572" s="21" t="n"/>
      <c r="J572" s="53">
        <f>IF($C572="","",INDEX(Настройки!$V$6:$V$17,MONTH($C572))&amp;" "&amp;YEAR($C572))</f>
        <v/>
      </c>
      <c r="K572" s="57">
        <f>IF(OR($F572="",$D572="Перевод"),"",IF(AND(N($G572)&lt;&gt;0,COUNTIFS(Журнал!$C$10:$C$1509,$C572,Журнал!$P$10:$P$1509,$G572)&gt;0),"есть в Журнале",IF(COUNTIF(Постоянные!$C$8:$C$37,$F572)&gt;0,"есть в Постоянных",IF(COUNTIF(Покупки!$C$7:$C$18,$F572)&gt;0,"есть в Покупках",""))))</f>
        <v/>
      </c>
      <c r="P572">
        <f>IF($C572="","",DATE(YEAR($C572),MONTH($C572),1))</f>
        <v/>
      </c>
      <c r="Q572">
        <f>IF(ISNUMBER($G572),ABS($G572),0)</f>
        <v/>
      </c>
      <c r="R572">
        <f>IF(AND($D572="Расход",COUNTIFS(Счета!$B$10:$B$21,$H572,Счета!$C$10:$C$21,"Кредитная")&gt;0),1,0)</f>
        <v/>
      </c>
    </row>
    <row r="573" ht="19" customHeight="1">
      <c r="B573" s="53">
        <f>IF(AND($C573="",$F573=""),"",ROW()-9)</f>
        <v/>
      </c>
      <c r="C573" s="213" t="n"/>
      <c r="D573" s="55" t="n"/>
      <c r="E573" s="55" t="n"/>
      <c r="F573" s="56" t="n"/>
      <c r="G573" s="196" t="n"/>
      <c r="H573" s="21" t="n"/>
      <c r="I573" s="21" t="n"/>
      <c r="J573" s="53">
        <f>IF($C573="","",INDEX(Настройки!$V$6:$V$17,MONTH($C573))&amp;" "&amp;YEAR($C573))</f>
        <v/>
      </c>
      <c r="K573" s="57">
        <f>IF(OR($F573="",$D573="Перевод"),"",IF(AND(N($G573)&lt;&gt;0,COUNTIFS(Журнал!$C$10:$C$1509,$C573,Журнал!$P$10:$P$1509,$G573)&gt;0),"есть в Журнале",IF(COUNTIF(Постоянные!$C$8:$C$37,$F573)&gt;0,"есть в Постоянных",IF(COUNTIF(Покупки!$C$7:$C$18,$F573)&gt;0,"есть в Покупках",""))))</f>
        <v/>
      </c>
      <c r="P573">
        <f>IF($C573="","",DATE(YEAR($C573),MONTH($C573),1))</f>
        <v/>
      </c>
      <c r="Q573">
        <f>IF(ISNUMBER($G573),ABS($G573),0)</f>
        <v/>
      </c>
      <c r="R573">
        <f>IF(AND($D573="Расход",COUNTIFS(Счета!$B$10:$B$21,$H573,Счета!$C$10:$C$21,"Кредитная")&gt;0),1,0)</f>
        <v/>
      </c>
    </row>
    <row r="574" ht="19" customHeight="1">
      <c r="B574" s="53">
        <f>IF(AND($C574="",$F574=""),"",ROW()-9)</f>
        <v/>
      </c>
      <c r="C574" s="213" t="n"/>
      <c r="D574" s="55" t="n"/>
      <c r="E574" s="55" t="n"/>
      <c r="F574" s="56" t="n"/>
      <c r="G574" s="196" t="n"/>
      <c r="H574" s="21" t="n"/>
      <c r="I574" s="21" t="n"/>
      <c r="J574" s="53">
        <f>IF($C574="","",INDEX(Настройки!$V$6:$V$17,MONTH($C574))&amp;" "&amp;YEAR($C574))</f>
        <v/>
      </c>
      <c r="K574" s="57">
        <f>IF(OR($F574="",$D574="Перевод"),"",IF(AND(N($G574)&lt;&gt;0,COUNTIFS(Журнал!$C$10:$C$1509,$C574,Журнал!$P$10:$P$1509,$G574)&gt;0),"есть в Журнале",IF(COUNTIF(Постоянные!$C$8:$C$37,$F574)&gt;0,"есть в Постоянных",IF(COUNTIF(Покупки!$C$7:$C$18,$F574)&gt;0,"есть в Покупках",""))))</f>
        <v/>
      </c>
      <c r="P574">
        <f>IF($C574="","",DATE(YEAR($C574),MONTH($C574),1))</f>
        <v/>
      </c>
      <c r="Q574">
        <f>IF(ISNUMBER($G574),ABS($G574),0)</f>
        <v/>
      </c>
      <c r="R574">
        <f>IF(AND($D574="Расход",COUNTIFS(Счета!$B$10:$B$21,$H574,Счета!$C$10:$C$21,"Кредитная")&gt;0),1,0)</f>
        <v/>
      </c>
    </row>
    <row r="575" ht="19" customHeight="1">
      <c r="B575" s="53">
        <f>IF(AND($C575="",$F575=""),"",ROW()-9)</f>
        <v/>
      </c>
      <c r="C575" s="213" t="n"/>
      <c r="D575" s="55" t="n"/>
      <c r="E575" s="55" t="n"/>
      <c r="F575" s="56" t="n"/>
      <c r="G575" s="196" t="n"/>
      <c r="H575" s="21" t="n"/>
      <c r="I575" s="21" t="n"/>
      <c r="J575" s="53">
        <f>IF($C575="","",INDEX(Настройки!$V$6:$V$17,MONTH($C575))&amp;" "&amp;YEAR($C575))</f>
        <v/>
      </c>
      <c r="K575" s="57">
        <f>IF(OR($F575="",$D575="Перевод"),"",IF(AND(N($G575)&lt;&gt;0,COUNTIFS(Журнал!$C$10:$C$1509,$C575,Журнал!$P$10:$P$1509,$G575)&gt;0),"есть в Журнале",IF(COUNTIF(Постоянные!$C$8:$C$37,$F575)&gt;0,"есть в Постоянных",IF(COUNTIF(Покупки!$C$7:$C$18,$F575)&gt;0,"есть в Покупках",""))))</f>
        <v/>
      </c>
      <c r="P575">
        <f>IF($C575="","",DATE(YEAR($C575),MONTH($C575),1))</f>
        <v/>
      </c>
      <c r="Q575">
        <f>IF(ISNUMBER($G575),ABS($G575),0)</f>
        <v/>
      </c>
      <c r="R575">
        <f>IF(AND($D575="Расход",COUNTIFS(Счета!$B$10:$B$21,$H575,Счета!$C$10:$C$21,"Кредитная")&gt;0),1,0)</f>
        <v/>
      </c>
    </row>
    <row r="576" ht="19" customHeight="1">
      <c r="B576" s="53">
        <f>IF(AND($C576="",$F576=""),"",ROW()-9)</f>
        <v/>
      </c>
      <c r="C576" s="213" t="n"/>
      <c r="D576" s="55" t="n"/>
      <c r="E576" s="55" t="n"/>
      <c r="F576" s="56" t="n"/>
      <c r="G576" s="196" t="n"/>
      <c r="H576" s="21" t="n"/>
      <c r="I576" s="21" t="n"/>
      <c r="J576" s="53">
        <f>IF($C576="","",INDEX(Настройки!$V$6:$V$17,MONTH($C576))&amp;" "&amp;YEAR($C576))</f>
        <v/>
      </c>
      <c r="K576" s="57">
        <f>IF(OR($F576="",$D576="Перевод"),"",IF(AND(N($G576)&lt;&gt;0,COUNTIFS(Журнал!$C$10:$C$1509,$C576,Журнал!$P$10:$P$1509,$G576)&gt;0),"есть в Журнале",IF(COUNTIF(Постоянные!$C$8:$C$37,$F576)&gt;0,"есть в Постоянных",IF(COUNTIF(Покупки!$C$7:$C$18,$F576)&gt;0,"есть в Покупках",""))))</f>
        <v/>
      </c>
      <c r="P576">
        <f>IF($C576="","",DATE(YEAR($C576),MONTH($C576),1))</f>
        <v/>
      </c>
      <c r="Q576">
        <f>IF(ISNUMBER($G576),ABS($G576),0)</f>
        <v/>
      </c>
      <c r="R576">
        <f>IF(AND($D576="Расход",COUNTIFS(Счета!$B$10:$B$21,$H576,Счета!$C$10:$C$21,"Кредитная")&gt;0),1,0)</f>
        <v/>
      </c>
    </row>
    <row r="577" ht="19" customHeight="1">
      <c r="B577" s="53">
        <f>IF(AND($C577="",$F577=""),"",ROW()-9)</f>
        <v/>
      </c>
      <c r="C577" s="213" t="n"/>
      <c r="D577" s="55" t="n"/>
      <c r="E577" s="55" t="n"/>
      <c r="F577" s="56" t="n"/>
      <c r="G577" s="196" t="n"/>
      <c r="H577" s="21" t="n"/>
      <c r="I577" s="21" t="n"/>
      <c r="J577" s="53">
        <f>IF($C577="","",INDEX(Настройки!$V$6:$V$17,MONTH($C577))&amp;" "&amp;YEAR($C577))</f>
        <v/>
      </c>
      <c r="K577" s="57">
        <f>IF(OR($F577="",$D577="Перевод"),"",IF(AND(N($G577)&lt;&gt;0,COUNTIFS(Журнал!$C$10:$C$1509,$C577,Журнал!$P$10:$P$1509,$G577)&gt;0),"есть в Журнале",IF(COUNTIF(Постоянные!$C$8:$C$37,$F577)&gt;0,"есть в Постоянных",IF(COUNTIF(Покупки!$C$7:$C$18,$F577)&gt;0,"есть в Покупках",""))))</f>
        <v/>
      </c>
      <c r="P577">
        <f>IF($C577="","",DATE(YEAR($C577),MONTH($C577),1))</f>
        <v/>
      </c>
      <c r="Q577">
        <f>IF(ISNUMBER($G577),ABS($G577),0)</f>
        <v/>
      </c>
      <c r="R577">
        <f>IF(AND($D577="Расход",COUNTIFS(Счета!$B$10:$B$21,$H577,Счета!$C$10:$C$21,"Кредитная")&gt;0),1,0)</f>
        <v/>
      </c>
    </row>
    <row r="578" ht="19" customHeight="1">
      <c r="B578" s="53">
        <f>IF(AND($C578="",$F578=""),"",ROW()-9)</f>
        <v/>
      </c>
      <c r="C578" s="213" t="n"/>
      <c r="D578" s="55" t="n"/>
      <c r="E578" s="55" t="n"/>
      <c r="F578" s="56" t="n"/>
      <c r="G578" s="196" t="n"/>
      <c r="H578" s="21" t="n"/>
      <c r="I578" s="21" t="n"/>
      <c r="J578" s="53">
        <f>IF($C578="","",INDEX(Настройки!$V$6:$V$17,MONTH($C578))&amp;" "&amp;YEAR($C578))</f>
        <v/>
      </c>
      <c r="K578" s="57">
        <f>IF(OR($F578="",$D578="Перевод"),"",IF(AND(N($G578)&lt;&gt;0,COUNTIFS(Журнал!$C$10:$C$1509,$C578,Журнал!$P$10:$P$1509,$G578)&gt;0),"есть в Журнале",IF(COUNTIF(Постоянные!$C$8:$C$37,$F578)&gt;0,"есть в Постоянных",IF(COUNTIF(Покупки!$C$7:$C$18,$F578)&gt;0,"есть в Покупках",""))))</f>
        <v/>
      </c>
      <c r="P578">
        <f>IF($C578="","",DATE(YEAR($C578),MONTH($C578),1))</f>
        <v/>
      </c>
      <c r="Q578">
        <f>IF(ISNUMBER($G578),ABS($G578),0)</f>
        <v/>
      </c>
      <c r="R578">
        <f>IF(AND($D578="Расход",COUNTIFS(Счета!$B$10:$B$21,$H578,Счета!$C$10:$C$21,"Кредитная")&gt;0),1,0)</f>
        <v/>
      </c>
    </row>
    <row r="579" ht="19" customHeight="1">
      <c r="B579" s="53">
        <f>IF(AND($C579="",$F579=""),"",ROW()-9)</f>
        <v/>
      </c>
      <c r="C579" s="213" t="n"/>
      <c r="D579" s="55" t="n"/>
      <c r="E579" s="55" t="n"/>
      <c r="F579" s="56" t="n"/>
      <c r="G579" s="196" t="n"/>
      <c r="H579" s="21" t="n"/>
      <c r="I579" s="21" t="n"/>
      <c r="J579" s="53">
        <f>IF($C579="","",INDEX(Настройки!$V$6:$V$17,MONTH($C579))&amp;" "&amp;YEAR($C579))</f>
        <v/>
      </c>
      <c r="K579" s="57">
        <f>IF(OR($F579="",$D579="Перевод"),"",IF(AND(N($G579)&lt;&gt;0,COUNTIFS(Журнал!$C$10:$C$1509,$C579,Журнал!$P$10:$P$1509,$G579)&gt;0),"есть в Журнале",IF(COUNTIF(Постоянные!$C$8:$C$37,$F579)&gt;0,"есть в Постоянных",IF(COUNTIF(Покупки!$C$7:$C$18,$F579)&gt;0,"есть в Покупках",""))))</f>
        <v/>
      </c>
      <c r="P579">
        <f>IF($C579="","",DATE(YEAR($C579),MONTH($C579),1))</f>
        <v/>
      </c>
      <c r="Q579">
        <f>IF(ISNUMBER($G579),ABS($G579),0)</f>
        <v/>
      </c>
      <c r="R579">
        <f>IF(AND($D579="Расход",COUNTIFS(Счета!$B$10:$B$21,$H579,Счета!$C$10:$C$21,"Кредитная")&gt;0),1,0)</f>
        <v/>
      </c>
    </row>
    <row r="580" ht="19" customHeight="1">
      <c r="B580" s="53">
        <f>IF(AND($C580="",$F580=""),"",ROW()-9)</f>
        <v/>
      </c>
      <c r="C580" s="213" t="n"/>
      <c r="D580" s="55" t="n"/>
      <c r="E580" s="55" t="n"/>
      <c r="F580" s="56" t="n"/>
      <c r="G580" s="196" t="n"/>
      <c r="H580" s="21" t="n"/>
      <c r="I580" s="21" t="n"/>
      <c r="J580" s="53">
        <f>IF($C580="","",INDEX(Настройки!$V$6:$V$17,MONTH($C580))&amp;" "&amp;YEAR($C580))</f>
        <v/>
      </c>
      <c r="K580" s="57">
        <f>IF(OR($F580="",$D580="Перевод"),"",IF(AND(N($G580)&lt;&gt;0,COUNTIFS(Журнал!$C$10:$C$1509,$C580,Журнал!$P$10:$P$1509,$G580)&gt;0),"есть в Журнале",IF(COUNTIF(Постоянные!$C$8:$C$37,$F580)&gt;0,"есть в Постоянных",IF(COUNTIF(Покупки!$C$7:$C$18,$F580)&gt;0,"есть в Покупках",""))))</f>
        <v/>
      </c>
      <c r="P580">
        <f>IF($C580="","",DATE(YEAR($C580),MONTH($C580),1))</f>
        <v/>
      </c>
      <c r="Q580">
        <f>IF(ISNUMBER($G580),ABS($G580),0)</f>
        <v/>
      </c>
      <c r="R580">
        <f>IF(AND($D580="Расход",COUNTIFS(Счета!$B$10:$B$21,$H580,Счета!$C$10:$C$21,"Кредитная")&gt;0),1,0)</f>
        <v/>
      </c>
    </row>
    <row r="581" ht="19" customHeight="1">
      <c r="B581" s="53">
        <f>IF(AND($C581="",$F581=""),"",ROW()-9)</f>
        <v/>
      </c>
      <c r="C581" s="213" t="n"/>
      <c r="D581" s="55" t="n"/>
      <c r="E581" s="55" t="n"/>
      <c r="F581" s="56" t="n"/>
      <c r="G581" s="196" t="n"/>
      <c r="H581" s="21" t="n"/>
      <c r="I581" s="21" t="n"/>
      <c r="J581" s="53">
        <f>IF($C581="","",INDEX(Настройки!$V$6:$V$17,MONTH($C581))&amp;" "&amp;YEAR($C581))</f>
        <v/>
      </c>
      <c r="K581" s="57">
        <f>IF(OR($F581="",$D581="Перевод"),"",IF(AND(N($G581)&lt;&gt;0,COUNTIFS(Журнал!$C$10:$C$1509,$C581,Журнал!$P$10:$P$1509,$G581)&gt;0),"есть в Журнале",IF(COUNTIF(Постоянные!$C$8:$C$37,$F581)&gt;0,"есть в Постоянных",IF(COUNTIF(Покупки!$C$7:$C$18,$F581)&gt;0,"есть в Покупках",""))))</f>
        <v/>
      </c>
      <c r="P581">
        <f>IF($C581="","",DATE(YEAR($C581),MONTH($C581),1))</f>
        <v/>
      </c>
      <c r="Q581">
        <f>IF(ISNUMBER($G581),ABS($G581),0)</f>
        <v/>
      </c>
      <c r="R581">
        <f>IF(AND($D581="Расход",COUNTIFS(Счета!$B$10:$B$21,$H581,Счета!$C$10:$C$21,"Кредитная")&gt;0),1,0)</f>
        <v/>
      </c>
    </row>
    <row r="582" ht="19" customHeight="1">
      <c r="B582" s="53">
        <f>IF(AND($C582="",$F582=""),"",ROW()-9)</f>
        <v/>
      </c>
      <c r="C582" s="213" t="n"/>
      <c r="D582" s="55" t="n"/>
      <c r="E582" s="55" t="n"/>
      <c r="F582" s="56" t="n"/>
      <c r="G582" s="196" t="n"/>
      <c r="H582" s="21" t="n"/>
      <c r="I582" s="21" t="n"/>
      <c r="J582" s="53">
        <f>IF($C582="","",INDEX(Настройки!$V$6:$V$17,MONTH($C582))&amp;" "&amp;YEAR($C582))</f>
        <v/>
      </c>
      <c r="K582" s="57">
        <f>IF(OR($F582="",$D582="Перевод"),"",IF(AND(N($G582)&lt;&gt;0,COUNTIFS(Журнал!$C$10:$C$1509,$C582,Журнал!$P$10:$P$1509,$G582)&gt;0),"есть в Журнале",IF(COUNTIF(Постоянные!$C$8:$C$37,$F582)&gt;0,"есть в Постоянных",IF(COUNTIF(Покупки!$C$7:$C$18,$F582)&gt;0,"есть в Покупках",""))))</f>
        <v/>
      </c>
      <c r="P582">
        <f>IF($C582="","",DATE(YEAR($C582),MONTH($C582),1))</f>
        <v/>
      </c>
      <c r="Q582">
        <f>IF(ISNUMBER($G582),ABS($G582),0)</f>
        <v/>
      </c>
      <c r="R582">
        <f>IF(AND($D582="Расход",COUNTIFS(Счета!$B$10:$B$21,$H582,Счета!$C$10:$C$21,"Кредитная")&gt;0),1,0)</f>
        <v/>
      </c>
    </row>
    <row r="583" ht="19" customHeight="1">
      <c r="B583" s="53">
        <f>IF(AND($C583="",$F583=""),"",ROW()-9)</f>
        <v/>
      </c>
      <c r="C583" s="213" t="n"/>
      <c r="D583" s="55" t="n"/>
      <c r="E583" s="55" t="n"/>
      <c r="F583" s="56" t="n"/>
      <c r="G583" s="196" t="n"/>
      <c r="H583" s="21" t="n"/>
      <c r="I583" s="21" t="n"/>
      <c r="J583" s="53">
        <f>IF($C583="","",INDEX(Настройки!$V$6:$V$17,MONTH($C583))&amp;" "&amp;YEAR($C583))</f>
        <v/>
      </c>
      <c r="K583" s="57">
        <f>IF(OR($F583="",$D583="Перевод"),"",IF(AND(N($G583)&lt;&gt;0,COUNTIFS(Журнал!$C$10:$C$1509,$C583,Журнал!$P$10:$P$1509,$G583)&gt;0),"есть в Журнале",IF(COUNTIF(Постоянные!$C$8:$C$37,$F583)&gt;0,"есть в Постоянных",IF(COUNTIF(Покупки!$C$7:$C$18,$F583)&gt;0,"есть в Покупках",""))))</f>
        <v/>
      </c>
      <c r="P583">
        <f>IF($C583="","",DATE(YEAR($C583),MONTH($C583),1))</f>
        <v/>
      </c>
      <c r="Q583">
        <f>IF(ISNUMBER($G583),ABS($G583),0)</f>
        <v/>
      </c>
      <c r="R583">
        <f>IF(AND($D583="Расход",COUNTIFS(Счета!$B$10:$B$21,$H583,Счета!$C$10:$C$21,"Кредитная")&gt;0),1,0)</f>
        <v/>
      </c>
    </row>
    <row r="584" ht="19" customHeight="1">
      <c r="B584" s="53">
        <f>IF(AND($C584="",$F584=""),"",ROW()-9)</f>
        <v/>
      </c>
      <c r="C584" s="213" t="n"/>
      <c r="D584" s="55" t="n"/>
      <c r="E584" s="55" t="n"/>
      <c r="F584" s="56" t="n"/>
      <c r="G584" s="196" t="n"/>
      <c r="H584" s="21" t="n"/>
      <c r="I584" s="21" t="n"/>
      <c r="J584" s="53">
        <f>IF($C584="","",INDEX(Настройки!$V$6:$V$17,MONTH($C584))&amp;" "&amp;YEAR($C584))</f>
        <v/>
      </c>
      <c r="K584" s="57">
        <f>IF(OR($F584="",$D584="Перевод"),"",IF(AND(N($G584)&lt;&gt;0,COUNTIFS(Журнал!$C$10:$C$1509,$C584,Журнал!$P$10:$P$1509,$G584)&gt;0),"есть в Журнале",IF(COUNTIF(Постоянные!$C$8:$C$37,$F584)&gt;0,"есть в Постоянных",IF(COUNTIF(Покупки!$C$7:$C$18,$F584)&gt;0,"есть в Покупках",""))))</f>
        <v/>
      </c>
      <c r="P584">
        <f>IF($C584="","",DATE(YEAR($C584),MONTH($C584),1))</f>
        <v/>
      </c>
      <c r="Q584">
        <f>IF(ISNUMBER($G584),ABS($G584),0)</f>
        <v/>
      </c>
      <c r="R584">
        <f>IF(AND($D584="Расход",COUNTIFS(Счета!$B$10:$B$21,$H584,Счета!$C$10:$C$21,"Кредитная")&gt;0),1,0)</f>
        <v/>
      </c>
    </row>
    <row r="585" ht="19" customHeight="1">
      <c r="B585" s="53">
        <f>IF(AND($C585="",$F585=""),"",ROW()-9)</f>
        <v/>
      </c>
      <c r="C585" s="213" t="n"/>
      <c r="D585" s="55" t="n"/>
      <c r="E585" s="55" t="n"/>
      <c r="F585" s="56" t="n"/>
      <c r="G585" s="196" t="n"/>
      <c r="H585" s="21" t="n"/>
      <c r="I585" s="21" t="n"/>
      <c r="J585" s="53">
        <f>IF($C585="","",INDEX(Настройки!$V$6:$V$17,MONTH($C585))&amp;" "&amp;YEAR($C585))</f>
        <v/>
      </c>
      <c r="K585" s="57">
        <f>IF(OR($F585="",$D585="Перевод"),"",IF(AND(N($G585)&lt;&gt;0,COUNTIFS(Журнал!$C$10:$C$1509,$C585,Журнал!$P$10:$P$1509,$G585)&gt;0),"есть в Журнале",IF(COUNTIF(Постоянные!$C$8:$C$37,$F585)&gt;0,"есть в Постоянных",IF(COUNTIF(Покупки!$C$7:$C$18,$F585)&gt;0,"есть в Покупках",""))))</f>
        <v/>
      </c>
      <c r="P585">
        <f>IF($C585="","",DATE(YEAR($C585),MONTH($C585),1))</f>
        <v/>
      </c>
      <c r="Q585">
        <f>IF(ISNUMBER($G585),ABS($G585),0)</f>
        <v/>
      </c>
      <c r="R585">
        <f>IF(AND($D585="Расход",COUNTIFS(Счета!$B$10:$B$21,$H585,Счета!$C$10:$C$21,"Кредитная")&gt;0),1,0)</f>
        <v/>
      </c>
    </row>
    <row r="586" ht="19" customHeight="1">
      <c r="B586" s="53">
        <f>IF(AND($C586="",$F586=""),"",ROW()-9)</f>
        <v/>
      </c>
      <c r="C586" s="213" t="n"/>
      <c r="D586" s="55" t="n"/>
      <c r="E586" s="55" t="n"/>
      <c r="F586" s="56" t="n"/>
      <c r="G586" s="196" t="n"/>
      <c r="H586" s="21" t="n"/>
      <c r="I586" s="21" t="n"/>
      <c r="J586" s="53">
        <f>IF($C586="","",INDEX(Настройки!$V$6:$V$17,MONTH($C586))&amp;" "&amp;YEAR($C586))</f>
        <v/>
      </c>
      <c r="K586" s="57">
        <f>IF(OR($F586="",$D586="Перевод"),"",IF(AND(N($G586)&lt;&gt;0,COUNTIFS(Журнал!$C$10:$C$1509,$C586,Журнал!$P$10:$P$1509,$G586)&gt;0),"есть в Журнале",IF(COUNTIF(Постоянные!$C$8:$C$37,$F586)&gt;0,"есть в Постоянных",IF(COUNTIF(Покупки!$C$7:$C$18,$F586)&gt;0,"есть в Покупках",""))))</f>
        <v/>
      </c>
      <c r="P586">
        <f>IF($C586="","",DATE(YEAR($C586),MONTH($C586),1))</f>
        <v/>
      </c>
      <c r="Q586">
        <f>IF(ISNUMBER($G586),ABS($G586),0)</f>
        <v/>
      </c>
      <c r="R586">
        <f>IF(AND($D586="Расход",COUNTIFS(Счета!$B$10:$B$21,$H586,Счета!$C$10:$C$21,"Кредитная")&gt;0),1,0)</f>
        <v/>
      </c>
    </row>
    <row r="587" ht="19" customHeight="1">
      <c r="B587" s="53">
        <f>IF(AND($C587="",$F587=""),"",ROW()-9)</f>
        <v/>
      </c>
      <c r="C587" s="213" t="n"/>
      <c r="D587" s="55" t="n"/>
      <c r="E587" s="55" t="n"/>
      <c r="F587" s="56" t="n"/>
      <c r="G587" s="196" t="n"/>
      <c r="H587" s="21" t="n"/>
      <c r="I587" s="21" t="n"/>
      <c r="J587" s="53">
        <f>IF($C587="","",INDEX(Настройки!$V$6:$V$17,MONTH($C587))&amp;" "&amp;YEAR($C587))</f>
        <v/>
      </c>
      <c r="K587" s="57">
        <f>IF(OR($F587="",$D587="Перевод"),"",IF(AND(N($G587)&lt;&gt;0,COUNTIFS(Журнал!$C$10:$C$1509,$C587,Журнал!$P$10:$P$1509,$G587)&gt;0),"есть в Журнале",IF(COUNTIF(Постоянные!$C$8:$C$37,$F587)&gt;0,"есть в Постоянных",IF(COUNTIF(Покупки!$C$7:$C$18,$F587)&gt;0,"есть в Покупках",""))))</f>
        <v/>
      </c>
      <c r="P587">
        <f>IF($C587="","",DATE(YEAR($C587),MONTH($C587),1))</f>
        <v/>
      </c>
      <c r="Q587">
        <f>IF(ISNUMBER($G587),ABS($G587),0)</f>
        <v/>
      </c>
      <c r="R587">
        <f>IF(AND($D587="Расход",COUNTIFS(Счета!$B$10:$B$21,$H587,Счета!$C$10:$C$21,"Кредитная")&gt;0),1,0)</f>
        <v/>
      </c>
    </row>
    <row r="588" ht="19" customHeight="1">
      <c r="B588" s="53">
        <f>IF(AND($C588="",$F588=""),"",ROW()-9)</f>
        <v/>
      </c>
      <c r="C588" s="213" t="n"/>
      <c r="D588" s="55" t="n"/>
      <c r="E588" s="55" t="n"/>
      <c r="F588" s="56" t="n"/>
      <c r="G588" s="196" t="n"/>
      <c r="H588" s="21" t="n"/>
      <c r="I588" s="21" t="n"/>
      <c r="J588" s="53">
        <f>IF($C588="","",INDEX(Настройки!$V$6:$V$17,MONTH($C588))&amp;" "&amp;YEAR($C588))</f>
        <v/>
      </c>
      <c r="K588" s="57">
        <f>IF(OR($F588="",$D588="Перевод"),"",IF(AND(N($G588)&lt;&gt;0,COUNTIFS(Журнал!$C$10:$C$1509,$C588,Журнал!$P$10:$P$1509,$G588)&gt;0),"есть в Журнале",IF(COUNTIF(Постоянные!$C$8:$C$37,$F588)&gt;0,"есть в Постоянных",IF(COUNTIF(Покупки!$C$7:$C$18,$F588)&gt;0,"есть в Покупках",""))))</f>
        <v/>
      </c>
      <c r="P588">
        <f>IF($C588="","",DATE(YEAR($C588),MONTH($C588),1))</f>
        <v/>
      </c>
      <c r="Q588">
        <f>IF(ISNUMBER($G588),ABS($G588),0)</f>
        <v/>
      </c>
      <c r="R588">
        <f>IF(AND($D588="Расход",COUNTIFS(Счета!$B$10:$B$21,$H588,Счета!$C$10:$C$21,"Кредитная")&gt;0),1,0)</f>
        <v/>
      </c>
    </row>
    <row r="589" ht="19" customHeight="1">
      <c r="B589" s="53">
        <f>IF(AND($C589="",$F589=""),"",ROW()-9)</f>
        <v/>
      </c>
      <c r="C589" s="213" t="n"/>
      <c r="D589" s="55" t="n"/>
      <c r="E589" s="55" t="n"/>
      <c r="F589" s="56" t="n"/>
      <c r="G589" s="196" t="n"/>
      <c r="H589" s="21" t="n"/>
      <c r="I589" s="21" t="n"/>
      <c r="J589" s="53">
        <f>IF($C589="","",INDEX(Настройки!$V$6:$V$17,MONTH($C589))&amp;" "&amp;YEAR($C589))</f>
        <v/>
      </c>
      <c r="K589" s="57">
        <f>IF(OR($F589="",$D589="Перевод"),"",IF(AND(N($G589)&lt;&gt;0,COUNTIFS(Журнал!$C$10:$C$1509,$C589,Журнал!$P$10:$P$1509,$G589)&gt;0),"есть в Журнале",IF(COUNTIF(Постоянные!$C$8:$C$37,$F589)&gt;0,"есть в Постоянных",IF(COUNTIF(Покупки!$C$7:$C$18,$F589)&gt;0,"есть в Покупках",""))))</f>
        <v/>
      </c>
      <c r="P589">
        <f>IF($C589="","",DATE(YEAR($C589),MONTH($C589),1))</f>
        <v/>
      </c>
      <c r="Q589">
        <f>IF(ISNUMBER($G589),ABS($G589),0)</f>
        <v/>
      </c>
      <c r="R589">
        <f>IF(AND($D589="Расход",COUNTIFS(Счета!$B$10:$B$21,$H589,Счета!$C$10:$C$21,"Кредитная")&gt;0),1,0)</f>
        <v/>
      </c>
    </row>
    <row r="590" ht="19" customHeight="1">
      <c r="B590" s="53">
        <f>IF(AND($C590="",$F590=""),"",ROW()-9)</f>
        <v/>
      </c>
      <c r="C590" s="213" t="n"/>
      <c r="D590" s="55" t="n"/>
      <c r="E590" s="55" t="n"/>
      <c r="F590" s="56" t="n"/>
      <c r="G590" s="196" t="n"/>
      <c r="H590" s="21" t="n"/>
      <c r="I590" s="21" t="n"/>
      <c r="J590" s="53">
        <f>IF($C590="","",INDEX(Настройки!$V$6:$V$17,MONTH($C590))&amp;" "&amp;YEAR($C590))</f>
        <v/>
      </c>
      <c r="K590" s="57">
        <f>IF(OR($F590="",$D590="Перевод"),"",IF(AND(N($G590)&lt;&gt;0,COUNTIFS(Журнал!$C$10:$C$1509,$C590,Журнал!$P$10:$P$1509,$G590)&gt;0),"есть в Журнале",IF(COUNTIF(Постоянные!$C$8:$C$37,$F590)&gt;0,"есть в Постоянных",IF(COUNTIF(Покупки!$C$7:$C$18,$F590)&gt;0,"есть в Покупках",""))))</f>
        <v/>
      </c>
      <c r="P590">
        <f>IF($C590="","",DATE(YEAR($C590),MONTH($C590),1))</f>
        <v/>
      </c>
      <c r="Q590">
        <f>IF(ISNUMBER($G590),ABS($G590),0)</f>
        <v/>
      </c>
      <c r="R590">
        <f>IF(AND($D590="Расход",COUNTIFS(Счета!$B$10:$B$21,$H590,Счета!$C$10:$C$21,"Кредитная")&gt;0),1,0)</f>
        <v/>
      </c>
    </row>
    <row r="591" ht="19" customHeight="1">
      <c r="B591" s="53">
        <f>IF(AND($C591="",$F591=""),"",ROW()-9)</f>
        <v/>
      </c>
      <c r="C591" s="213" t="n"/>
      <c r="D591" s="55" t="n"/>
      <c r="E591" s="55" t="n"/>
      <c r="F591" s="56" t="n"/>
      <c r="G591" s="196" t="n"/>
      <c r="H591" s="21" t="n"/>
      <c r="I591" s="21" t="n"/>
      <c r="J591" s="53">
        <f>IF($C591="","",INDEX(Настройки!$V$6:$V$17,MONTH($C591))&amp;" "&amp;YEAR($C591))</f>
        <v/>
      </c>
      <c r="K591" s="57">
        <f>IF(OR($F591="",$D591="Перевод"),"",IF(AND(N($G591)&lt;&gt;0,COUNTIFS(Журнал!$C$10:$C$1509,$C591,Журнал!$P$10:$P$1509,$G591)&gt;0),"есть в Журнале",IF(COUNTIF(Постоянные!$C$8:$C$37,$F591)&gt;0,"есть в Постоянных",IF(COUNTIF(Покупки!$C$7:$C$18,$F591)&gt;0,"есть в Покупках",""))))</f>
        <v/>
      </c>
      <c r="P591">
        <f>IF($C591="","",DATE(YEAR($C591),MONTH($C591),1))</f>
        <v/>
      </c>
      <c r="Q591">
        <f>IF(ISNUMBER($G591),ABS($G591),0)</f>
        <v/>
      </c>
      <c r="R591">
        <f>IF(AND($D591="Расход",COUNTIFS(Счета!$B$10:$B$21,$H591,Счета!$C$10:$C$21,"Кредитная")&gt;0),1,0)</f>
        <v/>
      </c>
    </row>
    <row r="592" ht="19" customHeight="1">
      <c r="B592" s="53">
        <f>IF(AND($C592="",$F592=""),"",ROW()-9)</f>
        <v/>
      </c>
      <c r="C592" s="213" t="n"/>
      <c r="D592" s="55" t="n"/>
      <c r="E592" s="55" t="n"/>
      <c r="F592" s="56" t="n"/>
      <c r="G592" s="196" t="n"/>
      <c r="H592" s="21" t="n"/>
      <c r="I592" s="21" t="n"/>
      <c r="J592" s="53">
        <f>IF($C592="","",INDEX(Настройки!$V$6:$V$17,MONTH($C592))&amp;" "&amp;YEAR($C592))</f>
        <v/>
      </c>
      <c r="K592" s="57">
        <f>IF(OR($F592="",$D592="Перевод"),"",IF(AND(N($G592)&lt;&gt;0,COUNTIFS(Журнал!$C$10:$C$1509,$C592,Журнал!$P$10:$P$1509,$G592)&gt;0),"есть в Журнале",IF(COUNTIF(Постоянные!$C$8:$C$37,$F592)&gt;0,"есть в Постоянных",IF(COUNTIF(Покупки!$C$7:$C$18,$F592)&gt;0,"есть в Покупках",""))))</f>
        <v/>
      </c>
      <c r="P592">
        <f>IF($C592="","",DATE(YEAR($C592),MONTH($C592),1))</f>
        <v/>
      </c>
      <c r="Q592">
        <f>IF(ISNUMBER($G592),ABS($G592),0)</f>
        <v/>
      </c>
      <c r="R592">
        <f>IF(AND($D592="Расход",COUNTIFS(Счета!$B$10:$B$21,$H592,Счета!$C$10:$C$21,"Кредитная")&gt;0),1,0)</f>
        <v/>
      </c>
    </row>
    <row r="593" ht="19" customHeight="1">
      <c r="B593" s="53">
        <f>IF(AND($C593="",$F593=""),"",ROW()-9)</f>
        <v/>
      </c>
      <c r="C593" s="213" t="n"/>
      <c r="D593" s="55" t="n"/>
      <c r="E593" s="55" t="n"/>
      <c r="F593" s="56" t="n"/>
      <c r="G593" s="196" t="n"/>
      <c r="H593" s="21" t="n"/>
      <c r="I593" s="21" t="n"/>
      <c r="J593" s="53">
        <f>IF($C593="","",INDEX(Настройки!$V$6:$V$17,MONTH($C593))&amp;" "&amp;YEAR($C593))</f>
        <v/>
      </c>
      <c r="K593" s="57">
        <f>IF(OR($F593="",$D593="Перевод"),"",IF(AND(N($G593)&lt;&gt;0,COUNTIFS(Журнал!$C$10:$C$1509,$C593,Журнал!$P$10:$P$1509,$G593)&gt;0),"есть в Журнале",IF(COUNTIF(Постоянные!$C$8:$C$37,$F593)&gt;0,"есть в Постоянных",IF(COUNTIF(Покупки!$C$7:$C$18,$F593)&gt;0,"есть в Покупках",""))))</f>
        <v/>
      </c>
      <c r="P593">
        <f>IF($C593="","",DATE(YEAR($C593),MONTH($C593),1))</f>
        <v/>
      </c>
      <c r="Q593">
        <f>IF(ISNUMBER($G593),ABS($G593),0)</f>
        <v/>
      </c>
      <c r="R593">
        <f>IF(AND($D593="Расход",COUNTIFS(Счета!$B$10:$B$21,$H593,Счета!$C$10:$C$21,"Кредитная")&gt;0),1,0)</f>
        <v/>
      </c>
    </row>
    <row r="594" ht="19" customHeight="1">
      <c r="B594" s="53">
        <f>IF(AND($C594="",$F594=""),"",ROW()-9)</f>
        <v/>
      </c>
      <c r="C594" s="213" t="n"/>
      <c r="D594" s="55" t="n"/>
      <c r="E594" s="55" t="n"/>
      <c r="F594" s="56" t="n"/>
      <c r="G594" s="196" t="n"/>
      <c r="H594" s="21" t="n"/>
      <c r="I594" s="21" t="n"/>
      <c r="J594" s="53">
        <f>IF($C594="","",INDEX(Настройки!$V$6:$V$17,MONTH($C594))&amp;" "&amp;YEAR($C594))</f>
        <v/>
      </c>
      <c r="K594" s="57">
        <f>IF(OR($F594="",$D594="Перевод"),"",IF(AND(N($G594)&lt;&gt;0,COUNTIFS(Журнал!$C$10:$C$1509,$C594,Журнал!$P$10:$P$1509,$G594)&gt;0),"есть в Журнале",IF(COUNTIF(Постоянные!$C$8:$C$37,$F594)&gt;0,"есть в Постоянных",IF(COUNTIF(Покупки!$C$7:$C$18,$F594)&gt;0,"есть в Покупках",""))))</f>
        <v/>
      </c>
      <c r="P594">
        <f>IF($C594="","",DATE(YEAR($C594),MONTH($C594),1))</f>
        <v/>
      </c>
      <c r="Q594">
        <f>IF(ISNUMBER($G594),ABS($G594),0)</f>
        <v/>
      </c>
      <c r="R594">
        <f>IF(AND($D594="Расход",COUNTIFS(Счета!$B$10:$B$21,$H594,Счета!$C$10:$C$21,"Кредитная")&gt;0),1,0)</f>
        <v/>
      </c>
    </row>
    <row r="595" ht="19" customHeight="1">
      <c r="B595" s="53">
        <f>IF(AND($C595="",$F595=""),"",ROW()-9)</f>
        <v/>
      </c>
      <c r="C595" s="213" t="n"/>
      <c r="D595" s="55" t="n"/>
      <c r="E595" s="55" t="n"/>
      <c r="F595" s="56" t="n"/>
      <c r="G595" s="196" t="n"/>
      <c r="H595" s="21" t="n"/>
      <c r="I595" s="21" t="n"/>
      <c r="J595" s="53">
        <f>IF($C595="","",INDEX(Настройки!$V$6:$V$17,MONTH($C595))&amp;" "&amp;YEAR($C595))</f>
        <v/>
      </c>
      <c r="K595" s="57">
        <f>IF(OR($F595="",$D595="Перевод"),"",IF(AND(N($G595)&lt;&gt;0,COUNTIFS(Журнал!$C$10:$C$1509,$C595,Журнал!$P$10:$P$1509,$G595)&gt;0),"есть в Журнале",IF(COUNTIF(Постоянные!$C$8:$C$37,$F595)&gt;0,"есть в Постоянных",IF(COUNTIF(Покупки!$C$7:$C$18,$F595)&gt;0,"есть в Покупках",""))))</f>
        <v/>
      </c>
      <c r="P595">
        <f>IF($C595="","",DATE(YEAR($C595),MONTH($C595),1))</f>
        <v/>
      </c>
      <c r="Q595">
        <f>IF(ISNUMBER($G595),ABS($G595),0)</f>
        <v/>
      </c>
      <c r="R595">
        <f>IF(AND($D595="Расход",COUNTIFS(Счета!$B$10:$B$21,$H595,Счета!$C$10:$C$21,"Кредитная")&gt;0),1,0)</f>
        <v/>
      </c>
    </row>
    <row r="596" ht="19" customHeight="1">
      <c r="B596" s="53">
        <f>IF(AND($C596="",$F596=""),"",ROW()-9)</f>
        <v/>
      </c>
      <c r="C596" s="213" t="n"/>
      <c r="D596" s="55" t="n"/>
      <c r="E596" s="55" t="n"/>
      <c r="F596" s="56" t="n"/>
      <c r="G596" s="196" t="n"/>
      <c r="H596" s="21" t="n"/>
      <c r="I596" s="21" t="n"/>
      <c r="J596" s="53">
        <f>IF($C596="","",INDEX(Настройки!$V$6:$V$17,MONTH($C596))&amp;" "&amp;YEAR($C596))</f>
        <v/>
      </c>
      <c r="K596" s="57">
        <f>IF(OR($F596="",$D596="Перевод"),"",IF(AND(N($G596)&lt;&gt;0,COUNTIFS(Журнал!$C$10:$C$1509,$C596,Журнал!$P$10:$P$1509,$G596)&gt;0),"есть в Журнале",IF(COUNTIF(Постоянные!$C$8:$C$37,$F596)&gt;0,"есть в Постоянных",IF(COUNTIF(Покупки!$C$7:$C$18,$F596)&gt;0,"есть в Покупках",""))))</f>
        <v/>
      </c>
      <c r="P596">
        <f>IF($C596="","",DATE(YEAR($C596),MONTH($C596),1))</f>
        <v/>
      </c>
      <c r="Q596">
        <f>IF(ISNUMBER($G596),ABS($G596),0)</f>
        <v/>
      </c>
      <c r="R596">
        <f>IF(AND($D596="Расход",COUNTIFS(Счета!$B$10:$B$21,$H596,Счета!$C$10:$C$21,"Кредитная")&gt;0),1,0)</f>
        <v/>
      </c>
    </row>
    <row r="597" ht="19" customHeight="1">
      <c r="B597" s="53">
        <f>IF(AND($C597="",$F597=""),"",ROW()-9)</f>
        <v/>
      </c>
      <c r="C597" s="213" t="n"/>
      <c r="D597" s="55" t="n"/>
      <c r="E597" s="55" t="n"/>
      <c r="F597" s="56" t="n"/>
      <c r="G597" s="196" t="n"/>
      <c r="H597" s="21" t="n"/>
      <c r="I597" s="21" t="n"/>
      <c r="J597" s="53">
        <f>IF($C597="","",INDEX(Настройки!$V$6:$V$17,MONTH($C597))&amp;" "&amp;YEAR($C597))</f>
        <v/>
      </c>
      <c r="K597" s="57">
        <f>IF(OR($F597="",$D597="Перевод"),"",IF(AND(N($G597)&lt;&gt;0,COUNTIFS(Журнал!$C$10:$C$1509,$C597,Журнал!$P$10:$P$1509,$G597)&gt;0),"есть в Журнале",IF(COUNTIF(Постоянные!$C$8:$C$37,$F597)&gt;0,"есть в Постоянных",IF(COUNTIF(Покупки!$C$7:$C$18,$F597)&gt;0,"есть в Покупках",""))))</f>
        <v/>
      </c>
      <c r="P597">
        <f>IF($C597="","",DATE(YEAR($C597),MONTH($C597),1))</f>
        <v/>
      </c>
      <c r="Q597">
        <f>IF(ISNUMBER($G597),ABS($G597),0)</f>
        <v/>
      </c>
      <c r="R597">
        <f>IF(AND($D597="Расход",COUNTIFS(Счета!$B$10:$B$21,$H597,Счета!$C$10:$C$21,"Кредитная")&gt;0),1,0)</f>
        <v/>
      </c>
    </row>
    <row r="598" ht="19" customHeight="1">
      <c r="B598" s="53">
        <f>IF(AND($C598="",$F598=""),"",ROW()-9)</f>
        <v/>
      </c>
      <c r="C598" s="213" t="n"/>
      <c r="D598" s="55" t="n"/>
      <c r="E598" s="55" t="n"/>
      <c r="F598" s="56" t="n"/>
      <c r="G598" s="196" t="n"/>
      <c r="H598" s="21" t="n"/>
      <c r="I598" s="21" t="n"/>
      <c r="J598" s="53">
        <f>IF($C598="","",INDEX(Настройки!$V$6:$V$17,MONTH($C598))&amp;" "&amp;YEAR($C598))</f>
        <v/>
      </c>
      <c r="K598" s="57">
        <f>IF(OR($F598="",$D598="Перевод"),"",IF(AND(N($G598)&lt;&gt;0,COUNTIFS(Журнал!$C$10:$C$1509,$C598,Журнал!$P$10:$P$1509,$G598)&gt;0),"есть в Журнале",IF(COUNTIF(Постоянные!$C$8:$C$37,$F598)&gt;0,"есть в Постоянных",IF(COUNTIF(Покупки!$C$7:$C$18,$F598)&gt;0,"есть в Покупках",""))))</f>
        <v/>
      </c>
      <c r="P598">
        <f>IF($C598="","",DATE(YEAR($C598),MONTH($C598),1))</f>
        <v/>
      </c>
      <c r="Q598">
        <f>IF(ISNUMBER($G598),ABS($G598),0)</f>
        <v/>
      </c>
      <c r="R598">
        <f>IF(AND($D598="Расход",COUNTIFS(Счета!$B$10:$B$21,$H598,Счета!$C$10:$C$21,"Кредитная")&gt;0),1,0)</f>
        <v/>
      </c>
    </row>
    <row r="599" ht="19" customHeight="1">
      <c r="B599" s="53">
        <f>IF(AND($C599="",$F599=""),"",ROW()-9)</f>
        <v/>
      </c>
      <c r="C599" s="213" t="n"/>
      <c r="D599" s="55" t="n"/>
      <c r="E599" s="55" t="n"/>
      <c r="F599" s="56" t="n"/>
      <c r="G599" s="196" t="n"/>
      <c r="H599" s="21" t="n"/>
      <c r="I599" s="21" t="n"/>
      <c r="J599" s="53">
        <f>IF($C599="","",INDEX(Настройки!$V$6:$V$17,MONTH($C599))&amp;" "&amp;YEAR($C599))</f>
        <v/>
      </c>
      <c r="K599" s="57">
        <f>IF(OR($F599="",$D599="Перевод"),"",IF(AND(N($G599)&lt;&gt;0,COUNTIFS(Журнал!$C$10:$C$1509,$C599,Журнал!$P$10:$P$1509,$G599)&gt;0),"есть в Журнале",IF(COUNTIF(Постоянные!$C$8:$C$37,$F599)&gt;0,"есть в Постоянных",IF(COUNTIF(Покупки!$C$7:$C$18,$F599)&gt;0,"есть в Покупках",""))))</f>
        <v/>
      </c>
      <c r="P599">
        <f>IF($C599="","",DATE(YEAR($C599),MONTH($C599),1))</f>
        <v/>
      </c>
      <c r="Q599">
        <f>IF(ISNUMBER($G599),ABS($G599),0)</f>
        <v/>
      </c>
      <c r="R599">
        <f>IF(AND($D599="Расход",COUNTIFS(Счета!$B$10:$B$21,$H599,Счета!$C$10:$C$21,"Кредитная")&gt;0),1,0)</f>
        <v/>
      </c>
    </row>
    <row r="600" ht="19" customHeight="1">
      <c r="B600" s="53">
        <f>IF(AND($C600="",$F600=""),"",ROW()-9)</f>
        <v/>
      </c>
      <c r="C600" s="213" t="n"/>
      <c r="D600" s="55" t="n"/>
      <c r="E600" s="55" t="n"/>
      <c r="F600" s="56" t="n"/>
      <c r="G600" s="196" t="n"/>
      <c r="H600" s="21" t="n"/>
      <c r="I600" s="21" t="n"/>
      <c r="J600" s="53">
        <f>IF($C600="","",INDEX(Настройки!$V$6:$V$17,MONTH($C600))&amp;" "&amp;YEAR($C600))</f>
        <v/>
      </c>
      <c r="K600" s="57">
        <f>IF(OR($F600="",$D600="Перевод"),"",IF(AND(N($G600)&lt;&gt;0,COUNTIFS(Журнал!$C$10:$C$1509,$C600,Журнал!$P$10:$P$1509,$G600)&gt;0),"есть в Журнале",IF(COUNTIF(Постоянные!$C$8:$C$37,$F600)&gt;0,"есть в Постоянных",IF(COUNTIF(Покупки!$C$7:$C$18,$F600)&gt;0,"есть в Покупках",""))))</f>
        <v/>
      </c>
      <c r="P600">
        <f>IF($C600="","",DATE(YEAR($C600),MONTH($C600),1))</f>
        <v/>
      </c>
      <c r="Q600">
        <f>IF(ISNUMBER($G600),ABS($G600),0)</f>
        <v/>
      </c>
      <c r="R600">
        <f>IF(AND($D600="Расход",COUNTIFS(Счета!$B$10:$B$21,$H600,Счета!$C$10:$C$21,"Кредитная")&gt;0),1,0)</f>
        <v/>
      </c>
    </row>
    <row r="601" ht="19" customHeight="1">
      <c r="B601" s="53">
        <f>IF(AND($C601="",$F601=""),"",ROW()-9)</f>
        <v/>
      </c>
      <c r="C601" s="213" t="n"/>
      <c r="D601" s="55" t="n"/>
      <c r="E601" s="55" t="n"/>
      <c r="F601" s="56" t="n"/>
      <c r="G601" s="196" t="n"/>
      <c r="H601" s="21" t="n"/>
      <c r="I601" s="21" t="n"/>
      <c r="J601" s="53">
        <f>IF($C601="","",INDEX(Настройки!$V$6:$V$17,MONTH($C601))&amp;" "&amp;YEAR($C601))</f>
        <v/>
      </c>
      <c r="K601" s="57">
        <f>IF(OR($F601="",$D601="Перевод"),"",IF(AND(N($G601)&lt;&gt;0,COUNTIFS(Журнал!$C$10:$C$1509,$C601,Журнал!$P$10:$P$1509,$G601)&gt;0),"есть в Журнале",IF(COUNTIF(Постоянные!$C$8:$C$37,$F601)&gt;0,"есть в Постоянных",IF(COUNTIF(Покупки!$C$7:$C$18,$F601)&gt;0,"есть в Покупках",""))))</f>
        <v/>
      </c>
      <c r="P601">
        <f>IF($C601="","",DATE(YEAR($C601),MONTH($C601),1))</f>
        <v/>
      </c>
      <c r="Q601">
        <f>IF(ISNUMBER($G601),ABS($G601),0)</f>
        <v/>
      </c>
      <c r="R601">
        <f>IF(AND($D601="Расход",COUNTIFS(Счета!$B$10:$B$21,$H601,Счета!$C$10:$C$21,"Кредитная")&gt;0),1,0)</f>
        <v/>
      </c>
    </row>
    <row r="602" ht="19" customHeight="1">
      <c r="B602" s="53">
        <f>IF(AND($C602="",$F602=""),"",ROW()-9)</f>
        <v/>
      </c>
      <c r="C602" s="213" t="n"/>
      <c r="D602" s="55" t="n"/>
      <c r="E602" s="55" t="n"/>
      <c r="F602" s="56" t="n"/>
      <c r="G602" s="196" t="n"/>
      <c r="H602" s="21" t="n"/>
      <c r="I602" s="21" t="n"/>
      <c r="J602" s="53">
        <f>IF($C602="","",INDEX(Настройки!$V$6:$V$17,MONTH($C602))&amp;" "&amp;YEAR($C602))</f>
        <v/>
      </c>
      <c r="K602" s="57">
        <f>IF(OR($F602="",$D602="Перевод"),"",IF(AND(N($G602)&lt;&gt;0,COUNTIFS(Журнал!$C$10:$C$1509,$C602,Журнал!$P$10:$P$1509,$G602)&gt;0),"есть в Журнале",IF(COUNTIF(Постоянные!$C$8:$C$37,$F602)&gt;0,"есть в Постоянных",IF(COUNTIF(Покупки!$C$7:$C$18,$F602)&gt;0,"есть в Покупках",""))))</f>
        <v/>
      </c>
      <c r="P602">
        <f>IF($C602="","",DATE(YEAR($C602),MONTH($C602),1))</f>
        <v/>
      </c>
      <c r="Q602">
        <f>IF(ISNUMBER($G602),ABS($G602),0)</f>
        <v/>
      </c>
      <c r="R602">
        <f>IF(AND($D602="Расход",COUNTIFS(Счета!$B$10:$B$21,$H602,Счета!$C$10:$C$21,"Кредитная")&gt;0),1,0)</f>
        <v/>
      </c>
    </row>
    <row r="603" ht="19" customHeight="1">
      <c r="B603" s="53">
        <f>IF(AND($C603="",$F603=""),"",ROW()-9)</f>
        <v/>
      </c>
      <c r="C603" s="213" t="n"/>
      <c r="D603" s="55" t="n"/>
      <c r="E603" s="55" t="n"/>
      <c r="F603" s="56" t="n"/>
      <c r="G603" s="196" t="n"/>
      <c r="H603" s="21" t="n"/>
      <c r="I603" s="21" t="n"/>
      <c r="J603" s="53">
        <f>IF($C603="","",INDEX(Настройки!$V$6:$V$17,MONTH($C603))&amp;" "&amp;YEAR($C603))</f>
        <v/>
      </c>
      <c r="K603" s="57">
        <f>IF(OR($F603="",$D603="Перевод"),"",IF(AND(N($G603)&lt;&gt;0,COUNTIFS(Журнал!$C$10:$C$1509,$C603,Журнал!$P$10:$P$1509,$G603)&gt;0),"есть в Журнале",IF(COUNTIF(Постоянные!$C$8:$C$37,$F603)&gt;0,"есть в Постоянных",IF(COUNTIF(Покупки!$C$7:$C$18,$F603)&gt;0,"есть в Покупках",""))))</f>
        <v/>
      </c>
      <c r="P603">
        <f>IF($C603="","",DATE(YEAR($C603),MONTH($C603),1))</f>
        <v/>
      </c>
      <c r="Q603">
        <f>IF(ISNUMBER($G603),ABS($G603),0)</f>
        <v/>
      </c>
      <c r="R603">
        <f>IF(AND($D603="Расход",COUNTIFS(Счета!$B$10:$B$21,$H603,Счета!$C$10:$C$21,"Кредитная")&gt;0),1,0)</f>
        <v/>
      </c>
    </row>
    <row r="604" ht="19" customHeight="1">
      <c r="B604" s="53">
        <f>IF(AND($C604="",$F604=""),"",ROW()-9)</f>
        <v/>
      </c>
      <c r="C604" s="213" t="n"/>
      <c r="D604" s="55" t="n"/>
      <c r="E604" s="55" t="n"/>
      <c r="F604" s="56" t="n"/>
      <c r="G604" s="196" t="n"/>
      <c r="H604" s="21" t="n"/>
      <c r="I604" s="21" t="n"/>
      <c r="J604" s="53">
        <f>IF($C604="","",INDEX(Настройки!$V$6:$V$17,MONTH($C604))&amp;" "&amp;YEAR($C604))</f>
        <v/>
      </c>
      <c r="K604" s="57">
        <f>IF(OR($F604="",$D604="Перевод"),"",IF(AND(N($G604)&lt;&gt;0,COUNTIFS(Журнал!$C$10:$C$1509,$C604,Журнал!$P$10:$P$1509,$G604)&gt;0),"есть в Журнале",IF(COUNTIF(Постоянные!$C$8:$C$37,$F604)&gt;0,"есть в Постоянных",IF(COUNTIF(Покупки!$C$7:$C$18,$F604)&gt;0,"есть в Покупках",""))))</f>
        <v/>
      </c>
      <c r="P604">
        <f>IF($C604="","",DATE(YEAR($C604),MONTH($C604),1))</f>
        <v/>
      </c>
      <c r="Q604">
        <f>IF(ISNUMBER($G604),ABS($G604),0)</f>
        <v/>
      </c>
      <c r="R604">
        <f>IF(AND($D604="Расход",COUNTIFS(Счета!$B$10:$B$21,$H604,Счета!$C$10:$C$21,"Кредитная")&gt;0),1,0)</f>
        <v/>
      </c>
    </row>
    <row r="605" ht="19" customHeight="1">
      <c r="B605" s="53">
        <f>IF(AND($C605="",$F605=""),"",ROW()-9)</f>
        <v/>
      </c>
      <c r="C605" s="213" t="n"/>
      <c r="D605" s="55" t="n"/>
      <c r="E605" s="55" t="n"/>
      <c r="F605" s="56" t="n"/>
      <c r="G605" s="196" t="n"/>
      <c r="H605" s="21" t="n"/>
      <c r="I605" s="21" t="n"/>
      <c r="J605" s="53">
        <f>IF($C605="","",INDEX(Настройки!$V$6:$V$17,MONTH($C605))&amp;" "&amp;YEAR($C605))</f>
        <v/>
      </c>
      <c r="K605" s="57">
        <f>IF(OR($F605="",$D605="Перевод"),"",IF(AND(N($G605)&lt;&gt;0,COUNTIFS(Журнал!$C$10:$C$1509,$C605,Журнал!$P$10:$P$1509,$G605)&gt;0),"есть в Журнале",IF(COUNTIF(Постоянные!$C$8:$C$37,$F605)&gt;0,"есть в Постоянных",IF(COUNTIF(Покупки!$C$7:$C$18,$F605)&gt;0,"есть в Покупках",""))))</f>
        <v/>
      </c>
      <c r="P605">
        <f>IF($C605="","",DATE(YEAR($C605),MONTH($C605),1))</f>
        <v/>
      </c>
      <c r="Q605">
        <f>IF(ISNUMBER($G605),ABS($G605),0)</f>
        <v/>
      </c>
      <c r="R605">
        <f>IF(AND($D605="Расход",COUNTIFS(Счета!$B$10:$B$21,$H605,Счета!$C$10:$C$21,"Кредитная")&gt;0),1,0)</f>
        <v/>
      </c>
    </row>
    <row r="606" ht="19" customHeight="1">
      <c r="B606" s="53">
        <f>IF(AND($C606="",$F606=""),"",ROW()-9)</f>
        <v/>
      </c>
      <c r="C606" s="213" t="n"/>
      <c r="D606" s="55" t="n"/>
      <c r="E606" s="55" t="n"/>
      <c r="F606" s="56" t="n"/>
      <c r="G606" s="196" t="n"/>
      <c r="H606" s="21" t="n"/>
      <c r="I606" s="21" t="n"/>
      <c r="J606" s="53">
        <f>IF($C606="","",INDEX(Настройки!$V$6:$V$17,MONTH($C606))&amp;" "&amp;YEAR($C606))</f>
        <v/>
      </c>
      <c r="K606" s="57">
        <f>IF(OR($F606="",$D606="Перевод"),"",IF(AND(N($G606)&lt;&gt;0,COUNTIFS(Журнал!$C$10:$C$1509,$C606,Журнал!$P$10:$P$1509,$G606)&gt;0),"есть в Журнале",IF(COUNTIF(Постоянные!$C$8:$C$37,$F606)&gt;0,"есть в Постоянных",IF(COUNTIF(Покупки!$C$7:$C$18,$F606)&gt;0,"есть в Покупках",""))))</f>
        <v/>
      </c>
      <c r="P606">
        <f>IF($C606="","",DATE(YEAR($C606),MONTH($C606),1))</f>
        <v/>
      </c>
      <c r="Q606">
        <f>IF(ISNUMBER($G606),ABS($G606),0)</f>
        <v/>
      </c>
      <c r="R606">
        <f>IF(AND($D606="Расход",COUNTIFS(Счета!$B$10:$B$21,$H606,Счета!$C$10:$C$21,"Кредитная")&gt;0),1,0)</f>
        <v/>
      </c>
    </row>
    <row r="607" ht="19" customHeight="1">
      <c r="B607" s="53">
        <f>IF(AND($C607="",$F607=""),"",ROW()-9)</f>
        <v/>
      </c>
      <c r="C607" s="213" t="n"/>
      <c r="D607" s="55" t="n"/>
      <c r="E607" s="55" t="n"/>
      <c r="F607" s="56" t="n"/>
      <c r="G607" s="196" t="n"/>
      <c r="H607" s="21" t="n"/>
      <c r="I607" s="21" t="n"/>
      <c r="J607" s="53">
        <f>IF($C607="","",INDEX(Настройки!$V$6:$V$17,MONTH($C607))&amp;" "&amp;YEAR($C607))</f>
        <v/>
      </c>
      <c r="K607" s="57">
        <f>IF(OR($F607="",$D607="Перевод"),"",IF(AND(N($G607)&lt;&gt;0,COUNTIFS(Журнал!$C$10:$C$1509,$C607,Журнал!$P$10:$P$1509,$G607)&gt;0),"есть в Журнале",IF(COUNTIF(Постоянные!$C$8:$C$37,$F607)&gt;0,"есть в Постоянных",IF(COUNTIF(Покупки!$C$7:$C$18,$F607)&gt;0,"есть в Покупках",""))))</f>
        <v/>
      </c>
      <c r="P607">
        <f>IF($C607="","",DATE(YEAR($C607),MONTH($C607),1))</f>
        <v/>
      </c>
      <c r="Q607">
        <f>IF(ISNUMBER($G607),ABS($G607),0)</f>
        <v/>
      </c>
      <c r="R607">
        <f>IF(AND($D607="Расход",COUNTIFS(Счета!$B$10:$B$21,$H607,Счета!$C$10:$C$21,"Кредитная")&gt;0),1,0)</f>
        <v/>
      </c>
    </row>
    <row r="608" ht="19" customHeight="1">
      <c r="B608" s="53">
        <f>IF(AND($C608="",$F608=""),"",ROW()-9)</f>
        <v/>
      </c>
      <c r="C608" s="213" t="n"/>
      <c r="D608" s="55" t="n"/>
      <c r="E608" s="55" t="n"/>
      <c r="F608" s="56" t="n"/>
      <c r="G608" s="196" t="n"/>
      <c r="H608" s="21" t="n"/>
      <c r="I608" s="21" t="n"/>
      <c r="J608" s="53">
        <f>IF($C608="","",INDEX(Настройки!$V$6:$V$17,MONTH($C608))&amp;" "&amp;YEAR($C608))</f>
        <v/>
      </c>
      <c r="K608" s="57">
        <f>IF(OR($F608="",$D608="Перевод"),"",IF(AND(N($G608)&lt;&gt;0,COUNTIFS(Журнал!$C$10:$C$1509,$C608,Журнал!$P$10:$P$1509,$G608)&gt;0),"есть в Журнале",IF(COUNTIF(Постоянные!$C$8:$C$37,$F608)&gt;0,"есть в Постоянных",IF(COUNTIF(Покупки!$C$7:$C$18,$F608)&gt;0,"есть в Покупках",""))))</f>
        <v/>
      </c>
      <c r="P608">
        <f>IF($C608="","",DATE(YEAR($C608),MONTH($C608),1))</f>
        <v/>
      </c>
      <c r="Q608">
        <f>IF(ISNUMBER($G608),ABS($G608),0)</f>
        <v/>
      </c>
      <c r="R608">
        <f>IF(AND($D608="Расход",COUNTIFS(Счета!$B$10:$B$21,$H608,Счета!$C$10:$C$21,"Кредитная")&gt;0),1,0)</f>
        <v/>
      </c>
    </row>
    <row r="609" ht="19" customHeight="1">
      <c r="B609" s="53">
        <f>IF(AND($C609="",$F609=""),"",ROW()-9)</f>
        <v/>
      </c>
      <c r="C609" s="213" t="n"/>
      <c r="D609" s="55" t="n"/>
      <c r="E609" s="55" t="n"/>
      <c r="F609" s="56" t="n"/>
      <c r="G609" s="196" t="n"/>
      <c r="H609" s="21" t="n"/>
      <c r="I609" s="21" t="n"/>
      <c r="J609" s="53">
        <f>IF($C609="","",INDEX(Настройки!$V$6:$V$17,MONTH($C609))&amp;" "&amp;YEAR($C609))</f>
        <v/>
      </c>
      <c r="K609" s="57">
        <f>IF(OR($F609="",$D609="Перевод"),"",IF(AND(N($G609)&lt;&gt;0,COUNTIFS(Журнал!$C$10:$C$1509,$C609,Журнал!$P$10:$P$1509,$G609)&gt;0),"есть в Журнале",IF(COUNTIF(Постоянные!$C$8:$C$37,$F609)&gt;0,"есть в Постоянных",IF(COUNTIF(Покупки!$C$7:$C$18,$F609)&gt;0,"есть в Покупках",""))))</f>
        <v/>
      </c>
      <c r="P609">
        <f>IF($C609="","",DATE(YEAR($C609),MONTH($C609),1))</f>
        <v/>
      </c>
      <c r="Q609">
        <f>IF(ISNUMBER($G609),ABS($G609),0)</f>
        <v/>
      </c>
      <c r="R609">
        <f>IF(AND($D609="Расход",COUNTIFS(Счета!$B$10:$B$21,$H609,Счета!$C$10:$C$21,"Кредитная")&gt;0),1,0)</f>
        <v/>
      </c>
    </row>
    <row r="610" ht="19" customHeight="1">
      <c r="B610" s="53">
        <f>IF(AND($C610="",$F610=""),"",ROW()-9)</f>
        <v/>
      </c>
      <c r="C610" s="213" t="n"/>
      <c r="D610" s="55" t="n"/>
      <c r="E610" s="55" t="n"/>
      <c r="F610" s="56" t="n"/>
      <c r="G610" s="196" t="n"/>
      <c r="H610" s="21" t="n"/>
      <c r="I610" s="21" t="n"/>
      <c r="J610" s="53">
        <f>IF($C610="","",INDEX(Настройки!$V$6:$V$17,MONTH($C610))&amp;" "&amp;YEAR($C610))</f>
        <v/>
      </c>
      <c r="K610" s="57">
        <f>IF(OR($F610="",$D610="Перевод"),"",IF(AND(N($G610)&lt;&gt;0,COUNTIFS(Журнал!$C$10:$C$1509,$C610,Журнал!$P$10:$P$1509,$G610)&gt;0),"есть в Журнале",IF(COUNTIF(Постоянные!$C$8:$C$37,$F610)&gt;0,"есть в Постоянных",IF(COUNTIF(Покупки!$C$7:$C$18,$F610)&gt;0,"есть в Покупках",""))))</f>
        <v/>
      </c>
      <c r="P610">
        <f>IF($C610="","",DATE(YEAR($C610),MONTH($C610),1))</f>
        <v/>
      </c>
      <c r="Q610">
        <f>IF(ISNUMBER($G610),ABS($G610),0)</f>
        <v/>
      </c>
      <c r="R610">
        <f>IF(AND($D610="Расход",COUNTIFS(Счета!$B$10:$B$21,$H610,Счета!$C$10:$C$21,"Кредитная")&gt;0),1,0)</f>
        <v/>
      </c>
    </row>
    <row r="611" ht="19" customHeight="1">
      <c r="B611" s="53">
        <f>IF(AND($C611="",$F611=""),"",ROW()-9)</f>
        <v/>
      </c>
      <c r="C611" s="213" t="n"/>
      <c r="D611" s="55" t="n"/>
      <c r="E611" s="55" t="n"/>
      <c r="F611" s="56" t="n"/>
      <c r="G611" s="196" t="n"/>
      <c r="H611" s="21" t="n"/>
      <c r="I611" s="21" t="n"/>
      <c r="J611" s="53">
        <f>IF($C611="","",INDEX(Настройки!$V$6:$V$17,MONTH($C611))&amp;" "&amp;YEAR($C611))</f>
        <v/>
      </c>
      <c r="K611" s="57">
        <f>IF(OR($F611="",$D611="Перевод"),"",IF(AND(N($G611)&lt;&gt;0,COUNTIFS(Журнал!$C$10:$C$1509,$C611,Журнал!$P$10:$P$1509,$G611)&gt;0),"есть в Журнале",IF(COUNTIF(Постоянные!$C$8:$C$37,$F611)&gt;0,"есть в Постоянных",IF(COUNTIF(Покупки!$C$7:$C$18,$F611)&gt;0,"есть в Покупках",""))))</f>
        <v/>
      </c>
      <c r="P611">
        <f>IF($C611="","",DATE(YEAR($C611),MONTH($C611),1))</f>
        <v/>
      </c>
      <c r="Q611">
        <f>IF(ISNUMBER($G611),ABS($G611),0)</f>
        <v/>
      </c>
      <c r="R611">
        <f>IF(AND($D611="Расход",COUNTIFS(Счета!$B$10:$B$21,$H611,Счета!$C$10:$C$21,"Кредитная")&gt;0),1,0)</f>
        <v/>
      </c>
    </row>
    <row r="612" ht="19" customHeight="1">
      <c r="B612" s="53">
        <f>IF(AND($C612="",$F612=""),"",ROW()-9)</f>
        <v/>
      </c>
      <c r="C612" s="213" t="n"/>
      <c r="D612" s="55" t="n"/>
      <c r="E612" s="55" t="n"/>
      <c r="F612" s="56" t="n"/>
      <c r="G612" s="196" t="n"/>
      <c r="H612" s="21" t="n"/>
      <c r="I612" s="21" t="n"/>
      <c r="J612" s="53">
        <f>IF($C612="","",INDEX(Настройки!$V$6:$V$17,MONTH($C612))&amp;" "&amp;YEAR($C612))</f>
        <v/>
      </c>
      <c r="K612" s="57">
        <f>IF(OR($F612="",$D612="Перевод"),"",IF(AND(N($G612)&lt;&gt;0,COUNTIFS(Журнал!$C$10:$C$1509,$C612,Журнал!$P$10:$P$1509,$G612)&gt;0),"есть в Журнале",IF(COUNTIF(Постоянные!$C$8:$C$37,$F612)&gt;0,"есть в Постоянных",IF(COUNTIF(Покупки!$C$7:$C$18,$F612)&gt;0,"есть в Покупках",""))))</f>
        <v/>
      </c>
      <c r="P612">
        <f>IF($C612="","",DATE(YEAR($C612),MONTH($C612),1))</f>
        <v/>
      </c>
      <c r="Q612">
        <f>IF(ISNUMBER($G612),ABS($G612),0)</f>
        <v/>
      </c>
      <c r="R612">
        <f>IF(AND($D612="Расход",COUNTIFS(Счета!$B$10:$B$21,$H612,Счета!$C$10:$C$21,"Кредитная")&gt;0),1,0)</f>
        <v/>
      </c>
    </row>
    <row r="613" ht="19" customHeight="1">
      <c r="B613" s="53">
        <f>IF(AND($C613="",$F613=""),"",ROW()-9)</f>
        <v/>
      </c>
      <c r="C613" s="213" t="n"/>
      <c r="D613" s="55" t="n"/>
      <c r="E613" s="55" t="n"/>
      <c r="F613" s="56" t="n"/>
      <c r="G613" s="196" t="n"/>
      <c r="H613" s="21" t="n"/>
      <c r="I613" s="21" t="n"/>
      <c r="J613" s="53">
        <f>IF($C613="","",INDEX(Настройки!$V$6:$V$17,MONTH($C613))&amp;" "&amp;YEAR($C613))</f>
        <v/>
      </c>
      <c r="K613" s="57">
        <f>IF(OR($F613="",$D613="Перевод"),"",IF(AND(N($G613)&lt;&gt;0,COUNTIFS(Журнал!$C$10:$C$1509,$C613,Журнал!$P$10:$P$1509,$G613)&gt;0),"есть в Журнале",IF(COUNTIF(Постоянные!$C$8:$C$37,$F613)&gt;0,"есть в Постоянных",IF(COUNTIF(Покупки!$C$7:$C$18,$F613)&gt;0,"есть в Покупках",""))))</f>
        <v/>
      </c>
      <c r="P613">
        <f>IF($C613="","",DATE(YEAR($C613),MONTH($C613),1))</f>
        <v/>
      </c>
      <c r="Q613">
        <f>IF(ISNUMBER($G613),ABS($G613),0)</f>
        <v/>
      </c>
      <c r="R613">
        <f>IF(AND($D613="Расход",COUNTIFS(Счета!$B$10:$B$21,$H613,Счета!$C$10:$C$21,"Кредитная")&gt;0),1,0)</f>
        <v/>
      </c>
    </row>
    <row r="614" ht="19" customHeight="1">
      <c r="B614" s="53">
        <f>IF(AND($C614="",$F614=""),"",ROW()-9)</f>
        <v/>
      </c>
      <c r="C614" s="213" t="n"/>
      <c r="D614" s="55" t="n"/>
      <c r="E614" s="55" t="n"/>
      <c r="F614" s="56" t="n"/>
      <c r="G614" s="196" t="n"/>
      <c r="H614" s="21" t="n"/>
      <c r="I614" s="21" t="n"/>
      <c r="J614" s="53">
        <f>IF($C614="","",INDEX(Настройки!$V$6:$V$17,MONTH($C614))&amp;" "&amp;YEAR($C614))</f>
        <v/>
      </c>
      <c r="K614" s="57">
        <f>IF(OR($F614="",$D614="Перевод"),"",IF(AND(N($G614)&lt;&gt;0,COUNTIFS(Журнал!$C$10:$C$1509,$C614,Журнал!$P$10:$P$1509,$G614)&gt;0),"есть в Журнале",IF(COUNTIF(Постоянные!$C$8:$C$37,$F614)&gt;0,"есть в Постоянных",IF(COUNTIF(Покупки!$C$7:$C$18,$F614)&gt;0,"есть в Покупках",""))))</f>
        <v/>
      </c>
      <c r="P614">
        <f>IF($C614="","",DATE(YEAR($C614),MONTH($C614),1))</f>
        <v/>
      </c>
      <c r="Q614">
        <f>IF(ISNUMBER($G614),ABS($G614),0)</f>
        <v/>
      </c>
      <c r="R614">
        <f>IF(AND($D614="Расход",COUNTIFS(Счета!$B$10:$B$21,$H614,Счета!$C$10:$C$21,"Кредитная")&gt;0),1,0)</f>
        <v/>
      </c>
    </row>
    <row r="615" ht="19" customHeight="1">
      <c r="B615" s="53">
        <f>IF(AND($C615="",$F615=""),"",ROW()-9)</f>
        <v/>
      </c>
      <c r="C615" s="213" t="n"/>
      <c r="D615" s="55" t="n"/>
      <c r="E615" s="55" t="n"/>
      <c r="F615" s="56" t="n"/>
      <c r="G615" s="196" t="n"/>
      <c r="H615" s="21" t="n"/>
      <c r="I615" s="21" t="n"/>
      <c r="J615" s="53">
        <f>IF($C615="","",INDEX(Настройки!$V$6:$V$17,MONTH($C615))&amp;" "&amp;YEAR($C615))</f>
        <v/>
      </c>
      <c r="K615" s="57">
        <f>IF(OR($F615="",$D615="Перевод"),"",IF(AND(N($G615)&lt;&gt;0,COUNTIFS(Журнал!$C$10:$C$1509,$C615,Журнал!$P$10:$P$1509,$G615)&gt;0),"есть в Журнале",IF(COUNTIF(Постоянные!$C$8:$C$37,$F615)&gt;0,"есть в Постоянных",IF(COUNTIF(Покупки!$C$7:$C$18,$F615)&gt;0,"есть в Покупках",""))))</f>
        <v/>
      </c>
      <c r="P615">
        <f>IF($C615="","",DATE(YEAR($C615),MONTH($C615),1))</f>
        <v/>
      </c>
      <c r="Q615">
        <f>IF(ISNUMBER($G615),ABS($G615),0)</f>
        <v/>
      </c>
      <c r="R615">
        <f>IF(AND($D615="Расход",COUNTIFS(Счета!$B$10:$B$21,$H615,Счета!$C$10:$C$21,"Кредитная")&gt;0),1,0)</f>
        <v/>
      </c>
    </row>
    <row r="616" ht="19" customHeight="1">
      <c r="B616" s="53">
        <f>IF(AND($C616="",$F616=""),"",ROW()-9)</f>
        <v/>
      </c>
      <c r="C616" s="213" t="n"/>
      <c r="D616" s="55" t="n"/>
      <c r="E616" s="55" t="n"/>
      <c r="F616" s="56" t="n"/>
      <c r="G616" s="196" t="n"/>
      <c r="H616" s="21" t="n"/>
      <c r="I616" s="21" t="n"/>
      <c r="J616" s="53">
        <f>IF($C616="","",INDEX(Настройки!$V$6:$V$17,MONTH($C616))&amp;" "&amp;YEAR($C616))</f>
        <v/>
      </c>
      <c r="K616" s="57">
        <f>IF(OR($F616="",$D616="Перевод"),"",IF(AND(N($G616)&lt;&gt;0,COUNTIFS(Журнал!$C$10:$C$1509,$C616,Журнал!$P$10:$P$1509,$G616)&gt;0),"есть в Журнале",IF(COUNTIF(Постоянные!$C$8:$C$37,$F616)&gt;0,"есть в Постоянных",IF(COUNTIF(Покупки!$C$7:$C$18,$F616)&gt;0,"есть в Покупках",""))))</f>
        <v/>
      </c>
      <c r="P616">
        <f>IF($C616="","",DATE(YEAR($C616),MONTH($C616),1))</f>
        <v/>
      </c>
      <c r="Q616">
        <f>IF(ISNUMBER($G616),ABS($G616),0)</f>
        <v/>
      </c>
      <c r="R616">
        <f>IF(AND($D616="Расход",COUNTIFS(Счета!$B$10:$B$21,$H616,Счета!$C$10:$C$21,"Кредитная")&gt;0),1,0)</f>
        <v/>
      </c>
    </row>
    <row r="617" ht="19" customHeight="1">
      <c r="B617" s="53">
        <f>IF(AND($C617="",$F617=""),"",ROW()-9)</f>
        <v/>
      </c>
      <c r="C617" s="213" t="n"/>
      <c r="D617" s="55" t="n"/>
      <c r="E617" s="55" t="n"/>
      <c r="F617" s="56" t="n"/>
      <c r="G617" s="196" t="n"/>
      <c r="H617" s="21" t="n"/>
      <c r="I617" s="21" t="n"/>
      <c r="J617" s="53">
        <f>IF($C617="","",INDEX(Настройки!$V$6:$V$17,MONTH($C617))&amp;" "&amp;YEAR($C617))</f>
        <v/>
      </c>
      <c r="K617" s="57">
        <f>IF(OR($F617="",$D617="Перевод"),"",IF(AND(N($G617)&lt;&gt;0,COUNTIFS(Журнал!$C$10:$C$1509,$C617,Журнал!$P$10:$P$1509,$G617)&gt;0),"есть в Журнале",IF(COUNTIF(Постоянные!$C$8:$C$37,$F617)&gt;0,"есть в Постоянных",IF(COUNTIF(Покупки!$C$7:$C$18,$F617)&gt;0,"есть в Покупках",""))))</f>
        <v/>
      </c>
      <c r="P617">
        <f>IF($C617="","",DATE(YEAR($C617),MONTH($C617),1))</f>
        <v/>
      </c>
      <c r="Q617">
        <f>IF(ISNUMBER($G617),ABS($G617),0)</f>
        <v/>
      </c>
      <c r="R617">
        <f>IF(AND($D617="Расход",COUNTIFS(Счета!$B$10:$B$21,$H617,Счета!$C$10:$C$21,"Кредитная")&gt;0),1,0)</f>
        <v/>
      </c>
    </row>
    <row r="618" ht="19" customHeight="1">
      <c r="B618" s="53">
        <f>IF(AND($C618="",$F618=""),"",ROW()-9)</f>
        <v/>
      </c>
      <c r="C618" s="213" t="n"/>
      <c r="D618" s="55" t="n"/>
      <c r="E618" s="55" t="n"/>
      <c r="F618" s="56" t="n"/>
      <c r="G618" s="196" t="n"/>
      <c r="H618" s="21" t="n"/>
      <c r="I618" s="21" t="n"/>
      <c r="J618" s="53">
        <f>IF($C618="","",INDEX(Настройки!$V$6:$V$17,MONTH($C618))&amp;" "&amp;YEAR($C618))</f>
        <v/>
      </c>
      <c r="K618" s="57">
        <f>IF(OR($F618="",$D618="Перевод"),"",IF(AND(N($G618)&lt;&gt;0,COUNTIFS(Журнал!$C$10:$C$1509,$C618,Журнал!$P$10:$P$1509,$G618)&gt;0),"есть в Журнале",IF(COUNTIF(Постоянные!$C$8:$C$37,$F618)&gt;0,"есть в Постоянных",IF(COUNTIF(Покупки!$C$7:$C$18,$F618)&gt;0,"есть в Покупках",""))))</f>
        <v/>
      </c>
      <c r="P618">
        <f>IF($C618="","",DATE(YEAR($C618),MONTH($C618),1))</f>
        <v/>
      </c>
      <c r="Q618">
        <f>IF(ISNUMBER($G618),ABS($G618),0)</f>
        <v/>
      </c>
      <c r="R618">
        <f>IF(AND($D618="Расход",COUNTIFS(Счета!$B$10:$B$21,$H618,Счета!$C$10:$C$21,"Кредитная")&gt;0),1,0)</f>
        <v/>
      </c>
    </row>
    <row r="619" ht="19" customHeight="1">
      <c r="B619" s="53">
        <f>IF(AND($C619="",$F619=""),"",ROW()-9)</f>
        <v/>
      </c>
      <c r="C619" s="213" t="n"/>
      <c r="D619" s="55" t="n"/>
      <c r="E619" s="55" t="n"/>
      <c r="F619" s="56" t="n"/>
      <c r="G619" s="196" t="n"/>
      <c r="H619" s="21" t="n"/>
      <c r="I619" s="21" t="n"/>
      <c r="J619" s="53">
        <f>IF($C619="","",INDEX(Настройки!$V$6:$V$17,MONTH($C619))&amp;" "&amp;YEAR($C619))</f>
        <v/>
      </c>
      <c r="K619" s="57">
        <f>IF(OR($F619="",$D619="Перевод"),"",IF(AND(N($G619)&lt;&gt;0,COUNTIFS(Журнал!$C$10:$C$1509,$C619,Журнал!$P$10:$P$1509,$G619)&gt;0),"есть в Журнале",IF(COUNTIF(Постоянные!$C$8:$C$37,$F619)&gt;0,"есть в Постоянных",IF(COUNTIF(Покупки!$C$7:$C$18,$F619)&gt;0,"есть в Покупках",""))))</f>
        <v/>
      </c>
      <c r="P619">
        <f>IF($C619="","",DATE(YEAR($C619),MONTH($C619),1))</f>
        <v/>
      </c>
      <c r="Q619">
        <f>IF(ISNUMBER($G619),ABS($G619),0)</f>
        <v/>
      </c>
      <c r="R619">
        <f>IF(AND($D619="Расход",COUNTIFS(Счета!$B$10:$B$21,$H619,Счета!$C$10:$C$21,"Кредитная")&gt;0),1,0)</f>
        <v/>
      </c>
    </row>
    <row r="620" ht="19" customHeight="1">
      <c r="B620" s="53">
        <f>IF(AND($C620="",$F620=""),"",ROW()-9)</f>
        <v/>
      </c>
      <c r="C620" s="213" t="n"/>
      <c r="D620" s="55" t="n"/>
      <c r="E620" s="55" t="n"/>
      <c r="F620" s="56" t="n"/>
      <c r="G620" s="196" t="n"/>
      <c r="H620" s="21" t="n"/>
      <c r="I620" s="21" t="n"/>
      <c r="J620" s="53">
        <f>IF($C620="","",INDEX(Настройки!$V$6:$V$17,MONTH($C620))&amp;" "&amp;YEAR($C620))</f>
        <v/>
      </c>
      <c r="K620" s="57">
        <f>IF(OR($F620="",$D620="Перевод"),"",IF(AND(N($G620)&lt;&gt;0,COUNTIFS(Журнал!$C$10:$C$1509,$C620,Журнал!$P$10:$P$1509,$G620)&gt;0),"есть в Журнале",IF(COUNTIF(Постоянные!$C$8:$C$37,$F620)&gt;0,"есть в Постоянных",IF(COUNTIF(Покупки!$C$7:$C$18,$F620)&gt;0,"есть в Покупках",""))))</f>
        <v/>
      </c>
      <c r="P620">
        <f>IF($C620="","",DATE(YEAR($C620),MONTH($C620),1))</f>
        <v/>
      </c>
      <c r="Q620">
        <f>IF(ISNUMBER($G620),ABS($G620),0)</f>
        <v/>
      </c>
      <c r="R620">
        <f>IF(AND($D620="Расход",COUNTIFS(Счета!$B$10:$B$21,$H620,Счета!$C$10:$C$21,"Кредитная")&gt;0),1,0)</f>
        <v/>
      </c>
    </row>
    <row r="621" ht="19" customHeight="1">
      <c r="B621" s="53">
        <f>IF(AND($C621="",$F621=""),"",ROW()-9)</f>
        <v/>
      </c>
      <c r="C621" s="213" t="n"/>
      <c r="D621" s="55" t="n"/>
      <c r="E621" s="55" t="n"/>
      <c r="F621" s="56" t="n"/>
      <c r="G621" s="196" t="n"/>
      <c r="H621" s="21" t="n"/>
      <c r="I621" s="21" t="n"/>
      <c r="J621" s="53">
        <f>IF($C621="","",INDEX(Настройки!$V$6:$V$17,MONTH($C621))&amp;" "&amp;YEAR($C621))</f>
        <v/>
      </c>
      <c r="K621" s="57">
        <f>IF(OR($F621="",$D621="Перевод"),"",IF(AND(N($G621)&lt;&gt;0,COUNTIFS(Журнал!$C$10:$C$1509,$C621,Журнал!$P$10:$P$1509,$G621)&gt;0),"есть в Журнале",IF(COUNTIF(Постоянные!$C$8:$C$37,$F621)&gt;0,"есть в Постоянных",IF(COUNTIF(Покупки!$C$7:$C$18,$F621)&gt;0,"есть в Покупках",""))))</f>
        <v/>
      </c>
      <c r="P621">
        <f>IF($C621="","",DATE(YEAR($C621),MONTH($C621),1))</f>
        <v/>
      </c>
      <c r="Q621">
        <f>IF(ISNUMBER($G621),ABS($G621),0)</f>
        <v/>
      </c>
      <c r="R621">
        <f>IF(AND($D621="Расход",COUNTIFS(Счета!$B$10:$B$21,$H621,Счета!$C$10:$C$21,"Кредитная")&gt;0),1,0)</f>
        <v/>
      </c>
    </row>
    <row r="622" ht="19" customHeight="1">
      <c r="B622" s="53">
        <f>IF(AND($C622="",$F622=""),"",ROW()-9)</f>
        <v/>
      </c>
      <c r="C622" s="213" t="n"/>
      <c r="D622" s="55" t="n"/>
      <c r="E622" s="55" t="n"/>
      <c r="F622" s="56" t="n"/>
      <c r="G622" s="196" t="n"/>
      <c r="H622" s="21" t="n"/>
      <c r="I622" s="21" t="n"/>
      <c r="J622" s="53">
        <f>IF($C622="","",INDEX(Настройки!$V$6:$V$17,MONTH($C622))&amp;" "&amp;YEAR($C622))</f>
        <v/>
      </c>
      <c r="K622" s="57">
        <f>IF(OR($F622="",$D622="Перевод"),"",IF(AND(N($G622)&lt;&gt;0,COUNTIFS(Журнал!$C$10:$C$1509,$C622,Журнал!$P$10:$P$1509,$G622)&gt;0),"есть в Журнале",IF(COUNTIF(Постоянные!$C$8:$C$37,$F622)&gt;0,"есть в Постоянных",IF(COUNTIF(Покупки!$C$7:$C$18,$F622)&gt;0,"есть в Покупках",""))))</f>
        <v/>
      </c>
      <c r="P622">
        <f>IF($C622="","",DATE(YEAR($C622),MONTH($C622),1))</f>
        <v/>
      </c>
      <c r="Q622">
        <f>IF(ISNUMBER($G622),ABS($G622),0)</f>
        <v/>
      </c>
      <c r="R622">
        <f>IF(AND($D622="Расход",COUNTIFS(Счета!$B$10:$B$21,$H622,Счета!$C$10:$C$21,"Кредитная")&gt;0),1,0)</f>
        <v/>
      </c>
    </row>
    <row r="623" ht="19" customHeight="1">
      <c r="B623" s="53">
        <f>IF(AND($C623="",$F623=""),"",ROW()-9)</f>
        <v/>
      </c>
      <c r="C623" s="213" t="n"/>
      <c r="D623" s="55" t="n"/>
      <c r="E623" s="55" t="n"/>
      <c r="F623" s="56" t="n"/>
      <c r="G623" s="196" t="n"/>
      <c r="H623" s="21" t="n"/>
      <c r="I623" s="21" t="n"/>
      <c r="J623" s="53">
        <f>IF($C623="","",INDEX(Настройки!$V$6:$V$17,MONTH($C623))&amp;" "&amp;YEAR($C623))</f>
        <v/>
      </c>
      <c r="K623" s="57">
        <f>IF(OR($F623="",$D623="Перевод"),"",IF(AND(N($G623)&lt;&gt;0,COUNTIFS(Журнал!$C$10:$C$1509,$C623,Журнал!$P$10:$P$1509,$G623)&gt;0),"есть в Журнале",IF(COUNTIF(Постоянные!$C$8:$C$37,$F623)&gt;0,"есть в Постоянных",IF(COUNTIF(Покупки!$C$7:$C$18,$F623)&gt;0,"есть в Покупках",""))))</f>
        <v/>
      </c>
      <c r="P623">
        <f>IF($C623="","",DATE(YEAR($C623),MONTH($C623),1))</f>
        <v/>
      </c>
      <c r="Q623">
        <f>IF(ISNUMBER($G623),ABS($G623),0)</f>
        <v/>
      </c>
      <c r="R623">
        <f>IF(AND($D623="Расход",COUNTIFS(Счета!$B$10:$B$21,$H623,Счета!$C$10:$C$21,"Кредитная")&gt;0),1,0)</f>
        <v/>
      </c>
    </row>
    <row r="624" ht="19" customHeight="1">
      <c r="B624" s="53">
        <f>IF(AND($C624="",$F624=""),"",ROW()-9)</f>
        <v/>
      </c>
      <c r="C624" s="213" t="n"/>
      <c r="D624" s="55" t="n"/>
      <c r="E624" s="55" t="n"/>
      <c r="F624" s="56" t="n"/>
      <c r="G624" s="196" t="n"/>
      <c r="H624" s="21" t="n"/>
      <c r="I624" s="21" t="n"/>
      <c r="J624" s="53">
        <f>IF($C624="","",INDEX(Настройки!$V$6:$V$17,MONTH($C624))&amp;" "&amp;YEAR($C624))</f>
        <v/>
      </c>
      <c r="K624" s="57">
        <f>IF(OR($F624="",$D624="Перевод"),"",IF(AND(N($G624)&lt;&gt;0,COUNTIFS(Журнал!$C$10:$C$1509,$C624,Журнал!$P$10:$P$1509,$G624)&gt;0),"есть в Журнале",IF(COUNTIF(Постоянные!$C$8:$C$37,$F624)&gt;0,"есть в Постоянных",IF(COUNTIF(Покупки!$C$7:$C$18,$F624)&gt;0,"есть в Покупках",""))))</f>
        <v/>
      </c>
      <c r="P624">
        <f>IF($C624="","",DATE(YEAR($C624),MONTH($C624),1))</f>
        <v/>
      </c>
      <c r="Q624">
        <f>IF(ISNUMBER($G624),ABS($G624),0)</f>
        <v/>
      </c>
      <c r="R624">
        <f>IF(AND($D624="Расход",COUNTIFS(Счета!$B$10:$B$21,$H624,Счета!$C$10:$C$21,"Кредитная")&gt;0),1,0)</f>
        <v/>
      </c>
    </row>
    <row r="625" ht="19" customHeight="1">
      <c r="B625" s="53">
        <f>IF(AND($C625="",$F625=""),"",ROW()-9)</f>
        <v/>
      </c>
      <c r="C625" s="213" t="n"/>
      <c r="D625" s="55" t="n"/>
      <c r="E625" s="55" t="n"/>
      <c r="F625" s="56" t="n"/>
      <c r="G625" s="196" t="n"/>
      <c r="H625" s="21" t="n"/>
      <c r="I625" s="21" t="n"/>
      <c r="J625" s="53">
        <f>IF($C625="","",INDEX(Настройки!$V$6:$V$17,MONTH($C625))&amp;" "&amp;YEAR($C625))</f>
        <v/>
      </c>
      <c r="K625" s="57">
        <f>IF(OR($F625="",$D625="Перевод"),"",IF(AND(N($G625)&lt;&gt;0,COUNTIFS(Журнал!$C$10:$C$1509,$C625,Журнал!$P$10:$P$1509,$G625)&gt;0),"есть в Журнале",IF(COUNTIF(Постоянные!$C$8:$C$37,$F625)&gt;0,"есть в Постоянных",IF(COUNTIF(Покупки!$C$7:$C$18,$F625)&gt;0,"есть в Покупках",""))))</f>
        <v/>
      </c>
      <c r="P625">
        <f>IF($C625="","",DATE(YEAR($C625),MONTH($C625),1))</f>
        <v/>
      </c>
      <c r="Q625">
        <f>IF(ISNUMBER($G625),ABS($G625),0)</f>
        <v/>
      </c>
      <c r="R625">
        <f>IF(AND($D625="Расход",COUNTIFS(Счета!$B$10:$B$21,$H625,Счета!$C$10:$C$21,"Кредитная")&gt;0),1,0)</f>
        <v/>
      </c>
    </row>
    <row r="626" ht="19" customHeight="1">
      <c r="B626" s="53">
        <f>IF(AND($C626="",$F626=""),"",ROW()-9)</f>
        <v/>
      </c>
      <c r="C626" s="213" t="n"/>
      <c r="D626" s="55" t="n"/>
      <c r="E626" s="55" t="n"/>
      <c r="F626" s="56" t="n"/>
      <c r="G626" s="196" t="n"/>
      <c r="H626" s="21" t="n"/>
      <c r="I626" s="21" t="n"/>
      <c r="J626" s="53">
        <f>IF($C626="","",INDEX(Настройки!$V$6:$V$17,MONTH($C626))&amp;" "&amp;YEAR($C626))</f>
        <v/>
      </c>
      <c r="K626" s="57">
        <f>IF(OR($F626="",$D626="Перевод"),"",IF(AND(N($G626)&lt;&gt;0,COUNTIFS(Журнал!$C$10:$C$1509,$C626,Журнал!$P$10:$P$1509,$G626)&gt;0),"есть в Журнале",IF(COUNTIF(Постоянные!$C$8:$C$37,$F626)&gt;0,"есть в Постоянных",IF(COUNTIF(Покупки!$C$7:$C$18,$F626)&gt;0,"есть в Покупках",""))))</f>
        <v/>
      </c>
      <c r="P626">
        <f>IF($C626="","",DATE(YEAR($C626),MONTH($C626),1))</f>
        <v/>
      </c>
      <c r="Q626">
        <f>IF(ISNUMBER($G626),ABS($G626),0)</f>
        <v/>
      </c>
      <c r="R626">
        <f>IF(AND($D626="Расход",COUNTIFS(Счета!$B$10:$B$21,$H626,Счета!$C$10:$C$21,"Кредитная")&gt;0),1,0)</f>
        <v/>
      </c>
    </row>
    <row r="627" ht="19" customHeight="1">
      <c r="B627" s="53">
        <f>IF(AND($C627="",$F627=""),"",ROW()-9)</f>
        <v/>
      </c>
      <c r="C627" s="213" t="n"/>
      <c r="D627" s="55" t="n"/>
      <c r="E627" s="55" t="n"/>
      <c r="F627" s="56" t="n"/>
      <c r="G627" s="196" t="n"/>
      <c r="H627" s="21" t="n"/>
      <c r="I627" s="21" t="n"/>
      <c r="J627" s="53">
        <f>IF($C627="","",INDEX(Настройки!$V$6:$V$17,MONTH($C627))&amp;" "&amp;YEAR($C627))</f>
        <v/>
      </c>
      <c r="K627" s="57">
        <f>IF(OR($F627="",$D627="Перевод"),"",IF(AND(N($G627)&lt;&gt;0,COUNTIFS(Журнал!$C$10:$C$1509,$C627,Журнал!$P$10:$P$1509,$G627)&gt;0),"есть в Журнале",IF(COUNTIF(Постоянные!$C$8:$C$37,$F627)&gt;0,"есть в Постоянных",IF(COUNTIF(Покупки!$C$7:$C$18,$F627)&gt;0,"есть в Покупках",""))))</f>
        <v/>
      </c>
      <c r="P627">
        <f>IF($C627="","",DATE(YEAR($C627),MONTH($C627),1))</f>
        <v/>
      </c>
      <c r="Q627">
        <f>IF(ISNUMBER($G627),ABS($G627),0)</f>
        <v/>
      </c>
      <c r="R627">
        <f>IF(AND($D627="Расход",COUNTIFS(Счета!$B$10:$B$21,$H627,Счета!$C$10:$C$21,"Кредитная")&gt;0),1,0)</f>
        <v/>
      </c>
    </row>
    <row r="628" ht="19" customHeight="1">
      <c r="B628" s="53">
        <f>IF(AND($C628="",$F628=""),"",ROW()-9)</f>
        <v/>
      </c>
      <c r="C628" s="213" t="n"/>
      <c r="D628" s="55" t="n"/>
      <c r="E628" s="55" t="n"/>
      <c r="F628" s="56" t="n"/>
      <c r="G628" s="196" t="n"/>
      <c r="H628" s="21" t="n"/>
      <c r="I628" s="21" t="n"/>
      <c r="J628" s="53">
        <f>IF($C628="","",INDEX(Настройки!$V$6:$V$17,MONTH($C628))&amp;" "&amp;YEAR($C628))</f>
        <v/>
      </c>
      <c r="K628" s="57">
        <f>IF(OR($F628="",$D628="Перевод"),"",IF(AND(N($G628)&lt;&gt;0,COUNTIFS(Журнал!$C$10:$C$1509,$C628,Журнал!$P$10:$P$1509,$G628)&gt;0),"есть в Журнале",IF(COUNTIF(Постоянные!$C$8:$C$37,$F628)&gt;0,"есть в Постоянных",IF(COUNTIF(Покупки!$C$7:$C$18,$F628)&gt;0,"есть в Покупках",""))))</f>
        <v/>
      </c>
      <c r="P628">
        <f>IF($C628="","",DATE(YEAR($C628),MONTH($C628),1))</f>
        <v/>
      </c>
      <c r="Q628">
        <f>IF(ISNUMBER($G628),ABS($G628),0)</f>
        <v/>
      </c>
      <c r="R628">
        <f>IF(AND($D628="Расход",COUNTIFS(Счета!$B$10:$B$21,$H628,Счета!$C$10:$C$21,"Кредитная")&gt;0),1,0)</f>
        <v/>
      </c>
    </row>
    <row r="629" ht="19" customHeight="1">
      <c r="B629" s="53">
        <f>IF(AND($C629="",$F629=""),"",ROW()-9)</f>
        <v/>
      </c>
      <c r="C629" s="213" t="n"/>
      <c r="D629" s="55" t="n"/>
      <c r="E629" s="55" t="n"/>
      <c r="F629" s="56" t="n"/>
      <c r="G629" s="196" t="n"/>
      <c r="H629" s="21" t="n"/>
      <c r="I629" s="21" t="n"/>
      <c r="J629" s="53">
        <f>IF($C629="","",INDEX(Настройки!$V$6:$V$17,MONTH($C629))&amp;" "&amp;YEAR($C629))</f>
        <v/>
      </c>
      <c r="K629" s="57">
        <f>IF(OR($F629="",$D629="Перевод"),"",IF(AND(N($G629)&lt;&gt;0,COUNTIFS(Журнал!$C$10:$C$1509,$C629,Журнал!$P$10:$P$1509,$G629)&gt;0),"есть в Журнале",IF(COUNTIF(Постоянные!$C$8:$C$37,$F629)&gt;0,"есть в Постоянных",IF(COUNTIF(Покупки!$C$7:$C$18,$F629)&gt;0,"есть в Покупках",""))))</f>
        <v/>
      </c>
      <c r="P629">
        <f>IF($C629="","",DATE(YEAR($C629),MONTH($C629),1))</f>
        <v/>
      </c>
      <c r="Q629">
        <f>IF(ISNUMBER($G629),ABS($G629),0)</f>
        <v/>
      </c>
      <c r="R629">
        <f>IF(AND($D629="Расход",COUNTIFS(Счета!$B$10:$B$21,$H629,Счета!$C$10:$C$21,"Кредитная")&gt;0),1,0)</f>
        <v/>
      </c>
    </row>
    <row r="630" ht="19" customHeight="1">
      <c r="B630" s="53">
        <f>IF(AND($C630="",$F630=""),"",ROW()-9)</f>
        <v/>
      </c>
      <c r="C630" s="213" t="n"/>
      <c r="D630" s="55" t="n"/>
      <c r="E630" s="55" t="n"/>
      <c r="F630" s="56" t="n"/>
      <c r="G630" s="196" t="n"/>
      <c r="H630" s="21" t="n"/>
      <c r="I630" s="21" t="n"/>
      <c r="J630" s="53">
        <f>IF($C630="","",INDEX(Настройки!$V$6:$V$17,MONTH($C630))&amp;" "&amp;YEAR($C630))</f>
        <v/>
      </c>
      <c r="K630" s="57">
        <f>IF(OR($F630="",$D630="Перевод"),"",IF(AND(N($G630)&lt;&gt;0,COUNTIFS(Журнал!$C$10:$C$1509,$C630,Журнал!$P$10:$P$1509,$G630)&gt;0),"есть в Журнале",IF(COUNTIF(Постоянные!$C$8:$C$37,$F630)&gt;0,"есть в Постоянных",IF(COUNTIF(Покупки!$C$7:$C$18,$F630)&gt;0,"есть в Покупках",""))))</f>
        <v/>
      </c>
      <c r="P630">
        <f>IF($C630="","",DATE(YEAR($C630),MONTH($C630),1))</f>
        <v/>
      </c>
      <c r="Q630">
        <f>IF(ISNUMBER($G630),ABS($G630),0)</f>
        <v/>
      </c>
      <c r="R630">
        <f>IF(AND($D630="Расход",COUNTIFS(Счета!$B$10:$B$21,$H630,Счета!$C$10:$C$21,"Кредитная")&gt;0),1,0)</f>
        <v/>
      </c>
    </row>
    <row r="631" ht="19" customHeight="1">
      <c r="B631" s="53">
        <f>IF(AND($C631="",$F631=""),"",ROW()-9)</f>
        <v/>
      </c>
      <c r="C631" s="213" t="n"/>
      <c r="D631" s="55" t="n"/>
      <c r="E631" s="55" t="n"/>
      <c r="F631" s="56" t="n"/>
      <c r="G631" s="196" t="n"/>
      <c r="H631" s="21" t="n"/>
      <c r="I631" s="21" t="n"/>
      <c r="J631" s="53">
        <f>IF($C631="","",INDEX(Настройки!$V$6:$V$17,MONTH($C631))&amp;" "&amp;YEAR($C631))</f>
        <v/>
      </c>
      <c r="K631" s="57">
        <f>IF(OR($F631="",$D631="Перевод"),"",IF(AND(N($G631)&lt;&gt;0,COUNTIFS(Журнал!$C$10:$C$1509,$C631,Журнал!$P$10:$P$1509,$G631)&gt;0),"есть в Журнале",IF(COUNTIF(Постоянные!$C$8:$C$37,$F631)&gt;0,"есть в Постоянных",IF(COUNTIF(Покупки!$C$7:$C$18,$F631)&gt;0,"есть в Покупках",""))))</f>
        <v/>
      </c>
      <c r="P631">
        <f>IF($C631="","",DATE(YEAR($C631),MONTH($C631),1))</f>
        <v/>
      </c>
      <c r="Q631">
        <f>IF(ISNUMBER($G631),ABS($G631),0)</f>
        <v/>
      </c>
      <c r="R631">
        <f>IF(AND($D631="Расход",COUNTIFS(Счета!$B$10:$B$21,$H631,Счета!$C$10:$C$21,"Кредитная")&gt;0),1,0)</f>
        <v/>
      </c>
    </row>
    <row r="632" ht="19" customHeight="1">
      <c r="B632" s="53">
        <f>IF(AND($C632="",$F632=""),"",ROW()-9)</f>
        <v/>
      </c>
      <c r="C632" s="213" t="n"/>
      <c r="D632" s="55" t="n"/>
      <c r="E632" s="55" t="n"/>
      <c r="F632" s="56" t="n"/>
      <c r="G632" s="196" t="n"/>
      <c r="H632" s="21" t="n"/>
      <c r="I632" s="21" t="n"/>
      <c r="J632" s="53">
        <f>IF($C632="","",INDEX(Настройки!$V$6:$V$17,MONTH($C632))&amp;" "&amp;YEAR($C632))</f>
        <v/>
      </c>
      <c r="K632" s="57">
        <f>IF(OR($F632="",$D632="Перевод"),"",IF(AND(N($G632)&lt;&gt;0,COUNTIFS(Журнал!$C$10:$C$1509,$C632,Журнал!$P$10:$P$1509,$G632)&gt;0),"есть в Журнале",IF(COUNTIF(Постоянные!$C$8:$C$37,$F632)&gt;0,"есть в Постоянных",IF(COUNTIF(Покупки!$C$7:$C$18,$F632)&gt;0,"есть в Покупках",""))))</f>
        <v/>
      </c>
      <c r="P632">
        <f>IF($C632="","",DATE(YEAR($C632),MONTH($C632),1))</f>
        <v/>
      </c>
      <c r="Q632">
        <f>IF(ISNUMBER($G632),ABS($G632),0)</f>
        <v/>
      </c>
      <c r="R632">
        <f>IF(AND($D632="Расход",COUNTIFS(Счета!$B$10:$B$21,$H632,Счета!$C$10:$C$21,"Кредитная")&gt;0),1,0)</f>
        <v/>
      </c>
    </row>
    <row r="633" ht="19" customHeight="1">
      <c r="B633" s="53">
        <f>IF(AND($C633="",$F633=""),"",ROW()-9)</f>
        <v/>
      </c>
      <c r="C633" s="213" t="n"/>
      <c r="D633" s="55" t="n"/>
      <c r="E633" s="55" t="n"/>
      <c r="F633" s="56" t="n"/>
      <c r="G633" s="196" t="n"/>
      <c r="H633" s="21" t="n"/>
      <c r="I633" s="21" t="n"/>
      <c r="J633" s="53">
        <f>IF($C633="","",INDEX(Настройки!$V$6:$V$17,MONTH($C633))&amp;" "&amp;YEAR($C633))</f>
        <v/>
      </c>
      <c r="K633" s="57">
        <f>IF(OR($F633="",$D633="Перевод"),"",IF(AND(N($G633)&lt;&gt;0,COUNTIFS(Журнал!$C$10:$C$1509,$C633,Журнал!$P$10:$P$1509,$G633)&gt;0),"есть в Журнале",IF(COUNTIF(Постоянные!$C$8:$C$37,$F633)&gt;0,"есть в Постоянных",IF(COUNTIF(Покупки!$C$7:$C$18,$F633)&gt;0,"есть в Покупках",""))))</f>
        <v/>
      </c>
      <c r="P633">
        <f>IF($C633="","",DATE(YEAR($C633),MONTH($C633),1))</f>
        <v/>
      </c>
      <c r="Q633">
        <f>IF(ISNUMBER($G633),ABS($G633),0)</f>
        <v/>
      </c>
      <c r="R633">
        <f>IF(AND($D633="Расход",COUNTIFS(Счета!$B$10:$B$21,$H633,Счета!$C$10:$C$21,"Кредитная")&gt;0),1,0)</f>
        <v/>
      </c>
    </row>
    <row r="634" ht="19" customHeight="1">
      <c r="B634" s="53">
        <f>IF(AND($C634="",$F634=""),"",ROW()-9)</f>
        <v/>
      </c>
      <c r="C634" s="213" t="n"/>
      <c r="D634" s="55" t="n"/>
      <c r="E634" s="55" t="n"/>
      <c r="F634" s="56" t="n"/>
      <c r="G634" s="196" t="n"/>
      <c r="H634" s="21" t="n"/>
      <c r="I634" s="21" t="n"/>
      <c r="J634" s="53">
        <f>IF($C634="","",INDEX(Настройки!$V$6:$V$17,MONTH($C634))&amp;" "&amp;YEAR($C634))</f>
        <v/>
      </c>
      <c r="K634" s="57">
        <f>IF(OR($F634="",$D634="Перевод"),"",IF(AND(N($G634)&lt;&gt;0,COUNTIFS(Журнал!$C$10:$C$1509,$C634,Журнал!$P$10:$P$1509,$G634)&gt;0),"есть в Журнале",IF(COUNTIF(Постоянные!$C$8:$C$37,$F634)&gt;0,"есть в Постоянных",IF(COUNTIF(Покупки!$C$7:$C$18,$F634)&gt;0,"есть в Покупках",""))))</f>
        <v/>
      </c>
      <c r="P634">
        <f>IF($C634="","",DATE(YEAR($C634),MONTH($C634),1))</f>
        <v/>
      </c>
      <c r="Q634">
        <f>IF(ISNUMBER($G634),ABS($G634),0)</f>
        <v/>
      </c>
      <c r="R634">
        <f>IF(AND($D634="Расход",COUNTIFS(Счета!$B$10:$B$21,$H634,Счета!$C$10:$C$21,"Кредитная")&gt;0),1,0)</f>
        <v/>
      </c>
    </row>
    <row r="635" ht="19" customHeight="1">
      <c r="B635" s="53">
        <f>IF(AND($C635="",$F635=""),"",ROW()-9)</f>
        <v/>
      </c>
      <c r="C635" s="213" t="n"/>
      <c r="D635" s="55" t="n"/>
      <c r="E635" s="55" t="n"/>
      <c r="F635" s="56" t="n"/>
      <c r="G635" s="196" t="n"/>
      <c r="H635" s="21" t="n"/>
      <c r="I635" s="21" t="n"/>
      <c r="J635" s="53">
        <f>IF($C635="","",INDEX(Настройки!$V$6:$V$17,MONTH($C635))&amp;" "&amp;YEAR($C635))</f>
        <v/>
      </c>
      <c r="K635" s="57">
        <f>IF(OR($F635="",$D635="Перевод"),"",IF(AND(N($G635)&lt;&gt;0,COUNTIFS(Журнал!$C$10:$C$1509,$C635,Журнал!$P$10:$P$1509,$G635)&gt;0),"есть в Журнале",IF(COUNTIF(Постоянные!$C$8:$C$37,$F635)&gt;0,"есть в Постоянных",IF(COUNTIF(Покупки!$C$7:$C$18,$F635)&gt;0,"есть в Покупках",""))))</f>
        <v/>
      </c>
      <c r="P635">
        <f>IF($C635="","",DATE(YEAR($C635),MONTH($C635),1))</f>
        <v/>
      </c>
      <c r="Q635">
        <f>IF(ISNUMBER($G635),ABS($G635),0)</f>
        <v/>
      </c>
      <c r="R635">
        <f>IF(AND($D635="Расход",COUNTIFS(Счета!$B$10:$B$21,$H635,Счета!$C$10:$C$21,"Кредитная")&gt;0),1,0)</f>
        <v/>
      </c>
    </row>
    <row r="636" ht="19" customHeight="1">
      <c r="B636" s="53">
        <f>IF(AND($C636="",$F636=""),"",ROW()-9)</f>
        <v/>
      </c>
      <c r="C636" s="213" t="n"/>
      <c r="D636" s="55" t="n"/>
      <c r="E636" s="55" t="n"/>
      <c r="F636" s="56" t="n"/>
      <c r="G636" s="196" t="n"/>
      <c r="H636" s="21" t="n"/>
      <c r="I636" s="21" t="n"/>
      <c r="J636" s="53">
        <f>IF($C636="","",INDEX(Настройки!$V$6:$V$17,MONTH($C636))&amp;" "&amp;YEAR($C636))</f>
        <v/>
      </c>
      <c r="K636" s="57">
        <f>IF(OR($F636="",$D636="Перевод"),"",IF(AND(N($G636)&lt;&gt;0,COUNTIFS(Журнал!$C$10:$C$1509,$C636,Журнал!$P$10:$P$1509,$G636)&gt;0),"есть в Журнале",IF(COUNTIF(Постоянные!$C$8:$C$37,$F636)&gt;0,"есть в Постоянных",IF(COUNTIF(Покупки!$C$7:$C$18,$F636)&gt;0,"есть в Покупках",""))))</f>
        <v/>
      </c>
      <c r="P636">
        <f>IF($C636="","",DATE(YEAR($C636),MONTH($C636),1))</f>
        <v/>
      </c>
      <c r="Q636">
        <f>IF(ISNUMBER($G636),ABS($G636),0)</f>
        <v/>
      </c>
      <c r="R636">
        <f>IF(AND($D636="Расход",COUNTIFS(Счета!$B$10:$B$21,$H636,Счета!$C$10:$C$21,"Кредитная")&gt;0),1,0)</f>
        <v/>
      </c>
    </row>
    <row r="637" ht="19" customHeight="1">
      <c r="B637" s="53">
        <f>IF(AND($C637="",$F637=""),"",ROW()-9)</f>
        <v/>
      </c>
      <c r="C637" s="213" t="n"/>
      <c r="D637" s="55" t="n"/>
      <c r="E637" s="55" t="n"/>
      <c r="F637" s="56" t="n"/>
      <c r="G637" s="196" t="n"/>
      <c r="H637" s="21" t="n"/>
      <c r="I637" s="21" t="n"/>
      <c r="J637" s="53">
        <f>IF($C637="","",INDEX(Настройки!$V$6:$V$17,MONTH($C637))&amp;" "&amp;YEAR($C637))</f>
        <v/>
      </c>
      <c r="K637" s="57">
        <f>IF(OR($F637="",$D637="Перевод"),"",IF(AND(N($G637)&lt;&gt;0,COUNTIFS(Журнал!$C$10:$C$1509,$C637,Журнал!$P$10:$P$1509,$G637)&gt;0),"есть в Журнале",IF(COUNTIF(Постоянные!$C$8:$C$37,$F637)&gt;0,"есть в Постоянных",IF(COUNTIF(Покупки!$C$7:$C$18,$F637)&gt;0,"есть в Покупках",""))))</f>
        <v/>
      </c>
      <c r="P637">
        <f>IF($C637="","",DATE(YEAR($C637),MONTH($C637),1))</f>
        <v/>
      </c>
      <c r="Q637">
        <f>IF(ISNUMBER($G637),ABS($G637),0)</f>
        <v/>
      </c>
      <c r="R637">
        <f>IF(AND($D637="Расход",COUNTIFS(Счета!$B$10:$B$21,$H637,Счета!$C$10:$C$21,"Кредитная")&gt;0),1,0)</f>
        <v/>
      </c>
    </row>
    <row r="638" ht="19" customHeight="1">
      <c r="B638" s="53">
        <f>IF(AND($C638="",$F638=""),"",ROW()-9)</f>
        <v/>
      </c>
      <c r="C638" s="213" t="n"/>
      <c r="D638" s="55" t="n"/>
      <c r="E638" s="55" t="n"/>
      <c r="F638" s="56" t="n"/>
      <c r="G638" s="196" t="n"/>
      <c r="H638" s="21" t="n"/>
      <c r="I638" s="21" t="n"/>
      <c r="J638" s="53">
        <f>IF($C638="","",INDEX(Настройки!$V$6:$V$17,MONTH($C638))&amp;" "&amp;YEAR($C638))</f>
        <v/>
      </c>
      <c r="K638" s="57">
        <f>IF(OR($F638="",$D638="Перевод"),"",IF(AND(N($G638)&lt;&gt;0,COUNTIFS(Журнал!$C$10:$C$1509,$C638,Журнал!$P$10:$P$1509,$G638)&gt;0),"есть в Журнале",IF(COUNTIF(Постоянные!$C$8:$C$37,$F638)&gt;0,"есть в Постоянных",IF(COUNTIF(Покупки!$C$7:$C$18,$F638)&gt;0,"есть в Покупках",""))))</f>
        <v/>
      </c>
      <c r="P638">
        <f>IF($C638="","",DATE(YEAR($C638),MONTH($C638),1))</f>
        <v/>
      </c>
      <c r="Q638">
        <f>IF(ISNUMBER($G638),ABS($G638),0)</f>
        <v/>
      </c>
      <c r="R638">
        <f>IF(AND($D638="Расход",COUNTIFS(Счета!$B$10:$B$21,$H638,Счета!$C$10:$C$21,"Кредитная")&gt;0),1,0)</f>
        <v/>
      </c>
    </row>
    <row r="639" ht="19" customHeight="1">
      <c r="B639" s="53">
        <f>IF(AND($C639="",$F639=""),"",ROW()-9)</f>
        <v/>
      </c>
      <c r="C639" s="213" t="n"/>
      <c r="D639" s="55" t="n"/>
      <c r="E639" s="55" t="n"/>
      <c r="F639" s="56" t="n"/>
      <c r="G639" s="196" t="n"/>
      <c r="H639" s="21" t="n"/>
      <c r="I639" s="21" t="n"/>
      <c r="J639" s="53">
        <f>IF($C639="","",INDEX(Настройки!$V$6:$V$17,MONTH($C639))&amp;" "&amp;YEAR($C639))</f>
        <v/>
      </c>
      <c r="K639" s="57">
        <f>IF(OR($F639="",$D639="Перевод"),"",IF(AND(N($G639)&lt;&gt;0,COUNTIFS(Журнал!$C$10:$C$1509,$C639,Журнал!$P$10:$P$1509,$G639)&gt;0),"есть в Журнале",IF(COUNTIF(Постоянные!$C$8:$C$37,$F639)&gt;0,"есть в Постоянных",IF(COUNTIF(Покупки!$C$7:$C$18,$F639)&gt;0,"есть в Покупках",""))))</f>
        <v/>
      </c>
      <c r="P639">
        <f>IF($C639="","",DATE(YEAR($C639),MONTH($C639),1))</f>
        <v/>
      </c>
      <c r="Q639">
        <f>IF(ISNUMBER($G639),ABS($G639),0)</f>
        <v/>
      </c>
      <c r="R639">
        <f>IF(AND($D639="Расход",COUNTIFS(Счета!$B$10:$B$21,$H639,Счета!$C$10:$C$21,"Кредитная")&gt;0),1,0)</f>
        <v/>
      </c>
    </row>
    <row r="640" ht="19" customHeight="1">
      <c r="B640" s="53">
        <f>IF(AND($C640="",$F640=""),"",ROW()-9)</f>
        <v/>
      </c>
      <c r="C640" s="213" t="n"/>
      <c r="D640" s="55" t="n"/>
      <c r="E640" s="55" t="n"/>
      <c r="F640" s="56" t="n"/>
      <c r="G640" s="196" t="n"/>
      <c r="H640" s="21" t="n"/>
      <c r="I640" s="21" t="n"/>
      <c r="J640" s="53">
        <f>IF($C640="","",INDEX(Настройки!$V$6:$V$17,MONTH($C640))&amp;" "&amp;YEAR($C640))</f>
        <v/>
      </c>
      <c r="K640" s="57">
        <f>IF(OR($F640="",$D640="Перевод"),"",IF(AND(N($G640)&lt;&gt;0,COUNTIFS(Журнал!$C$10:$C$1509,$C640,Журнал!$P$10:$P$1509,$G640)&gt;0),"есть в Журнале",IF(COUNTIF(Постоянные!$C$8:$C$37,$F640)&gt;0,"есть в Постоянных",IF(COUNTIF(Покупки!$C$7:$C$18,$F640)&gt;0,"есть в Покупках",""))))</f>
        <v/>
      </c>
      <c r="P640">
        <f>IF($C640="","",DATE(YEAR($C640),MONTH($C640),1))</f>
        <v/>
      </c>
      <c r="Q640">
        <f>IF(ISNUMBER($G640),ABS($G640),0)</f>
        <v/>
      </c>
      <c r="R640">
        <f>IF(AND($D640="Расход",COUNTIFS(Счета!$B$10:$B$21,$H640,Счета!$C$10:$C$21,"Кредитная")&gt;0),1,0)</f>
        <v/>
      </c>
    </row>
    <row r="641" ht="19" customHeight="1">
      <c r="B641" s="53">
        <f>IF(AND($C641="",$F641=""),"",ROW()-9)</f>
        <v/>
      </c>
      <c r="C641" s="213" t="n"/>
      <c r="D641" s="55" t="n"/>
      <c r="E641" s="55" t="n"/>
      <c r="F641" s="56" t="n"/>
      <c r="G641" s="196" t="n"/>
      <c r="H641" s="21" t="n"/>
      <c r="I641" s="21" t="n"/>
      <c r="J641" s="53">
        <f>IF($C641="","",INDEX(Настройки!$V$6:$V$17,MONTH($C641))&amp;" "&amp;YEAR($C641))</f>
        <v/>
      </c>
      <c r="K641" s="57">
        <f>IF(OR($F641="",$D641="Перевод"),"",IF(AND(N($G641)&lt;&gt;0,COUNTIFS(Журнал!$C$10:$C$1509,$C641,Журнал!$P$10:$P$1509,$G641)&gt;0),"есть в Журнале",IF(COUNTIF(Постоянные!$C$8:$C$37,$F641)&gt;0,"есть в Постоянных",IF(COUNTIF(Покупки!$C$7:$C$18,$F641)&gt;0,"есть в Покупках",""))))</f>
        <v/>
      </c>
      <c r="P641">
        <f>IF($C641="","",DATE(YEAR($C641),MONTH($C641),1))</f>
        <v/>
      </c>
      <c r="Q641">
        <f>IF(ISNUMBER($G641),ABS($G641),0)</f>
        <v/>
      </c>
      <c r="R641">
        <f>IF(AND($D641="Расход",COUNTIFS(Счета!$B$10:$B$21,$H641,Счета!$C$10:$C$21,"Кредитная")&gt;0),1,0)</f>
        <v/>
      </c>
    </row>
    <row r="642" ht="19" customHeight="1">
      <c r="B642" s="53">
        <f>IF(AND($C642="",$F642=""),"",ROW()-9)</f>
        <v/>
      </c>
      <c r="C642" s="213" t="n"/>
      <c r="D642" s="55" t="n"/>
      <c r="E642" s="55" t="n"/>
      <c r="F642" s="56" t="n"/>
      <c r="G642" s="196" t="n"/>
      <c r="H642" s="21" t="n"/>
      <c r="I642" s="21" t="n"/>
      <c r="J642" s="53">
        <f>IF($C642="","",INDEX(Настройки!$V$6:$V$17,MONTH($C642))&amp;" "&amp;YEAR($C642))</f>
        <v/>
      </c>
      <c r="K642" s="57">
        <f>IF(OR($F642="",$D642="Перевод"),"",IF(AND(N($G642)&lt;&gt;0,COUNTIFS(Журнал!$C$10:$C$1509,$C642,Журнал!$P$10:$P$1509,$G642)&gt;0),"есть в Журнале",IF(COUNTIF(Постоянные!$C$8:$C$37,$F642)&gt;0,"есть в Постоянных",IF(COUNTIF(Покупки!$C$7:$C$18,$F642)&gt;0,"есть в Покупках",""))))</f>
        <v/>
      </c>
      <c r="P642">
        <f>IF($C642="","",DATE(YEAR($C642),MONTH($C642),1))</f>
        <v/>
      </c>
      <c r="Q642">
        <f>IF(ISNUMBER($G642),ABS($G642),0)</f>
        <v/>
      </c>
      <c r="R642">
        <f>IF(AND($D642="Расход",COUNTIFS(Счета!$B$10:$B$21,$H642,Счета!$C$10:$C$21,"Кредитная")&gt;0),1,0)</f>
        <v/>
      </c>
    </row>
    <row r="643" ht="19" customHeight="1">
      <c r="B643" s="53">
        <f>IF(AND($C643="",$F643=""),"",ROW()-9)</f>
        <v/>
      </c>
      <c r="C643" s="213" t="n"/>
      <c r="D643" s="55" t="n"/>
      <c r="E643" s="55" t="n"/>
      <c r="F643" s="56" t="n"/>
      <c r="G643" s="196" t="n"/>
      <c r="H643" s="21" t="n"/>
      <c r="I643" s="21" t="n"/>
      <c r="J643" s="53">
        <f>IF($C643="","",INDEX(Настройки!$V$6:$V$17,MONTH($C643))&amp;" "&amp;YEAR($C643))</f>
        <v/>
      </c>
      <c r="K643" s="57">
        <f>IF(OR($F643="",$D643="Перевод"),"",IF(AND(N($G643)&lt;&gt;0,COUNTIFS(Журнал!$C$10:$C$1509,$C643,Журнал!$P$10:$P$1509,$G643)&gt;0),"есть в Журнале",IF(COUNTIF(Постоянные!$C$8:$C$37,$F643)&gt;0,"есть в Постоянных",IF(COUNTIF(Покупки!$C$7:$C$18,$F643)&gt;0,"есть в Покупках",""))))</f>
        <v/>
      </c>
      <c r="P643">
        <f>IF($C643="","",DATE(YEAR($C643),MONTH($C643),1))</f>
        <v/>
      </c>
      <c r="Q643">
        <f>IF(ISNUMBER($G643),ABS($G643),0)</f>
        <v/>
      </c>
      <c r="R643">
        <f>IF(AND($D643="Расход",COUNTIFS(Счета!$B$10:$B$21,$H643,Счета!$C$10:$C$21,"Кредитная")&gt;0),1,0)</f>
        <v/>
      </c>
    </row>
    <row r="644" ht="19" customHeight="1">
      <c r="B644" s="53">
        <f>IF(AND($C644="",$F644=""),"",ROW()-9)</f>
        <v/>
      </c>
      <c r="C644" s="213" t="n"/>
      <c r="D644" s="55" t="n"/>
      <c r="E644" s="55" t="n"/>
      <c r="F644" s="56" t="n"/>
      <c r="G644" s="196" t="n"/>
      <c r="H644" s="21" t="n"/>
      <c r="I644" s="21" t="n"/>
      <c r="J644" s="53">
        <f>IF($C644="","",INDEX(Настройки!$V$6:$V$17,MONTH($C644))&amp;" "&amp;YEAR($C644))</f>
        <v/>
      </c>
      <c r="K644" s="57">
        <f>IF(OR($F644="",$D644="Перевод"),"",IF(AND(N($G644)&lt;&gt;0,COUNTIFS(Журнал!$C$10:$C$1509,$C644,Журнал!$P$10:$P$1509,$G644)&gt;0),"есть в Журнале",IF(COUNTIF(Постоянные!$C$8:$C$37,$F644)&gt;0,"есть в Постоянных",IF(COUNTIF(Покупки!$C$7:$C$18,$F644)&gt;0,"есть в Покупках",""))))</f>
        <v/>
      </c>
      <c r="P644">
        <f>IF($C644="","",DATE(YEAR($C644),MONTH($C644),1))</f>
        <v/>
      </c>
      <c r="Q644">
        <f>IF(ISNUMBER($G644),ABS($G644),0)</f>
        <v/>
      </c>
      <c r="R644">
        <f>IF(AND($D644="Расход",COUNTIFS(Счета!$B$10:$B$21,$H644,Счета!$C$10:$C$21,"Кредитная")&gt;0),1,0)</f>
        <v/>
      </c>
    </row>
    <row r="645" ht="19" customHeight="1">
      <c r="B645" s="53">
        <f>IF(AND($C645="",$F645=""),"",ROW()-9)</f>
        <v/>
      </c>
      <c r="C645" s="213" t="n"/>
      <c r="D645" s="55" t="n"/>
      <c r="E645" s="55" t="n"/>
      <c r="F645" s="56" t="n"/>
      <c r="G645" s="196" t="n"/>
      <c r="H645" s="21" t="n"/>
      <c r="I645" s="21" t="n"/>
      <c r="J645" s="53">
        <f>IF($C645="","",INDEX(Настройки!$V$6:$V$17,MONTH($C645))&amp;" "&amp;YEAR($C645))</f>
        <v/>
      </c>
      <c r="K645" s="57">
        <f>IF(OR($F645="",$D645="Перевод"),"",IF(AND(N($G645)&lt;&gt;0,COUNTIFS(Журнал!$C$10:$C$1509,$C645,Журнал!$P$10:$P$1509,$G645)&gt;0),"есть в Журнале",IF(COUNTIF(Постоянные!$C$8:$C$37,$F645)&gt;0,"есть в Постоянных",IF(COUNTIF(Покупки!$C$7:$C$18,$F645)&gt;0,"есть в Покупках",""))))</f>
        <v/>
      </c>
      <c r="P645">
        <f>IF($C645="","",DATE(YEAR($C645),MONTH($C645),1))</f>
        <v/>
      </c>
      <c r="Q645">
        <f>IF(ISNUMBER($G645),ABS($G645),0)</f>
        <v/>
      </c>
      <c r="R645">
        <f>IF(AND($D645="Расход",COUNTIFS(Счета!$B$10:$B$21,$H645,Счета!$C$10:$C$21,"Кредитная")&gt;0),1,0)</f>
        <v/>
      </c>
    </row>
    <row r="646" ht="19" customHeight="1">
      <c r="B646" s="53">
        <f>IF(AND($C646="",$F646=""),"",ROW()-9)</f>
        <v/>
      </c>
      <c r="C646" s="213" t="n"/>
      <c r="D646" s="55" t="n"/>
      <c r="E646" s="55" t="n"/>
      <c r="F646" s="56" t="n"/>
      <c r="G646" s="196" t="n"/>
      <c r="H646" s="21" t="n"/>
      <c r="I646" s="21" t="n"/>
      <c r="J646" s="53">
        <f>IF($C646="","",INDEX(Настройки!$V$6:$V$17,MONTH($C646))&amp;" "&amp;YEAR($C646))</f>
        <v/>
      </c>
      <c r="K646" s="57">
        <f>IF(OR($F646="",$D646="Перевод"),"",IF(AND(N($G646)&lt;&gt;0,COUNTIFS(Журнал!$C$10:$C$1509,$C646,Журнал!$P$10:$P$1509,$G646)&gt;0),"есть в Журнале",IF(COUNTIF(Постоянные!$C$8:$C$37,$F646)&gt;0,"есть в Постоянных",IF(COUNTIF(Покупки!$C$7:$C$18,$F646)&gt;0,"есть в Покупках",""))))</f>
        <v/>
      </c>
      <c r="P646">
        <f>IF($C646="","",DATE(YEAR($C646),MONTH($C646),1))</f>
        <v/>
      </c>
      <c r="Q646">
        <f>IF(ISNUMBER($G646),ABS($G646),0)</f>
        <v/>
      </c>
      <c r="R646">
        <f>IF(AND($D646="Расход",COUNTIFS(Счета!$B$10:$B$21,$H646,Счета!$C$10:$C$21,"Кредитная")&gt;0),1,0)</f>
        <v/>
      </c>
    </row>
    <row r="647" ht="19" customHeight="1">
      <c r="B647" s="53">
        <f>IF(AND($C647="",$F647=""),"",ROW()-9)</f>
        <v/>
      </c>
      <c r="C647" s="213" t="n"/>
      <c r="D647" s="55" t="n"/>
      <c r="E647" s="55" t="n"/>
      <c r="F647" s="56" t="n"/>
      <c r="G647" s="196" t="n"/>
      <c r="H647" s="21" t="n"/>
      <c r="I647" s="21" t="n"/>
      <c r="J647" s="53">
        <f>IF($C647="","",INDEX(Настройки!$V$6:$V$17,MONTH($C647))&amp;" "&amp;YEAR($C647))</f>
        <v/>
      </c>
      <c r="K647" s="57">
        <f>IF(OR($F647="",$D647="Перевод"),"",IF(AND(N($G647)&lt;&gt;0,COUNTIFS(Журнал!$C$10:$C$1509,$C647,Журнал!$P$10:$P$1509,$G647)&gt;0),"есть в Журнале",IF(COUNTIF(Постоянные!$C$8:$C$37,$F647)&gt;0,"есть в Постоянных",IF(COUNTIF(Покупки!$C$7:$C$18,$F647)&gt;0,"есть в Покупках",""))))</f>
        <v/>
      </c>
      <c r="P647">
        <f>IF($C647="","",DATE(YEAR($C647),MONTH($C647),1))</f>
        <v/>
      </c>
      <c r="Q647">
        <f>IF(ISNUMBER($G647),ABS($G647),0)</f>
        <v/>
      </c>
      <c r="R647">
        <f>IF(AND($D647="Расход",COUNTIFS(Счета!$B$10:$B$21,$H647,Счета!$C$10:$C$21,"Кредитная")&gt;0),1,0)</f>
        <v/>
      </c>
    </row>
    <row r="648" ht="19" customHeight="1">
      <c r="B648" s="53">
        <f>IF(AND($C648="",$F648=""),"",ROW()-9)</f>
        <v/>
      </c>
      <c r="C648" s="213" t="n"/>
      <c r="D648" s="55" t="n"/>
      <c r="E648" s="55" t="n"/>
      <c r="F648" s="56" t="n"/>
      <c r="G648" s="196" t="n"/>
      <c r="H648" s="21" t="n"/>
      <c r="I648" s="21" t="n"/>
      <c r="J648" s="53">
        <f>IF($C648="","",INDEX(Настройки!$V$6:$V$17,MONTH($C648))&amp;" "&amp;YEAR($C648))</f>
        <v/>
      </c>
      <c r="K648" s="57">
        <f>IF(OR($F648="",$D648="Перевод"),"",IF(AND(N($G648)&lt;&gt;0,COUNTIFS(Журнал!$C$10:$C$1509,$C648,Журнал!$P$10:$P$1509,$G648)&gt;0),"есть в Журнале",IF(COUNTIF(Постоянные!$C$8:$C$37,$F648)&gt;0,"есть в Постоянных",IF(COUNTIF(Покупки!$C$7:$C$18,$F648)&gt;0,"есть в Покупках",""))))</f>
        <v/>
      </c>
      <c r="P648">
        <f>IF($C648="","",DATE(YEAR($C648),MONTH($C648),1))</f>
        <v/>
      </c>
      <c r="Q648">
        <f>IF(ISNUMBER($G648),ABS($G648),0)</f>
        <v/>
      </c>
      <c r="R648">
        <f>IF(AND($D648="Расход",COUNTIFS(Счета!$B$10:$B$21,$H648,Счета!$C$10:$C$21,"Кредитная")&gt;0),1,0)</f>
        <v/>
      </c>
    </row>
    <row r="649" ht="19" customHeight="1">
      <c r="B649" s="53">
        <f>IF(AND($C649="",$F649=""),"",ROW()-9)</f>
        <v/>
      </c>
      <c r="C649" s="213" t="n"/>
      <c r="D649" s="55" t="n"/>
      <c r="E649" s="55" t="n"/>
      <c r="F649" s="56" t="n"/>
      <c r="G649" s="196" t="n"/>
      <c r="H649" s="21" t="n"/>
      <c r="I649" s="21" t="n"/>
      <c r="J649" s="53">
        <f>IF($C649="","",INDEX(Настройки!$V$6:$V$17,MONTH($C649))&amp;" "&amp;YEAR($C649))</f>
        <v/>
      </c>
      <c r="K649" s="57">
        <f>IF(OR($F649="",$D649="Перевод"),"",IF(AND(N($G649)&lt;&gt;0,COUNTIFS(Журнал!$C$10:$C$1509,$C649,Журнал!$P$10:$P$1509,$G649)&gt;0),"есть в Журнале",IF(COUNTIF(Постоянные!$C$8:$C$37,$F649)&gt;0,"есть в Постоянных",IF(COUNTIF(Покупки!$C$7:$C$18,$F649)&gt;0,"есть в Покупках",""))))</f>
        <v/>
      </c>
      <c r="P649">
        <f>IF($C649="","",DATE(YEAR($C649),MONTH($C649),1))</f>
        <v/>
      </c>
      <c r="Q649">
        <f>IF(ISNUMBER($G649),ABS($G649),0)</f>
        <v/>
      </c>
      <c r="R649">
        <f>IF(AND($D649="Расход",COUNTIFS(Счета!$B$10:$B$21,$H649,Счета!$C$10:$C$21,"Кредитная")&gt;0),1,0)</f>
        <v/>
      </c>
    </row>
    <row r="650" ht="19" customHeight="1">
      <c r="B650" s="53">
        <f>IF(AND($C650="",$F650=""),"",ROW()-9)</f>
        <v/>
      </c>
      <c r="C650" s="213" t="n"/>
      <c r="D650" s="55" t="n"/>
      <c r="E650" s="55" t="n"/>
      <c r="F650" s="56" t="n"/>
      <c r="G650" s="196" t="n"/>
      <c r="H650" s="21" t="n"/>
      <c r="I650" s="21" t="n"/>
      <c r="J650" s="53">
        <f>IF($C650="","",INDEX(Настройки!$V$6:$V$17,MONTH($C650))&amp;" "&amp;YEAR($C650))</f>
        <v/>
      </c>
      <c r="K650" s="57">
        <f>IF(OR($F650="",$D650="Перевод"),"",IF(AND(N($G650)&lt;&gt;0,COUNTIFS(Журнал!$C$10:$C$1509,$C650,Журнал!$P$10:$P$1509,$G650)&gt;0),"есть в Журнале",IF(COUNTIF(Постоянные!$C$8:$C$37,$F650)&gt;0,"есть в Постоянных",IF(COUNTIF(Покупки!$C$7:$C$18,$F650)&gt;0,"есть в Покупках",""))))</f>
        <v/>
      </c>
      <c r="P650">
        <f>IF($C650="","",DATE(YEAR($C650),MONTH($C650),1))</f>
        <v/>
      </c>
      <c r="Q650">
        <f>IF(ISNUMBER($G650),ABS($G650),0)</f>
        <v/>
      </c>
      <c r="R650">
        <f>IF(AND($D650="Расход",COUNTIFS(Счета!$B$10:$B$21,$H650,Счета!$C$10:$C$21,"Кредитная")&gt;0),1,0)</f>
        <v/>
      </c>
    </row>
    <row r="651" ht="19" customHeight="1">
      <c r="B651" s="53">
        <f>IF(AND($C651="",$F651=""),"",ROW()-9)</f>
        <v/>
      </c>
      <c r="C651" s="213" t="n"/>
      <c r="D651" s="55" t="n"/>
      <c r="E651" s="55" t="n"/>
      <c r="F651" s="56" t="n"/>
      <c r="G651" s="196" t="n"/>
      <c r="H651" s="21" t="n"/>
      <c r="I651" s="21" t="n"/>
      <c r="J651" s="53">
        <f>IF($C651="","",INDEX(Настройки!$V$6:$V$17,MONTH($C651))&amp;" "&amp;YEAR($C651))</f>
        <v/>
      </c>
      <c r="K651" s="57">
        <f>IF(OR($F651="",$D651="Перевод"),"",IF(AND(N($G651)&lt;&gt;0,COUNTIFS(Журнал!$C$10:$C$1509,$C651,Журнал!$P$10:$P$1509,$G651)&gt;0),"есть в Журнале",IF(COUNTIF(Постоянные!$C$8:$C$37,$F651)&gt;0,"есть в Постоянных",IF(COUNTIF(Покупки!$C$7:$C$18,$F651)&gt;0,"есть в Покупках",""))))</f>
        <v/>
      </c>
      <c r="P651">
        <f>IF($C651="","",DATE(YEAR($C651),MONTH($C651),1))</f>
        <v/>
      </c>
      <c r="Q651">
        <f>IF(ISNUMBER($G651),ABS($G651),0)</f>
        <v/>
      </c>
      <c r="R651">
        <f>IF(AND($D651="Расход",COUNTIFS(Счета!$B$10:$B$21,$H651,Счета!$C$10:$C$21,"Кредитная")&gt;0),1,0)</f>
        <v/>
      </c>
    </row>
    <row r="652" ht="19" customHeight="1">
      <c r="B652" s="53">
        <f>IF(AND($C652="",$F652=""),"",ROW()-9)</f>
        <v/>
      </c>
      <c r="C652" s="213" t="n"/>
      <c r="D652" s="55" t="n"/>
      <c r="E652" s="55" t="n"/>
      <c r="F652" s="56" t="n"/>
      <c r="G652" s="196" t="n"/>
      <c r="H652" s="21" t="n"/>
      <c r="I652" s="21" t="n"/>
      <c r="J652" s="53">
        <f>IF($C652="","",INDEX(Настройки!$V$6:$V$17,MONTH($C652))&amp;" "&amp;YEAR($C652))</f>
        <v/>
      </c>
      <c r="K652" s="57">
        <f>IF(OR($F652="",$D652="Перевод"),"",IF(AND(N($G652)&lt;&gt;0,COUNTIFS(Журнал!$C$10:$C$1509,$C652,Журнал!$P$10:$P$1509,$G652)&gt;0),"есть в Журнале",IF(COUNTIF(Постоянные!$C$8:$C$37,$F652)&gt;0,"есть в Постоянных",IF(COUNTIF(Покупки!$C$7:$C$18,$F652)&gt;0,"есть в Покупках",""))))</f>
        <v/>
      </c>
      <c r="P652">
        <f>IF($C652="","",DATE(YEAR($C652),MONTH($C652),1))</f>
        <v/>
      </c>
      <c r="Q652">
        <f>IF(ISNUMBER($G652),ABS($G652),0)</f>
        <v/>
      </c>
      <c r="R652">
        <f>IF(AND($D652="Расход",COUNTIFS(Счета!$B$10:$B$21,$H652,Счета!$C$10:$C$21,"Кредитная")&gt;0),1,0)</f>
        <v/>
      </c>
    </row>
    <row r="653" ht="19" customHeight="1">
      <c r="B653" s="53">
        <f>IF(AND($C653="",$F653=""),"",ROW()-9)</f>
        <v/>
      </c>
      <c r="C653" s="213" t="n"/>
      <c r="D653" s="55" t="n"/>
      <c r="E653" s="55" t="n"/>
      <c r="F653" s="56" t="n"/>
      <c r="G653" s="196" t="n"/>
      <c r="H653" s="21" t="n"/>
      <c r="I653" s="21" t="n"/>
      <c r="J653" s="53">
        <f>IF($C653="","",INDEX(Настройки!$V$6:$V$17,MONTH($C653))&amp;" "&amp;YEAR($C653))</f>
        <v/>
      </c>
      <c r="K653" s="57">
        <f>IF(OR($F653="",$D653="Перевод"),"",IF(AND(N($G653)&lt;&gt;0,COUNTIFS(Журнал!$C$10:$C$1509,$C653,Журнал!$P$10:$P$1509,$G653)&gt;0),"есть в Журнале",IF(COUNTIF(Постоянные!$C$8:$C$37,$F653)&gt;0,"есть в Постоянных",IF(COUNTIF(Покупки!$C$7:$C$18,$F653)&gt;0,"есть в Покупках",""))))</f>
        <v/>
      </c>
      <c r="P653">
        <f>IF($C653="","",DATE(YEAR($C653),MONTH($C653),1))</f>
        <v/>
      </c>
      <c r="Q653">
        <f>IF(ISNUMBER($G653),ABS($G653),0)</f>
        <v/>
      </c>
      <c r="R653">
        <f>IF(AND($D653="Расход",COUNTIFS(Счета!$B$10:$B$21,$H653,Счета!$C$10:$C$21,"Кредитная")&gt;0),1,0)</f>
        <v/>
      </c>
    </row>
    <row r="654" ht="19" customHeight="1">
      <c r="B654" s="53">
        <f>IF(AND($C654="",$F654=""),"",ROW()-9)</f>
        <v/>
      </c>
      <c r="C654" s="213" t="n"/>
      <c r="D654" s="55" t="n"/>
      <c r="E654" s="55" t="n"/>
      <c r="F654" s="56" t="n"/>
      <c r="G654" s="196" t="n"/>
      <c r="H654" s="21" t="n"/>
      <c r="I654" s="21" t="n"/>
      <c r="J654" s="53">
        <f>IF($C654="","",INDEX(Настройки!$V$6:$V$17,MONTH($C654))&amp;" "&amp;YEAR($C654))</f>
        <v/>
      </c>
      <c r="K654" s="57">
        <f>IF(OR($F654="",$D654="Перевод"),"",IF(AND(N($G654)&lt;&gt;0,COUNTIFS(Журнал!$C$10:$C$1509,$C654,Журнал!$P$10:$P$1509,$G654)&gt;0),"есть в Журнале",IF(COUNTIF(Постоянные!$C$8:$C$37,$F654)&gt;0,"есть в Постоянных",IF(COUNTIF(Покупки!$C$7:$C$18,$F654)&gt;0,"есть в Покупках",""))))</f>
        <v/>
      </c>
      <c r="P654">
        <f>IF($C654="","",DATE(YEAR($C654),MONTH($C654),1))</f>
        <v/>
      </c>
      <c r="Q654">
        <f>IF(ISNUMBER($G654),ABS($G654),0)</f>
        <v/>
      </c>
      <c r="R654">
        <f>IF(AND($D654="Расход",COUNTIFS(Счета!$B$10:$B$21,$H654,Счета!$C$10:$C$21,"Кредитная")&gt;0),1,0)</f>
        <v/>
      </c>
    </row>
    <row r="655" ht="19" customHeight="1">
      <c r="B655" s="53">
        <f>IF(AND($C655="",$F655=""),"",ROW()-9)</f>
        <v/>
      </c>
      <c r="C655" s="213" t="n"/>
      <c r="D655" s="55" t="n"/>
      <c r="E655" s="55" t="n"/>
      <c r="F655" s="56" t="n"/>
      <c r="G655" s="196" t="n"/>
      <c r="H655" s="21" t="n"/>
      <c r="I655" s="21" t="n"/>
      <c r="J655" s="53">
        <f>IF($C655="","",INDEX(Настройки!$V$6:$V$17,MONTH($C655))&amp;" "&amp;YEAR($C655))</f>
        <v/>
      </c>
      <c r="K655" s="57">
        <f>IF(OR($F655="",$D655="Перевод"),"",IF(AND(N($G655)&lt;&gt;0,COUNTIFS(Журнал!$C$10:$C$1509,$C655,Журнал!$P$10:$P$1509,$G655)&gt;0),"есть в Журнале",IF(COUNTIF(Постоянные!$C$8:$C$37,$F655)&gt;0,"есть в Постоянных",IF(COUNTIF(Покупки!$C$7:$C$18,$F655)&gt;0,"есть в Покупках",""))))</f>
        <v/>
      </c>
      <c r="P655">
        <f>IF($C655="","",DATE(YEAR($C655),MONTH($C655),1))</f>
        <v/>
      </c>
      <c r="Q655">
        <f>IF(ISNUMBER($G655),ABS($G655),0)</f>
        <v/>
      </c>
      <c r="R655">
        <f>IF(AND($D655="Расход",COUNTIFS(Счета!$B$10:$B$21,$H655,Счета!$C$10:$C$21,"Кредитная")&gt;0),1,0)</f>
        <v/>
      </c>
    </row>
    <row r="656" ht="19" customHeight="1">
      <c r="B656" s="53">
        <f>IF(AND($C656="",$F656=""),"",ROW()-9)</f>
        <v/>
      </c>
      <c r="C656" s="213" t="n"/>
      <c r="D656" s="55" t="n"/>
      <c r="E656" s="55" t="n"/>
      <c r="F656" s="56" t="n"/>
      <c r="G656" s="196" t="n"/>
      <c r="H656" s="21" t="n"/>
      <c r="I656" s="21" t="n"/>
      <c r="J656" s="53">
        <f>IF($C656="","",INDEX(Настройки!$V$6:$V$17,MONTH($C656))&amp;" "&amp;YEAR($C656))</f>
        <v/>
      </c>
      <c r="K656" s="57">
        <f>IF(OR($F656="",$D656="Перевод"),"",IF(AND(N($G656)&lt;&gt;0,COUNTIFS(Журнал!$C$10:$C$1509,$C656,Журнал!$P$10:$P$1509,$G656)&gt;0),"есть в Журнале",IF(COUNTIF(Постоянные!$C$8:$C$37,$F656)&gt;0,"есть в Постоянных",IF(COUNTIF(Покупки!$C$7:$C$18,$F656)&gt;0,"есть в Покупках",""))))</f>
        <v/>
      </c>
      <c r="P656">
        <f>IF($C656="","",DATE(YEAR($C656),MONTH($C656),1))</f>
        <v/>
      </c>
      <c r="Q656">
        <f>IF(ISNUMBER($G656),ABS($G656),0)</f>
        <v/>
      </c>
      <c r="R656">
        <f>IF(AND($D656="Расход",COUNTIFS(Счета!$B$10:$B$21,$H656,Счета!$C$10:$C$21,"Кредитная")&gt;0),1,0)</f>
        <v/>
      </c>
    </row>
    <row r="657" ht="19" customHeight="1">
      <c r="B657" s="53">
        <f>IF(AND($C657="",$F657=""),"",ROW()-9)</f>
        <v/>
      </c>
      <c r="C657" s="213" t="n"/>
      <c r="D657" s="55" t="n"/>
      <c r="E657" s="55" t="n"/>
      <c r="F657" s="56" t="n"/>
      <c r="G657" s="196" t="n"/>
      <c r="H657" s="21" t="n"/>
      <c r="I657" s="21" t="n"/>
      <c r="J657" s="53">
        <f>IF($C657="","",INDEX(Настройки!$V$6:$V$17,MONTH($C657))&amp;" "&amp;YEAR($C657))</f>
        <v/>
      </c>
      <c r="K657" s="57">
        <f>IF(OR($F657="",$D657="Перевод"),"",IF(AND(N($G657)&lt;&gt;0,COUNTIFS(Журнал!$C$10:$C$1509,$C657,Журнал!$P$10:$P$1509,$G657)&gt;0),"есть в Журнале",IF(COUNTIF(Постоянные!$C$8:$C$37,$F657)&gt;0,"есть в Постоянных",IF(COUNTIF(Покупки!$C$7:$C$18,$F657)&gt;0,"есть в Покупках",""))))</f>
        <v/>
      </c>
      <c r="P657">
        <f>IF($C657="","",DATE(YEAR($C657),MONTH($C657),1))</f>
        <v/>
      </c>
      <c r="Q657">
        <f>IF(ISNUMBER($G657),ABS($G657),0)</f>
        <v/>
      </c>
      <c r="R657">
        <f>IF(AND($D657="Расход",COUNTIFS(Счета!$B$10:$B$21,$H657,Счета!$C$10:$C$21,"Кредитная")&gt;0),1,0)</f>
        <v/>
      </c>
    </row>
    <row r="658" ht="19" customHeight="1">
      <c r="B658" s="53">
        <f>IF(AND($C658="",$F658=""),"",ROW()-9)</f>
        <v/>
      </c>
      <c r="C658" s="213" t="n"/>
      <c r="D658" s="55" t="n"/>
      <c r="E658" s="55" t="n"/>
      <c r="F658" s="56" t="n"/>
      <c r="G658" s="196" t="n"/>
      <c r="H658" s="21" t="n"/>
      <c r="I658" s="21" t="n"/>
      <c r="J658" s="53">
        <f>IF($C658="","",INDEX(Настройки!$V$6:$V$17,MONTH($C658))&amp;" "&amp;YEAR($C658))</f>
        <v/>
      </c>
      <c r="K658" s="57">
        <f>IF(OR($F658="",$D658="Перевод"),"",IF(AND(N($G658)&lt;&gt;0,COUNTIFS(Журнал!$C$10:$C$1509,$C658,Журнал!$P$10:$P$1509,$G658)&gt;0),"есть в Журнале",IF(COUNTIF(Постоянные!$C$8:$C$37,$F658)&gt;0,"есть в Постоянных",IF(COUNTIF(Покупки!$C$7:$C$18,$F658)&gt;0,"есть в Покупках",""))))</f>
        <v/>
      </c>
      <c r="P658">
        <f>IF($C658="","",DATE(YEAR($C658),MONTH($C658),1))</f>
        <v/>
      </c>
      <c r="Q658">
        <f>IF(ISNUMBER($G658),ABS($G658),0)</f>
        <v/>
      </c>
      <c r="R658">
        <f>IF(AND($D658="Расход",COUNTIFS(Счета!$B$10:$B$21,$H658,Счета!$C$10:$C$21,"Кредитная")&gt;0),1,0)</f>
        <v/>
      </c>
    </row>
    <row r="659" ht="19" customHeight="1">
      <c r="B659" s="53">
        <f>IF(AND($C659="",$F659=""),"",ROW()-9)</f>
        <v/>
      </c>
      <c r="C659" s="213" t="n"/>
      <c r="D659" s="55" t="n"/>
      <c r="E659" s="55" t="n"/>
      <c r="F659" s="56" t="n"/>
      <c r="G659" s="196" t="n"/>
      <c r="H659" s="21" t="n"/>
      <c r="I659" s="21" t="n"/>
      <c r="J659" s="53">
        <f>IF($C659="","",INDEX(Настройки!$V$6:$V$17,MONTH($C659))&amp;" "&amp;YEAR($C659))</f>
        <v/>
      </c>
      <c r="K659" s="57">
        <f>IF(OR($F659="",$D659="Перевод"),"",IF(AND(N($G659)&lt;&gt;0,COUNTIFS(Журнал!$C$10:$C$1509,$C659,Журнал!$P$10:$P$1509,$G659)&gt;0),"есть в Журнале",IF(COUNTIF(Постоянные!$C$8:$C$37,$F659)&gt;0,"есть в Постоянных",IF(COUNTIF(Покупки!$C$7:$C$18,$F659)&gt;0,"есть в Покупках",""))))</f>
        <v/>
      </c>
      <c r="P659">
        <f>IF($C659="","",DATE(YEAR($C659),MONTH($C659),1))</f>
        <v/>
      </c>
      <c r="Q659">
        <f>IF(ISNUMBER($G659),ABS($G659),0)</f>
        <v/>
      </c>
      <c r="R659">
        <f>IF(AND($D659="Расход",COUNTIFS(Счета!$B$10:$B$21,$H659,Счета!$C$10:$C$21,"Кредитная")&gt;0),1,0)</f>
        <v/>
      </c>
    </row>
    <row r="660" ht="19" customHeight="1">
      <c r="B660" s="53">
        <f>IF(AND($C660="",$F660=""),"",ROW()-9)</f>
        <v/>
      </c>
      <c r="C660" s="213" t="n"/>
      <c r="D660" s="55" t="n"/>
      <c r="E660" s="55" t="n"/>
      <c r="F660" s="56" t="n"/>
      <c r="G660" s="196" t="n"/>
      <c r="H660" s="21" t="n"/>
      <c r="I660" s="21" t="n"/>
      <c r="J660" s="53">
        <f>IF($C660="","",INDEX(Настройки!$V$6:$V$17,MONTH($C660))&amp;" "&amp;YEAR($C660))</f>
        <v/>
      </c>
      <c r="K660" s="57">
        <f>IF(OR($F660="",$D660="Перевод"),"",IF(AND(N($G660)&lt;&gt;0,COUNTIFS(Журнал!$C$10:$C$1509,$C660,Журнал!$P$10:$P$1509,$G660)&gt;0),"есть в Журнале",IF(COUNTIF(Постоянные!$C$8:$C$37,$F660)&gt;0,"есть в Постоянных",IF(COUNTIF(Покупки!$C$7:$C$18,$F660)&gt;0,"есть в Покупках",""))))</f>
        <v/>
      </c>
      <c r="P660">
        <f>IF($C660="","",DATE(YEAR($C660),MONTH($C660),1))</f>
        <v/>
      </c>
      <c r="Q660">
        <f>IF(ISNUMBER($G660),ABS($G660),0)</f>
        <v/>
      </c>
      <c r="R660">
        <f>IF(AND($D660="Расход",COUNTIFS(Счета!$B$10:$B$21,$H660,Счета!$C$10:$C$21,"Кредитная")&gt;0),1,0)</f>
        <v/>
      </c>
    </row>
    <row r="661" ht="19" customHeight="1">
      <c r="B661" s="53">
        <f>IF(AND($C661="",$F661=""),"",ROW()-9)</f>
        <v/>
      </c>
      <c r="C661" s="213" t="n"/>
      <c r="D661" s="55" t="n"/>
      <c r="E661" s="55" t="n"/>
      <c r="F661" s="56" t="n"/>
      <c r="G661" s="196" t="n"/>
      <c r="H661" s="21" t="n"/>
      <c r="I661" s="21" t="n"/>
      <c r="J661" s="53">
        <f>IF($C661="","",INDEX(Настройки!$V$6:$V$17,MONTH($C661))&amp;" "&amp;YEAR($C661))</f>
        <v/>
      </c>
      <c r="K661" s="57">
        <f>IF(OR($F661="",$D661="Перевод"),"",IF(AND(N($G661)&lt;&gt;0,COUNTIFS(Журнал!$C$10:$C$1509,$C661,Журнал!$P$10:$P$1509,$G661)&gt;0),"есть в Журнале",IF(COUNTIF(Постоянные!$C$8:$C$37,$F661)&gt;0,"есть в Постоянных",IF(COUNTIF(Покупки!$C$7:$C$18,$F661)&gt;0,"есть в Покупках",""))))</f>
        <v/>
      </c>
      <c r="P661">
        <f>IF($C661="","",DATE(YEAR($C661),MONTH($C661),1))</f>
        <v/>
      </c>
      <c r="Q661">
        <f>IF(ISNUMBER($G661),ABS($G661),0)</f>
        <v/>
      </c>
      <c r="R661">
        <f>IF(AND($D661="Расход",COUNTIFS(Счета!$B$10:$B$21,$H661,Счета!$C$10:$C$21,"Кредитная")&gt;0),1,0)</f>
        <v/>
      </c>
    </row>
    <row r="662" ht="19" customHeight="1">
      <c r="B662" s="53">
        <f>IF(AND($C662="",$F662=""),"",ROW()-9)</f>
        <v/>
      </c>
      <c r="C662" s="213" t="n"/>
      <c r="D662" s="55" t="n"/>
      <c r="E662" s="55" t="n"/>
      <c r="F662" s="56" t="n"/>
      <c r="G662" s="196" t="n"/>
      <c r="H662" s="21" t="n"/>
      <c r="I662" s="21" t="n"/>
      <c r="J662" s="53">
        <f>IF($C662="","",INDEX(Настройки!$V$6:$V$17,MONTH($C662))&amp;" "&amp;YEAR($C662))</f>
        <v/>
      </c>
      <c r="K662" s="57">
        <f>IF(OR($F662="",$D662="Перевод"),"",IF(AND(N($G662)&lt;&gt;0,COUNTIFS(Журнал!$C$10:$C$1509,$C662,Журнал!$P$10:$P$1509,$G662)&gt;0),"есть в Журнале",IF(COUNTIF(Постоянные!$C$8:$C$37,$F662)&gt;0,"есть в Постоянных",IF(COUNTIF(Покупки!$C$7:$C$18,$F662)&gt;0,"есть в Покупках",""))))</f>
        <v/>
      </c>
      <c r="P662">
        <f>IF($C662="","",DATE(YEAR($C662),MONTH($C662),1))</f>
        <v/>
      </c>
      <c r="Q662">
        <f>IF(ISNUMBER($G662),ABS($G662),0)</f>
        <v/>
      </c>
      <c r="R662">
        <f>IF(AND($D662="Расход",COUNTIFS(Счета!$B$10:$B$21,$H662,Счета!$C$10:$C$21,"Кредитная")&gt;0),1,0)</f>
        <v/>
      </c>
    </row>
    <row r="663" ht="19" customHeight="1">
      <c r="B663" s="53">
        <f>IF(AND($C663="",$F663=""),"",ROW()-9)</f>
        <v/>
      </c>
      <c r="C663" s="213" t="n"/>
      <c r="D663" s="55" t="n"/>
      <c r="E663" s="55" t="n"/>
      <c r="F663" s="56" t="n"/>
      <c r="G663" s="196" t="n"/>
      <c r="H663" s="21" t="n"/>
      <c r="I663" s="21" t="n"/>
      <c r="J663" s="53">
        <f>IF($C663="","",INDEX(Настройки!$V$6:$V$17,MONTH($C663))&amp;" "&amp;YEAR($C663))</f>
        <v/>
      </c>
      <c r="K663" s="57">
        <f>IF(OR($F663="",$D663="Перевод"),"",IF(AND(N($G663)&lt;&gt;0,COUNTIFS(Журнал!$C$10:$C$1509,$C663,Журнал!$P$10:$P$1509,$G663)&gt;0),"есть в Журнале",IF(COUNTIF(Постоянные!$C$8:$C$37,$F663)&gt;0,"есть в Постоянных",IF(COUNTIF(Покупки!$C$7:$C$18,$F663)&gt;0,"есть в Покупках",""))))</f>
        <v/>
      </c>
      <c r="P663">
        <f>IF($C663="","",DATE(YEAR($C663),MONTH($C663),1))</f>
        <v/>
      </c>
      <c r="Q663">
        <f>IF(ISNUMBER($G663),ABS($G663),0)</f>
        <v/>
      </c>
      <c r="R663">
        <f>IF(AND($D663="Расход",COUNTIFS(Счета!$B$10:$B$21,$H663,Счета!$C$10:$C$21,"Кредитная")&gt;0),1,0)</f>
        <v/>
      </c>
    </row>
    <row r="664" ht="19" customHeight="1">
      <c r="B664" s="53">
        <f>IF(AND($C664="",$F664=""),"",ROW()-9)</f>
        <v/>
      </c>
      <c r="C664" s="213" t="n"/>
      <c r="D664" s="55" t="n"/>
      <c r="E664" s="55" t="n"/>
      <c r="F664" s="56" t="n"/>
      <c r="G664" s="196" t="n"/>
      <c r="H664" s="21" t="n"/>
      <c r="I664" s="21" t="n"/>
      <c r="J664" s="53">
        <f>IF($C664="","",INDEX(Настройки!$V$6:$V$17,MONTH($C664))&amp;" "&amp;YEAR($C664))</f>
        <v/>
      </c>
      <c r="K664" s="57">
        <f>IF(OR($F664="",$D664="Перевод"),"",IF(AND(N($G664)&lt;&gt;0,COUNTIFS(Журнал!$C$10:$C$1509,$C664,Журнал!$P$10:$P$1509,$G664)&gt;0),"есть в Журнале",IF(COUNTIF(Постоянные!$C$8:$C$37,$F664)&gt;0,"есть в Постоянных",IF(COUNTIF(Покупки!$C$7:$C$18,$F664)&gt;0,"есть в Покупках",""))))</f>
        <v/>
      </c>
      <c r="P664">
        <f>IF($C664="","",DATE(YEAR($C664),MONTH($C664),1))</f>
        <v/>
      </c>
      <c r="Q664">
        <f>IF(ISNUMBER($G664),ABS($G664),0)</f>
        <v/>
      </c>
      <c r="R664">
        <f>IF(AND($D664="Расход",COUNTIFS(Счета!$B$10:$B$21,$H664,Счета!$C$10:$C$21,"Кредитная")&gt;0),1,0)</f>
        <v/>
      </c>
    </row>
    <row r="665" ht="19" customHeight="1">
      <c r="B665" s="53">
        <f>IF(AND($C665="",$F665=""),"",ROW()-9)</f>
        <v/>
      </c>
      <c r="C665" s="213" t="n"/>
      <c r="D665" s="55" t="n"/>
      <c r="E665" s="55" t="n"/>
      <c r="F665" s="56" t="n"/>
      <c r="G665" s="196" t="n"/>
      <c r="H665" s="21" t="n"/>
      <c r="I665" s="21" t="n"/>
      <c r="J665" s="53">
        <f>IF($C665="","",INDEX(Настройки!$V$6:$V$17,MONTH($C665))&amp;" "&amp;YEAR($C665))</f>
        <v/>
      </c>
      <c r="K665" s="57">
        <f>IF(OR($F665="",$D665="Перевод"),"",IF(AND(N($G665)&lt;&gt;0,COUNTIFS(Журнал!$C$10:$C$1509,$C665,Журнал!$P$10:$P$1509,$G665)&gt;0),"есть в Журнале",IF(COUNTIF(Постоянные!$C$8:$C$37,$F665)&gt;0,"есть в Постоянных",IF(COUNTIF(Покупки!$C$7:$C$18,$F665)&gt;0,"есть в Покупках",""))))</f>
        <v/>
      </c>
      <c r="P665">
        <f>IF($C665="","",DATE(YEAR($C665),MONTH($C665),1))</f>
        <v/>
      </c>
      <c r="Q665">
        <f>IF(ISNUMBER($G665),ABS($G665),0)</f>
        <v/>
      </c>
      <c r="R665">
        <f>IF(AND($D665="Расход",COUNTIFS(Счета!$B$10:$B$21,$H665,Счета!$C$10:$C$21,"Кредитная")&gt;0),1,0)</f>
        <v/>
      </c>
    </row>
    <row r="666" ht="19" customHeight="1">
      <c r="B666" s="53">
        <f>IF(AND($C666="",$F666=""),"",ROW()-9)</f>
        <v/>
      </c>
      <c r="C666" s="213" t="n"/>
      <c r="D666" s="55" t="n"/>
      <c r="E666" s="55" t="n"/>
      <c r="F666" s="56" t="n"/>
      <c r="G666" s="196" t="n"/>
      <c r="H666" s="21" t="n"/>
      <c r="I666" s="21" t="n"/>
      <c r="J666" s="53">
        <f>IF($C666="","",INDEX(Настройки!$V$6:$V$17,MONTH($C666))&amp;" "&amp;YEAR($C666))</f>
        <v/>
      </c>
      <c r="K666" s="57">
        <f>IF(OR($F666="",$D666="Перевод"),"",IF(AND(N($G666)&lt;&gt;0,COUNTIFS(Журнал!$C$10:$C$1509,$C666,Журнал!$P$10:$P$1509,$G666)&gt;0),"есть в Журнале",IF(COUNTIF(Постоянные!$C$8:$C$37,$F666)&gt;0,"есть в Постоянных",IF(COUNTIF(Покупки!$C$7:$C$18,$F666)&gt;0,"есть в Покупках",""))))</f>
        <v/>
      </c>
      <c r="P666">
        <f>IF($C666="","",DATE(YEAR($C666),MONTH($C666),1))</f>
        <v/>
      </c>
      <c r="Q666">
        <f>IF(ISNUMBER($G666),ABS($G666),0)</f>
        <v/>
      </c>
      <c r="R666">
        <f>IF(AND($D666="Расход",COUNTIFS(Счета!$B$10:$B$21,$H666,Счета!$C$10:$C$21,"Кредитная")&gt;0),1,0)</f>
        <v/>
      </c>
    </row>
    <row r="667" ht="19" customHeight="1">
      <c r="B667" s="53">
        <f>IF(AND($C667="",$F667=""),"",ROW()-9)</f>
        <v/>
      </c>
      <c r="C667" s="213" t="n"/>
      <c r="D667" s="55" t="n"/>
      <c r="E667" s="55" t="n"/>
      <c r="F667" s="56" t="n"/>
      <c r="G667" s="196" t="n"/>
      <c r="H667" s="21" t="n"/>
      <c r="I667" s="21" t="n"/>
      <c r="J667" s="53">
        <f>IF($C667="","",INDEX(Настройки!$V$6:$V$17,MONTH($C667))&amp;" "&amp;YEAR($C667))</f>
        <v/>
      </c>
      <c r="K667" s="57">
        <f>IF(OR($F667="",$D667="Перевод"),"",IF(AND(N($G667)&lt;&gt;0,COUNTIFS(Журнал!$C$10:$C$1509,$C667,Журнал!$P$10:$P$1509,$G667)&gt;0),"есть в Журнале",IF(COUNTIF(Постоянные!$C$8:$C$37,$F667)&gt;0,"есть в Постоянных",IF(COUNTIF(Покупки!$C$7:$C$18,$F667)&gt;0,"есть в Покупках",""))))</f>
        <v/>
      </c>
      <c r="P667">
        <f>IF($C667="","",DATE(YEAR($C667),MONTH($C667),1))</f>
        <v/>
      </c>
      <c r="Q667">
        <f>IF(ISNUMBER($G667),ABS($G667),0)</f>
        <v/>
      </c>
      <c r="R667">
        <f>IF(AND($D667="Расход",COUNTIFS(Счета!$B$10:$B$21,$H667,Счета!$C$10:$C$21,"Кредитная")&gt;0),1,0)</f>
        <v/>
      </c>
    </row>
    <row r="668" ht="19" customHeight="1">
      <c r="B668" s="53">
        <f>IF(AND($C668="",$F668=""),"",ROW()-9)</f>
        <v/>
      </c>
      <c r="C668" s="213" t="n"/>
      <c r="D668" s="55" t="n"/>
      <c r="E668" s="55" t="n"/>
      <c r="F668" s="56" t="n"/>
      <c r="G668" s="196" t="n"/>
      <c r="H668" s="21" t="n"/>
      <c r="I668" s="21" t="n"/>
      <c r="J668" s="53">
        <f>IF($C668="","",INDEX(Настройки!$V$6:$V$17,MONTH($C668))&amp;" "&amp;YEAR($C668))</f>
        <v/>
      </c>
      <c r="K668" s="57">
        <f>IF(OR($F668="",$D668="Перевод"),"",IF(AND(N($G668)&lt;&gt;0,COUNTIFS(Журнал!$C$10:$C$1509,$C668,Журнал!$P$10:$P$1509,$G668)&gt;0),"есть в Журнале",IF(COUNTIF(Постоянные!$C$8:$C$37,$F668)&gt;0,"есть в Постоянных",IF(COUNTIF(Покупки!$C$7:$C$18,$F668)&gt;0,"есть в Покупках",""))))</f>
        <v/>
      </c>
      <c r="P668">
        <f>IF($C668="","",DATE(YEAR($C668),MONTH($C668),1))</f>
        <v/>
      </c>
      <c r="Q668">
        <f>IF(ISNUMBER($G668),ABS($G668),0)</f>
        <v/>
      </c>
      <c r="R668">
        <f>IF(AND($D668="Расход",COUNTIFS(Счета!$B$10:$B$21,$H668,Счета!$C$10:$C$21,"Кредитная")&gt;0),1,0)</f>
        <v/>
      </c>
    </row>
    <row r="669" ht="19" customHeight="1">
      <c r="B669" s="53">
        <f>IF(AND($C669="",$F669=""),"",ROW()-9)</f>
        <v/>
      </c>
      <c r="C669" s="213" t="n"/>
      <c r="D669" s="55" t="n"/>
      <c r="E669" s="55" t="n"/>
      <c r="F669" s="56" t="n"/>
      <c r="G669" s="196" t="n"/>
      <c r="H669" s="21" t="n"/>
      <c r="I669" s="21" t="n"/>
      <c r="J669" s="53">
        <f>IF($C669="","",INDEX(Настройки!$V$6:$V$17,MONTH($C669))&amp;" "&amp;YEAR($C669))</f>
        <v/>
      </c>
      <c r="K669" s="57">
        <f>IF(OR($F669="",$D669="Перевод"),"",IF(AND(N($G669)&lt;&gt;0,COUNTIFS(Журнал!$C$10:$C$1509,$C669,Журнал!$P$10:$P$1509,$G669)&gt;0),"есть в Журнале",IF(COUNTIF(Постоянные!$C$8:$C$37,$F669)&gt;0,"есть в Постоянных",IF(COUNTIF(Покупки!$C$7:$C$18,$F669)&gt;0,"есть в Покупках",""))))</f>
        <v/>
      </c>
      <c r="P669">
        <f>IF($C669="","",DATE(YEAR($C669),MONTH($C669),1))</f>
        <v/>
      </c>
      <c r="Q669">
        <f>IF(ISNUMBER($G669),ABS($G669),0)</f>
        <v/>
      </c>
      <c r="R669">
        <f>IF(AND($D669="Расход",COUNTIFS(Счета!$B$10:$B$21,$H669,Счета!$C$10:$C$21,"Кредитная")&gt;0),1,0)</f>
        <v/>
      </c>
    </row>
    <row r="670" ht="19" customHeight="1">
      <c r="B670" s="53">
        <f>IF(AND($C670="",$F670=""),"",ROW()-9)</f>
        <v/>
      </c>
      <c r="C670" s="213" t="n"/>
      <c r="D670" s="55" t="n"/>
      <c r="E670" s="55" t="n"/>
      <c r="F670" s="56" t="n"/>
      <c r="G670" s="196" t="n"/>
      <c r="H670" s="21" t="n"/>
      <c r="I670" s="21" t="n"/>
      <c r="J670" s="53">
        <f>IF($C670="","",INDEX(Настройки!$V$6:$V$17,MONTH($C670))&amp;" "&amp;YEAR($C670))</f>
        <v/>
      </c>
      <c r="K670" s="57">
        <f>IF(OR($F670="",$D670="Перевод"),"",IF(AND(N($G670)&lt;&gt;0,COUNTIFS(Журнал!$C$10:$C$1509,$C670,Журнал!$P$10:$P$1509,$G670)&gt;0),"есть в Журнале",IF(COUNTIF(Постоянные!$C$8:$C$37,$F670)&gt;0,"есть в Постоянных",IF(COUNTIF(Покупки!$C$7:$C$18,$F670)&gt;0,"есть в Покупках",""))))</f>
        <v/>
      </c>
      <c r="P670">
        <f>IF($C670="","",DATE(YEAR($C670),MONTH($C670),1))</f>
        <v/>
      </c>
      <c r="Q670">
        <f>IF(ISNUMBER($G670),ABS($G670),0)</f>
        <v/>
      </c>
      <c r="R670">
        <f>IF(AND($D670="Расход",COUNTIFS(Счета!$B$10:$B$21,$H670,Счета!$C$10:$C$21,"Кредитная")&gt;0),1,0)</f>
        <v/>
      </c>
    </row>
    <row r="671" ht="19" customHeight="1">
      <c r="B671" s="53">
        <f>IF(AND($C671="",$F671=""),"",ROW()-9)</f>
        <v/>
      </c>
      <c r="C671" s="213" t="n"/>
      <c r="D671" s="55" t="n"/>
      <c r="E671" s="55" t="n"/>
      <c r="F671" s="56" t="n"/>
      <c r="G671" s="196" t="n"/>
      <c r="H671" s="21" t="n"/>
      <c r="I671" s="21" t="n"/>
      <c r="J671" s="53">
        <f>IF($C671="","",INDEX(Настройки!$V$6:$V$17,MONTH($C671))&amp;" "&amp;YEAR($C671))</f>
        <v/>
      </c>
      <c r="K671" s="57">
        <f>IF(OR($F671="",$D671="Перевод"),"",IF(AND(N($G671)&lt;&gt;0,COUNTIFS(Журнал!$C$10:$C$1509,$C671,Журнал!$P$10:$P$1509,$G671)&gt;0),"есть в Журнале",IF(COUNTIF(Постоянные!$C$8:$C$37,$F671)&gt;0,"есть в Постоянных",IF(COUNTIF(Покупки!$C$7:$C$18,$F671)&gt;0,"есть в Покупках",""))))</f>
        <v/>
      </c>
      <c r="P671">
        <f>IF($C671="","",DATE(YEAR($C671),MONTH($C671),1))</f>
        <v/>
      </c>
      <c r="Q671">
        <f>IF(ISNUMBER($G671),ABS($G671),0)</f>
        <v/>
      </c>
      <c r="R671">
        <f>IF(AND($D671="Расход",COUNTIFS(Счета!$B$10:$B$21,$H671,Счета!$C$10:$C$21,"Кредитная")&gt;0),1,0)</f>
        <v/>
      </c>
    </row>
    <row r="672" ht="19" customHeight="1">
      <c r="B672" s="53">
        <f>IF(AND($C672="",$F672=""),"",ROW()-9)</f>
        <v/>
      </c>
      <c r="C672" s="213" t="n"/>
      <c r="D672" s="55" t="n"/>
      <c r="E672" s="55" t="n"/>
      <c r="F672" s="56" t="n"/>
      <c r="G672" s="196" t="n"/>
      <c r="H672" s="21" t="n"/>
      <c r="I672" s="21" t="n"/>
      <c r="J672" s="53">
        <f>IF($C672="","",INDEX(Настройки!$V$6:$V$17,MONTH($C672))&amp;" "&amp;YEAR($C672))</f>
        <v/>
      </c>
      <c r="K672" s="57">
        <f>IF(OR($F672="",$D672="Перевод"),"",IF(AND(N($G672)&lt;&gt;0,COUNTIFS(Журнал!$C$10:$C$1509,$C672,Журнал!$P$10:$P$1509,$G672)&gt;0),"есть в Журнале",IF(COUNTIF(Постоянные!$C$8:$C$37,$F672)&gt;0,"есть в Постоянных",IF(COUNTIF(Покупки!$C$7:$C$18,$F672)&gt;0,"есть в Покупках",""))))</f>
        <v/>
      </c>
      <c r="P672">
        <f>IF($C672="","",DATE(YEAR($C672),MONTH($C672),1))</f>
        <v/>
      </c>
      <c r="Q672">
        <f>IF(ISNUMBER($G672),ABS($G672),0)</f>
        <v/>
      </c>
      <c r="R672">
        <f>IF(AND($D672="Расход",COUNTIFS(Счета!$B$10:$B$21,$H672,Счета!$C$10:$C$21,"Кредитная")&gt;0),1,0)</f>
        <v/>
      </c>
    </row>
    <row r="673" ht="19" customHeight="1">
      <c r="B673" s="53">
        <f>IF(AND($C673="",$F673=""),"",ROW()-9)</f>
        <v/>
      </c>
      <c r="C673" s="213" t="n"/>
      <c r="D673" s="55" t="n"/>
      <c r="E673" s="55" t="n"/>
      <c r="F673" s="56" t="n"/>
      <c r="G673" s="196" t="n"/>
      <c r="H673" s="21" t="n"/>
      <c r="I673" s="21" t="n"/>
      <c r="J673" s="53">
        <f>IF($C673="","",INDEX(Настройки!$V$6:$V$17,MONTH($C673))&amp;" "&amp;YEAR($C673))</f>
        <v/>
      </c>
      <c r="K673" s="57">
        <f>IF(OR($F673="",$D673="Перевод"),"",IF(AND(N($G673)&lt;&gt;0,COUNTIFS(Журнал!$C$10:$C$1509,$C673,Журнал!$P$10:$P$1509,$G673)&gt;0),"есть в Журнале",IF(COUNTIF(Постоянные!$C$8:$C$37,$F673)&gt;0,"есть в Постоянных",IF(COUNTIF(Покупки!$C$7:$C$18,$F673)&gt;0,"есть в Покупках",""))))</f>
        <v/>
      </c>
      <c r="P673">
        <f>IF($C673="","",DATE(YEAR($C673),MONTH($C673),1))</f>
        <v/>
      </c>
      <c r="Q673">
        <f>IF(ISNUMBER($G673),ABS($G673),0)</f>
        <v/>
      </c>
      <c r="R673">
        <f>IF(AND($D673="Расход",COUNTIFS(Счета!$B$10:$B$21,$H673,Счета!$C$10:$C$21,"Кредитная")&gt;0),1,0)</f>
        <v/>
      </c>
    </row>
    <row r="674" ht="19" customHeight="1">
      <c r="B674" s="53">
        <f>IF(AND($C674="",$F674=""),"",ROW()-9)</f>
        <v/>
      </c>
      <c r="C674" s="213" t="n"/>
      <c r="D674" s="55" t="n"/>
      <c r="E674" s="55" t="n"/>
      <c r="F674" s="56" t="n"/>
      <c r="G674" s="196" t="n"/>
      <c r="H674" s="21" t="n"/>
      <c r="I674" s="21" t="n"/>
      <c r="J674" s="53">
        <f>IF($C674="","",INDEX(Настройки!$V$6:$V$17,MONTH($C674))&amp;" "&amp;YEAR($C674))</f>
        <v/>
      </c>
      <c r="K674" s="57">
        <f>IF(OR($F674="",$D674="Перевод"),"",IF(AND(N($G674)&lt;&gt;0,COUNTIFS(Журнал!$C$10:$C$1509,$C674,Журнал!$P$10:$P$1509,$G674)&gt;0),"есть в Журнале",IF(COUNTIF(Постоянные!$C$8:$C$37,$F674)&gt;0,"есть в Постоянных",IF(COUNTIF(Покупки!$C$7:$C$18,$F674)&gt;0,"есть в Покупках",""))))</f>
        <v/>
      </c>
      <c r="P674">
        <f>IF($C674="","",DATE(YEAR($C674),MONTH($C674),1))</f>
        <v/>
      </c>
      <c r="Q674">
        <f>IF(ISNUMBER($G674),ABS($G674),0)</f>
        <v/>
      </c>
      <c r="R674">
        <f>IF(AND($D674="Расход",COUNTIFS(Счета!$B$10:$B$21,$H674,Счета!$C$10:$C$21,"Кредитная")&gt;0),1,0)</f>
        <v/>
      </c>
    </row>
    <row r="675" ht="19" customHeight="1">
      <c r="B675" s="53">
        <f>IF(AND($C675="",$F675=""),"",ROW()-9)</f>
        <v/>
      </c>
      <c r="C675" s="213" t="n"/>
      <c r="D675" s="55" t="n"/>
      <c r="E675" s="55" t="n"/>
      <c r="F675" s="56" t="n"/>
      <c r="G675" s="196" t="n"/>
      <c r="H675" s="21" t="n"/>
      <c r="I675" s="21" t="n"/>
      <c r="J675" s="53">
        <f>IF($C675="","",INDEX(Настройки!$V$6:$V$17,MONTH($C675))&amp;" "&amp;YEAR($C675))</f>
        <v/>
      </c>
      <c r="K675" s="57">
        <f>IF(OR($F675="",$D675="Перевод"),"",IF(AND(N($G675)&lt;&gt;0,COUNTIFS(Журнал!$C$10:$C$1509,$C675,Журнал!$P$10:$P$1509,$G675)&gt;0),"есть в Журнале",IF(COUNTIF(Постоянные!$C$8:$C$37,$F675)&gt;0,"есть в Постоянных",IF(COUNTIF(Покупки!$C$7:$C$18,$F675)&gt;0,"есть в Покупках",""))))</f>
        <v/>
      </c>
      <c r="P675">
        <f>IF($C675="","",DATE(YEAR($C675),MONTH($C675),1))</f>
        <v/>
      </c>
      <c r="Q675">
        <f>IF(ISNUMBER($G675),ABS($G675),0)</f>
        <v/>
      </c>
      <c r="R675">
        <f>IF(AND($D675="Расход",COUNTIFS(Счета!$B$10:$B$21,$H675,Счета!$C$10:$C$21,"Кредитная")&gt;0),1,0)</f>
        <v/>
      </c>
    </row>
    <row r="676" ht="19" customHeight="1">
      <c r="B676" s="53">
        <f>IF(AND($C676="",$F676=""),"",ROW()-9)</f>
        <v/>
      </c>
      <c r="C676" s="213" t="n"/>
      <c r="D676" s="55" t="n"/>
      <c r="E676" s="55" t="n"/>
      <c r="F676" s="56" t="n"/>
      <c r="G676" s="196" t="n"/>
      <c r="H676" s="21" t="n"/>
      <c r="I676" s="21" t="n"/>
      <c r="J676" s="53">
        <f>IF($C676="","",INDEX(Настройки!$V$6:$V$17,MONTH($C676))&amp;" "&amp;YEAR($C676))</f>
        <v/>
      </c>
      <c r="K676" s="57">
        <f>IF(OR($F676="",$D676="Перевод"),"",IF(AND(N($G676)&lt;&gt;0,COUNTIFS(Журнал!$C$10:$C$1509,$C676,Журнал!$P$10:$P$1509,$G676)&gt;0),"есть в Журнале",IF(COUNTIF(Постоянные!$C$8:$C$37,$F676)&gt;0,"есть в Постоянных",IF(COUNTIF(Покупки!$C$7:$C$18,$F676)&gt;0,"есть в Покупках",""))))</f>
        <v/>
      </c>
      <c r="P676">
        <f>IF($C676="","",DATE(YEAR($C676),MONTH($C676),1))</f>
        <v/>
      </c>
      <c r="Q676">
        <f>IF(ISNUMBER($G676),ABS($G676),0)</f>
        <v/>
      </c>
      <c r="R676">
        <f>IF(AND($D676="Расход",COUNTIFS(Счета!$B$10:$B$21,$H676,Счета!$C$10:$C$21,"Кредитная")&gt;0),1,0)</f>
        <v/>
      </c>
    </row>
    <row r="677" ht="19" customHeight="1">
      <c r="B677" s="53">
        <f>IF(AND($C677="",$F677=""),"",ROW()-9)</f>
        <v/>
      </c>
      <c r="C677" s="213" t="n"/>
      <c r="D677" s="55" t="n"/>
      <c r="E677" s="55" t="n"/>
      <c r="F677" s="56" t="n"/>
      <c r="G677" s="196" t="n"/>
      <c r="H677" s="21" t="n"/>
      <c r="I677" s="21" t="n"/>
      <c r="J677" s="53">
        <f>IF($C677="","",INDEX(Настройки!$V$6:$V$17,MONTH($C677))&amp;" "&amp;YEAR($C677))</f>
        <v/>
      </c>
      <c r="K677" s="57">
        <f>IF(OR($F677="",$D677="Перевод"),"",IF(AND(N($G677)&lt;&gt;0,COUNTIFS(Журнал!$C$10:$C$1509,$C677,Журнал!$P$10:$P$1509,$G677)&gt;0),"есть в Журнале",IF(COUNTIF(Постоянные!$C$8:$C$37,$F677)&gt;0,"есть в Постоянных",IF(COUNTIF(Покупки!$C$7:$C$18,$F677)&gt;0,"есть в Покупках",""))))</f>
        <v/>
      </c>
      <c r="P677">
        <f>IF($C677="","",DATE(YEAR($C677),MONTH($C677),1))</f>
        <v/>
      </c>
      <c r="Q677">
        <f>IF(ISNUMBER($G677),ABS($G677),0)</f>
        <v/>
      </c>
      <c r="R677">
        <f>IF(AND($D677="Расход",COUNTIFS(Счета!$B$10:$B$21,$H677,Счета!$C$10:$C$21,"Кредитная")&gt;0),1,0)</f>
        <v/>
      </c>
    </row>
    <row r="678" ht="19" customHeight="1">
      <c r="B678" s="53">
        <f>IF(AND($C678="",$F678=""),"",ROW()-9)</f>
        <v/>
      </c>
      <c r="C678" s="213" t="n"/>
      <c r="D678" s="55" t="n"/>
      <c r="E678" s="55" t="n"/>
      <c r="F678" s="56" t="n"/>
      <c r="G678" s="196" t="n"/>
      <c r="H678" s="21" t="n"/>
      <c r="I678" s="21" t="n"/>
      <c r="J678" s="53">
        <f>IF($C678="","",INDEX(Настройки!$V$6:$V$17,MONTH($C678))&amp;" "&amp;YEAR($C678))</f>
        <v/>
      </c>
      <c r="K678" s="57">
        <f>IF(OR($F678="",$D678="Перевод"),"",IF(AND(N($G678)&lt;&gt;0,COUNTIFS(Журнал!$C$10:$C$1509,$C678,Журнал!$P$10:$P$1509,$G678)&gt;0),"есть в Журнале",IF(COUNTIF(Постоянные!$C$8:$C$37,$F678)&gt;0,"есть в Постоянных",IF(COUNTIF(Покупки!$C$7:$C$18,$F678)&gt;0,"есть в Покупках",""))))</f>
        <v/>
      </c>
      <c r="P678">
        <f>IF($C678="","",DATE(YEAR($C678),MONTH($C678),1))</f>
        <v/>
      </c>
      <c r="Q678">
        <f>IF(ISNUMBER($G678),ABS($G678),0)</f>
        <v/>
      </c>
      <c r="R678">
        <f>IF(AND($D678="Расход",COUNTIFS(Счета!$B$10:$B$21,$H678,Счета!$C$10:$C$21,"Кредитная")&gt;0),1,0)</f>
        <v/>
      </c>
    </row>
    <row r="679" ht="19" customHeight="1">
      <c r="B679" s="53">
        <f>IF(AND($C679="",$F679=""),"",ROW()-9)</f>
        <v/>
      </c>
      <c r="C679" s="213" t="n"/>
      <c r="D679" s="55" t="n"/>
      <c r="E679" s="55" t="n"/>
      <c r="F679" s="56" t="n"/>
      <c r="G679" s="196" t="n"/>
      <c r="H679" s="21" t="n"/>
      <c r="I679" s="21" t="n"/>
      <c r="J679" s="53">
        <f>IF($C679="","",INDEX(Настройки!$V$6:$V$17,MONTH($C679))&amp;" "&amp;YEAR($C679))</f>
        <v/>
      </c>
      <c r="K679" s="57">
        <f>IF(OR($F679="",$D679="Перевод"),"",IF(AND(N($G679)&lt;&gt;0,COUNTIFS(Журнал!$C$10:$C$1509,$C679,Журнал!$P$10:$P$1509,$G679)&gt;0),"есть в Журнале",IF(COUNTIF(Постоянные!$C$8:$C$37,$F679)&gt;0,"есть в Постоянных",IF(COUNTIF(Покупки!$C$7:$C$18,$F679)&gt;0,"есть в Покупках",""))))</f>
        <v/>
      </c>
      <c r="P679">
        <f>IF($C679="","",DATE(YEAR($C679),MONTH($C679),1))</f>
        <v/>
      </c>
      <c r="Q679">
        <f>IF(ISNUMBER($G679),ABS($G679),0)</f>
        <v/>
      </c>
      <c r="R679">
        <f>IF(AND($D679="Расход",COUNTIFS(Счета!$B$10:$B$21,$H679,Счета!$C$10:$C$21,"Кредитная")&gt;0),1,0)</f>
        <v/>
      </c>
    </row>
    <row r="680" ht="19" customHeight="1">
      <c r="B680" s="53">
        <f>IF(AND($C680="",$F680=""),"",ROW()-9)</f>
        <v/>
      </c>
      <c r="C680" s="213" t="n"/>
      <c r="D680" s="55" t="n"/>
      <c r="E680" s="55" t="n"/>
      <c r="F680" s="56" t="n"/>
      <c r="G680" s="196" t="n"/>
      <c r="H680" s="21" t="n"/>
      <c r="I680" s="21" t="n"/>
      <c r="J680" s="53">
        <f>IF($C680="","",INDEX(Настройки!$V$6:$V$17,MONTH($C680))&amp;" "&amp;YEAR($C680))</f>
        <v/>
      </c>
      <c r="K680" s="57">
        <f>IF(OR($F680="",$D680="Перевод"),"",IF(AND(N($G680)&lt;&gt;0,COUNTIFS(Журнал!$C$10:$C$1509,$C680,Журнал!$P$10:$P$1509,$G680)&gt;0),"есть в Журнале",IF(COUNTIF(Постоянные!$C$8:$C$37,$F680)&gt;0,"есть в Постоянных",IF(COUNTIF(Покупки!$C$7:$C$18,$F680)&gt;0,"есть в Покупках",""))))</f>
        <v/>
      </c>
      <c r="P680">
        <f>IF($C680="","",DATE(YEAR($C680),MONTH($C680),1))</f>
        <v/>
      </c>
      <c r="Q680">
        <f>IF(ISNUMBER($G680),ABS($G680),0)</f>
        <v/>
      </c>
      <c r="R680">
        <f>IF(AND($D680="Расход",COUNTIFS(Счета!$B$10:$B$21,$H680,Счета!$C$10:$C$21,"Кредитная")&gt;0),1,0)</f>
        <v/>
      </c>
    </row>
    <row r="681" ht="19" customHeight="1">
      <c r="B681" s="53">
        <f>IF(AND($C681="",$F681=""),"",ROW()-9)</f>
        <v/>
      </c>
      <c r="C681" s="213" t="n"/>
      <c r="D681" s="55" t="n"/>
      <c r="E681" s="55" t="n"/>
      <c r="F681" s="56" t="n"/>
      <c r="G681" s="196" t="n"/>
      <c r="H681" s="21" t="n"/>
      <c r="I681" s="21" t="n"/>
      <c r="J681" s="53">
        <f>IF($C681="","",INDEX(Настройки!$V$6:$V$17,MONTH($C681))&amp;" "&amp;YEAR($C681))</f>
        <v/>
      </c>
      <c r="K681" s="57">
        <f>IF(OR($F681="",$D681="Перевод"),"",IF(AND(N($G681)&lt;&gt;0,COUNTIFS(Журнал!$C$10:$C$1509,$C681,Журнал!$P$10:$P$1509,$G681)&gt;0),"есть в Журнале",IF(COUNTIF(Постоянные!$C$8:$C$37,$F681)&gt;0,"есть в Постоянных",IF(COUNTIF(Покупки!$C$7:$C$18,$F681)&gt;0,"есть в Покупках",""))))</f>
        <v/>
      </c>
      <c r="P681">
        <f>IF($C681="","",DATE(YEAR($C681),MONTH($C681),1))</f>
        <v/>
      </c>
      <c r="Q681">
        <f>IF(ISNUMBER($G681),ABS($G681),0)</f>
        <v/>
      </c>
      <c r="R681">
        <f>IF(AND($D681="Расход",COUNTIFS(Счета!$B$10:$B$21,$H681,Счета!$C$10:$C$21,"Кредитная")&gt;0),1,0)</f>
        <v/>
      </c>
    </row>
    <row r="682" ht="19" customHeight="1">
      <c r="B682" s="53">
        <f>IF(AND($C682="",$F682=""),"",ROW()-9)</f>
        <v/>
      </c>
      <c r="C682" s="213" t="n"/>
      <c r="D682" s="55" t="n"/>
      <c r="E682" s="55" t="n"/>
      <c r="F682" s="56" t="n"/>
      <c r="G682" s="196" t="n"/>
      <c r="H682" s="21" t="n"/>
      <c r="I682" s="21" t="n"/>
      <c r="J682" s="53">
        <f>IF($C682="","",INDEX(Настройки!$V$6:$V$17,MONTH($C682))&amp;" "&amp;YEAR($C682))</f>
        <v/>
      </c>
      <c r="K682" s="57">
        <f>IF(OR($F682="",$D682="Перевод"),"",IF(AND(N($G682)&lt;&gt;0,COUNTIFS(Журнал!$C$10:$C$1509,$C682,Журнал!$P$10:$P$1509,$G682)&gt;0),"есть в Журнале",IF(COUNTIF(Постоянные!$C$8:$C$37,$F682)&gt;0,"есть в Постоянных",IF(COUNTIF(Покупки!$C$7:$C$18,$F682)&gt;0,"есть в Покупках",""))))</f>
        <v/>
      </c>
      <c r="P682">
        <f>IF($C682="","",DATE(YEAR($C682),MONTH($C682),1))</f>
        <v/>
      </c>
      <c r="Q682">
        <f>IF(ISNUMBER($G682),ABS($G682),0)</f>
        <v/>
      </c>
      <c r="R682">
        <f>IF(AND($D682="Расход",COUNTIFS(Счета!$B$10:$B$21,$H682,Счета!$C$10:$C$21,"Кредитная")&gt;0),1,0)</f>
        <v/>
      </c>
    </row>
    <row r="683" ht="19" customHeight="1">
      <c r="B683" s="53">
        <f>IF(AND($C683="",$F683=""),"",ROW()-9)</f>
        <v/>
      </c>
      <c r="C683" s="213" t="n"/>
      <c r="D683" s="55" t="n"/>
      <c r="E683" s="55" t="n"/>
      <c r="F683" s="56" t="n"/>
      <c r="G683" s="196" t="n"/>
      <c r="H683" s="21" t="n"/>
      <c r="I683" s="21" t="n"/>
      <c r="J683" s="53">
        <f>IF($C683="","",INDEX(Настройки!$V$6:$V$17,MONTH($C683))&amp;" "&amp;YEAR($C683))</f>
        <v/>
      </c>
      <c r="K683" s="57">
        <f>IF(OR($F683="",$D683="Перевод"),"",IF(AND(N($G683)&lt;&gt;0,COUNTIFS(Журнал!$C$10:$C$1509,$C683,Журнал!$P$10:$P$1509,$G683)&gt;0),"есть в Журнале",IF(COUNTIF(Постоянные!$C$8:$C$37,$F683)&gt;0,"есть в Постоянных",IF(COUNTIF(Покупки!$C$7:$C$18,$F683)&gt;0,"есть в Покупках",""))))</f>
        <v/>
      </c>
      <c r="P683">
        <f>IF($C683="","",DATE(YEAR($C683),MONTH($C683),1))</f>
        <v/>
      </c>
      <c r="Q683">
        <f>IF(ISNUMBER($G683),ABS($G683),0)</f>
        <v/>
      </c>
      <c r="R683">
        <f>IF(AND($D683="Расход",COUNTIFS(Счета!$B$10:$B$21,$H683,Счета!$C$10:$C$21,"Кредитная")&gt;0),1,0)</f>
        <v/>
      </c>
    </row>
    <row r="684" ht="19" customHeight="1">
      <c r="B684" s="53">
        <f>IF(AND($C684="",$F684=""),"",ROW()-9)</f>
        <v/>
      </c>
      <c r="C684" s="213" t="n"/>
      <c r="D684" s="55" t="n"/>
      <c r="E684" s="55" t="n"/>
      <c r="F684" s="56" t="n"/>
      <c r="G684" s="196" t="n"/>
      <c r="H684" s="21" t="n"/>
      <c r="I684" s="21" t="n"/>
      <c r="J684" s="53">
        <f>IF($C684="","",INDEX(Настройки!$V$6:$V$17,MONTH($C684))&amp;" "&amp;YEAR($C684))</f>
        <v/>
      </c>
      <c r="K684" s="57">
        <f>IF(OR($F684="",$D684="Перевод"),"",IF(AND(N($G684)&lt;&gt;0,COUNTIFS(Журнал!$C$10:$C$1509,$C684,Журнал!$P$10:$P$1509,$G684)&gt;0),"есть в Журнале",IF(COUNTIF(Постоянные!$C$8:$C$37,$F684)&gt;0,"есть в Постоянных",IF(COUNTIF(Покупки!$C$7:$C$18,$F684)&gt;0,"есть в Покупках",""))))</f>
        <v/>
      </c>
      <c r="P684">
        <f>IF($C684="","",DATE(YEAR($C684),MONTH($C684),1))</f>
        <v/>
      </c>
      <c r="Q684">
        <f>IF(ISNUMBER($G684),ABS($G684),0)</f>
        <v/>
      </c>
      <c r="R684">
        <f>IF(AND($D684="Расход",COUNTIFS(Счета!$B$10:$B$21,$H684,Счета!$C$10:$C$21,"Кредитная")&gt;0),1,0)</f>
        <v/>
      </c>
    </row>
    <row r="685" ht="19" customHeight="1">
      <c r="B685" s="53">
        <f>IF(AND($C685="",$F685=""),"",ROW()-9)</f>
        <v/>
      </c>
      <c r="C685" s="213" t="n"/>
      <c r="D685" s="55" t="n"/>
      <c r="E685" s="55" t="n"/>
      <c r="F685" s="56" t="n"/>
      <c r="G685" s="196" t="n"/>
      <c r="H685" s="21" t="n"/>
      <c r="I685" s="21" t="n"/>
      <c r="J685" s="53">
        <f>IF($C685="","",INDEX(Настройки!$V$6:$V$17,MONTH($C685))&amp;" "&amp;YEAR($C685))</f>
        <v/>
      </c>
      <c r="K685" s="57">
        <f>IF(OR($F685="",$D685="Перевод"),"",IF(AND(N($G685)&lt;&gt;0,COUNTIFS(Журнал!$C$10:$C$1509,$C685,Журнал!$P$10:$P$1509,$G685)&gt;0),"есть в Журнале",IF(COUNTIF(Постоянные!$C$8:$C$37,$F685)&gt;0,"есть в Постоянных",IF(COUNTIF(Покупки!$C$7:$C$18,$F685)&gt;0,"есть в Покупках",""))))</f>
        <v/>
      </c>
      <c r="P685">
        <f>IF($C685="","",DATE(YEAR($C685),MONTH($C685),1))</f>
        <v/>
      </c>
      <c r="Q685">
        <f>IF(ISNUMBER($G685),ABS($G685),0)</f>
        <v/>
      </c>
      <c r="R685">
        <f>IF(AND($D685="Расход",COUNTIFS(Счета!$B$10:$B$21,$H685,Счета!$C$10:$C$21,"Кредитная")&gt;0),1,0)</f>
        <v/>
      </c>
    </row>
    <row r="686" ht="19" customHeight="1">
      <c r="B686" s="53">
        <f>IF(AND($C686="",$F686=""),"",ROW()-9)</f>
        <v/>
      </c>
      <c r="C686" s="213" t="n"/>
      <c r="D686" s="55" t="n"/>
      <c r="E686" s="55" t="n"/>
      <c r="F686" s="56" t="n"/>
      <c r="G686" s="196" t="n"/>
      <c r="H686" s="21" t="n"/>
      <c r="I686" s="21" t="n"/>
      <c r="J686" s="53">
        <f>IF($C686="","",INDEX(Настройки!$V$6:$V$17,MONTH($C686))&amp;" "&amp;YEAR($C686))</f>
        <v/>
      </c>
      <c r="K686" s="57">
        <f>IF(OR($F686="",$D686="Перевод"),"",IF(AND(N($G686)&lt;&gt;0,COUNTIFS(Журнал!$C$10:$C$1509,$C686,Журнал!$P$10:$P$1509,$G686)&gt;0),"есть в Журнале",IF(COUNTIF(Постоянные!$C$8:$C$37,$F686)&gt;0,"есть в Постоянных",IF(COUNTIF(Покупки!$C$7:$C$18,$F686)&gt;0,"есть в Покупках",""))))</f>
        <v/>
      </c>
      <c r="P686">
        <f>IF($C686="","",DATE(YEAR($C686),MONTH($C686),1))</f>
        <v/>
      </c>
      <c r="Q686">
        <f>IF(ISNUMBER($G686),ABS($G686),0)</f>
        <v/>
      </c>
      <c r="R686">
        <f>IF(AND($D686="Расход",COUNTIFS(Счета!$B$10:$B$21,$H686,Счета!$C$10:$C$21,"Кредитная")&gt;0),1,0)</f>
        <v/>
      </c>
    </row>
    <row r="687" ht="19" customHeight="1">
      <c r="B687" s="53">
        <f>IF(AND($C687="",$F687=""),"",ROW()-9)</f>
        <v/>
      </c>
      <c r="C687" s="213" t="n"/>
      <c r="D687" s="55" t="n"/>
      <c r="E687" s="55" t="n"/>
      <c r="F687" s="56" t="n"/>
      <c r="G687" s="196" t="n"/>
      <c r="H687" s="21" t="n"/>
      <c r="I687" s="21" t="n"/>
      <c r="J687" s="53">
        <f>IF($C687="","",INDEX(Настройки!$V$6:$V$17,MONTH($C687))&amp;" "&amp;YEAR($C687))</f>
        <v/>
      </c>
      <c r="K687" s="57">
        <f>IF(OR($F687="",$D687="Перевод"),"",IF(AND(N($G687)&lt;&gt;0,COUNTIFS(Журнал!$C$10:$C$1509,$C687,Журнал!$P$10:$P$1509,$G687)&gt;0),"есть в Журнале",IF(COUNTIF(Постоянные!$C$8:$C$37,$F687)&gt;0,"есть в Постоянных",IF(COUNTIF(Покупки!$C$7:$C$18,$F687)&gt;0,"есть в Покупках",""))))</f>
        <v/>
      </c>
      <c r="P687">
        <f>IF($C687="","",DATE(YEAR($C687),MONTH($C687),1))</f>
        <v/>
      </c>
      <c r="Q687">
        <f>IF(ISNUMBER($G687),ABS($G687),0)</f>
        <v/>
      </c>
      <c r="R687">
        <f>IF(AND($D687="Расход",COUNTIFS(Счета!$B$10:$B$21,$H687,Счета!$C$10:$C$21,"Кредитная")&gt;0),1,0)</f>
        <v/>
      </c>
    </row>
    <row r="688" ht="19" customHeight="1">
      <c r="B688" s="53">
        <f>IF(AND($C688="",$F688=""),"",ROW()-9)</f>
        <v/>
      </c>
      <c r="C688" s="213" t="n"/>
      <c r="D688" s="55" t="n"/>
      <c r="E688" s="55" t="n"/>
      <c r="F688" s="56" t="n"/>
      <c r="G688" s="196" t="n"/>
      <c r="H688" s="21" t="n"/>
      <c r="I688" s="21" t="n"/>
      <c r="J688" s="53">
        <f>IF($C688="","",INDEX(Настройки!$V$6:$V$17,MONTH($C688))&amp;" "&amp;YEAR($C688))</f>
        <v/>
      </c>
      <c r="K688" s="57">
        <f>IF(OR($F688="",$D688="Перевод"),"",IF(AND(N($G688)&lt;&gt;0,COUNTIFS(Журнал!$C$10:$C$1509,$C688,Журнал!$P$10:$P$1509,$G688)&gt;0),"есть в Журнале",IF(COUNTIF(Постоянные!$C$8:$C$37,$F688)&gt;0,"есть в Постоянных",IF(COUNTIF(Покупки!$C$7:$C$18,$F688)&gt;0,"есть в Покупках",""))))</f>
        <v/>
      </c>
      <c r="P688">
        <f>IF($C688="","",DATE(YEAR($C688),MONTH($C688),1))</f>
        <v/>
      </c>
      <c r="Q688">
        <f>IF(ISNUMBER($G688),ABS($G688),0)</f>
        <v/>
      </c>
      <c r="R688">
        <f>IF(AND($D688="Расход",COUNTIFS(Счета!$B$10:$B$21,$H688,Счета!$C$10:$C$21,"Кредитная")&gt;0),1,0)</f>
        <v/>
      </c>
    </row>
    <row r="689" ht="19" customHeight="1">
      <c r="B689" s="53">
        <f>IF(AND($C689="",$F689=""),"",ROW()-9)</f>
        <v/>
      </c>
      <c r="C689" s="213" t="n"/>
      <c r="D689" s="55" t="n"/>
      <c r="E689" s="55" t="n"/>
      <c r="F689" s="56" t="n"/>
      <c r="G689" s="196" t="n"/>
      <c r="H689" s="21" t="n"/>
      <c r="I689" s="21" t="n"/>
      <c r="J689" s="53">
        <f>IF($C689="","",INDEX(Настройки!$V$6:$V$17,MONTH($C689))&amp;" "&amp;YEAR($C689))</f>
        <v/>
      </c>
      <c r="K689" s="57">
        <f>IF(OR($F689="",$D689="Перевод"),"",IF(AND(N($G689)&lt;&gt;0,COUNTIFS(Журнал!$C$10:$C$1509,$C689,Журнал!$P$10:$P$1509,$G689)&gt;0),"есть в Журнале",IF(COUNTIF(Постоянные!$C$8:$C$37,$F689)&gt;0,"есть в Постоянных",IF(COUNTIF(Покупки!$C$7:$C$18,$F689)&gt;0,"есть в Покупках",""))))</f>
        <v/>
      </c>
      <c r="P689">
        <f>IF($C689="","",DATE(YEAR($C689),MONTH($C689),1))</f>
        <v/>
      </c>
      <c r="Q689">
        <f>IF(ISNUMBER($G689),ABS($G689),0)</f>
        <v/>
      </c>
      <c r="R689">
        <f>IF(AND($D689="Расход",COUNTIFS(Счета!$B$10:$B$21,$H689,Счета!$C$10:$C$21,"Кредитная")&gt;0),1,0)</f>
        <v/>
      </c>
    </row>
    <row r="690" ht="19" customHeight="1">
      <c r="B690" s="53">
        <f>IF(AND($C690="",$F690=""),"",ROW()-9)</f>
        <v/>
      </c>
      <c r="C690" s="213" t="n"/>
      <c r="D690" s="55" t="n"/>
      <c r="E690" s="55" t="n"/>
      <c r="F690" s="56" t="n"/>
      <c r="G690" s="196" t="n"/>
      <c r="H690" s="21" t="n"/>
      <c r="I690" s="21" t="n"/>
      <c r="J690" s="53">
        <f>IF($C690="","",INDEX(Настройки!$V$6:$V$17,MONTH($C690))&amp;" "&amp;YEAR($C690))</f>
        <v/>
      </c>
      <c r="K690" s="57">
        <f>IF(OR($F690="",$D690="Перевод"),"",IF(AND(N($G690)&lt;&gt;0,COUNTIFS(Журнал!$C$10:$C$1509,$C690,Журнал!$P$10:$P$1509,$G690)&gt;0),"есть в Журнале",IF(COUNTIF(Постоянные!$C$8:$C$37,$F690)&gt;0,"есть в Постоянных",IF(COUNTIF(Покупки!$C$7:$C$18,$F690)&gt;0,"есть в Покупках",""))))</f>
        <v/>
      </c>
      <c r="P690">
        <f>IF($C690="","",DATE(YEAR($C690),MONTH($C690),1))</f>
        <v/>
      </c>
      <c r="Q690">
        <f>IF(ISNUMBER($G690),ABS($G690),0)</f>
        <v/>
      </c>
      <c r="R690">
        <f>IF(AND($D690="Расход",COUNTIFS(Счета!$B$10:$B$21,$H690,Счета!$C$10:$C$21,"Кредитная")&gt;0),1,0)</f>
        <v/>
      </c>
    </row>
    <row r="691" ht="19" customHeight="1">
      <c r="B691" s="53">
        <f>IF(AND($C691="",$F691=""),"",ROW()-9)</f>
        <v/>
      </c>
      <c r="C691" s="213" t="n"/>
      <c r="D691" s="55" t="n"/>
      <c r="E691" s="55" t="n"/>
      <c r="F691" s="56" t="n"/>
      <c r="G691" s="196" t="n"/>
      <c r="H691" s="21" t="n"/>
      <c r="I691" s="21" t="n"/>
      <c r="J691" s="53">
        <f>IF($C691="","",INDEX(Настройки!$V$6:$V$17,MONTH($C691))&amp;" "&amp;YEAR($C691))</f>
        <v/>
      </c>
      <c r="K691" s="57">
        <f>IF(OR($F691="",$D691="Перевод"),"",IF(AND(N($G691)&lt;&gt;0,COUNTIFS(Журнал!$C$10:$C$1509,$C691,Журнал!$P$10:$P$1509,$G691)&gt;0),"есть в Журнале",IF(COUNTIF(Постоянные!$C$8:$C$37,$F691)&gt;0,"есть в Постоянных",IF(COUNTIF(Покупки!$C$7:$C$18,$F691)&gt;0,"есть в Покупках",""))))</f>
        <v/>
      </c>
      <c r="P691">
        <f>IF($C691="","",DATE(YEAR($C691),MONTH($C691),1))</f>
        <v/>
      </c>
      <c r="Q691">
        <f>IF(ISNUMBER($G691),ABS($G691),0)</f>
        <v/>
      </c>
      <c r="R691">
        <f>IF(AND($D691="Расход",COUNTIFS(Счета!$B$10:$B$21,$H691,Счета!$C$10:$C$21,"Кредитная")&gt;0),1,0)</f>
        <v/>
      </c>
    </row>
    <row r="692" ht="19" customHeight="1">
      <c r="B692" s="53">
        <f>IF(AND($C692="",$F692=""),"",ROW()-9)</f>
        <v/>
      </c>
      <c r="C692" s="213" t="n"/>
      <c r="D692" s="55" t="n"/>
      <c r="E692" s="55" t="n"/>
      <c r="F692" s="56" t="n"/>
      <c r="G692" s="196" t="n"/>
      <c r="H692" s="21" t="n"/>
      <c r="I692" s="21" t="n"/>
      <c r="J692" s="53">
        <f>IF($C692="","",INDEX(Настройки!$V$6:$V$17,MONTH($C692))&amp;" "&amp;YEAR($C692))</f>
        <v/>
      </c>
      <c r="K692" s="57">
        <f>IF(OR($F692="",$D692="Перевод"),"",IF(AND(N($G692)&lt;&gt;0,COUNTIFS(Журнал!$C$10:$C$1509,$C692,Журнал!$P$10:$P$1509,$G692)&gt;0),"есть в Журнале",IF(COUNTIF(Постоянные!$C$8:$C$37,$F692)&gt;0,"есть в Постоянных",IF(COUNTIF(Покупки!$C$7:$C$18,$F692)&gt;0,"есть в Покупках",""))))</f>
        <v/>
      </c>
      <c r="P692">
        <f>IF($C692="","",DATE(YEAR($C692),MONTH($C692),1))</f>
        <v/>
      </c>
      <c r="Q692">
        <f>IF(ISNUMBER($G692),ABS($G692),0)</f>
        <v/>
      </c>
      <c r="R692">
        <f>IF(AND($D692="Расход",COUNTIFS(Счета!$B$10:$B$21,$H692,Счета!$C$10:$C$21,"Кредитная")&gt;0),1,0)</f>
        <v/>
      </c>
    </row>
    <row r="693" ht="19" customHeight="1">
      <c r="B693" s="53">
        <f>IF(AND($C693="",$F693=""),"",ROW()-9)</f>
        <v/>
      </c>
      <c r="C693" s="213" t="n"/>
      <c r="D693" s="55" t="n"/>
      <c r="E693" s="55" t="n"/>
      <c r="F693" s="56" t="n"/>
      <c r="G693" s="196" t="n"/>
      <c r="H693" s="21" t="n"/>
      <c r="I693" s="21" t="n"/>
      <c r="J693" s="53">
        <f>IF($C693="","",INDEX(Настройки!$V$6:$V$17,MONTH($C693))&amp;" "&amp;YEAR($C693))</f>
        <v/>
      </c>
      <c r="K693" s="57">
        <f>IF(OR($F693="",$D693="Перевод"),"",IF(AND(N($G693)&lt;&gt;0,COUNTIFS(Журнал!$C$10:$C$1509,$C693,Журнал!$P$10:$P$1509,$G693)&gt;0),"есть в Журнале",IF(COUNTIF(Постоянные!$C$8:$C$37,$F693)&gt;0,"есть в Постоянных",IF(COUNTIF(Покупки!$C$7:$C$18,$F693)&gt;0,"есть в Покупках",""))))</f>
        <v/>
      </c>
      <c r="P693">
        <f>IF($C693="","",DATE(YEAR($C693),MONTH($C693),1))</f>
        <v/>
      </c>
      <c r="Q693">
        <f>IF(ISNUMBER($G693),ABS($G693),0)</f>
        <v/>
      </c>
      <c r="R693">
        <f>IF(AND($D693="Расход",COUNTIFS(Счета!$B$10:$B$21,$H693,Счета!$C$10:$C$21,"Кредитная")&gt;0),1,0)</f>
        <v/>
      </c>
    </row>
    <row r="694" ht="19" customHeight="1">
      <c r="B694" s="53">
        <f>IF(AND($C694="",$F694=""),"",ROW()-9)</f>
        <v/>
      </c>
      <c r="C694" s="213" t="n"/>
      <c r="D694" s="55" t="n"/>
      <c r="E694" s="55" t="n"/>
      <c r="F694" s="56" t="n"/>
      <c r="G694" s="196" t="n"/>
      <c r="H694" s="21" t="n"/>
      <c r="I694" s="21" t="n"/>
      <c r="J694" s="53">
        <f>IF($C694="","",INDEX(Настройки!$V$6:$V$17,MONTH($C694))&amp;" "&amp;YEAR($C694))</f>
        <v/>
      </c>
      <c r="K694" s="57">
        <f>IF(OR($F694="",$D694="Перевод"),"",IF(AND(N($G694)&lt;&gt;0,COUNTIFS(Журнал!$C$10:$C$1509,$C694,Журнал!$P$10:$P$1509,$G694)&gt;0),"есть в Журнале",IF(COUNTIF(Постоянные!$C$8:$C$37,$F694)&gt;0,"есть в Постоянных",IF(COUNTIF(Покупки!$C$7:$C$18,$F694)&gt;0,"есть в Покупках",""))))</f>
        <v/>
      </c>
      <c r="P694">
        <f>IF($C694="","",DATE(YEAR($C694),MONTH($C694),1))</f>
        <v/>
      </c>
      <c r="Q694">
        <f>IF(ISNUMBER($G694),ABS($G694),0)</f>
        <v/>
      </c>
      <c r="R694">
        <f>IF(AND($D694="Расход",COUNTIFS(Счета!$B$10:$B$21,$H694,Счета!$C$10:$C$21,"Кредитная")&gt;0),1,0)</f>
        <v/>
      </c>
    </row>
    <row r="695" ht="19" customHeight="1">
      <c r="B695" s="53">
        <f>IF(AND($C695="",$F695=""),"",ROW()-9)</f>
        <v/>
      </c>
      <c r="C695" s="213" t="n"/>
      <c r="D695" s="55" t="n"/>
      <c r="E695" s="55" t="n"/>
      <c r="F695" s="56" t="n"/>
      <c r="G695" s="196" t="n"/>
      <c r="H695" s="21" t="n"/>
      <c r="I695" s="21" t="n"/>
      <c r="J695" s="53">
        <f>IF($C695="","",INDEX(Настройки!$V$6:$V$17,MONTH($C695))&amp;" "&amp;YEAR($C695))</f>
        <v/>
      </c>
      <c r="K695" s="57">
        <f>IF(OR($F695="",$D695="Перевод"),"",IF(AND(N($G695)&lt;&gt;0,COUNTIFS(Журнал!$C$10:$C$1509,$C695,Журнал!$P$10:$P$1509,$G695)&gt;0),"есть в Журнале",IF(COUNTIF(Постоянные!$C$8:$C$37,$F695)&gt;0,"есть в Постоянных",IF(COUNTIF(Покупки!$C$7:$C$18,$F695)&gt;0,"есть в Покупках",""))))</f>
        <v/>
      </c>
      <c r="P695">
        <f>IF($C695="","",DATE(YEAR($C695),MONTH($C695),1))</f>
        <v/>
      </c>
      <c r="Q695">
        <f>IF(ISNUMBER($G695),ABS($G695),0)</f>
        <v/>
      </c>
      <c r="R695">
        <f>IF(AND($D695="Расход",COUNTIFS(Счета!$B$10:$B$21,$H695,Счета!$C$10:$C$21,"Кредитная")&gt;0),1,0)</f>
        <v/>
      </c>
    </row>
    <row r="696" ht="19" customHeight="1">
      <c r="B696" s="53">
        <f>IF(AND($C696="",$F696=""),"",ROW()-9)</f>
        <v/>
      </c>
      <c r="C696" s="213" t="n"/>
      <c r="D696" s="55" t="n"/>
      <c r="E696" s="55" t="n"/>
      <c r="F696" s="56" t="n"/>
      <c r="G696" s="196" t="n"/>
      <c r="H696" s="21" t="n"/>
      <c r="I696" s="21" t="n"/>
      <c r="J696" s="53">
        <f>IF($C696="","",INDEX(Настройки!$V$6:$V$17,MONTH($C696))&amp;" "&amp;YEAR($C696))</f>
        <v/>
      </c>
      <c r="K696" s="57">
        <f>IF(OR($F696="",$D696="Перевод"),"",IF(AND(N($G696)&lt;&gt;0,COUNTIFS(Журнал!$C$10:$C$1509,$C696,Журнал!$P$10:$P$1509,$G696)&gt;0),"есть в Журнале",IF(COUNTIF(Постоянные!$C$8:$C$37,$F696)&gt;0,"есть в Постоянных",IF(COUNTIF(Покупки!$C$7:$C$18,$F696)&gt;0,"есть в Покупках",""))))</f>
        <v/>
      </c>
      <c r="P696">
        <f>IF($C696="","",DATE(YEAR($C696),MONTH($C696),1))</f>
        <v/>
      </c>
      <c r="Q696">
        <f>IF(ISNUMBER($G696),ABS($G696),0)</f>
        <v/>
      </c>
      <c r="R696">
        <f>IF(AND($D696="Расход",COUNTIFS(Счета!$B$10:$B$21,$H696,Счета!$C$10:$C$21,"Кредитная")&gt;0),1,0)</f>
        <v/>
      </c>
    </row>
    <row r="697" ht="19" customHeight="1">
      <c r="B697" s="53">
        <f>IF(AND($C697="",$F697=""),"",ROW()-9)</f>
        <v/>
      </c>
      <c r="C697" s="213" t="n"/>
      <c r="D697" s="55" t="n"/>
      <c r="E697" s="55" t="n"/>
      <c r="F697" s="56" t="n"/>
      <c r="G697" s="196" t="n"/>
      <c r="H697" s="21" t="n"/>
      <c r="I697" s="21" t="n"/>
      <c r="J697" s="53">
        <f>IF($C697="","",INDEX(Настройки!$V$6:$V$17,MONTH($C697))&amp;" "&amp;YEAR($C697))</f>
        <v/>
      </c>
      <c r="K697" s="57">
        <f>IF(OR($F697="",$D697="Перевод"),"",IF(AND(N($G697)&lt;&gt;0,COUNTIFS(Журнал!$C$10:$C$1509,$C697,Журнал!$P$10:$P$1509,$G697)&gt;0),"есть в Журнале",IF(COUNTIF(Постоянные!$C$8:$C$37,$F697)&gt;0,"есть в Постоянных",IF(COUNTIF(Покупки!$C$7:$C$18,$F697)&gt;0,"есть в Покупках",""))))</f>
        <v/>
      </c>
      <c r="P697">
        <f>IF($C697="","",DATE(YEAR($C697),MONTH($C697),1))</f>
        <v/>
      </c>
      <c r="Q697">
        <f>IF(ISNUMBER($G697),ABS($G697),0)</f>
        <v/>
      </c>
      <c r="R697">
        <f>IF(AND($D697="Расход",COUNTIFS(Счета!$B$10:$B$21,$H697,Счета!$C$10:$C$21,"Кредитная")&gt;0),1,0)</f>
        <v/>
      </c>
    </row>
    <row r="698" ht="19" customHeight="1">
      <c r="B698" s="53">
        <f>IF(AND($C698="",$F698=""),"",ROW()-9)</f>
        <v/>
      </c>
      <c r="C698" s="213" t="n"/>
      <c r="D698" s="55" t="n"/>
      <c r="E698" s="55" t="n"/>
      <c r="F698" s="56" t="n"/>
      <c r="G698" s="196" t="n"/>
      <c r="H698" s="21" t="n"/>
      <c r="I698" s="21" t="n"/>
      <c r="J698" s="53">
        <f>IF($C698="","",INDEX(Настройки!$V$6:$V$17,MONTH($C698))&amp;" "&amp;YEAR($C698))</f>
        <v/>
      </c>
      <c r="K698" s="57">
        <f>IF(OR($F698="",$D698="Перевод"),"",IF(AND(N($G698)&lt;&gt;0,COUNTIFS(Журнал!$C$10:$C$1509,$C698,Журнал!$P$10:$P$1509,$G698)&gt;0),"есть в Журнале",IF(COUNTIF(Постоянные!$C$8:$C$37,$F698)&gt;0,"есть в Постоянных",IF(COUNTIF(Покупки!$C$7:$C$18,$F698)&gt;0,"есть в Покупках",""))))</f>
        <v/>
      </c>
      <c r="P698">
        <f>IF($C698="","",DATE(YEAR($C698),MONTH($C698),1))</f>
        <v/>
      </c>
      <c r="Q698">
        <f>IF(ISNUMBER($G698),ABS($G698),0)</f>
        <v/>
      </c>
      <c r="R698">
        <f>IF(AND($D698="Расход",COUNTIFS(Счета!$B$10:$B$21,$H698,Счета!$C$10:$C$21,"Кредитная")&gt;0),1,0)</f>
        <v/>
      </c>
    </row>
    <row r="699" ht="19" customHeight="1">
      <c r="B699" s="53">
        <f>IF(AND($C699="",$F699=""),"",ROW()-9)</f>
        <v/>
      </c>
      <c r="C699" s="213" t="n"/>
      <c r="D699" s="55" t="n"/>
      <c r="E699" s="55" t="n"/>
      <c r="F699" s="56" t="n"/>
      <c r="G699" s="196" t="n"/>
      <c r="H699" s="21" t="n"/>
      <c r="I699" s="21" t="n"/>
      <c r="J699" s="53">
        <f>IF($C699="","",INDEX(Настройки!$V$6:$V$17,MONTH($C699))&amp;" "&amp;YEAR($C699))</f>
        <v/>
      </c>
      <c r="K699" s="57">
        <f>IF(OR($F699="",$D699="Перевод"),"",IF(AND(N($G699)&lt;&gt;0,COUNTIFS(Журнал!$C$10:$C$1509,$C699,Журнал!$P$10:$P$1509,$G699)&gt;0),"есть в Журнале",IF(COUNTIF(Постоянные!$C$8:$C$37,$F699)&gt;0,"есть в Постоянных",IF(COUNTIF(Покупки!$C$7:$C$18,$F699)&gt;0,"есть в Покупках",""))))</f>
        <v/>
      </c>
      <c r="P699">
        <f>IF($C699="","",DATE(YEAR($C699),MONTH($C699),1))</f>
        <v/>
      </c>
      <c r="Q699">
        <f>IF(ISNUMBER($G699),ABS($G699),0)</f>
        <v/>
      </c>
      <c r="R699">
        <f>IF(AND($D699="Расход",COUNTIFS(Счета!$B$10:$B$21,$H699,Счета!$C$10:$C$21,"Кредитная")&gt;0),1,0)</f>
        <v/>
      </c>
    </row>
    <row r="700" ht="19" customHeight="1">
      <c r="B700" s="53">
        <f>IF(AND($C700="",$F700=""),"",ROW()-9)</f>
        <v/>
      </c>
      <c r="C700" s="213" t="n"/>
      <c r="D700" s="55" t="n"/>
      <c r="E700" s="55" t="n"/>
      <c r="F700" s="56" t="n"/>
      <c r="G700" s="196" t="n"/>
      <c r="H700" s="21" t="n"/>
      <c r="I700" s="21" t="n"/>
      <c r="J700" s="53">
        <f>IF($C700="","",INDEX(Настройки!$V$6:$V$17,MONTH($C700))&amp;" "&amp;YEAR($C700))</f>
        <v/>
      </c>
      <c r="K700" s="57">
        <f>IF(OR($F700="",$D700="Перевод"),"",IF(AND(N($G700)&lt;&gt;0,COUNTIFS(Журнал!$C$10:$C$1509,$C700,Журнал!$P$10:$P$1509,$G700)&gt;0),"есть в Журнале",IF(COUNTIF(Постоянные!$C$8:$C$37,$F700)&gt;0,"есть в Постоянных",IF(COUNTIF(Покупки!$C$7:$C$18,$F700)&gt;0,"есть в Покупках",""))))</f>
        <v/>
      </c>
      <c r="P700">
        <f>IF($C700="","",DATE(YEAR($C700),MONTH($C700),1))</f>
        <v/>
      </c>
      <c r="Q700">
        <f>IF(ISNUMBER($G700),ABS($G700),0)</f>
        <v/>
      </c>
      <c r="R700">
        <f>IF(AND($D700="Расход",COUNTIFS(Счета!$B$10:$B$21,$H700,Счета!$C$10:$C$21,"Кредитная")&gt;0),1,0)</f>
        <v/>
      </c>
    </row>
    <row r="701" ht="19" customHeight="1">
      <c r="B701" s="53">
        <f>IF(AND($C701="",$F701=""),"",ROW()-9)</f>
        <v/>
      </c>
      <c r="C701" s="213" t="n"/>
      <c r="D701" s="55" t="n"/>
      <c r="E701" s="55" t="n"/>
      <c r="F701" s="56" t="n"/>
      <c r="G701" s="196" t="n"/>
      <c r="H701" s="21" t="n"/>
      <c r="I701" s="21" t="n"/>
      <c r="J701" s="53">
        <f>IF($C701="","",INDEX(Настройки!$V$6:$V$17,MONTH($C701))&amp;" "&amp;YEAR($C701))</f>
        <v/>
      </c>
      <c r="K701" s="57">
        <f>IF(OR($F701="",$D701="Перевод"),"",IF(AND(N($G701)&lt;&gt;0,COUNTIFS(Журнал!$C$10:$C$1509,$C701,Журнал!$P$10:$P$1509,$G701)&gt;0),"есть в Журнале",IF(COUNTIF(Постоянные!$C$8:$C$37,$F701)&gt;0,"есть в Постоянных",IF(COUNTIF(Покупки!$C$7:$C$18,$F701)&gt;0,"есть в Покупках",""))))</f>
        <v/>
      </c>
      <c r="P701">
        <f>IF($C701="","",DATE(YEAR($C701),MONTH($C701),1))</f>
        <v/>
      </c>
      <c r="Q701">
        <f>IF(ISNUMBER($G701),ABS($G701),0)</f>
        <v/>
      </c>
      <c r="R701">
        <f>IF(AND($D701="Расход",COUNTIFS(Счета!$B$10:$B$21,$H701,Счета!$C$10:$C$21,"Кредитная")&gt;0),1,0)</f>
        <v/>
      </c>
    </row>
    <row r="702" ht="19" customHeight="1">
      <c r="B702" s="53">
        <f>IF(AND($C702="",$F702=""),"",ROW()-9)</f>
        <v/>
      </c>
      <c r="C702" s="213" t="n"/>
      <c r="D702" s="55" t="n"/>
      <c r="E702" s="55" t="n"/>
      <c r="F702" s="56" t="n"/>
      <c r="G702" s="196" t="n"/>
      <c r="H702" s="21" t="n"/>
      <c r="I702" s="21" t="n"/>
      <c r="J702" s="53">
        <f>IF($C702="","",INDEX(Настройки!$V$6:$V$17,MONTH($C702))&amp;" "&amp;YEAR($C702))</f>
        <v/>
      </c>
      <c r="K702" s="57">
        <f>IF(OR($F702="",$D702="Перевод"),"",IF(AND(N($G702)&lt;&gt;0,COUNTIFS(Журнал!$C$10:$C$1509,$C702,Журнал!$P$10:$P$1509,$G702)&gt;0),"есть в Журнале",IF(COUNTIF(Постоянные!$C$8:$C$37,$F702)&gt;0,"есть в Постоянных",IF(COUNTIF(Покупки!$C$7:$C$18,$F702)&gt;0,"есть в Покупках",""))))</f>
        <v/>
      </c>
      <c r="P702">
        <f>IF($C702="","",DATE(YEAR($C702),MONTH($C702),1))</f>
        <v/>
      </c>
      <c r="Q702">
        <f>IF(ISNUMBER($G702),ABS($G702),0)</f>
        <v/>
      </c>
      <c r="R702">
        <f>IF(AND($D702="Расход",COUNTIFS(Счета!$B$10:$B$21,$H702,Счета!$C$10:$C$21,"Кредитная")&gt;0),1,0)</f>
        <v/>
      </c>
    </row>
    <row r="703" ht="19" customHeight="1">
      <c r="B703" s="53">
        <f>IF(AND($C703="",$F703=""),"",ROW()-9)</f>
        <v/>
      </c>
      <c r="C703" s="213" t="n"/>
      <c r="D703" s="55" t="n"/>
      <c r="E703" s="55" t="n"/>
      <c r="F703" s="56" t="n"/>
      <c r="G703" s="196" t="n"/>
      <c r="H703" s="21" t="n"/>
      <c r="I703" s="21" t="n"/>
      <c r="J703" s="53">
        <f>IF($C703="","",INDEX(Настройки!$V$6:$V$17,MONTH($C703))&amp;" "&amp;YEAR($C703))</f>
        <v/>
      </c>
      <c r="K703" s="57">
        <f>IF(OR($F703="",$D703="Перевод"),"",IF(AND(N($G703)&lt;&gt;0,COUNTIFS(Журнал!$C$10:$C$1509,$C703,Журнал!$P$10:$P$1509,$G703)&gt;0),"есть в Журнале",IF(COUNTIF(Постоянные!$C$8:$C$37,$F703)&gt;0,"есть в Постоянных",IF(COUNTIF(Покупки!$C$7:$C$18,$F703)&gt;0,"есть в Покупках",""))))</f>
        <v/>
      </c>
      <c r="P703">
        <f>IF($C703="","",DATE(YEAR($C703),MONTH($C703),1))</f>
        <v/>
      </c>
      <c r="Q703">
        <f>IF(ISNUMBER($G703),ABS($G703),0)</f>
        <v/>
      </c>
      <c r="R703">
        <f>IF(AND($D703="Расход",COUNTIFS(Счета!$B$10:$B$21,$H703,Счета!$C$10:$C$21,"Кредитная")&gt;0),1,0)</f>
        <v/>
      </c>
    </row>
    <row r="704" ht="19" customHeight="1">
      <c r="B704" s="53">
        <f>IF(AND($C704="",$F704=""),"",ROW()-9)</f>
        <v/>
      </c>
      <c r="C704" s="213" t="n"/>
      <c r="D704" s="55" t="n"/>
      <c r="E704" s="55" t="n"/>
      <c r="F704" s="56" t="n"/>
      <c r="G704" s="196" t="n"/>
      <c r="H704" s="21" t="n"/>
      <c r="I704" s="21" t="n"/>
      <c r="J704" s="53">
        <f>IF($C704="","",INDEX(Настройки!$V$6:$V$17,MONTH($C704))&amp;" "&amp;YEAR($C704))</f>
        <v/>
      </c>
      <c r="K704" s="57">
        <f>IF(OR($F704="",$D704="Перевод"),"",IF(AND(N($G704)&lt;&gt;0,COUNTIFS(Журнал!$C$10:$C$1509,$C704,Журнал!$P$10:$P$1509,$G704)&gt;0),"есть в Журнале",IF(COUNTIF(Постоянные!$C$8:$C$37,$F704)&gt;0,"есть в Постоянных",IF(COUNTIF(Покупки!$C$7:$C$18,$F704)&gt;0,"есть в Покупках",""))))</f>
        <v/>
      </c>
      <c r="P704">
        <f>IF($C704="","",DATE(YEAR($C704),MONTH($C704),1))</f>
        <v/>
      </c>
      <c r="Q704">
        <f>IF(ISNUMBER($G704),ABS($G704),0)</f>
        <v/>
      </c>
      <c r="R704">
        <f>IF(AND($D704="Расход",COUNTIFS(Счета!$B$10:$B$21,$H704,Счета!$C$10:$C$21,"Кредитная")&gt;0),1,0)</f>
        <v/>
      </c>
    </row>
    <row r="705" ht="19" customHeight="1">
      <c r="B705" s="53">
        <f>IF(AND($C705="",$F705=""),"",ROW()-9)</f>
        <v/>
      </c>
      <c r="C705" s="213" t="n"/>
      <c r="D705" s="55" t="n"/>
      <c r="E705" s="55" t="n"/>
      <c r="F705" s="56" t="n"/>
      <c r="G705" s="196" t="n"/>
      <c r="H705" s="21" t="n"/>
      <c r="I705" s="21" t="n"/>
      <c r="J705" s="53">
        <f>IF($C705="","",INDEX(Настройки!$V$6:$V$17,MONTH($C705))&amp;" "&amp;YEAR($C705))</f>
        <v/>
      </c>
      <c r="K705" s="57">
        <f>IF(OR($F705="",$D705="Перевод"),"",IF(AND(N($G705)&lt;&gt;0,COUNTIFS(Журнал!$C$10:$C$1509,$C705,Журнал!$P$10:$P$1509,$G705)&gt;0),"есть в Журнале",IF(COUNTIF(Постоянные!$C$8:$C$37,$F705)&gt;0,"есть в Постоянных",IF(COUNTIF(Покупки!$C$7:$C$18,$F705)&gt;0,"есть в Покупках",""))))</f>
        <v/>
      </c>
      <c r="P705">
        <f>IF($C705="","",DATE(YEAR($C705),MONTH($C705),1))</f>
        <v/>
      </c>
      <c r="Q705">
        <f>IF(ISNUMBER($G705),ABS($G705),0)</f>
        <v/>
      </c>
      <c r="R705">
        <f>IF(AND($D705="Расход",COUNTIFS(Счета!$B$10:$B$21,$H705,Счета!$C$10:$C$21,"Кредитная")&gt;0),1,0)</f>
        <v/>
      </c>
    </row>
    <row r="706" ht="19" customHeight="1">
      <c r="B706" s="53">
        <f>IF(AND($C706="",$F706=""),"",ROW()-9)</f>
        <v/>
      </c>
      <c r="C706" s="213" t="n"/>
      <c r="D706" s="55" t="n"/>
      <c r="E706" s="55" t="n"/>
      <c r="F706" s="56" t="n"/>
      <c r="G706" s="196" t="n"/>
      <c r="H706" s="21" t="n"/>
      <c r="I706" s="21" t="n"/>
      <c r="J706" s="53">
        <f>IF($C706="","",INDEX(Настройки!$V$6:$V$17,MONTH($C706))&amp;" "&amp;YEAR($C706))</f>
        <v/>
      </c>
      <c r="K706" s="57">
        <f>IF(OR($F706="",$D706="Перевод"),"",IF(AND(N($G706)&lt;&gt;0,COUNTIFS(Журнал!$C$10:$C$1509,$C706,Журнал!$P$10:$P$1509,$G706)&gt;0),"есть в Журнале",IF(COUNTIF(Постоянные!$C$8:$C$37,$F706)&gt;0,"есть в Постоянных",IF(COUNTIF(Покупки!$C$7:$C$18,$F706)&gt;0,"есть в Покупках",""))))</f>
        <v/>
      </c>
      <c r="P706">
        <f>IF($C706="","",DATE(YEAR($C706),MONTH($C706),1))</f>
        <v/>
      </c>
      <c r="Q706">
        <f>IF(ISNUMBER($G706),ABS($G706),0)</f>
        <v/>
      </c>
      <c r="R706">
        <f>IF(AND($D706="Расход",COUNTIFS(Счета!$B$10:$B$21,$H706,Счета!$C$10:$C$21,"Кредитная")&gt;0),1,0)</f>
        <v/>
      </c>
    </row>
    <row r="707" ht="19" customHeight="1">
      <c r="B707" s="53">
        <f>IF(AND($C707="",$F707=""),"",ROW()-9)</f>
        <v/>
      </c>
      <c r="C707" s="213" t="n"/>
      <c r="D707" s="55" t="n"/>
      <c r="E707" s="55" t="n"/>
      <c r="F707" s="56" t="n"/>
      <c r="G707" s="196" t="n"/>
      <c r="H707" s="21" t="n"/>
      <c r="I707" s="21" t="n"/>
      <c r="J707" s="53">
        <f>IF($C707="","",INDEX(Настройки!$V$6:$V$17,MONTH($C707))&amp;" "&amp;YEAR($C707))</f>
        <v/>
      </c>
      <c r="K707" s="57">
        <f>IF(OR($F707="",$D707="Перевод"),"",IF(AND(N($G707)&lt;&gt;0,COUNTIFS(Журнал!$C$10:$C$1509,$C707,Журнал!$P$10:$P$1509,$G707)&gt;0),"есть в Журнале",IF(COUNTIF(Постоянные!$C$8:$C$37,$F707)&gt;0,"есть в Постоянных",IF(COUNTIF(Покупки!$C$7:$C$18,$F707)&gt;0,"есть в Покупках",""))))</f>
        <v/>
      </c>
      <c r="P707">
        <f>IF($C707="","",DATE(YEAR($C707),MONTH($C707),1))</f>
        <v/>
      </c>
      <c r="Q707">
        <f>IF(ISNUMBER($G707),ABS($G707),0)</f>
        <v/>
      </c>
      <c r="R707">
        <f>IF(AND($D707="Расход",COUNTIFS(Счета!$B$10:$B$21,$H707,Счета!$C$10:$C$21,"Кредитная")&gt;0),1,0)</f>
        <v/>
      </c>
    </row>
    <row r="708" ht="19" customHeight="1">
      <c r="B708" s="53">
        <f>IF(AND($C708="",$F708=""),"",ROW()-9)</f>
        <v/>
      </c>
      <c r="C708" s="213" t="n"/>
      <c r="D708" s="55" t="n"/>
      <c r="E708" s="55" t="n"/>
      <c r="F708" s="56" t="n"/>
      <c r="G708" s="196" t="n"/>
      <c r="H708" s="21" t="n"/>
      <c r="I708" s="21" t="n"/>
      <c r="J708" s="53">
        <f>IF($C708="","",INDEX(Настройки!$V$6:$V$17,MONTH($C708))&amp;" "&amp;YEAR($C708))</f>
        <v/>
      </c>
      <c r="K708" s="57">
        <f>IF(OR($F708="",$D708="Перевод"),"",IF(AND(N($G708)&lt;&gt;0,COUNTIFS(Журнал!$C$10:$C$1509,$C708,Журнал!$P$10:$P$1509,$G708)&gt;0),"есть в Журнале",IF(COUNTIF(Постоянные!$C$8:$C$37,$F708)&gt;0,"есть в Постоянных",IF(COUNTIF(Покупки!$C$7:$C$18,$F708)&gt;0,"есть в Покупках",""))))</f>
        <v/>
      </c>
      <c r="P708">
        <f>IF($C708="","",DATE(YEAR($C708),MONTH($C708),1))</f>
        <v/>
      </c>
      <c r="Q708">
        <f>IF(ISNUMBER($G708),ABS($G708),0)</f>
        <v/>
      </c>
      <c r="R708">
        <f>IF(AND($D708="Расход",COUNTIFS(Счета!$B$10:$B$21,$H708,Счета!$C$10:$C$21,"Кредитная")&gt;0),1,0)</f>
        <v/>
      </c>
    </row>
    <row r="709" ht="19" customHeight="1">
      <c r="B709" s="53">
        <f>IF(AND($C709="",$F709=""),"",ROW()-9)</f>
        <v/>
      </c>
      <c r="C709" s="213" t="n"/>
      <c r="D709" s="55" t="n"/>
      <c r="E709" s="55" t="n"/>
      <c r="F709" s="56" t="n"/>
      <c r="G709" s="196" t="n"/>
      <c r="H709" s="21" t="n"/>
      <c r="I709" s="21" t="n"/>
      <c r="J709" s="53">
        <f>IF($C709="","",INDEX(Настройки!$V$6:$V$17,MONTH($C709))&amp;" "&amp;YEAR($C709))</f>
        <v/>
      </c>
      <c r="K709" s="57">
        <f>IF(OR($F709="",$D709="Перевод"),"",IF(AND(N($G709)&lt;&gt;0,COUNTIFS(Журнал!$C$10:$C$1509,$C709,Журнал!$P$10:$P$1509,$G709)&gt;0),"есть в Журнале",IF(COUNTIF(Постоянные!$C$8:$C$37,$F709)&gt;0,"есть в Постоянных",IF(COUNTIF(Покупки!$C$7:$C$18,$F709)&gt;0,"есть в Покупках",""))))</f>
        <v/>
      </c>
      <c r="P709">
        <f>IF($C709="","",DATE(YEAR($C709),MONTH($C709),1))</f>
        <v/>
      </c>
      <c r="Q709">
        <f>IF(ISNUMBER($G709),ABS($G709),0)</f>
        <v/>
      </c>
      <c r="R709">
        <f>IF(AND($D709="Расход",COUNTIFS(Счета!$B$10:$B$21,$H709,Счета!$C$10:$C$21,"Кредитная")&gt;0),1,0)</f>
        <v/>
      </c>
    </row>
    <row r="710" ht="19" customHeight="1">
      <c r="B710" s="53">
        <f>IF(AND($C710="",$F710=""),"",ROW()-9)</f>
        <v/>
      </c>
      <c r="C710" s="213" t="n"/>
      <c r="D710" s="55" t="n"/>
      <c r="E710" s="55" t="n"/>
      <c r="F710" s="56" t="n"/>
      <c r="G710" s="196" t="n"/>
      <c r="H710" s="21" t="n"/>
      <c r="I710" s="21" t="n"/>
      <c r="J710" s="53">
        <f>IF($C710="","",INDEX(Настройки!$V$6:$V$17,MONTH($C710))&amp;" "&amp;YEAR($C710))</f>
        <v/>
      </c>
      <c r="K710" s="57">
        <f>IF(OR($F710="",$D710="Перевод"),"",IF(AND(N($G710)&lt;&gt;0,COUNTIFS(Журнал!$C$10:$C$1509,$C710,Журнал!$P$10:$P$1509,$G710)&gt;0),"есть в Журнале",IF(COUNTIF(Постоянные!$C$8:$C$37,$F710)&gt;0,"есть в Постоянных",IF(COUNTIF(Покупки!$C$7:$C$18,$F710)&gt;0,"есть в Покупках",""))))</f>
        <v/>
      </c>
      <c r="P710">
        <f>IF($C710="","",DATE(YEAR($C710),MONTH($C710),1))</f>
        <v/>
      </c>
      <c r="Q710">
        <f>IF(ISNUMBER($G710),ABS($G710),0)</f>
        <v/>
      </c>
      <c r="R710">
        <f>IF(AND($D710="Расход",COUNTIFS(Счета!$B$10:$B$21,$H710,Счета!$C$10:$C$21,"Кредитная")&gt;0),1,0)</f>
        <v/>
      </c>
    </row>
    <row r="711" ht="19" customHeight="1">
      <c r="B711" s="53">
        <f>IF(AND($C711="",$F711=""),"",ROW()-9)</f>
        <v/>
      </c>
      <c r="C711" s="213" t="n"/>
      <c r="D711" s="55" t="n"/>
      <c r="E711" s="55" t="n"/>
      <c r="F711" s="56" t="n"/>
      <c r="G711" s="196" t="n"/>
      <c r="H711" s="21" t="n"/>
      <c r="I711" s="21" t="n"/>
      <c r="J711" s="53">
        <f>IF($C711="","",INDEX(Настройки!$V$6:$V$17,MONTH($C711))&amp;" "&amp;YEAR($C711))</f>
        <v/>
      </c>
      <c r="K711" s="57">
        <f>IF(OR($F711="",$D711="Перевод"),"",IF(AND(N($G711)&lt;&gt;0,COUNTIFS(Журнал!$C$10:$C$1509,$C711,Журнал!$P$10:$P$1509,$G711)&gt;0),"есть в Журнале",IF(COUNTIF(Постоянные!$C$8:$C$37,$F711)&gt;0,"есть в Постоянных",IF(COUNTIF(Покупки!$C$7:$C$18,$F711)&gt;0,"есть в Покупках",""))))</f>
        <v/>
      </c>
      <c r="P711">
        <f>IF($C711="","",DATE(YEAR($C711),MONTH($C711),1))</f>
        <v/>
      </c>
      <c r="Q711">
        <f>IF(ISNUMBER($G711),ABS($G711),0)</f>
        <v/>
      </c>
      <c r="R711">
        <f>IF(AND($D711="Расход",COUNTIFS(Счета!$B$10:$B$21,$H711,Счета!$C$10:$C$21,"Кредитная")&gt;0),1,0)</f>
        <v/>
      </c>
    </row>
    <row r="712" ht="19" customHeight="1">
      <c r="B712" s="53">
        <f>IF(AND($C712="",$F712=""),"",ROW()-9)</f>
        <v/>
      </c>
      <c r="C712" s="213" t="n"/>
      <c r="D712" s="55" t="n"/>
      <c r="E712" s="55" t="n"/>
      <c r="F712" s="56" t="n"/>
      <c r="G712" s="196" t="n"/>
      <c r="H712" s="21" t="n"/>
      <c r="I712" s="21" t="n"/>
      <c r="J712" s="53">
        <f>IF($C712="","",INDEX(Настройки!$V$6:$V$17,MONTH($C712))&amp;" "&amp;YEAR($C712))</f>
        <v/>
      </c>
      <c r="K712" s="57">
        <f>IF(OR($F712="",$D712="Перевод"),"",IF(AND(N($G712)&lt;&gt;0,COUNTIFS(Журнал!$C$10:$C$1509,$C712,Журнал!$P$10:$P$1509,$G712)&gt;0),"есть в Журнале",IF(COUNTIF(Постоянные!$C$8:$C$37,$F712)&gt;0,"есть в Постоянных",IF(COUNTIF(Покупки!$C$7:$C$18,$F712)&gt;0,"есть в Покупках",""))))</f>
        <v/>
      </c>
      <c r="P712">
        <f>IF($C712="","",DATE(YEAR($C712),MONTH($C712),1))</f>
        <v/>
      </c>
      <c r="Q712">
        <f>IF(ISNUMBER($G712),ABS($G712),0)</f>
        <v/>
      </c>
      <c r="R712">
        <f>IF(AND($D712="Расход",COUNTIFS(Счета!$B$10:$B$21,$H712,Счета!$C$10:$C$21,"Кредитная")&gt;0),1,0)</f>
        <v/>
      </c>
    </row>
    <row r="713" ht="19" customHeight="1">
      <c r="B713" s="53">
        <f>IF(AND($C713="",$F713=""),"",ROW()-9)</f>
        <v/>
      </c>
      <c r="C713" s="213" t="n"/>
      <c r="D713" s="55" t="n"/>
      <c r="E713" s="55" t="n"/>
      <c r="F713" s="56" t="n"/>
      <c r="G713" s="196" t="n"/>
      <c r="H713" s="21" t="n"/>
      <c r="I713" s="21" t="n"/>
      <c r="J713" s="53">
        <f>IF($C713="","",INDEX(Настройки!$V$6:$V$17,MONTH($C713))&amp;" "&amp;YEAR($C713))</f>
        <v/>
      </c>
      <c r="K713" s="57">
        <f>IF(OR($F713="",$D713="Перевод"),"",IF(AND(N($G713)&lt;&gt;0,COUNTIFS(Журнал!$C$10:$C$1509,$C713,Журнал!$P$10:$P$1509,$G713)&gt;0),"есть в Журнале",IF(COUNTIF(Постоянные!$C$8:$C$37,$F713)&gt;0,"есть в Постоянных",IF(COUNTIF(Покупки!$C$7:$C$18,$F713)&gt;0,"есть в Покупках",""))))</f>
        <v/>
      </c>
      <c r="P713">
        <f>IF($C713="","",DATE(YEAR($C713),MONTH($C713),1))</f>
        <v/>
      </c>
      <c r="Q713">
        <f>IF(ISNUMBER($G713),ABS($G713),0)</f>
        <v/>
      </c>
      <c r="R713">
        <f>IF(AND($D713="Расход",COUNTIFS(Счета!$B$10:$B$21,$H713,Счета!$C$10:$C$21,"Кредитная")&gt;0),1,0)</f>
        <v/>
      </c>
    </row>
    <row r="714" ht="19" customHeight="1">
      <c r="B714" s="53">
        <f>IF(AND($C714="",$F714=""),"",ROW()-9)</f>
        <v/>
      </c>
      <c r="C714" s="213" t="n"/>
      <c r="D714" s="55" t="n"/>
      <c r="E714" s="55" t="n"/>
      <c r="F714" s="56" t="n"/>
      <c r="G714" s="196" t="n"/>
      <c r="H714" s="21" t="n"/>
      <c r="I714" s="21" t="n"/>
      <c r="J714" s="53">
        <f>IF($C714="","",INDEX(Настройки!$V$6:$V$17,MONTH($C714))&amp;" "&amp;YEAR($C714))</f>
        <v/>
      </c>
      <c r="K714" s="57">
        <f>IF(OR($F714="",$D714="Перевод"),"",IF(AND(N($G714)&lt;&gt;0,COUNTIFS(Журнал!$C$10:$C$1509,$C714,Журнал!$P$10:$P$1509,$G714)&gt;0),"есть в Журнале",IF(COUNTIF(Постоянные!$C$8:$C$37,$F714)&gt;0,"есть в Постоянных",IF(COUNTIF(Покупки!$C$7:$C$18,$F714)&gt;0,"есть в Покупках",""))))</f>
        <v/>
      </c>
      <c r="P714">
        <f>IF($C714="","",DATE(YEAR($C714),MONTH($C714),1))</f>
        <v/>
      </c>
      <c r="Q714">
        <f>IF(ISNUMBER($G714),ABS($G714),0)</f>
        <v/>
      </c>
      <c r="R714">
        <f>IF(AND($D714="Расход",COUNTIFS(Счета!$B$10:$B$21,$H714,Счета!$C$10:$C$21,"Кредитная")&gt;0),1,0)</f>
        <v/>
      </c>
    </row>
    <row r="715" ht="19" customHeight="1">
      <c r="B715" s="53">
        <f>IF(AND($C715="",$F715=""),"",ROW()-9)</f>
        <v/>
      </c>
      <c r="C715" s="213" t="n"/>
      <c r="D715" s="55" t="n"/>
      <c r="E715" s="55" t="n"/>
      <c r="F715" s="56" t="n"/>
      <c r="G715" s="196" t="n"/>
      <c r="H715" s="21" t="n"/>
      <c r="I715" s="21" t="n"/>
      <c r="J715" s="53">
        <f>IF($C715="","",INDEX(Настройки!$V$6:$V$17,MONTH($C715))&amp;" "&amp;YEAR($C715))</f>
        <v/>
      </c>
      <c r="K715" s="57">
        <f>IF(OR($F715="",$D715="Перевод"),"",IF(AND(N($G715)&lt;&gt;0,COUNTIFS(Журнал!$C$10:$C$1509,$C715,Журнал!$P$10:$P$1509,$G715)&gt;0),"есть в Журнале",IF(COUNTIF(Постоянные!$C$8:$C$37,$F715)&gt;0,"есть в Постоянных",IF(COUNTIF(Покупки!$C$7:$C$18,$F715)&gt;0,"есть в Покупках",""))))</f>
        <v/>
      </c>
      <c r="P715">
        <f>IF($C715="","",DATE(YEAR($C715),MONTH($C715),1))</f>
        <v/>
      </c>
      <c r="Q715">
        <f>IF(ISNUMBER($G715),ABS($G715),0)</f>
        <v/>
      </c>
      <c r="R715">
        <f>IF(AND($D715="Расход",COUNTIFS(Счета!$B$10:$B$21,$H715,Счета!$C$10:$C$21,"Кредитная")&gt;0),1,0)</f>
        <v/>
      </c>
    </row>
    <row r="716" ht="19" customHeight="1">
      <c r="B716" s="53">
        <f>IF(AND($C716="",$F716=""),"",ROW()-9)</f>
        <v/>
      </c>
      <c r="C716" s="213" t="n"/>
      <c r="D716" s="55" t="n"/>
      <c r="E716" s="55" t="n"/>
      <c r="F716" s="56" t="n"/>
      <c r="G716" s="196" t="n"/>
      <c r="H716" s="21" t="n"/>
      <c r="I716" s="21" t="n"/>
      <c r="J716" s="53">
        <f>IF($C716="","",INDEX(Настройки!$V$6:$V$17,MONTH($C716))&amp;" "&amp;YEAR($C716))</f>
        <v/>
      </c>
      <c r="K716" s="57">
        <f>IF(OR($F716="",$D716="Перевод"),"",IF(AND(N($G716)&lt;&gt;0,COUNTIFS(Журнал!$C$10:$C$1509,$C716,Журнал!$P$10:$P$1509,$G716)&gt;0),"есть в Журнале",IF(COUNTIF(Постоянные!$C$8:$C$37,$F716)&gt;0,"есть в Постоянных",IF(COUNTIF(Покупки!$C$7:$C$18,$F716)&gt;0,"есть в Покупках",""))))</f>
        <v/>
      </c>
      <c r="P716">
        <f>IF($C716="","",DATE(YEAR($C716),MONTH($C716),1))</f>
        <v/>
      </c>
      <c r="Q716">
        <f>IF(ISNUMBER($G716),ABS($G716),0)</f>
        <v/>
      </c>
      <c r="R716">
        <f>IF(AND($D716="Расход",COUNTIFS(Счета!$B$10:$B$21,$H716,Счета!$C$10:$C$21,"Кредитная")&gt;0),1,0)</f>
        <v/>
      </c>
    </row>
    <row r="717" ht="19" customHeight="1">
      <c r="B717" s="53">
        <f>IF(AND($C717="",$F717=""),"",ROW()-9)</f>
        <v/>
      </c>
      <c r="C717" s="213" t="n"/>
      <c r="D717" s="55" t="n"/>
      <c r="E717" s="55" t="n"/>
      <c r="F717" s="56" t="n"/>
      <c r="G717" s="196" t="n"/>
      <c r="H717" s="21" t="n"/>
      <c r="I717" s="21" t="n"/>
      <c r="J717" s="53">
        <f>IF($C717="","",INDEX(Настройки!$V$6:$V$17,MONTH($C717))&amp;" "&amp;YEAR($C717))</f>
        <v/>
      </c>
      <c r="K717" s="57">
        <f>IF(OR($F717="",$D717="Перевод"),"",IF(AND(N($G717)&lt;&gt;0,COUNTIFS(Журнал!$C$10:$C$1509,$C717,Журнал!$P$10:$P$1509,$G717)&gt;0),"есть в Журнале",IF(COUNTIF(Постоянные!$C$8:$C$37,$F717)&gt;0,"есть в Постоянных",IF(COUNTIF(Покупки!$C$7:$C$18,$F717)&gt;0,"есть в Покупках",""))))</f>
        <v/>
      </c>
      <c r="P717">
        <f>IF($C717="","",DATE(YEAR($C717),MONTH($C717),1))</f>
        <v/>
      </c>
      <c r="Q717">
        <f>IF(ISNUMBER($G717),ABS($G717),0)</f>
        <v/>
      </c>
      <c r="R717">
        <f>IF(AND($D717="Расход",COUNTIFS(Счета!$B$10:$B$21,$H717,Счета!$C$10:$C$21,"Кредитная")&gt;0),1,0)</f>
        <v/>
      </c>
    </row>
    <row r="718" ht="19" customHeight="1">
      <c r="B718" s="53">
        <f>IF(AND($C718="",$F718=""),"",ROW()-9)</f>
        <v/>
      </c>
      <c r="C718" s="213" t="n"/>
      <c r="D718" s="55" t="n"/>
      <c r="E718" s="55" t="n"/>
      <c r="F718" s="56" t="n"/>
      <c r="G718" s="196" t="n"/>
      <c r="H718" s="21" t="n"/>
      <c r="I718" s="21" t="n"/>
      <c r="J718" s="53">
        <f>IF($C718="","",INDEX(Настройки!$V$6:$V$17,MONTH($C718))&amp;" "&amp;YEAR($C718))</f>
        <v/>
      </c>
      <c r="K718" s="57">
        <f>IF(OR($F718="",$D718="Перевод"),"",IF(AND(N($G718)&lt;&gt;0,COUNTIFS(Журнал!$C$10:$C$1509,$C718,Журнал!$P$10:$P$1509,$G718)&gt;0),"есть в Журнале",IF(COUNTIF(Постоянные!$C$8:$C$37,$F718)&gt;0,"есть в Постоянных",IF(COUNTIF(Покупки!$C$7:$C$18,$F718)&gt;0,"есть в Покупках",""))))</f>
        <v/>
      </c>
      <c r="P718">
        <f>IF($C718="","",DATE(YEAR($C718),MONTH($C718),1))</f>
        <v/>
      </c>
      <c r="Q718">
        <f>IF(ISNUMBER($G718),ABS($G718),0)</f>
        <v/>
      </c>
      <c r="R718">
        <f>IF(AND($D718="Расход",COUNTIFS(Счета!$B$10:$B$21,$H718,Счета!$C$10:$C$21,"Кредитная")&gt;0),1,0)</f>
        <v/>
      </c>
    </row>
    <row r="719" ht="19" customHeight="1">
      <c r="B719" s="53">
        <f>IF(AND($C719="",$F719=""),"",ROW()-9)</f>
        <v/>
      </c>
      <c r="C719" s="213" t="n"/>
      <c r="D719" s="55" t="n"/>
      <c r="E719" s="55" t="n"/>
      <c r="F719" s="56" t="n"/>
      <c r="G719" s="196" t="n"/>
      <c r="H719" s="21" t="n"/>
      <c r="I719" s="21" t="n"/>
      <c r="J719" s="53">
        <f>IF($C719="","",INDEX(Настройки!$V$6:$V$17,MONTH($C719))&amp;" "&amp;YEAR($C719))</f>
        <v/>
      </c>
      <c r="K719" s="57">
        <f>IF(OR($F719="",$D719="Перевод"),"",IF(AND(N($G719)&lt;&gt;0,COUNTIFS(Журнал!$C$10:$C$1509,$C719,Журнал!$P$10:$P$1509,$G719)&gt;0),"есть в Журнале",IF(COUNTIF(Постоянные!$C$8:$C$37,$F719)&gt;0,"есть в Постоянных",IF(COUNTIF(Покупки!$C$7:$C$18,$F719)&gt;0,"есть в Покупках",""))))</f>
        <v/>
      </c>
      <c r="P719">
        <f>IF($C719="","",DATE(YEAR($C719),MONTH($C719),1))</f>
        <v/>
      </c>
      <c r="Q719">
        <f>IF(ISNUMBER($G719),ABS($G719),0)</f>
        <v/>
      </c>
      <c r="R719">
        <f>IF(AND($D719="Расход",COUNTIFS(Счета!$B$10:$B$21,$H719,Счета!$C$10:$C$21,"Кредитная")&gt;0),1,0)</f>
        <v/>
      </c>
    </row>
    <row r="720" ht="19" customHeight="1">
      <c r="B720" s="53">
        <f>IF(AND($C720="",$F720=""),"",ROW()-9)</f>
        <v/>
      </c>
      <c r="C720" s="213" t="n"/>
      <c r="D720" s="55" t="n"/>
      <c r="E720" s="55" t="n"/>
      <c r="F720" s="56" t="n"/>
      <c r="G720" s="196" t="n"/>
      <c r="H720" s="21" t="n"/>
      <c r="I720" s="21" t="n"/>
      <c r="J720" s="53">
        <f>IF($C720="","",INDEX(Настройки!$V$6:$V$17,MONTH($C720))&amp;" "&amp;YEAR($C720))</f>
        <v/>
      </c>
      <c r="K720" s="57">
        <f>IF(OR($F720="",$D720="Перевод"),"",IF(AND(N($G720)&lt;&gt;0,COUNTIFS(Журнал!$C$10:$C$1509,$C720,Журнал!$P$10:$P$1509,$G720)&gt;0),"есть в Журнале",IF(COUNTIF(Постоянные!$C$8:$C$37,$F720)&gt;0,"есть в Постоянных",IF(COUNTIF(Покупки!$C$7:$C$18,$F720)&gt;0,"есть в Покупках",""))))</f>
        <v/>
      </c>
      <c r="P720">
        <f>IF($C720="","",DATE(YEAR($C720),MONTH($C720),1))</f>
        <v/>
      </c>
      <c r="Q720">
        <f>IF(ISNUMBER($G720),ABS($G720),0)</f>
        <v/>
      </c>
      <c r="R720">
        <f>IF(AND($D720="Расход",COUNTIFS(Счета!$B$10:$B$21,$H720,Счета!$C$10:$C$21,"Кредитная")&gt;0),1,0)</f>
        <v/>
      </c>
    </row>
    <row r="721" ht="19" customHeight="1">
      <c r="B721" s="53">
        <f>IF(AND($C721="",$F721=""),"",ROW()-9)</f>
        <v/>
      </c>
      <c r="C721" s="213" t="n"/>
      <c r="D721" s="55" t="n"/>
      <c r="E721" s="55" t="n"/>
      <c r="F721" s="56" t="n"/>
      <c r="G721" s="196" t="n"/>
      <c r="H721" s="21" t="n"/>
      <c r="I721" s="21" t="n"/>
      <c r="J721" s="53">
        <f>IF($C721="","",INDEX(Настройки!$V$6:$V$17,MONTH($C721))&amp;" "&amp;YEAR($C721))</f>
        <v/>
      </c>
      <c r="K721" s="57">
        <f>IF(OR($F721="",$D721="Перевод"),"",IF(AND(N($G721)&lt;&gt;0,COUNTIFS(Журнал!$C$10:$C$1509,$C721,Журнал!$P$10:$P$1509,$G721)&gt;0),"есть в Журнале",IF(COUNTIF(Постоянные!$C$8:$C$37,$F721)&gt;0,"есть в Постоянных",IF(COUNTIF(Покупки!$C$7:$C$18,$F721)&gt;0,"есть в Покупках",""))))</f>
        <v/>
      </c>
      <c r="P721">
        <f>IF($C721="","",DATE(YEAR($C721),MONTH($C721),1))</f>
        <v/>
      </c>
      <c r="Q721">
        <f>IF(ISNUMBER($G721),ABS($G721),0)</f>
        <v/>
      </c>
      <c r="R721">
        <f>IF(AND($D721="Расход",COUNTIFS(Счета!$B$10:$B$21,$H721,Счета!$C$10:$C$21,"Кредитная")&gt;0),1,0)</f>
        <v/>
      </c>
    </row>
    <row r="722" ht="19" customHeight="1">
      <c r="B722" s="53">
        <f>IF(AND($C722="",$F722=""),"",ROW()-9)</f>
        <v/>
      </c>
      <c r="C722" s="213" t="n"/>
      <c r="D722" s="55" t="n"/>
      <c r="E722" s="55" t="n"/>
      <c r="F722" s="56" t="n"/>
      <c r="G722" s="196" t="n"/>
      <c r="H722" s="21" t="n"/>
      <c r="I722" s="21" t="n"/>
      <c r="J722" s="53">
        <f>IF($C722="","",INDEX(Настройки!$V$6:$V$17,MONTH($C722))&amp;" "&amp;YEAR($C722))</f>
        <v/>
      </c>
      <c r="K722" s="57">
        <f>IF(OR($F722="",$D722="Перевод"),"",IF(AND(N($G722)&lt;&gt;0,COUNTIFS(Журнал!$C$10:$C$1509,$C722,Журнал!$P$10:$P$1509,$G722)&gt;0),"есть в Журнале",IF(COUNTIF(Постоянные!$C$8:$C$37,$F722)&gt;0,"есть в Постоянных",IF(COUNTIF(Покупки!$C$7:$C$18,$F722)&gt;0,"есть в Покупках",""))))</f>
        <v/>
      </c>
      <c r="P722">
        <f>IF($C722="","",DATE(YEAR($C722),MONTH($C722),1))</f>
        <v/>
      </c>
      <c r="Q722">
        <f>IF(ISNUMBER($G722),ABS($G722),0)</f>
        <v/>
      </c>
      <c r="R722">
        <f>IF(AND($D722="Расход",COUNTIFS(Счета!$B$10:$B$21,$H722,Счета!$C$10:$C$21,"Кредитная")&gt;0),1,0)</f>
        <v/>
      </c>
    </row>
    <row r="723" ht="19" customHeight="1">
      <c r="B723" s="53">
        <f>IF(AND($C723="",$F723=""),"",ROW()-9)</f>
        <v/>
      </c>
      <c r="C723" s="213" t="n"/>
      <c r="D723" s="55" t="n"/>
      <c r="E723" s="55" t="n"/>
      <c r="F723" s="56" t="n"/>
      <c r="G723" s="196" t="n"/>
      <c r="H723" s="21" t="n"/>
      <c r="I723" s="21" t="n"/>
      <c r="J723" s="53">
        <f>IF($C723="","",INDEX(Настройки!$V$6:$V$17,MONTH($C723))&amp;" "&amp;YEAR($C723))</f>
        <v/>
      </c>
      <c r="K723" s="57">
        <f>IF(OR($F723="",$D723="Перевод"),"",IF(AND(N($G723)&lt;&gt;0,COUNTIFS(Журнал!$C$10:$C$1509,$C723,Журнал!$P$10:$P$1509,$G723)&gt;0),"есть в Журнале",IF(COUNTIF(Постоянные!$C$8:$C$37,$F723)&gt;0,"есть в Постоянных",IF(COUNTIF(Покупки!$C$7:$C$18,$F723)&gt;0,"есть в Покупках",""))))</f>
        <v/>
      </c>
      <c r="P723">
        <f>IF($C723="","",DATE(YEAR($C723),MONTH($C723),1))</f>
        <v/>
      </c>
      <c r="Q723">
        <f>IF(ISNUMBER($G723),ABS($G723),0)</f>
        <v/>
      </c>
      <c r="R723">
        <f>IF(AND($D723="Расход",COUNTIFS(Счета!$B$10:$B$21,$H723,Счета!$C$10:$C$21,"Кредитная")&gt;0),1,0)</f>
        <v/>
      </c>
    </row>
    <row r="724" ht="19" customHeight="1">
      <c r="B724" s="53">
        <f>IF(AND($C724="",$F724=""),"",ROW()-9)</f>
        <v/>
      </c>
      <c r="C724" s="213" t="n"/>
      <c r="D724" s="55" t="n"/>
      <c r="E724" s="55" t="n"/>
      <c r="F724" s="56" t="n"/>
      <c r="G724" s="196" t="n"/>
      <c r="H724" s="21" t="n"/>
      <c r="I724" s="21" t="n"/>
      <c r="J724" s="53">
        <f>IF($C724="","",INDEX(Настройки!$V$6:$V$17,MONTH($C724))&amp;" "&amp;YEAR($C724))</f>
        <v/>
      </c>
      <c r="K724" s="57">
        <f>IF(OR($F724="",$D724="Перевод"),"",IF(AND(N($G724)&lt;&gt;0,COUNTIFS(Журнал!$C$10:$C$1509,$C724,Журнал!$P$10:$P$1509,$G724)&gt;0),"есть в Журнале",IF(COUNTIF(Постоянные!$C$8:$C$37,$F724)&gt;0,"есть в Постоянных",IF(COUNTIF(Покупки!$C$7:$C$18,$F724)&gt;0,"есть в Покупках",""))))</f>
        <v/>
      </c>
      <c r="P724">
        <f>IF($C724="","",DATE(YEAR($C724),MONTH($C724),1))</f>
        <v/>
      </c>
      <c r="Q724">
        <f>IF(ISNUMBER($G724),ABS($G724),0)</f>
        <v/>
      </c>
      <c r="R724">
        <f>IF(AND($D724="Расход",COUNTIFS(Счета!$B$10:$B$21,$H724,Счета!$C$10:$C$21,"Кредитная")&gt;0),1,0)</f>
        <v/>
      </c>
    </row>
    <row r="725" ht="19" customHeight="1">
      <c r="B725" s="53">
        <f>IF(AND($C725="",$F725=""),"",ROW()-9)</f>
        <v/>
      </c>
      <c r="C725" s="213" t="n"/>
      <c r="D725" s="55" t="n"/>
      <c r="E725" s="55" t="n"/>
      <c r="F725" s="56" t="n"/>
      <c r="G725" s="196" t="n"/>
      <c r="H725" s="21" t="n"/>
      <c r="I725" s="21" t="n"/>
      <c r="J725" s="53">
        <f>IF($C725="","",INDEX(Настройки!$V$6:$V$17,MONTH($C725))&amp;" "&amp;YEAR($C725))</f>
        <v/>
      </c>
      <c r="K725" s="57">
        <f>IF(OR($F725="",$D725="Перевод"),"",IF(AND(N($G725)&lt;&gt;0,COUNTIFS(Журнал!$C$10:$C$1509,$C725,Журнал!$P$10:$P$1509,$G725)&gt;0),"есть в Журнале",IF(COUNTIF(Постоянные!$C$8:$C$37,$F725)&gt;0,"есть в Постоянных",IF(COUNTIF(Покупки!$C$7:$C$18,$F725)&gt;0,"есть в Покупках",""))))</f>
        <v/>
      </c>
      <c r="P725">
        <f>IF($C725="","",DATE(YEAR($C725),MONTH($C725),1))</f>
        <v/>
      </c>
      <c r="Q725">
        <f>IF(ISNUMBER($G725),ABS($G725),0)</f>
        <v/>
      </c>
      <c r="R725">
        <f>IF(AND($D725="Расход",COUNTIFS(Счета!$B$10:$B$21,$H725,Счета!$C$10:$C$21,"Кредитная")&gt;0),1,0)</f>
        <v/>
      </c>
    </row>
    <row r="726" ht="19" customHeight="1">
      <c r="B726" s="53">
        <f>IF(AND($C726="",$F726=""),"",ROW()-9)</f>
        <v/>
      </c>
      <c r="C726" s="213" t="n"/>
      <c r="D726" s="55" t="n"/>
      <c r="E726" s="55" t="n"/>
      <c r="F726" s="56" t="n"/>
      <c r="G726" s="196" t="n"/>
      <c r="H726" s="21" t="n"/>
      <c r="I726" s="21" t="n"/>
      <c r="J726" s="53">
        <f>IF($C726="","",INDEX(Настройки!$V$6:$V$17,MONTH($C726))&amp;" "&amp;YEAR($C726))</f>
        <v/>
      </c>
      <c r="K726" s="57">
        <f>IF(OR($F726="",$D726="Перевод"),"",IF(AND(N($G726)&lt;&gt;0,COUNTIFS(Журнал!$C$10:$C$1509,$C726,Журнал!$P$10:$P$1509,$G726)&gt;0),"есть в Журнале",IF(COUNTIF(Постоянные!$C$8:$C$37,$F726)&gt;0,"есть в Постоянных",IF(COUNTIF(Покупки!$C$7:$C$18,$F726)&gt;0,"есть в Покупках",""))))</f>
        <v/>
      </c>
      <c r="P726">
        <f>IF($C726="","",DATE(YEAR($C726),MONTH($C726),1))</f>
        <v/>
      </c>
      <c r="Q726">
        <f>IF(ISNUMBER($G726),ABS($G726),0)</f>
        <v/>
      </c>
      <c r="R726">
        <f>IF(AND($D726="Расход",COUNTIFS(Счета!$B$10:$B$21,$H726,Счета!$C$10:$C$21,"Кредитная")&gt;0),1,0)</f>
        <v/>
      </c>
    </row>
    <row r="727" ht="19" customHeight="1">
      <c r="B727" s="53">
        <f>IF(AND($C727="",$F727=""),"",ROW()-9)</f>
        <v/>
      </c>
      <c r="C727" s="213" t="n"/>
      <c r="D727" s="55" t="n"/>
      <c r="E727" s="55" t="n"/>
      <c r="F727" s="56" t="n"/>
      <c r="G727" s="196" t="n"/>
      <c r="H727" s="21" t="n"/>
      <c r="I727" s="21" t="n"/>
      <c r="J727" s="53">
        <f>IF($C727="","",INDEX(Настройки!$V$6:$V$17,MONTH($C727))&amp;" "&amp;YEAR($C727))</f>
        <v/>
      </c>
      <c r="K727" s="57">
        <f>IF(OR($F727="",$D727="Перевод"),"",IF(AND(N($G727)&lt;&gt;0,COUNTIFS(Журнал!$C$10:$C$1509,$C727,Журнал!$P$10:$P$1509,$G727)&gt;0),"есть в Журнале",IF(COUNTIF(Постоянные!$C$8:$C$37,$F727)&gt;0,"есть в Постоянных",IF(COUNTIF(Покупки!$C$7:$C$18,$F727)&gt;0,"есть в Покупках",""))))</f>
        <v/>
      </c>
      <c r="P727">
        <f>IF($C727="","",DATE(YEAR($C727),MONTH($C727),1))</f>
        <v/>
      </c>
      <c r="Q727">
        <f>IF(ISNUMBER($G727),ABS($G727),0)</f>
        <v/>
      </c>
      <c r="R727">
        <f>IF(AND($D727="Расход",COUNTIFS(Счета!$B$10:$B$21,$H727,Счета!$C$10:$C$21,"Кредитная")&gt;0),1,0)</f>
        <v/>
      </c>
    </row>
    <row r="728" ht="19" customHeight="1">
      <c r="B728" s="53">
        <f>IF(AND($C728="",$F728=""),"",ROW()-9)</f>
        <v/>
      </c>
      <c r="C728" s="213" t="n"/>
      <c r="D728" s="55" t="n"/>
      <c r="E728" s="55" t="n"/>
      <c r="F728" s="56" t="n"/>
      <c r="G728" s="196" t="n"/>
      <c r="H728" s="21" t="n"/>
      <c r="I728" s="21" t="n"/>
      <c r="J728" s="53">
        <f>IF($C728="","",INDEX(Настройки!$V$6:$V$17,MONTH($C728))&amp;" "&amp;YEAR($C728))</f>
        <v/>
      </c>
      <c r="K728" s="57">
        <f>IF(OR($F728="",$D728="Перевод"),"",IF(AND(N($G728)&lt;&gt;0,COUNTIFS(Журнал!$C$10:$C$1509,$C728,Журнал!$P$10:$P$1509,$G728)&gt;0),"есть в Журнале",IF(COUNTIF(Постоянные!$C$8:$C$37,$F728)&gt;0,"есть в Постоянных",IF(COUNTIF(Покупки!$C$7:$C$18,$F728)&gt;0,"есть в Покупках",""))))</f>
        <v/>
      </c>
      <c r="P728">
        <f>IF($C728="","",DATE(YEAR($C728),MONTH($C728),1))</f>
        <v/>
      </c>
      <c r="Q728">
        <f>IF(ISNUMBER($G728),ABS($G728),0)</f>
        <v/>
      </c>
      <c r="R728">
        <f>IF(AND($D728="Расход",COUNTIFS(Счета!$B$10:$B$21,$H728,Счета!$C$10:$C$21,"Кредитная")&gt;0),1,0)</f>
        <v/>
      </c>
    </row>
    <row r="729" ht="19" customHeight="1">
      <c r="B729" s="53">
        <f>IF(AND($C729="",$F729=""),"",ROW()-9)</f>
        <v/>
      </c>
      <c r="C729" s="213" t="n"/>
      <c r="D729" s="55" t="n"/>
      <c r="E729" s="55" t="n"/>
      <c r="F729" s="56" t="n"/>
      <c r="G729" s="196" t="n"/>
      <c r="H729" s="21" t="n"/>
      <c r="I729" s="21" t="n"/>
      <c r="J729" s="53">
        <f>IF($C729="","",INDEX(Настройки!$V$6:$V$17,MONTH($C729))&amp;" "&amp;YEAR($C729))</f>
        <v/>
      </c>
      <c r="K729" s="57">
        <f>IF(OR($F729="",$D729="Перевод"),"",IF(AND(N($G729)&lt;&gt;0,COUNTIFS(Журнал!$C$10:$C$1509,$C729,Журнал!$P$10:$P$1509,$G729)&gt;0),"есть в Журнале",IF(COUNTIF(Постоянные!$C$8:$C$37,$F729)&gt;0,"есть в Постоянных",IF(COUNTIF(Покупки!$C$7:$C$18,$F729)&gt;0,"есть в Покупках",""))))</f>
        <v/>
      </c>
      <c r="P729">
        <f>IF($C729="","",DATE(YEAR($C729),MONTH($C729),1))</f>
        <v/>
      </c>
      <c r="Q729">
        <f>IF(ISNUMBER($G729),ABS($G729),0)</f>
        <v/>
      </c>
      <c r="R729">
        <f>IF(AND($D729="Расход",COUNTIFS(Счета!$B$10:$B$21,$H729,Счета!$C$10:$C$21,"Кредитная")&gt;0),1,0)</f>
        <v/>
      </c>
    </row>
    <row r="730" ht="19" customHeight="1">
      <c r="B730" s="53">
        <f>IF(AND($C730="",$F730=""),"",ROW()-9)</f>
        <v/>
      </c>
      <c r="C730" s="213" t="n"/>
      <c r="D730" s="55" t="n"/>
      <c r="E730" s="55" t="n"/>
      <c r="F730" s="56" t="n"/>
      <c r="G730" s="196" t="n"/>
      <c r="H730" s="21" t="n"/>
      <c r="I730" s="21" t="n"/>
      <c r="J730" s="53">
        <f>IF($C730="","",INDEX(Настройки!$V$6:$V$17,MONTH($C730))&amp;" "&amp;YEAR($C730))</f>
        <v/>
      </c>
      <c r="K730" s="57">
        <f>IF(OR($F730="",$D730="Перевод"),"",IF(AND(N($G730)&lt;&gt;0,COUNTIFS(Журнал!$C$10:$C$1509,$C730,Журнал!$P$10:$P$1509,$G730)&gt;0),"есть в Журнале",IF(COUNTIF(Постоянные!$C$8:$C$37,$F730)&gt;0,"есть в Постоянных",IF(COUNTIF(Покупки!$C$7:$C$18,$F730)&gt;0,"есть в Покупках",""))))</f>
        <v/>
      </c>
      <c r="P730">
        <f>IF($C730="","",DATE(YEAR($C730),MONTH($C730),1))</f>
        <v/>
      </c>
      <c r="Q730">
        <f>IF(ISNUMBER($G730),ABS($G730),0)</f>
        <v/>
      </c>
      <c r="R730">
        <f>IF(AND($D730="Расход",COUNTIFS(Счета!$B$10:$B$21,$H730,Счета!$C$10:$C$21,"Кредитная")&gt;0),1,0)</f>
        <v/>
      </c>
    </row>
    <row r="731" ht="19" customHeight="1">
      <c r="B731" s="53">
        <f>IF(AND($C731="",$F731=""),"",ROW()-9)</f>
        <v/>
      </c>
      <c r="C731" s="213" t="n"/>
      <c r="D731" s="55" t="n"/>
      <c r="E731" s="55" t="n"/>
      <c r="F731" s="56" t="n"/>
      <c r="G731" s="196" t="n"/>
      <c r="H731" s="21" t="n"/>
      <c r="I731" s="21" t="n"/>
      <c r="J731" s="53">
        <f>IF($C731="","",INDEX(Настройки!$V$6:$V$17,MONTH($C731))&amp;" "&amp;YEAR($C731))</f>
        <v/>
      </c>
      <c r="K731" s="57">
        <f>IF(OR($F731="",$D731="Перевод"),"",IF(AND(N($G731)&lt;&gt;0,COUNTIFS(Журнал!$C$10:$C$1509,$C731,Журнал!$P$10:$P$1509,$G731)&gt;0),"есть в Журнале",IF(COUNTIF(Постоянные!$C$8:$C$37,$F731)&gt;0,"есть в Постоянных",IF(COUNTIF(Покупки!$C$7:$C$18,$F731)&gt;0,"есть в Покупках",""))))</f>
        <v/>
      </c>
      <c r="P731">
        <f>IF($C731="","",DATE(YEAR($C731),MONTH($C731),1))</f>
        <v/>
      </c>
      <c r="Q731">
        <f>IF(ISNUMBER($G731),ABS($G731),0)</f>
        <v/>
      </c>
      <c r="R731">
        <f>IF(AND($D731="Расход",COUNTIFS(Счета!$B$10:$B$21,$H731,Счета!$C$10:$C$21,"Кредитная")&gt;0),1,0)</f>
        <v/>
      </c>
    </row>
    <row r="732" ht="19" customHeight="1">
      <c r="B732" s="53">
        <f>IF(AND($C732="",$F732=""),"",ROW()-9)</f>
        <v/>
      </c>
      <c r="C732" s="213" t="n"/>
      <c r="D732" s="55" t="n"/>
      <c r="E732" s="55" t="n"/>
      <c r="F732" s="56" t="n"/>
      <c r="G732" s="196" t="n"/>
      <c r="H732" s="21" t="n"/>
      <c r="I732" s="21" t="n"/>
      <c r="J732" s="53">
        <f>IF($C732="","",INDEX(Настройки!$V$6:$V$17,MONTH($C732))&amp;" "&amp;YEAR($C732))</f>
        <v/>
      </c>
      <c r="K732" s="57">
        <f>IF(OR($F732="",$D732="Перевод"),"",IF(AND(N($G732)&lt;&gt;0,COUNTIFS(Журнал!$C$10:$C$1509,$C732,Журнал!$P$10:$P$1509,$G732)&gt;0),"есть в Журнале",IF(COUNTIF(Постоянные!$C$8:$C$37,$F732)&gt;0,"есть в Постоянных",IF(COUNTIF(Покупки!$C$7:$C$18,$F732)&gt;0,"есть в Покупках",""))))</f>
        <v/>
      </c>
      <c r="P732">
        <f>IF($C732="","",DATE(YEAR($C732),MONTH($C732),1))</f>
        <v/>
      </c>
      <c r="Q732">
        <f>IF(ISNUMBER($G732),ABS($G732),0)</f>
        <v/>
      </c>
      <c r="R732">
        <f>IF(AND($D732="Расход",COUNTIFS(Счета!$B$10:$B$21,$H732,Счета!$C$10:$C$21,"Кредитная")&gt;0),1,0)</f>
        <v/>
      </c>
    </row>
    <row r="733" ht="19" customHeight="1">
      <c r="B733" s="53">
        <f>IF(AND($C733="",$F733=""),"",ROW()-9)</f>
        <v/>
      </c>
      <c r="C733" s="213" t="n"/>
      <c r="D733" s="55" t="n"/>
      <c r="E733" s="55" t="n"/>
      <c r="F733" s="56" t="n"/>
      <c r="G733" s="196" t="n"/>
      <c r="H733" s="21" t="n"/>
      <c r="I733" s="21" t="n"/>
      <c r="J733" s="53">
        <f>IF($C733="","",INDEX(Настройки!$V$6:$V$17,MONTH($C733))&amp;" "&amp;YEAR($C733))</f>
        <v/>
      </c>
      <c r="K733" s="57">
        <f>IF(OR($F733="",$D733="Перевод"),"",IF(AND(N($G733)&lt;&gt;0,COUNTIFS(Журнал!$C$10:$C$1509,$C733,Журнал!$P$10:$P$1509,$G733)&gt;0),"есть в Журнале",IF(COUNTIF(Постоянные!$C$8:$C$37,$F733)&gt;0,"есть в Постоянных",IF(COUNTIF(Покупки!$C$7:$C$18,$F733)&gt;0,"есть в Покупках",""))))</f>
        <v/>
      </c>
      <c r="P733">
        <f>IF($C733="","",DATE(YEAR($C733),MONTH($C733),1))</f>
        <v/>
      </c>
      <c r="Q733">
        <f>IF(ISNUMBER($G733),ABS($G733),0)</f>
        <v/>
      </c>
      <c r="R733">
        <f>IF(AND($D733="Расход",COUNTIFS(Счета!$B$10:$B$21,$H733,Счета!$C$10:$C$21,"Кредитная")&gt;0),1,0)</f>
        <v/>
      </c>
    </row>
    <row r="734" ht="19" customHeight="1">
      <c r="B734" s="53">
        <f>IF(AND($C734="",$F734=""),"",ROW()-9)</f>
        <v/>
      </c>
      <c r="C734" s="213" t="n"/>
      <c r="D734" s="55" t="n"/>
      <c r="E734" s="55" t="n"/>
      <c r="F734" s="56" t="n"/>
      <c r="G734" s="196" t="n"/>
      <c r="H734" s="21" t="n"/>
      <c r="I734" s="21" t="n"/>
      <c r="J734" s="53">
        <f>IF($C734="","",INDEX(Настройки!$V$6:$V$17,MONTH($C734))&amp;" "&amp;YEAR($C734))</f>
        <v/>
      </c>
      <c r="K734" s="57">
        <f>IF(OR($F734="",$D734="Перевод"),"",IF(AND(N($G734)&lt;&gt;0,COUNTIFS(Журнал!$C$10:$C$1509,$C734,Журнал!$P$10:$P$1509,$G734)&gt;0),"есть в Журнале",IF(COUNTIF(Постоянные!$C$8:$C$37,$F734)&gt;0,"есть в Постоянных",IF(COUNTIF(Покупки!$C$7:$C$18,$F734)&gt;0,"есть в Покупках",""))))</f>
        <v/>
      </c>
      <c r="P734">
        <f>IF($C734="","",DATE(YEAR($C734),MONTH($C734),1))</f>
        <v/>
      </c>
      <c r="Q734">
        <f>IF(ISNUMBER($G734),ABS($G734),0)</f>
        <v/>
      </c>
      <c r="R734">
        <f>IF(AND($D734="Расход",COUNTIFS(Счета!$B$10:$B$21,$H734,Счета!$C$10:$C$21,"Кредитная")&gt;0),1,0)</f>
        <v/>
      </c>
    </row>
    <row r="735" ht="19" customHeight="1">
      <c r="B735" s="53">
        <f>IF(AND($C735="",$F735=""),"",ROW()-9)</f>
        <v/>
      </c>
      <c r="C735" s="213" t="n"/>
      <c r="D735" s="55" t="n"/>
      <c r="E735" s="55" t="n"/>
      <c r="F735" s="56" t="n"/>
      <c r="G735" s="196" t="n"/>
      <c r="H735" s="21" t="n"/>
      <c r="I735" s="21" t="n"/>
      <c r="J735" s="53">
        <f>IF($C735="","",INDEX(Настройки!$V$6:$V$17,MONTH($C735))&amp;" "&amp;YEAR($C735))</f>
        <v/>
      </c>
      <c r="K735" s="57">
        <f>IF(OR($F735="",$D735="Перевод"),"",IF(AND(N($G735)&lt;&gt;0,COUNTIFS(Журнал!$C$10:$C$1509,$C735,Журнал!$P$10:$P$1509,$G735)&gt;0),"есть в Журнале",IF(COUNTIF(Постоянные!$C$8:$C$37,$F735)&gt;0,"есть в Постоянных",IF(COUNTIF(Покупки!$C$7:$C$18,$F735)&gt;0,"есть в Покупках",""))))</f>
        <v/>
      </c>
      <c r="P735">
        <f>IF($C735="","",DATE(YEAR($C735),MONTH($C735),1))</f>
        <v/>
      </c>
      <c r="Q735">
        <f>IF(ISNUMBER($G735),ABS($G735),0)</f>
        <v/>
      </c>
      <c r="R735">
        <f>IF(AND($D735="Расход",COUNTIFS(Счета!$B$10:$B$21,$H735,Счета!$C$10:$C$21,"Кредитная")&gt;0),1,0)</f>
        <v/>
      </c>
    </row>
    <row r="736" ht="19" customHeight="1">
      <c r="B736" s="53">
        <f>IF(AND($C736="",$F736=""),"",ROW()-9)</f>
        <v/>
      </c>
      <c r="C736" s="213" t="n"/>
      <c r="D736" s="55" t="n"/>
      <c r="E736" s="55" t="n"/>
      <c r="F736" s="56" t="n"/>
      <c r="G736" s="196" t="n"/>
      <c r="H736" s="21" t="n"/>
      <c r="I736" s="21" t="n"/>
      <c r="J736" s="53">
        <f>IF($C736="","",INDEX(Настройки!$V$6:$V$17,MONTH($C736))&amp;" "&amp;YEAR($C736))</f>
        <v/>
      </c>
      <c r="K736" s="57">
        <f>IF(OR($F736="",$D736="Перевод"),"",IF(AND(N($G736)&lt;&gt;0,COUNTIFS(Журнал!$C$10:$C$1509,$C736,Журнал!$P$10:$P$1509,$G736)&gt;0),"есть в Журнале",IF(COUNTIF(Постоянные!$C$8:$C$37,$F736)&gt;0,"есть в Постоянных",IF(COUNTIF(Покупки!$C$7:$C$18,$F736)&gt;0,"есть в Покупках",""))))</f>
        <v/>
      </c>
      <c r="P736">
        <f>IF($C736="","",DATE(YEAR($C736),MONTH($C736),1))</f>
        <v/>
      </c>
      <c r="Q736">
        <f>IF(ISNUMBER($G736),ABS($G736),0)</f>
        <v/>
      </c>
      <c r="R736">
        <f>IF(AND($D736="Расход",COUNTIFS(Счета!$B$10:$B$21,$H736,Счета!$C$10:$C$21,"Кредитная")&gt;0),1,0)</f>
        <v/>
      </c>
    </row>
    <row r="737" ht="19" customHeight="1">
      <c r="B737" s="53">
        <f>IF(AND($C737="",$F737=""),"",ROW()-9)</f>
        <v/>
      </c>
      <c r="C737" s="213" t="n"/>
      <c r="D737" s="55" t="n"/>
      <c r="E737" s="55" t="n"/>
      <c r="F737" s="56" t="n"/>
      <c r="G737" s="196" t="n"/>
      <c r="H737" s="21" t="n"/>
      <c r="I737" s="21" t="n"/>
      <c r="J737" s="53">
        <f>IF($C737="","",INDEX(Настройки!$V$6:$V$17,MONTH($C737))&amp;" "&amp;YEAR($C737))</f>
        <v/>
      </c>
      <c r="K737" s="57">
        <f>IF(OR($F737="",$D737="Перевод"),"",IF(AND(N($G737)&lt;&gt;0,COUNTIFS(Журнал!$C$10:$C$1509,$C737,Журнал!$P$10:$P$1509,$G737)&gt;0),"есть в Журнале",IF(COUNTIF(Постоянные!$C$8:$C$37,$F737)&gt;0,"есть в Постоянных",IF(COUNTIF(Покупки!$C$7:$C$18,$F737)&gt;0,"есть в Покупках",""))))</f>
        <v/>
      </c>
      <c r="P737">
        <f>IF($C737="","",DATE(YEAR($C737),MONTH($C737),1))</f>
        <v/>
      </c>
      <c r="Q737">
        <f>IF(ISNUMBER($G737),ABS($G737),0)</f>
        <v/>
      </c>
      <c r="R737">
        <f>IF(AND($D737="Расход",COUNTIFS(Счета!$B$10:$B$21,$H737,Счета!$C$10:$C$21,"Кредитная")&gt;0),1,0)</f>
        <v/>
      </c>
    </row>
    <row r="738" ht="19" customHeight="1">
      <c r="B738" s="53">
        <f>IF(AND($C738="",$F738=""),"",ROW()-9)</f>
        <v/>
      </c>
      <c r="C738" s="213" t="n"/>
      <c r="D738" s="55" t="n"/>
      <c r="E738" s="55" t="n"/>
      <c r="F738" s="56" t="n"/>
      <c r="G738" s="196" t="n"/>
      <c r="H738" s="21" t="n"/>
      <c r="I738" s="21" t="n"/>
      <c r="J738" s="53">
        <f>IF($C738="","",INDEX(Настройки!$V$6:$V$17,MONTH($C738))&amp;" "&amp;YEAR($C738))</f>
        <v/>
      </c>
      <c r="K738" s="57">
        <f>IF(OR($F738="",$D738="Перевод"),"",IF(AND(N($G738)&lt;&gt;0,COUNTIFS(Журнал!$C$10:$C$1509,$C738,Журнал!$P$10:$P$1509,$G738)&gt;0),"есть в Журнале",IF(COUNTIF(Постоянные!$C$8:$C$37,$F738)&gt;0,"есть в Постоянных",IF(COUNTIF(Покупки!$C$7:$C$18,$F738)&gt;0,"есть в Покупках",""))))</f>
        <v/>
      </c>
      <c r="P738">
        <f>IF($C738="","",DATE(YEAR($C738),MONTH($C738),1))</f>
        <v/>
      </c>
      <c r="Q738">
        <f>IF(ISNUMBER($G738),ABS($G738),0)</f>
        <v/>
      </c>
      <c r="R738">
        <f>IF(AND($D738="Расход",COUNTIFS(Счета!$B$10:$B$21,$H738,Счета!$C$10:$C$21,"Кредитная")&gt;0),1,0)</f>
        <v/>
      </c>
    </row>
    <row r="739" ht="19" customHeight="1">
      <c r="B739" s="53">
        <f>IF(AND($C739="",$F739=""),"",ROW()-9)</f>
        <v/>
      </c>
      <c r="C739" s="213" t="n"/>
      <c r="D739" s="55" t="n"/>
      <c r="E739" s="55" t="n"/>
      <c r="F739" s="56" t="n"/>
      <c r="G739" s="196" t="n"/>
      <c r="H739" s="21" t="n"/>
      <c r="I739" s="21" t="n"/>
      <c r="J739" s="53">
        <f>IF($C739="","",INDEX(Настройки!$V$6:$V$17,MONTH($C739))&amp;" "&amp;YEAR($C739))</f>
        <v/>
      </c>
      <c r="K739" s="57">
        <f>IF(OR($F739="",$D739="Перевод"),"",IF(AND(N($G739)&lt;&gt;0,COUNTIFS(Журнал!$C$10:$C$1509,$C739,Журнал!$P$10:$P$1509,$G739)&gt;0),"есть в Журнале",IF(COUNTIF(Постоянные!$C$8:$C$37,$F739)&gt;0,"есть в Постоянных",IF(COUNTIF(Покупки!$C$7:$C$18,$F739)&gt;0,"есть в Покупках",""))))</f>
        <v/>
      </c>
      <c r="P739">
        <f>IF($C739="","",DATE(YEAR($C739),MONTH($C739),1))</f>
        <v/>
      </c>
      <c r="Q739">
        <f>IF(ISNUMBER($G739),ABS($G739),0)</f>
        <v/>
      </c>
      <c r="R739">
        <f>IF(AND($D739="Расход",COUNTIFS(Счета!$B$10:$B$21,$H739,Счета!$C$10:$C$21,"Кредитная")&gt;0),1,0)</f>
        <v/>
      </c>
    </row>
    <row r="740" ht="19" customHeight="1">
      <c r="B740" s="53">
        <f>IF(AND($C740="",$F740=""),"",ROW()-9)</f>
        <v/>
      </c>
      <c r="C740" s="213" t="n"/>
      <c r="D740" s="55" t="n"/>
      <c r="E740" s="55" t="n"/>
      <c r="F740" s="56" t="n"/>
      <c r="G740" s="196" t="n"/>
      <c r="H740" s="21" t="n"/>
      <c r="I740" s="21" t="n"/>
      <c r="J740" s="53">
        <f>IF($C740="","",INDEX(Настройки!$V$6:$V$17,MONTH($C740))&amp;" "&amp;YEAR($C740))</f>
        <v/>
      </c>
      <c r="K740" s="57">
        <f>IF(OR($F740="",$D740="Перевод"),"",IF(AND(N($G740)&lt;&gt;0,COUNTIFS(Журнал!$C$10:$C$1509,$C740,Журнал!$P$10:$P$1509,$G740)&gt;0),"есть в Журнале",IF(COUNTIF(Постоянные!$C$8:$C$37,$F740)&gt;0,"есть в Постоянных",IF(COUNTIF(Покупки!$C$7:$C$18,$F740)&gt;0,"есть в Покупках",""))))</f>
        <v/>
      </c>
      <c r="P740">
        <f>IF($C740="","",DATE(YEAR($C740),MONTH($C740),1))</f>
        <v/>
      </c>
      <c r="Q740">
        <f>IF(ISNUMBER($G740),ABS($G740),0)</f>
        <v/>
      </c>
      <c r="R740">
        <f>IF(AND($D740="Расход",COUNTIFS(Счета!$B$10:$B$21,$H740,Счета!$C$10:$C$21,"Кредитная")&gt;0),1,0)</f>
        <v/>
      </c>
    </row>
    <row r="741" ht="19" customHeight="1">
      <c r="B741" s="53">
        <f>IF(AND($C741="",$F741=""),"",ROW()-9)</f>
        <v/>
      </c>
      <c r="C741" s="213" t="n"/>
      <c r="D741" s="55" t="n"/>
      <c r="E741" s="55" t="n"/>
      <c r="F741" s="56" t="n"/>
      <c r="G741" s="196" t="n"/>
      <c r="H741" s="21" t="n"/>
      <c r="I741" s="21" t="n"/>
      <c r="J741" s="53">
        <f>IF($C741="","",INDEX(Настройки!$V$6:$V$17,MONTH($C741))&amp;" "&amp;YEAR($C741))</f>
        <v/>
      </c>
      <c r="K741" s="57">
        <f>IF(OR($F741="",$D741="Перевод"),"",IF(AND(N($G741)&lt;&gt;0,COUNTIFS(Журнал!$C$10:$C$1509,$C741,Журнал!$P$10:$P$1509,$G741)&gt;0),"есть в Журнале",IF(COUNTIF(Постоянные!$C$8:$C$37,$F741)&gt;0,"есть в Постоянных",IF(COUNTIF(Покупки!$C$7:$C$18,$F741)&gt;0,"есть в Покупках",""))))</f>
        <v/>
      </c>
      <c r="P741">
        <f>IF($C741="","",DATE(YEAR($C741),MONTH($C741),1))</f>
        <v/>
      </c>
      <c r="Q741">
        <f>IF(ISNUMBER($G741),ABS($G741),0)</f>
        <v/>
      </c>
      <c r="R741">
        <f>IF(AND($D741="Расход",COUNTIFS(Счета!$B$10:$B$21,$H741,Счета!$C$10:$C$21,"Кредитная")&gt;0),1,0)</f>
        <v/>
      </c>
    </row>
    <row r="742" ht="19" customHeight="1">
      <c r="B742" s="53">
        <f>IF(AND($C742="",$F742=""),"",ROW()-9)</f>
        <v/>
      </c>
      <c r="C742" s="213" t="n"/>
      <c r="D742" s="55" t="n"/>
      <c r="E742" s="55" t="n"/>
      <c r="F742" s="56" t="n"/>
      <c r="G742" s="196" t="n"/>
      <c r="H742" s="21" t="n"/>
      <c r="I742" s="21" t="n"/>
      <c r="J742" s="53">
        <f>IF($C742="","",INDEX(Настройки!$V$6:$V$17,MONTH($C742))&amp;" "&amp;YEAR($C742))</f>
        <v/>
      </c>
      <c r="K742" s="57">
        <f>IF(OR($F742="",$D742="Перевод"),"",IF(AND(N($G742)&lt;&gt;0,COUNTIFS(Журнал!$C$10:$C$1509,$C742,Журнал!$P$10:$P$1509,$G742)&gt;0),"есть в Журнале",IF(COUNTIF(Постоянные!$C$8:$C$37,$F742)&gt;0,"есть в Постоянных",IF(COUNTIF(Покупки!$C$7:$C$18,$F742)&gt;0,"есть в Покупках",""))))</f>
        <v/>
      </c>
      <c r="P742">
        <f>IF($C742="","",DATE(YEAR($C742),MONTH($C742),1))</f>
        <v/>
      </c>
      <c r="Q742">
        <f>IF(ISNUMBER($G742),ABS($G742),0)</f>
        <v/>
      </c>
      <c r="R742">
        <f>IF(AND($D742="Расход",COUNTIFS(Счета!$B$10:$B$21,$H742,Счета!$C$10:$C$21,"Кредитная")&gt;0),1,0)</f>
        <v/>
      </c>
    </row>
    <row r="743" ht="19" customHeight="1">
      <c r="B743" s="53">
        <f>IF(AND($C743="",$F743=""),"",ROW()-9)</f>
        <v/>
      </c>
      <c r="C743" s="213" t="n"/>
      <c r="D743" s="55" t="n"/>
      <c r="E743" s="55" t="n"/>
      <c r="F743" s="56" t="n"/>
      <c r="G743" s="196" t="n"/>
      <c r="H743" s="21" t="n"/>
      <c r="I743" s="21" t="n"/>
      <c r="J743" s="53">
        <f>IF($C743="","",INDEX(Настройки!$V$6:$V$17,MONTH($C743))&amp;" "&amp;YEAR($C743))</f>
        <v/>
      </c>
      <c r="K743" s="57">
        <f>IF(OR($F743="",$D743="Перевод"),"",IF(AND(N($G743)&lt;&gt;0,COUNTIFS(Журнал!$C$10:$C$1509,$C743,Журнал!$P$10:$P$1509,$G743)&gt;0),"есть в Журнале",IF(COUNTIF(Постоянные!$C$8:$C$37,$F743)&gt;0,"есть в Постоянных",IF(COUNTIF(Покупки!$C$7:$C$18,$F743)&gt;0,"есть в Покупках",""))))</f>
        <v/>
      </c>
      <c r="P743">
        <f>IF($C743="","",DATE(YEAR($C743),MONTH($C743),1))</f>
        <v/>
      </c>
      <c r="Q743">
        <f>IF(ISNUMBER($G743),ABS($G743),0)</f>
        <v/>
      </c>
      <c r="R743">
        <f>IF(AND($D743="Расход",COUNTIFS(Счета!$B$10:$B$21,$H743,Счета!$C$10:$C$21,"Кредитная")&gt;0),1,0)</f>
        <v/>
      </c>
    </row>
    <row r="744" ht="19" customHeight="1">
      <c r="B744" s="53">
        <f>IF(AND($C744="",$F744=""),"",ROW()-9)</f>
        <v/>
      </c>
      <c r="C744" s="213" t="n"/>
      <c r="D744" s="55" t="n"/>
      <c r="E744" s="55" t="n"/>
      <c r="F744" s="56" t="n"/>
      <c r="G744" s="196" t="n"/>
      <c r="H744" s="21" t="n"/>
      <c r="I744" s="21" t="n"/>
      <c r="J744" s="53">
        <f>IF($C744="","",INDEX(Настройки!$V$6:$V$17,MONTH($C744))&amp;" "&amp;YEAR($C744))</f>
        <v/>
      </c>
      <c r="K744" s="57">
        <f>IF(OR($F744="",$D744="Перевод"),"",IF(AND(N($G744)&lt;&gt;0,COUNTIFS(Журнал!$C$10:$C$1509,$C744,Журнал!$P$10:$P$1509,$G744)&gt;0),"есть в Журнале",IF(COUNTIF(Постоянные!$C$8:$C$37,$F744)&gt;0,"есть в Постоянных",IF(COUNTIF(Покупки!$C$7:$C$18,$F744)&gt;0,"есть в Покупках",""))))</f>
        <v/>
      </c>
      <c r="P744">
        <f>IF($C744="","",DATE(YEAR($C744),MONTH($C744),1))</f>
        <v/>
      </c>
      <c r="Q744">
        <f>IF(ISNUMBER($G744),ABS($G744),0)</f>
        <v/>
      </c>
      <c r="R744">
        <f>IF(AND($D744="Расход",COUNTIFS(Счета!$B$10:$B$21,$H744,Счета!$C$10:$C$21,"Кредитная")&gt;0),1,0)</f>
        <v/>
      </c>
    </row>
    <row r="745" ht="19" customHeight="1">
      <c r="B745" s="53">
        <f>IF(AND($C745="",$F745=""),"",ROW()-9)</f>
        <v/>
      </c>
      <c r="C745" s="213" t="n"/>
      <c r="D745" s="55" t="n"/>
      <c r="E745" s="55" t="n"/>
      <c r="F745" s="56" t="n"/>
      <c r="G745" s="196" t="n"/>
      <c r="H745" s="21" t="n"/>
      <c r="I745" s="21" t="n"/>
      <c r="J745" s="53">
        <f>IF($C745="","",INDEX(Настройки!$V$6:$V$17,MONTH($C745))&amp;" "&amp;YEAR($C745))</f>
        <v/>
      </c>
      <c r="K745" s="57">
        <f>IF(OR($F745="",$D745="Перевод"),"",IF(AND(N($G745)&lt;&gt;0,COUNTIFS(Журнал!$C$10:$C$1509,$C745,Журнал!$P$10:$P$1509,$G745)&gt;0),"есть в Журнале",IF(COUNTIF(Постоянные!$C$8:$C$37,$F745)&gt;0,"есть в Постоянных",IF(COUNTIF(Покупки!$C$7:$C$18,$F745)&gt;0,"есть в Покупках",""))))</f>
        <v/>
      </c>
      <c r="P745">
        <f>IF($C745="","",DATE(YEAR($C745),MONTH($C745),1))</f>
        <v/>
      </c>
      <c r="Q745">
        <f>IF(ISNUMBER($G745),ABS($G745),0)</f>
        <v/>
      </c>
      <c r="R745">
        <f>IF(AND($D745="Расход",COUNTIFS(Счета!$B$10:$B$21,$H745,Счета!$C$10:$C$21,"Кредитная")&gt;0),1,0)</f>
        <v/>
      </c>
    </row>
    <row r="746" ht="19" customHeight="1">
      <c r="B746" s="53">
        <f>IF(AND($C746="",$F746=""),"",ROW()-9)</f>
        <v/>
      </c>
      <c r="C746" s="213" t="n"/>
      <c r="D746" s="55" t="n"/>
      <c r="E746" s="55" t="n"/>
      <c r="F746" s="56" t="n"/>
      <c r="G746" s="196" t="n"/>
      <c r="H746" s="21" t="n"/>
      <c r="I746" s="21" t="n"/>
      <c r="J746" s="53">
        <f>IF($C746="","",INDEX(Настройки!$V$6:$V$17,MONTH($C746))&amp;" "&amp;YEAR($C746))</f>
        <v/>
      </c>
      <c r="K746" s="57">
        <f>IF(OR($F746="",$D746="Перевод"),"",IF(AND(N($G746)&lt;&gt;0,COUNTIFS(Журнал!$C$10:$C$1509,$C746,Журнал!$P$10:$P$1509,$G746)&gt;0),"есть в Журнале",IF(COUNTIF(Постоянные!$C$8:$C$37,$F746)&gt;0,"есть в Постоянных",IF(COUNTIF(Покупки!$C$7:$C$18,$F746)&gt;0,"есть в Покупках",""))))</f>
        <v/>
      </c>
      <c r="P746">
        <f>IF($C746="","",DATE(YEAR($C746),MONTH($C746),1))</f>
        <v/>
      </c>
      <c r="Q746">
        <f>IF(ISNUMBER($G746),ABS($G746),0)</f>
        <v/>
      </c>
      <c r="R746">
        <f>IF(AND($D746="Расход",COUNTIFS(Счета!$B$10:$B$21,$H746,Счета!$C$10:$C$21,"Кредитная")&gt;0),1,0)</f>
        <v/>
      </c>
    </row>
    <row r="747" ht="19" customHeight="1">
      <c r="B747" s="53">
        <f>IF(AND($C747="",$F747=""),"",ROW()-9)</f>
        <v/>
      </c>
      <c r="C747" s="213" t="n"/>
      <c r="D747" s="55" t="n"/>
      <c r="E747" s="55" t="n"/>
      <c r="F747" s="56" t="n"/>
      <c r="G747" s="196" t="n"/>
      <c r="H747" s="21" t="n"/>
      <c r="I747" s="21" t="n"/>
      <c r="J747" s="53">
        <f>IF($C747="","",INDEX(Настройки!$V$6:$V$17,MONTH($C747))&amp;" "&amp;YEAR($C747))</f>
        <v/>
      </c>
      <c r="K747" s="57">
        <f>IF(OR($F747="",$D747="Перевод"),"",IF(AND(N($G747)&lt;&gt;0,COUNTIFS(Журнал!$C$10:$C$1509,$C747,Журнал!$P$10:$P$1509,$G747)&gt;0),"есть в Журнале",IF(COUNTIF(Постоянные!$C$8:$C$37,$F747)&gt;0,"есть в Постоянных",IF(COUNTIF(Покупки!$C$7:$C$18,$F747)&gt;0,"есть в Покупках",""))))</f>
        <v/>
      </c>
      <c r="P747">
        <f>IF($C747="","",DATE(YEAR($C747),MONTH($C747),1))</f>
        <v/>
      </c>
      <c r="Q747">
        <f>IF(ISNUMBER($G747),ABS($G747),0)</f>
        <v/>
      </c>
      <c r="R747">
        <f>IF(AND($D747="Расход",COUNTIFS(Счета!$B$10:$B$21,$H747,Счета!$C$10:$C$21,"Кредитная")&gt;0),1,0)</f>
        <v/>
      </c>
    </row>
    <row r="748" ht="19" customHeight="1">
      <c r="B748" s="53">
        <f>IF(AND($C748="",$F748=""),"",ROW()-9)</f>
        <v/>
      </c>
      <c r="C748" s="213" t="n"/>
      <c r="D748" s="55" t="n"/>
      <c r="E748" s="55" t="n"/>
      <c r="F748" s="56" t="n"/>
      <c r="G748" s="196" t="n"/>
      <c r="H748" s="21" t="n"/>
      <c r="I748" s="21" t="n"/>
      <c r="J748" s="53">
        <f>IF($C748="","",INDEX(Настройки!$V$6:$V$17,MONTH($C748))&amp;" "&amp;YEAR($C748))</f>
        <v/>
      </c>
      <c r="K748" s="57">
        <f>IF(OR($F748="",$D748="Перевод"),"",IF(AND(N($G748)&lt;&gt;0,COUNTIFS(Журнал!$C$10:$C$1509,$C748,Журнал!$P$10:$P$1509,$G748)&gt;0),"есть в Журнале",IF(COUNTIF(Постоянные!$C$8:$C$37,$F748)&gt;0,"есть в Постоянных",IF(COUNTIF(Покупки!$C$7:$C$18,$F748)&gt;0,"есть в Покупках",""))))</f>
        <v/>
      </c>
      <c r="P748">
        <f>IF($C748="","",DATE(YEAR($C748),MONTH($C748),1))</f>
        <v/>
      </c>
      <c r="Q748">
        <f>IF(ISNUMBER($G748),ABS($G748),0)</f>
        <v/>
      </c>
      <c r="R748">
        <f>IF(AND($D748="Расход",COUNTIFS(Счета!$B$10:$B$21,$H748,Счета!$C$10:$C$21,"Кредитная")&gt;0),1,0)</f>
        <v/>
      </c>
    </row>
    <row r="749" ht="19" customHeight="1">
      <c r="B749" s="53">
        <f>IF(AND($C749="",$F749=""),"",ROW()-9)</f>
        <v/>
      </c>
      <c r="C749" s="213" t="n"/>
      <c r="D749" s="55" t="n"/>
      <c r="E749" s="55" t="n"/>
      <c r="F749" s="56" t="n"/>
      <c r="G749" s="196" t="n"/>
      <c r="H749" s="21" t="n"/>
      <c r="I749" s="21" t="n"/>
      <c r="J749" s="53">
        <f>IF($C749="","",INDEX(Настройки!$V$6:$V$17,MONTH($C749))&amp;" "&amp;YEAR($C749))</f>
        <v/>
      </c>
      <c r="K749" s="57">
        <f>IF(OR($F749="",$D749="Перевод"),"",IF(AND(N($G749)&lt;&gt;0,COUNTIFS(Журнал!$C$10:$C$1509,$C749,Журнал!$P$10:$P$1509,$G749)&gt;0),"есть в Журнале",IF(COUNTIF(Постоянные!$C$8:$C$37,$F749)&gt;0,"есть в Постоянных",IF(COUNTIF(Покупки!$C$7:$C$18,$F749)&gt;0,"есть в Покупках",""))))</f>
        <v/>
      </c>
      <c r="P749">
        <f>IF($C749="","",DATE(YEAR($C749),MONTH($C749),1))</f>
        <v/>
      </c>
      <c r="Q749">
        <f>IF(ISNUMBER($G749),ABS($G749),0)</f>
        <v/>
      </c>
      <c r="R749">
        <f>IF(AND($D749="Расход",COUNTIFS(Счета!$B$10:$B$21,$H749,Счета!$C$10:$C$21,"Кредитная")&gt;0),1,0)</f>
        <v/>
      </c>
    </row>
    <row r="750" ht="19" customHeight="1">
      <c r="B750" s="53">
        <f>IF(AND($C750="",$F750=""),"",ROW()-9)</f>
        <v/>
      </c>
      <c r="C750" s="213" t="n"/>
      <c r="D750" s="55" t="n"/>
      <c r="E750" s="55" t="n"/>
      <c r="F750" s="56" t="n"/>
      <c r="G750" s="196" t="n"/>
      <c r="H750" s="21" t="n"/>
      <c r="I750" s="21" t="n"/>
      <c r="J750" s="53">
        <f>IF($C750="","",INDEX(Настройки!$V$6:$V$17,MONTH($C750))&amp;" "&amp;YEAR($C750))</f>
        <v/>
      </c>
      <c r="K750" s="57">
        <f>IF(OR($F750="",$D750="Перевод"),"",IF(AND(N($G750)&lt;&gt;0,COUNTIFS(Журнал!$C$10:$C$1509,$C750,Журнал!$P$10:$P$1509,$G750)&gt;0),"есть в Журнале",IF(COUNTIF(Постоянные!$C$8:$C$37,$F750)&gt;0,"есть в Постоянных",IF(COUNTIF(Покупки!$C$7:$C$18,$F750)&gt;0,"есть в Покупках",""))))</f>
        <v/>
      </c>
      <c r="P750">
        <f>IF($C750="","",DATE(YEAR($C750),MONTH($C750),1))</f>
        <v/>
      </c>
      <c r="Q750">
        <f>IF(ISNUMBER($G750),ABS($G750),0)</f>
        <v/>
      </c>
      <c r="R750">
        <f>IF(AND($D750="Расход",COUNTIFS(Счета!$B$10:$B$21,$H750,Счета!$C$10:$C$21,"Кредитная")&gt;0),1,0)</f>
        <v/>
      </c>
    </row>
    <row r="751" ht="19" customHeight="1">
      <c r="B751" s="53">
        <f>IF(AND($C751="",$F751=""),"",ROW()-9)</f>
        <v/>
      </c>
      <c r="C751" s="213" t="n"/>
      <c r="D751" s="55" t="n"/>
      <c r="E751" s="55" t="n"/>
      <c r="F751" s="56" t="n"/>
      <c r="G751" s="196" t="n"/>
      <c r="H751" s="21" t="n"/>
      <c r="I751" s="21" t="n"/>
      <c r="J751" s="53">
        <f>IF($C751="","",INDEX(Настройки!$V$6:$V$17,MONTH($C751))&amp;" "&amp;YEAR($C751))</f>
        <v/>
      </c>
      <c r="K751" s="57">
        <f>IF(OR($F751="",$D751="Перевод"),"",IF(AND(N($G751)&lt;&gt;0,COUNTIFS(Журнал!$C$10:$C$1509,$C751,Журнал!$P$10:$P$1509,$G751)&gt;0),"есть в Журнале",IF(COUNTIF(Постоянные!$C$8:$C$37,$F751)&gt;0,"есть в Постоянных",IF(COUNTIF(Покупки!$C$7:$C$18,$F751)&gt;0,"есть в Покупках",""))))</f>
        <v/>
      </c>
      <c r="P751">
        <f>IF($C751="","",DATE(YEAR($C751),MONTH($C751),1))</f>
        <v/>
      </c>
      <c r="Q751">
        <f>IF(ISNUMBER($G751),ABS($G751),0)</f>
        <v/>
      </c>
      <c r="R751">
        <f>IF(AND($D751="Расход",COUNTIFS(Счета!$B$10:$B$21,$H751,Счета!$C$10:$C$21,"Кредитная")&gt;0),1,0)</f>
        <v/>
      </c>
    </row>
    <row r="752" ht="19" customHeight="1">
      <c r="B752" s="53">
        <f>IF(AND($C752="",$F752=""),"",ROW()-9)</f>
        <v/>
      </c>
      <c r="C752" s="213" t="n"/>
      <c r="D752" s="55" t="n"/>
      <c r="E752" s="55" t="n"/>
      <c r="F752" s="56" t="n"/>
      <c r="G752" s="196" t="n"/>
      <c r="H752" s="21" t="n"/>
      <c r="I752" s="21" t="n"/>
      <c r="J752" s="53">
        <f>IF($C752="","",INDEX(Настройки!$V$6:$V$17,MONTH($C752))&amp;" "&amp;YEAR($C752))</f>
        <v/>
      </c>
      <c r="K752" s="57">
        <f>IF(OR($F752="",$D752="Перевод"),"",IF(AND(N($G752)&lt;&gt;0,COUNTIFS(Журнал!$C$10:$C$1509,$C752,Журнал!$P$10:$P$1509,$G752)&gt;0),"есть в Журнале",IF(COUNTIF(Постоянные!$C$8:$C$37,$F752)&gt;0,"есть в Постоянных",IF(COUNTIF(Покупки!$C$7:$C$18,$F752)&gt;0,"есть в Покупках",""))))</f>
        <v/>
      </c>
      <c r="P752">
        <f>IF($C752="","",DATE(YEAR($C752),MONTH($C752),1))</f>
        <v/>
      </c>
      <c r="Q752">
        <f>IF(ISNUMBER($G752),ABS($G752),0)</f>
        <v/>
      </c>
      <c r="R752">
        <f>IF(AND($D752="Расход",COUNTIFS(Счета!$B$10:$B$21,$H752,Счета!$C$10:$C$21,"Кредитная")&gt;0),1,0)</f>
        <v/>
      </c>
    </row>
    <row r="753" ht="19" customHeight="1">
      <c r="B753" s="53">
        <f>IF(AND($C753="",$F753=""),"",ROW()-9)</f>
        <v/>
      </c>
      <c r="C753" s="213" t="n"/>
      <c r="D753" s="55" t="n"/>
      <c r="E753" s="55" t="n"/>
      <c r="F753" s="56" t="n"/>
      <c r="G753" s="196" t="n"/>
      <c r="H753" s="21" t="n"/>
      <c r="I753" s="21" t="n"/>
      <c r="J753" s="53">
        <f>IF($C753="","",INDEX(Настройки!$V$6:$V$17,MONTH($C753))&amp;" "&amp;YEAR($C753))</f>
        <v/>
      </c>
      <c r="K753" s="57">
        <f>IF(OR($F753="",$D753="Перевод"),"",IF(AND(N($G753)&lt;&gt;0,COUNTIFS(Журнал!$C$10:$C$1509,$C753,Журнал!$P$10:$P$1509,$G753)&gt;0),"есть в Журнале",IF(COUNTIF(Постоянные!$C$8:$C$37,$F753)&gt;0,"есть в Постоянных",IF(COUNTIF(Покупки!$C$7:$C$18,$F753)&gt;0,"есть в Покупках",""))))</f>
        <v/>
      </c>
      <c r="P753">
        <f>IF($C753="","",DATE(YEAR($C753),MONTH($C753),1))</f>
        <v/>
      </c>
      <c r="Q753">
        <f>IF(ISNUMBER($G753),ABS($G753),0)</f>
        <v/>
      </c>
      <c r="R753">
        <f>IF(AND($D753="Расход",COUNTIFS(Счета!$B$10:$B$21,$H753,Счета!$C$10:$C$21,"Кредитная")&gt;0),1,0)</f>
        <v/>
      </c>
    </row>
    <row r="754" ht="19" customHeight="1">
      <c r="B754" s="53">
        <f>IF(AND($C754="",$F754=""),"",ROW()-9)</f>
        <v/>
      </c>
      <c r="C754" s="213" t="n"/>
      <c r="D754" s="55" t="n"/>
      <c r="E754" s="55" t="n"/>
      <c r="F754" s="56" t="n"/>
      <c r="G754" s="196" t="n"/>
      <c r="H754" s="21" t="n"/>
      <c r="I754" s="21" t="n"/>
      <c r="J754" s="53">
        <f>IF($C754="","",INDEX(Настройки!$V$6:$V$17,MONTH($C754))&amp;" "&amp;YEAR($C754))</f>
        <v/>
      </c>
      <c r="K754" s="57">
        <f>IF(OR($F754="",$D754="Перевод"),"",IF(AND(N($G754)&lt;&gt;0,COUNTIFS(Журнал!$C$10:$C$1509,$C754,Журнал!$P$10:$P$1509,$G754)&gt;0),"есть в Журнале",IF(COUNTIF(Постоянные!$C$8:$C$37,$F754)&gt;0,"есть в Постоянных",IF(COUNTIF(Покупки!$C$7:$C$18,$F754)&gt;0,"есть в Покупках",""))))</f>
        <v/>
      </c>
      <c r="P754">
        <f>IF($C754="","",DATE(YEAR($C754),MONTH($C754),1))</f>
        <v/>
      </c>
      <c r="Q754">
        <f>IF(ISNUMBER($G754),ABS($G754),0)</f>
        <v/>
      </c>
      <c r="R754">
        <f>IF(AND($D754="Расход",COUNTIFS(Счета!$B$10:$B$21,$H754,Счета!$C$10:$C$21,"Кредитная")&gt;0),1,0)</f>
        <v/>
      </c>
    </row>
    <row r="755" ht="19" customHeight="1">
      <c r="B755" s="53">
        <f>IF(AND($C755="",$F755=""),"",ROW()-9)</f>
        <v/>
      </c>
      <c r="C755" s="213" t="n"/>
      <c r="D755" s="55" t="n"/>
      <c r="E755" s="55" t="n"/>
      <c r="F755" s="56" t="n"/>
      <c r="G755" s="196" t="n"/>
      <c r="H755" s="21" t="n"/>
      <c r="I755" s="21" t="n"/>
      <c r="J755" s="53">
        <f>IF($C755="","",INDEX(Настройки!$V$6:$V$17,MONTH($C755))&amp;" "&amp;YEAR($C755))</f>
        <v/>
      </c>
      <c r="K755" s="57">
        <f>IF(OR($F755="",$D755="Перевод"),"",IF(AND(N($G755)&lt;&gt;0,COUNTIFS(Журнал!$C$10:$C$1509,$C755,Журнал!$P$10:$P$1509,$G755)&gt;0),"есть в Журнале",IF(COUNTIF(Постоянные!$C$8:$C$37,$F755)&gt;0,"есть в Постоянных",IF(COUNTIF(Покупки!$C$7:$C$18,$F755)&gt;0,"есть в Покупках",""))))</f>
        <v/>
      </c>
      <c r="P755">
        <f>IF($C755="","",DATE(YEAR($C755),MONTH($C755),1))</f>
        <v/>
      </c>
      <c r="Q755">
        <f>IF(ISNUMBER($G755),ABS($G755),0)</f>
        <v/>
      </c>
      <c r="R755">
        <f>IF(AND($D755="Расход",COUNTIFS(Счета!$B$10:$B$21,$H755,Счета!$C$10:$C$21,"Кредитная")&gt;0),1,0)</f>
        <v/>
      </c>
    </row>
    <row r="756" ht="19" customHeight="1">
      <c r="B756" s="53">
        <f>IF(AND($C756="",$F756=""),"",ROW()-9)</f>
        <v/>
      </c>
      <c r="C756" s="213" t="n"/>
      <c r="D756" s="55" t="n"/>
      <c r="E756" s="55" t="n"/>
      <c r="F756" s="56" t="n"/>
      <c r="G756" s="196" t="n"/>
      <c r="H756" s="21" t="n"/>
      <c r="I756" s="21" t="n"/>
      <c r="J756" s="53">
        <f>IF($C756="","",INDEX(Настройки!$V$6:$V$17,MONTH($C756))&amp;" "&amp;YEAR($C756))</f>
        <v/>
      </c>
      <c r="K756" s="57">
        <f>IF(OR($F756="",$D756="Перевод"),"",IF(AND(N($G756)&lt;&gt;0,COUNTIFS(Журнал!$C$10:$C$1509,$C756,Журнал!$P$10:$P$1509,$G756)&gt;0),"есть в Журнале",IF(COUNTIF(Постоянные!$C$8:$C$37,$F756)&gt;0,"есть в Постоянных",IF(COUNTIF(Покупки!$C$7:$C$18,$F756)&gt;0,"есть в Покупках",""))))</f>
        <v/>
      </c>
      <c r="P756">
        <f>IF($C756="","",DATE(YEAR($C756),MONTH($C756),1))</f>
        <v/>
      </c>
      <c r="Q756">
        <f>IF(ISNUMBER($G756),ABS($G756),0)</f>
        <v/>
      </c>
      <c r="R756">
        <f>IF(AND($D756="Расход",COUNTIFS(Счета!$B$10:$B$21,$H756,Счета!$C$10:$C$21,"Кредитная")&gt;0),1,0)</f>
        <v/>
      </c>
    </row>
    <row r="757" ht="19" customHeight="1">
      <c r="B757" s="53">
        <f>IF(AND($C757="",$F757=""),"",ROW()-9)</f>
        <v/>
      </c>
      <c r="C757" s="213" t="n"/>
      <c r="D757" s="55" t="n"/>
      <c r="E757" s="55" t="n"/>
      <c r="F757" s="56" t="n"/>
      <c r="G757" s="196" t="n"/>
      <c r="H757" s="21" t="n"/>
      <c r="I757" s="21" t="n"/>
      <c r="J757" s="53">
        <f>IF($C757="","",INDEX(Настройки!$V$6:$V$17,MONTH($C757))&amp;" "&amp;YEAR($C757))</f>
        <v/>
      </c>
      <c r="K757" s="57">
        <f>IF(OR($F757="",$D757="Перевод"),"",IF(AND(N($G757)&lt;&gt;0,COUNTIFS(Журнал!$C$10:$C$1509,$C757,Журнал!$P$10:$P$1509,$G757)&gt;0),"есть в Журнале",IF(COUNTIF(Постоянные!$C$8:$C$37,$F757)&gt;0,"есть в Постоянных",IF(COUNTIF(Покупки!$C$7:$C$18,$F757)&gt;0,"есть в Покупках",""))))</f>
        <v/>
      </c>
      <c r="P757">
        <f>IF($C757="","",DATE(YEAR($C757),MONTH($C757),1))</f>
        <v/>
      </c>
      <c r="Q757">
        <f>IF(ISNUMBER($G757),ABS($G757),0)</f>
        <v/>
      </c>
      <c r="R757">
        <f>IF(AND($D757="Расход",COUNTIFS(Счета!$B$10:$B$21,$H757,Счета!$C$10:$C$21,"Кредитная")&gt;0),1,0)</f>
        <v/>
      </c>
    </row>
    <row r="758" ht="19" customHeight="1">
      <c r="B758" s="53">
        <f>IF(AND($C758="",$F758=""),"",ROW()-9)</f>
        <v/>
      </c>
      <c r="C758" s="213" t="n"/>
      <c r="D758" s="55" t="n"/>
      <c r="E758" s="55" t="n"/>
      <c r="F758" s="56" t="n"/>
      <c r="G758" s="196" t="n"/>
      <c r="H758" s="21" t="n"/>
      <c r="I758" s="21" t="n"/>
      <c r="J758" s="53">
        <f>IF($C758="","",INDEX(Настройки!$V$6:$V$17,MONTH($C758))&amp;" "&amp;YEAR($C758))</f>
        <v/>
      </c>
      <c r="K758" s="57">
        <f>IF(OR($F758="",$D758="Перевод"),"",IF(AND(N($G758)&lt;&gt;0,COUNTIFS(Журнал!$C$10:$C$1509,$C758,Журнал!$P$10:$P$1509,$G758)&gt;0),"есть в Журнале",IF(COUNTIF(Постоянные!$C$8:$C$37,$F758)&gt;0,"есть в Постоянных",IF(COUNTIF(Покупки!$C$7:$C$18,$F758)&gt;0,"есть в Покупках",""))))</f>
        <v/>
      </c>
      <c r="P758">
        <f>IF($C758="","",DATE(YEAR($C758),MONTH($C758),1))</f>
        <v/>
      </c>
      <c r="Q758">
        <f>IF(ISNUMBER($G758),ABS($G758),0)</f>
        <v/>
      </c>
      <c r="R758">
        <f>IF(AND($D758="Расход",COUNTIFS(Счета!$B$10:$B$21,$H758,Счета!$C$10:$C$21,"Кредитная")&gt;0),1,0)</f>
        <v/>
      </c>
    </row>
    <row r="759" ht="19" customHeight="1">
      <c r="B759" s="53">
        <f>IF(AND($C759="",$F759=""),"",ROW()-9)</f>
        <v/>
      </c>
      <c r="C759" s="213" t="n"/>
      <c r="D759" s="55" t="n"/>
      <c r="E759" s="55" t="n"/>
      <c r="F759" s="56" t="n"/>
      <c r="G759" s="196" t="n"/>
      <c r="H759" s="21" t="n"/>
      <c r="I759" s="21" t="n"/>
      <c r="J759" s="53">
        <f>IF($C759="","",INDEX(Настройки!$V$6:$V$17,MONTH($C759))&amp;" "&amp;YEAR($C759))</f>
        <v/>
      </c>
      <c r="K759" s="57">
        <f>IF(OR($F759="",$D759="Перевод"),"",IF(AND(N($G759)&lt;&gt;0,COUNTIFS(Журнал!$C$10:$C$1509,$C759,Журнал!$P$10:$P$1509,$G759)&gt;0),"есть в Журнале",IF(COUNTIF(Постоянные!$C$8:$C$37,$F759)&gt;0,"есть в Постоянных",IF(COUNTIF(Покупки!$C$7:$C$18,$F759)&gt;0,"есть в Покупках",""))))</f>
        <v/>
      </c>
      <c r="P759">
        <f>IF($C759="","",DATE(YEAR($C759),MONTH($C759),1))</f>
        <v/>
      </c>
      <c r="Q759">
        <f>IF(ISNUMBER($G759),ABS($G759),0)</f>
        <v/>
      </c>
      <c r="R759">
        <f>IF(AND($D759="Расход",COUNTIFS(Счета!$B$10:$B$21,$H759,Счета!$C$10:$C$21,"Кредитная")&gt;0),1,0)</f>
        <v/>
      </c>
    </row>
    <row r="760" ht="19" customHeight="1">
      <c r="B760" s="53">
        <f>IF(AND($C760="",$F760=""),"",ROW()-9)</f>
        <v/>
      </c>
      <c r="C760" s="213" t="n"/>
      <c r="D760" s="55" t="n"/>
      <c r="E760" s="55" t="n"/>
      <c r="F760" s="56" t="n"/>
      <c r="G760" s="196" t="n"/>
      <c r="H760" s="21" t="n"/>
      <c r="I760" s="21" t="n"/>
      <c r="J760" s="53">
        <f>IF($C760="","",INDEX(Настройки!$V$6:$V$17,MONTH($C760))&amp;" "&amp;YEAR($C760))</f>
        <v/>
      </c>
      <c r="K760" s="57">
        <f>IF(OR($F760="",$D760="Перевод"),"",IF(AND(N($G760)&lt;&gt;0,COUNTIFS(Журнал!$C$10:$C$1509,$C760,Журнал!$P$10:$P$1509,$G760)&gt;0),"есть в Журнале",IF(COUNTIF(Постоянные!$C$8:$C$37,$F760)&gt;0,"есть в Постоянных",IF(COUNTIF(Покупки!$C$7:$C$18,$F760)&gt;0,"есть в Покупках",""))))</f>
        <v/>
      </c>
      <c r="P760">
        <f>IF($C760="","",DATE(YEAR($C760),MONTH($C760),1))</f>
        <v/>
      </c>
      <c r="Q760">
        <f>IF(ISNUMBER($G760),ABS($G760),0)</f>
        <v/>
      </c>
      <c r="R760">
        <f>IF(AND($D760="Расход",COUNTIFS(Счета!$B$10:$B$21,$H760,Счета!$C$10:$C$21,"Кредитная")&gt;0),1,0)</f>
        <v/>
      </c>
    </row>
    <row r="761" ht="19" customHeight="1">
      <c r="B761" s="53">
        <f>IF(AND($C761="",$F761=""),"",ROW()-9)</f>
        <v/>
      </c>
      <c r="C761" s="213" t="n"/>
      <c r="D761" s="55" t="n"/>
      <c r="E761" s="55" t="n"/>
      <c r="F761" s="56" t="n"/>
      <c r="G761" s="196" t="n"/>
      <c r="H761" s="21" t="n"/>
      <c r="I761" s="21" t="n"/>
      <c r="J761" s="53">
        <f>IF($C761="","",INDEX(Настройки!$V$6:$V$17,MONTH($C761))&amp;" "&amp;YEAR($C761))</f>
        <v/>
      </c>
      <c r="K761" s="57">
        <f>IF(OR($F761="",$D761="Перевод"),"",IF(AND(N($G761)&lt;&gt;0,COUNTIFS(Журнал!$C$10:$C$1509,$C761,Журнал!$P$10:$P$1509,$G761)&gt;0),"есть в Журнале",IF(COUNTIF(Постоянные!$C$8:$C$37,$F761)&gt;0,"есть в Постоянных",IF(COUNTIF(Покупки!$C$7:$C$18,$F761)&gt;0,"есть в Покупках",""))))</f>
        <v/>
      </c>
      <c r="P761">
        <f>IF($C761="","",DATE(YEAR($C761),MONTH($C761),1))</f>
        <v/>
      </c>
      <c r="Q761">
        <f>IF(ISNUMBER($G761),ABS($G761),0)</f>
        <v/>
      </c>
      <c r="R761">
        <f>IF(AND($D761="Расход",COUNTIFS(Счета!$B$10:$B$21,$H761,Счета!$C$10:$C$21,"Кредитная")&gt;0),1,0)</f>
        <v/>
      </c>
    </row>
    <row r="762" ht="19" customHeight="1">
      <c r="B762" s="53">
        <f>IF(AND($C762="",$F762=""),"",ROW()-9)</f>
        <v/>
      </c>
      <c r="C762" s="213" t="n"/>
      <c r="D762" s="55" t="n"/>
      <c r="E762" s="55" t="n"/>
      <c r="F762" s="56" t="n"/>
      <c r="G762" s="196" t="n"/>
      <c r="H762" s="21" t="n"/>
      <c r="I762" s="21" t="n"/>
      <c r="J762" s="53">
        <f>IF($C762="","",INDEX(Настройки!$V$6:$V$17,MONTH($C762))&amp;" "&amp;YEAR($C762))</f>
        <v/>
      </c>
      <c r="K762" s="57">
        <f>IF(OR($F762="",$D762="Перевод"),"",IF(AND(N($G762)&lt;&gt;0,COUNTIFS(Журнал!$C$10:$C$1509,$C762,Журнал!$P$10:$P$1509,$G762)&gt;0),"есть в Журнале",IF(COUNTIF(Постоянные!$C$8:$C$37,$F762)&gt;0,"есть в Постоянных",IF(COUNTIF(Покупки!$C$7:$C$18,$F762)&gt;0,"есть в Покупках",""))))</f>
        <v/>
      </c>
      <c r="P762">
        <f>IF($C762="","",DATE(YEAR($C762),MONTH($C762),1))</f>
        <v/>
      </c>
      <c r="Q762">
        <f>IF(ISNUMBER($G762),ABS($G762),0)</f>
        <v/>
      </c>
      <c r="R762">
        <f>IF(AND($D762="Расход",COUNTIFS(Счета!$B$10:$B$21,$H762,Счета!$C$10:$C$21,"Кредитная")&gt;0),1,0)</f>
        <v/>
      </c>
    </row>
    <row r="763" ht="19" customHeight="1">
      <c r="B763" s="53">
        <f>IF(AND($C763="",$F763=""),"",ROW()-9)</f>
        <v/>
      </c>
      <c r="C763" s="213" t="n"/>
      <c r="D763" s="55" t="n"/>
      <c r="E763" s="55" t="n"/>
      <c r="F763" s="56" t="n"/>
      <c r="G763" s="196" t="n"/>
      <c r="H763" s="21" t="n"/>
      <c r="I763" s="21" t="n"/>
      <c r="J763" s="53">
        <f>IF($C763="","",INDEX(Настройки!$V$6:$V$17,MONTH($C763))&amp;" "&amp;YEAR($C763))</f>
        <v/>
      </c>
      <c r="K763" s="57">
        <f>IF(OR($F763="",$D763="Перевод"),"",IF(AND(N($G763)&lt;&gt;0,COUNTIFS(Журнал!$C$10:$C$1509,$C763,Журнал!$P$10:$P$1509,$G763)&gt;0),"есть в Журнале",IF(COUNTIF(Постоянные!$C$8:$C$37,$F763)&gt;0,"есть в Постоянных",IF(COUNTIF(Покупки!$C$7:$C$18,$F763)&gt;0,"есть в Покупках",""))))</f>
        <v/>
      </c>
      <c r="P763">
        <f>IF($C763="","",DATE(YEAR($C763),MONTH($C763),1))</f>
        <v/>
      </c>
      <c r="Q763">
        <f>IF(ISNUMBER($G763),ABS($G763),0)</f>
        <v/>
      </c>
      <c r="R763">
        <f>IF(AND($D763="Расход",COUNTIFS(Счета!$B$10:$B$21,$H763,Счета!$C$10:$C$21,"Кредитная")&gt;0),1,0)</f>
        <v/>
      </c>
    </row>
    <row r="764" ht="19" customHeight="1">
      <c r="B764" s="53">
        <f>IF(AND($C764="",$F764=""),"",ROW()-9)</f>
        <v/>
      </c>
      <c r="C764" s="213" t="n"/>
      <c r="D764" s="55" t="n"/>
      <c r="E764" s="55" t="n"/>
      <c r="F764" s="56" t="n"/>
      <c r="G764" s="196" t="n"/>
      <c r="H764" s="21" t="n"/>
      <c r="I764" s="21" t="n"/>
      <c r="J764" s="53">
        <f>IF($C764="","",INDEX(Настройки!$V$6:$V$17,MONTH($C764))&amp;" "&amp;YEAR($C764))</f>
        <v/>
      </c>
      <c r="K764" s="57">
        <f>IF(OR($F764="",$D764="Перевод"),"",IF(AND(N($G764)&lt;&gt;0,COUNTIFS(Журнал!$C$10:$C$1509,$C764,Журнал!$P$10:$P$1509,$G764)&gt;0),"есть в Журнале",IF(COUNTIF(Постоянные!$C$8:$C$37,$F764)&gt;0,"есть в Постоянных",IF(COUNTIF(Покупки!$C$7:$C$18,$F764)&gt;0,"есть в Покупках",""))))</f>
        <v/>
      </c>
      <c r="P764">
        <f>IF($C764="","",DATE(YEAR($C764),MONTH($C764),1))</f>
        <v/>
      </c>
      <c r="Q764">
        <f>IF(ISNUMBER($G764),ABS($G764),0)</f>
        <v/>
      </c>
      <c r="R764">
        <f>IF(AND($D764="Расход",COUNTIFS(Счета!$B$10:$B$21,$H764,Счета!$C$10:$C$21,"Кредитная")&gt;0),1,0)</f>
        <v/>
      </c>
    </row>
    <row r="765" ht="19" customHeight="1">
      <c r="B765" s="53">
        <f>IF(AND($C765="",$F765=""),"",ROW()-9)</f>
        <v/>
      </c>
      <c r="C765" s="213" t="n"/>
      <c r="D765" s="55" t="n"/>
      <c r="E765" s="55" t="n"/>
      <c r="F765" s="56" t="n"/>
      <c r="G765" s="196" t="n"/>
      <c r="H765" s="21" t="n"/>
      <c r="I765" s="21" t="n"/>
      <c r="J765" s="53">
        <f>IF($C765="","",INDEX(Настройки!$V$6:$V$17,MONTH($C765))&amp;" "&amp;YEAR($C765))</f>
        <v/>
      </c>
      <c r="K765" s="57">
        <f>IF(OR($F765="",$D765="Перевод"),"",IF(AND(N($G765)&lt;&gt;0,COUNTIFS(Журнал!$C$10:$C$1509,$C765,Журнал!$P$10:$P$1509,$G765)&gt;0),"есть в Журнале",IF(COUNTIF(Постоянные!$C$8:$C$37,$F765)&gt;0,"есть в Постоянных",IF(COUNTIF(Покупки!$C$7:$C$18,$F765)&gt;0,"есть в Покупках",""))))</f>
        <v/>
      </c>
      <c r="P765">
        <f>IF($C765="","",DATE(YEAR($C765),MONTH($C765),1))</f>
        <v/>
      </c>
      <c r="Q765">
        <f>IF(ISNUMBER($G765),ABS($G765),0)</f>
        <v/>
      </c>
      <c r="R765">
        <f>IF(AND($D765="Расход",COUNTIFS(Счета!$B$10:$B$21,$H765,Счета!$C$10:$C$21,"Кредитная")&gt;0),1,0)</f>
        <v/>
      </c>
    </row>
    <row r="766" ht="19" customHeight="1">
      <c r="B766" s="53">
        <f>IF(AND($C766="",$F766=""),"",ROW()-9)</f>
        <v/>
      </c>
      <c r="C766" s="213" t="n"/>
      <c r="D766" s="55" t="n"/>
      <c r="E766" s="55" t="n"/>
      <c r="F766" s="56" t="n"/>
      <c r="G766" s="196" t="n"/>
      <c r="H766" s="21" t="n"/>
      <c r="I766" s="21" t="n"/>
      <c r="J766" s="53">
        <f>IF($C766="","",INDEX(Настройки!$V$6:$V$17,MONTH($C766))&amp;" "&amp;YEAR($C766))</f>
        <v/>
      </c>
      <c r="K766" s="57">
        <f>IF(OR($F766="",$D766="Перевод"),"",IF(AND(N($G766)&lt;&gt;0,COUNTIFS(Журнал!$C$10:$C$1509,$C766,Журнал!$P$10:$P$1509,$G766)&gt;0),"есть в Журнале",IF(COUNTIF(Постоянные!$C$8:$C$37,$F766)&gt;0,"есть в Постоянных",IF(COUNTIF(Покупки!$C$7:$C$18,$F766)&gt;0,"есть в Покупках",""))))</f>
        <v/>
      </c>
      <c r="P766">
        <f>IF($C766="","",DATE(YEAR($C766),MONTH($C766),1))</f>
        <v/>
      </c>
      <c r="Q766">
        <f>IF(ISNUMBER($G766),ABS($G766),0)</f>
        <v/>
      </c>
      <c r="R766">
        <f>IF(AND($D766="Расход",COUNTIFS(Счета!$B$10:$B$21,$H766,Счета!$C$10:$C$21,"Кредитная")&gt;0),1,0)</f>
        <v/>
      </c>
    </row>
    <row r="767" ht="19" customHeight="1">
      <c r="B767" s="53">
        <f>IF(AND($C767="",$F767=""),"",ROW()-9)</f>
        <v/>
      </c>
      <c r="C767" s="213" t="n"/>
      <c r="D767" s="55" t="n"/>
      <c r="E767" s="55" t="n"/>
      <c r="F767" s="56" t="n"/>
      <c r="G767" s="196" t="n"/>
      <c r="H767" s="21" t="n"/>
      <c r="I767" s="21" t="n"/>
      <c r="J767" s="53">
        <f>IF($C767="","",INDEX(Настройки!$V$6:$V$17,MONTH($C767))&amp;" "&amp;YEAR($C767))</f>
        <v/>
      </c>
      <c r="K767" s="57">
        <f>IF(OR($F767="",$D767="Перевод"),"",IF(AND(N($G767)&lt;&gt;0,COUNTIFS(Журнал!$C$10:$C$1509,$C767,Журнал!$P$10:$P$1509,$G767)&gt;0),"есть в Журнале",IF(COUNTIF(Постоянные!$C$8:$C$37,$F767)&gt;0,"есть в Постоянных",IF(COUNTIF(Покупки!$C$7:$C$18,$F767)&gt;0,"есть в Покупках",""))))</f>
        <v/>
      </c>
      <c r="P767">
        <f>IF($C767="","",DATE(YEAR($C767),MONTH($C767),1))</f>
        <v/>
      </c>
      <c r="Q767">
        <f>IF(ISNUMBER($G767),ABS($G767),0)</f>
        <v/>
      </c>
      <c r="R767">
        <f>IF(AND($D767="Расход",COUNTIFS(Счета!$B$10:$B$21,$H767,Счета!$C$10:$C$21,"Кредитная")&gt;0),1,0)</f>
        <v/>
      </c>
    </row>
    <row r="768" ht="19" customHeight="1">
      <c r="B768" s="53">
        <f>IF(AND($C768="",$F768=""),"",ROW()-9)</f>
        <v/>
      </c>
      <c r="C768" s="213" t="n"/>
      <c r="D768" s="55" t="n"/>
      <c r="E768" s="55" t="n"/>
      <c r="F768" s="56" t="n"/>
      <c r="G768" s="196" t="n"/>
      <c r="H768" s="21" t="n"/>
      <c r="I768" s="21" t="n"/>
      <c r="J768" s="53">
        <f>IF($C768="","",INDEX(Настройки!$V$6:$V$17,MONTH($C768))&amp;" "&amp;YEAR($C768))</f>
        <v/>
      </c>
      <c r="K768" s="57">
        <f>IF(OR($F768="",$D768="Перевод"),"",IF(AND(N($G768)&lt;&gt;0,COUNTIFS(Журнал!$C$10:$C$1509,$C768,Журнал!$P$10:$P$1509,$G768)&gt;0),"есть в Журнале",IF(COUNTIF(Постоянные!$C$8:$C$37,$F768)&gt;0,"есть в Постоянных",IF(COUNTIF(Покупки!$C$7:$C$18,$F768)&gt;0,"есть в Покупках",""))))</f>
        <v/>
      </c>
      <c r="P768">
        <f>IF($C768="","",DATE(YEAR($C768),MONTH($C768),1))</f>
        <v/>
      </c>
      <c r="Q768">
        <f>IF(ISNUMBER($G768),ABS($G768),0)</f>
        <v/>
      </c>
      <c r="R768">
        <f>IF(AND($D768="Расход",COUNTIFS(Счета!$B$10:$B$21,$H768,Счета!$C$10:$C$21,"Кредитная")&gt;0),1,0)</f>
        <v/>
      </c>
    </row>
    <row r="769" ht="19" customHeight="1">
      <c r="B769" s="53">
        <f>IF(AND($C769="",$F769=""),"",ROW()-9)</f>
        <v/>
      </c>
      <c r="C769" s="213" t="n"/>
      <c r="D769" s="55" t="n"/>
      <c r="E769" s="55" t="n"/>
      <c r="F769" s="56" t="n"/>
      <c r="G769" s="196" t="n"/>
      <c r="H769" s="21" t="n"/>
      <c r="I769" s="21" t="n"/>
      <c r="J769" s="53">
        <f>IF($C769="","",INDEX(Настройки!$V$6:$V$17,MONTH($C769))&amp;" "&amp;YEAR($C769))</f>
        <v/>
      </c>
      <c r="K769" s="57">
        <f>IF(OR($F769="",$D769="Перевод"),"",IF(AND(N($G769)&lt;&gt;0,COUNTIFS(Журнал!$C$10:$C$1509,$C769,Журнал!$P$10:$P$1509,$G769)&gt;0),"есть в Журнале",IF(COUNTIF(Постоянные!$C$8:$C$37,$F769)&gt;0,"есть в Постоянных",IF(COUNTIF(Покупки!$C$7:$C$18,$F769)&gt;0,"есть в Покупках",""))))</f>
        <v/>
      </c>
      <c r="P769">
        <f>IF($C769="","",DATE(YEAR($C769),MONTH($C769),1))</f>
        <v/>
      </c>
      <c r="Q769">
        <f>IF(ISNUMBER($G769),ABS($G769),0)</f>
        <v/>
      </c>
      <c r="R769">
        <f>IF(AND($D769="Расход",COUNTIFS(Счета!$B$10:$B$21,$H769,Счета!$C$10:$C$21,"Кредитная")&gt;0),1,0)</f>
        <v/>
      </c>
    </row>
    <row r="770" ht="19" customHeight="1">
      <c r="B770" s="53">
        <f>IF(AND($C770="",$F770=""),"",ROW()-9)</f>
        <v/>
      </c>
      <c r="C770" s="213" t="n"/>
      <c r="D770" s="55" t="n"/>
      <c r="E770" s="55" t="n"/>
      <c r="F770" s="56" t="n"/>
      <c r="G770" s="196" t="n"/>
      <c r="H770" s="21" t="n"/>
      <c r="I770" s="21" t="n"/>
      <c r="J770" s="53">
        <f>IF($C770="","",INDEX(Настройки!$V$6:$V$17,MONTH($C770))&amp;" "&amp;YEAR($C770))</f>
        <v/>
      </c>
      <c r="K770" s="57">
        <f>IF(OR($F770="",$D770="Перевод"),"",IF(AND(N($G770)&lt;&gt;0,COUNTIFS(Журнал!$C$10:$C$1509,$C770,Журнал!$P$10:$P$1509,$G770)&gt;0),"есть в Журнале",IF(COUNTIF(Постоянные!$C$8:$C$37,$F770)&gt;0,"есть в Постоянных",IF(COUNTIF(Покупки!$C$7:$C$18,$F770)&gt;0,"есть в Покупках",""))))</f>
        <v/>
      </c>
      <c r="P770">
        <f>IF($C770="","",DATE(YEAR($C770),MONTH($C770),1))</f>
        <v/>
      </c>
      <c r="Q770">
        <f>IF(ISNUMBER($G770),ABS($G770),0)</f>
        <v/>
      </c>
      <c r="R770">
        <f>IF(AND($D770="Расход",COUNTIFS(Счета!$B$10:$B$21,$H770,Счета!$C$10:$C$21,"Кредитная")&gt;0),1,0)</f>
        <v/>
      </c>
    </row>
    <row r="771" ht="19" customHeight="1">
      <c r="B771" s="53">
        <f>IF(AND($C771="",$F771=""),"",ROW()-9)</f>
        <v/>
      </c>
      <c r="C771" s="213" t="n"/>
      <c r="D771" s="55" t="n"/>
      <c r="E771" s="55" t="n"/>
      <c r="F771" s="56" t="n"/>
      <c r="G771" s="196" t="n"/>
      <c r="H771" s="21" t="n"/>
      <c r="I771" s="21" t="n"/>
      <c r="J771" s="53">
        <f>IF($C771="","",INDEX(Настройки!$V$6:$V$17,MONTH($C771))&amp;" "&amp;YEAR($C771))</f>
        <v/>
      </c>
      <c r="K771" s="57">
        <f>IF(OR($F771="",$D771="Перевод"),"",IF(AND(N($G771)&lt;&gt;0,COUNTIFS(Журнал!$C$10:$C$1509,$C771,Журнал!$P$10:$P$1509,$G771)&gt;0),"есть в Журнале",IF(COUNTIF(Постоянные!$C$8:$C$37,$F771)&gt;0,"есть в Постоянных",IF(COUNTIF(Покупки!$C$7:$C$18,$F771)&gt;0,"есть в Покупках",""))))</f>
        <v/>
      </c>
      <c r="P771">
        <f>IF($C771="","",DATE(YEAR($C771),MONTH($C771),1))</f>
        <v/>
      </c>
      <c r="Q771">
        <f>IF(ISNUMBER($G771),ABS($G771),0)</f>
        <v/>
      </c>
      <c r="R771">
        <f>IF(AND($D771="Расход",COUNTIFS(Счета!$B$10:$B$21,$H771,Счета!$C$10:$C$21,"Кредитная")&gt;0),1,0)</f>
        <v/>
      </c>
    </row>
    <row r="772" ht="19" customHeight="1">
      <c r="B772" s="53">
        <f>IF(AND($C772="",$F772=""),"",ROW()-9)</f>
        <v/>
      </c>
      <c r="C772" s="213" t="n"/>
      <c r="D772" s="55" t="n"/>
      <c r="E772" s="55" t="n"/>
      <c r="F772" s="56" t="n"/>
      <c r="G772" s="196" t="n"/>
      <c r="H772" s="21" t="n"/>
      <c r="I772" s="21" t="n"/>
      <c r="J772" s="53">
        <f>IF($C772="","",INDEX(Настройки!$V$6:$V$17,MONTH($C772))&amp;" "&amp;YEAR($C772))</f>
        <v/>
      </c>
      <c r="K772" s="57">
        <f>IF(OR($F772="",$D772="Перевод"),"",IF(AND(N($G772)&lt;&gt;0,COUNTIFS(Журнал!$C$10:$C$1509,$C772,Журнал!$P$10:$P$1509,$G772)&gt;0),"есть в Журнале",IF(COUNTIF(Постоянные!$C$8:$C$37,$F772)&gt;0,"есть в Постоянных",IF(COUNTIF(Покупки!$C$7:$C$18,$F772)&gt;0,"есть в Покупках",""))))</f>
        <v/>
      </c>
      <c r="P772">
        <f>IF($C772="","",DATE(YEAR($C772),MONTH($C772),1))</f>
        <v/>
      </c>
      <c r="Q772">
        <f>IF(ISNUMBER($G772),ABS($G772),0)</f>
        <v/>
      </c>
      <c r="R772">
        <f>IF(AND($D772="Расход",COUNTIFS(Счета!$B$10:$B$21,$H772,Счета!$C$10:$C$21,"Кредитная")&gt;0),1,0)</f>
        <v/>
      </c>
    </row>
    <row r="773" ht="19" customHeight="1">
      <c r="B773" s="53">
        <f>IF(AND($C773="",$F773=""),"",ROW()-9)</f>
        <v/>
      </c>
      <c r="C773" s="213" t="n"/>
      <c r="D773" s="55" t="n"/>
      <c r="E773" s="55" t="n"/>
      <c r="F773" s="56" t="n"/>
      <c r="G773" s="196" t="n"/>
      <c r="H773" s="21" t="n"/>
      <c r="I773" s="21" t="n"/>
      <c r="J773" s="53">
        <f>IF($C773="","",INDEX(Настройки!$V$6:$V$17,MONTH($C773))&amp;" "&amp;YEAR($C773))</f>
        <v/>
      </c>
      <c r="K773" s="57">
        <f>IF(OR($F773="",$D773="Перевод"),"",IF(AND(N($G773)&lt;&gt;0,COUNTIFS(Журнал!$C$10:$C$1509,$C773,Журнал!$P$10:$P$1509,$G773)&gt;0),"есть в Журнале",IF(COUNTIF(Постоянные!$C$8:$C$37,$F773)&gt;0,"есть в Постоянных",IF(COUNTIF(Покупки!$C$7:$C$18,$F773)&gt;0,"есть в Покупках",""))))</f>
        <v/>
      </c>
      <c r="P773">
        <f>IF($C773="","",DATE(YEAR($C773),MONTH($C773),1))</f>
        <v/>
      </c>
      <c r="Q773">
        <f>IF(ISNUMBER($G773),ABS($G773),0)</f>
        <v/>
      </c>
      <c r="R773">
        <f>IF(AND($D773="Расход",COUNTIFS(Счета!$B$10:$B$21,$H773,Счета!$C$10:$C$21,"Кредитная")&gt;0),1,0)</f>
        <v/>
      </c>
    </row>
    <row r="774" ht="19" customHeight="1">
      <c r="B774" s="53">
        <f>IF(AND($C774="",$F774=""),"",ROW()-9)</f>
        <v/>
      </c>
      <c r="C774" s="213" t="n"/>
      <c r="D774" s="55" t="n"/>
      <c r="E774" s="55" t="n"/>
      <c r="F774" s="56" t="n"/>
      <c r="G774" s="196" t="n"/>
      <c r="H774" s="21" t="n"/>
      <c r="I774" s="21" t="n"/>
      <c r="J774" s="53">
        <f>IF($C774="","",INDEX(Настройки!$V$6:$V$17,MONTH($C774))&amp;" "&amp;YEAR($C774))</f>
        <v/>
      </c>
      <c r="K774" s="57">
        <f>IF(OR($F774="",$D774="Перевод"),"",IF(AND(N($G774)&lt;&gt;0,COUNTIFS(Журнал!$C$10:$C$1509,$C774,Журнал!$P$10:$P$1509,$G774)&gt;0),"есть в Журнале",IF(COUNTIF(Постоянные!$C$8:$C$37,$F774)&gt;0,"есть в Постоянных",IF(COUNTIF(Покупки!$C$7:$C$18,$F774)&gt;0,"есть в Покупках",""))))</f>
        <v/>
      </c>
      <c r="P774">
        <f>IF($C774="","",DATE(YEAR($C774),MONTH($C774),1))</f>
        <v/>
      </c>
      <c r="Q774">
        <f>IF(ISNUMBER($G774),ABS($G774),0)</f>
        <v/>
      </c>
      <c r="R774">
        <f>IF(AND($D774="Расход",COUNTIFS(Счета!$B$10:$B$21,$H774,Счета!$C$10:$C$21,"Кредитная")&gt;0),1,0)</f>
        <v/>
      </c>
    </row>
    <row r="775" ht="19" customHeight="1">
      <c r="B775" s="53">
        <f>IF(AND($C775="",$F775=""),"",ROW()-9)</f>
        <v/>
      </c>
      <c r="C775" s="213" t="n"/>
      <c r="D775" s="55" t="n"/>
      <c r="E775" s="55" t="n"/>
      <c r="F775" s="56" t="n"/>
      <c r="G775" s="196" t="n"/>
      <c r="H775" s="21" t="n"/>
      <c r="I775" s="21" t="n"/>
      <c r="J775" s="53">
        <f>IF($C775="","",INDEX(Настройки!$V$6:$V$17,MONTH($C775))&amp;" "&amp;YEAR($C775))</f>
        <v/>
      </c>
      <c r="K775" s="57">
        <f>IF(OR($F775="",$D775="Перевод"),"",IF(AND(N($G775)&lt;&gt;0,COUNTIFS(Журнал!$C$10:$C$1509,$C775,Журнал!$P$10:$P$1509,$G775)&gt;0),"есть в Журнале",IF(COUNTIF(Постоянные!$C$8:$C$37,$F775)&gt;0,"есть в Постоянных",IF(COUNTIF(Покупки!$C$7:$C$18,$F775)&gt;0,"есть в Покупках",""))))</f>
        <v/>
      </c>
      <c r="P775">
        <f>IF($C775="","",DATE(YEAR($C775),MONTH($C775),1))</f>
        <v/>
      </c>
      <c r="Q775">
        <f>IF(ISNUMBER($G775),ABS($G775),0)</f>
        <v/>
      </c>
      <c r="R775">
        <f>IF(AND($D775="Расход",COUNTIFS(Счета!$B$10:$B$21,$H775,Счета!$C$10:$C$21,"Кредитная")&gt;0),1,0)</f>
        <v/>
      </c>
    </row>
    <row r="776" ht="19" customHeight="1">
      <c r="B776" s="53">
        <f>IF(AND($C776="",$F776=""),"",ROW()-9)</f>
        <v/>
      </c>
      <c r="C776" s="213" t="n"/>
      <c r="D776" s="55" t="n"/>
      <c r="E776" s="55" t="n"/>
      <c r="F776" s="56" t="n"/>
      <c r="G776" s="196" t="n"/>
      <c r="H776" s="21" t="n"/>
      <c r="I776" s="21" t="n"/>
      <c r="J776" s="53">
        <f>IF($C776="","",INDEX(Настройки!$V$6:$V$17,MONTH($C776))&amp;" "&amp;YEAR($C776))</f>
        <v/>
      </c>
      <c r="K776" s="57">
        <f>IF(OR($F776="",$D776="Перевод"),"",IF(AND(N($G776)&lt;&gt;0,COUNTIFS(Журнал!$C$10:$C$1509,$C776,Журнал!$P$10:$P$1509,$G776)&gt;0),"есть в Журнале",IF(COUNTIF(Постоянные!$C$8:$C$37,$F776)&gt;0,"есть в Постоянных",IF(COUNTIF(Покупки!$C$7:$C$18,$F776)&gt;0,"есть в Покупках",""))))</f>
        <v/>
      </c>
      <c r="P776">
        <f>IF($C776="","",DATE(YEAR($C776),MONTH($C776),1))</f>
        <v/>
      </c>
      <c r="Q776">
        <f>IF(ISNUMBER($G776),ABS($G776),0)</f>
        <v/>
      </c>
      <c r="R776">
        <f>IF(AND($D776="Расход",COUNTIFS(Счета!$B$10:$B$21,$H776,Счета!$C$10:$C$21,"Кредитная")&gt;0),1,0)</f>
        <v/>
      </c>
    </row>
    <row r="777" ht="19" customHeight="1">
      <c r="B777" s="53">
        <f>IF(AND($C777="",$F777=""),"",ROW()-9)</f>
        <v/>
      </c>
      <c r="C777" s="213" t="n"/>
      <c r="D777" s="55" t="n"/>
      <c r="E777" s="55" t="n"/>
      <c r="F777" s="56" t="n"/>
      <c r="G777" s="196" t="n"/>
      <c r="H777" s="21" t="n"/>
      <c r="I777" s="21" t="n"/>
      <c r="J777" s="53">
        <f>IF($C777="","",INDEX(Настройки!$V$6:$V$17,MONTH($C777))&amp;" "&amp;YEAR($C777))</f>
        <v/>
      </c>
      <c r="K777" s="57">
        <f>IF(OR($F777="",$D777="Перевод"),"",IF(AND(N($G777)&lt;&gt;0,COUNTIFS(Журнал!$C$10:$C$1509,$C777,Журнал!$P$10:$P$1509,$G777)&gt;0),"есть в Журнале",IF(COUNTIF(Постоянные!$C$8:$C$37,$F777)&gt;0,"есть в Постоянных",IF(COUNTIF(Покупки!$C$7:$C$18,$F777)&gt;0,"есть в Покупках",""))))</f>
        <v/>
      </c>
      <c r="P777">
        <f>IF($C777="","",DATE(YEAR($C777),MONTH($C777),1))</f>
        <v/>
      </c>
      <c r="Q777">
        <f>IF(ISNUMBER($G777),ABS($G777),0)</f>
        <v/>
      </c>
      <c r="R777">
        <f>IF(AND($D777="Расход",COUNTIFS(Счета!$B$10:$B$21,$H777,Счета!$C$10:$C$21,"Кредитная")&gt;0),1,0)</f>
        <v/>
      </c>
    </row>
    <row r="778" ht="19" customHeight="1">
      <c r="B778" s="53">
        <f>IF(AND($C778="",$F778=""),"",ROW()-9)</f>
        <v/>
      </c>
      <c r="C778" s="213" t="n"/>
      <c r="D778" s="55" t="n"/>
      <c r="E778" s="55" t="n"/>
      <c r="F778" s="56" t="n"/>
      <c r="G778" s="196" t="n"/>
      <c r="H778" s="21" t="n"/>
      <c r="I778" s="21" t="n"/>
      <c r="J778" s="53">
        <f>IF($C778="","",INDEX(Настройки!$V$6:$V$17,MONTH($C778))&amp;" "&amp;YEAR($C778))</f>
        <v/>
      </c>
      <c r="K778" s="57">
        <f>IF(OR($F778="",$D778="Перевод"),"",IF(AND(N($G778)&lt;&gt;0,COUNTIFS(Журнал!$C$10:$C$1509,$C778,Журнал!$P$10:$P$1509,$G778)&gt;0),"есть в Журнале",IF(COUNTIF(Постоянные!$C$8:$C$37,$F778)&gt;0,"есть в Постоянных",IF(COUNTIF(Покупки!$C$7:$C$18,$F778)&gt;0,"есть в Покупках",""))))</f>
        <v/>
      </c>
      <c r="P778">
        <f>IF($C778="","",DATE(YEAR($C778),MONTH($C778),1))</f>
        <v/>
      </c>
      <c r="Q778">
        <f>IF(ISNUMBER($G778),ABS($G778),0)</f>
        <v/>
      </c>
      <c r="R778">
        <f>IF(AND($D778="Расход",COUNTIFS(Счета!$B$10:$B$21,$H778,Счета!$C$10:$C$21,"Кредитная")&gt;0),1,0)</f>
        <v/>
      </c>
    </row>
    <row r="779" ht="19" customHeight="1">
      <c r="B779" s="53">
        <f>IF(AND($C779="",$F779=""),"",ROW()-9)</f>
        <v/>
      </c>
      <c r="C779" s="213" t="n"/>
      <c r="D779" s="55" t="n"/>
      <c r="E779" s="55" t="n"/>
      <c r="F779" s="56" t="n"/>
      <c r="G779" s="196" t="n"/>
      <c r="H779" s="21" t="n"/>
      <c r="I779" s="21" t="n"/>
      <c r="J779" s="53">
        <f>IF($C779="","",INDEX(Настройки!$V$6:$V$17,MONTH($C779))&amp;" "&amp;YEAR($C779))</f>
        <v/>
      </c>
      <c r="K779" s="57">
        <f>IF(OR($F779="",$D779="Перевод"),"",IF(AND(N($G779)&lt;&gt;0,COUNTIFS(Журнал!$C$10:$C$1509,$C779,Журнал!$P$10:$P$1509,$G779)&gt;0),"есть в Журнале",IF(COUNTIF(Постоянные!$C$8:$C$37,$F779)&gt;0,"есть в Постоянных",IF(COUNTIF(Покупки!$C$7:$C$18,$F779)&gt;0,"есть в Покупках",""))))</f>
        <v/>
      </c>
      <c r="P779">
        <f>IF($C779="","",DATE(YEAR($C779),MONTH($C779),1))</f>
        <v/>
      </c>
      <c r="Q779">
        <f>IF(ISNUMBER($G779),ABS($G779),0)</f>
        <v/>
      </c>
      <c r="R779">
        <f>IF(AND($D779="Расход",COUNTIFS(Счета!$B$10:$B$21,$H779,Счета!$C$10:$C$21,"Кредитная")&gt;0),1,0)</f>
        <v/>
      </c>
    </row>
    <row r="780" ht="19" customHeight="1">
      <c r="B780" s="53">
        <f>IF(AND($C780="",$F780=""),"",ROW()-9)</f>
        <v/>
      </c>
      <c r="C780" s="213" t="n"/>
      <c r="D780" s="55" t="n"/>
      <c r="E780" s="55" t="n"/>
      <c r="F780" s="56" t="n"/>
      <c r="G780" s="196" t="n"/>
      <c r="H780" s="21" t="n"/>
      <c r="I780" s="21" t="n"/>
      <c r="J780" s="53">
        <f>IF($C780="","",INDEX(Настройки!$V$6:$V$17,MONTH($C780))&amp;" "&amp;YEAR($C780))</f>
        <v/>
      </c>
      <c r="K780" s="57">
        <f>IF(OR($F780="",$D780="Перевод"),"",IF(AND(N($G780)&lt;&gt;0,COUNTIFS(Журнал!$C$10:$C$1509,$C780,Журнал!$P$10:$P$1509,$G780)&gt;0),"есть в Журнале",IF(COUNTIF(Постоянные!$C$8:$C$37,$F780)&gt;0,"есть в Постоянных",IF(COUNTIF(Покупки!$C$7:$C$18,$F780)&gt;0,"есть в Покупках",""))))</f>
        <v/>
      </c>
      <c r="P780">
        <f>IF($C780="","",DATE(YEAR($C780),MONTH($C780),1))</f>
        <v/>
      </c>
      <c r="Q780">
        <f>IF(ISNUMBER($G780),ABS($G780),0)</f>
        <v/>
      </c>
      <c r="R780">
        <f>IF(AND($D780="Расход",COUNTIFS(Счета!$B$10:$B$21,$H780,Счета!$C$10:$C$21,"Кредитная")&gt;0),1,0)</f>
        <v/>
      </c>
    </row>
    <row r="781" ht="19" customHeight="1">
      <c r="B781" s="53">
        <f>IF(AND($C781="",$F781=""),"",ROW()-9)</f>
        <v/>
      </c>
      <c r="C781" s="213" t="n"/>
      <c r="D781" s="55" t="n"/>
      <c r="E781" s="55" t="n"/>
      <c r="F781" s="56" t="n"/>
      <c r="G781" s="196" t="n"/>
      <c r="H781" s="21" t="n"/>
      <c r="I781" s="21" t="n"/>
      <c r="J781" s="53">
        <f>IF($C781="","",INDEX(Настройки!$V$6:$V$17,MONTH($C781))&amp;" "&amp;YEAR($C781))</f>
        <v/>
      </c>
      <c r="K781" s="57">
        <f>IF(OR($F781="",$D781="Перевод"),"",IF(AND(N($G781)&lt;&gt;0,COUNTIFS(Журнал!$C$10:$C$1509,$C781,Журнал!$P$10:$P$1509,$G781)&gt;0),"есть в Журнале",IF(COUNTIF(Постоянные!$C$8:$C$37,$F781)&gt;0,"есть в Постоянных",IF(COUNTIF(Покупки!$C$7:$C$18,$F781)&gt;0,"есть в Покупках",""))))</f>
        <v/>
      </c>
      <c r="P781">
        <f>IF($C781="","",DATE(YEAR($C781),MONTH($C781),1))</f>
        <v/>
      </c>
      <c r="Q781">
        <f>IF(ISNUMBER($G781),ABS($G781),0)</f>
        <v/>
      </c>
      <c r="R781">
        <f>IF(AND($D781="Расход",COUNTIFS(Счета!$B$10:$B$21,$H781,Счета!$C$10:$C$21,"Кредитная")&gt;0),1,0)</f>
        <v/>
      </c>
    </row>
    <row r="782" ht="19" customHeight="1">
      <c r="B782" s="53">
        <f>IF(AND($C782="",$F782=""),"",ROW()-9)</f>
        <v/>
      </c>
      <c r="C782" s="213" t="n"/>
      <c r="D782" s="55" t="n"/>
      <c r="E782" s="55" t="n"/>
      <c r="F782" s="56" t="n"/>
      <c r="G782" s="196" t="n"/>
      <c r="H782" s="21" t="n"/>
      <c r="I782" s="21" t="n"/>
      <c r="J782" s="53">
        <f>IF($C782="","",INDEX(Настройки!$V$6:$V$17,MONTH($C782))&amp;" "&amp;YEAR($C782))</f>
        <v/>
      </c>
      <c r="K782" s="57">
        <f>IF(OR($F782="",$D782="Перевод"),"",IF(AND(N($G782)&lt;&gt;0,COUNTIFS(Журнал!$C$10:$C$1509,$C782,Журнал!$P$10:$P$1509,$G782)&gt;0),"есть в Журнале",IF(COUNTIF(Постоянные!$C$8:$C$37,$F782)&gt;0,"есть в Постоянных",IF(COUNTIF(Покупки!$C$7:$C$18,$F782)&gt;0,"есть в Покупках",""))))</f>
        <v/>
      </c>
      <c r="P782">
        <f>IF($C782="","",DATE(YEAR($C782),MONTH($C782),1))</f>
        <v/>
      </c>
      <c r="Q782">
        <f>IF(ISNUMBER($G782),ABS($G782),0)</f>
        <v/>
      </c>
      <c r="R782">
        <f>IF(AND($D782="Расход",COUNTIFS(Счета!$B$10:$B$21,$H782,Счета!$C$10:$C$21,"Кредитная")&gt;0),1,0)</f>
        <v/>
      </c>
    </row>
    <row r="783" ht="19" customHeight="1">
      <c r="B783" s="53">
        <f>IF(AND($C783="",$F783=""),"",ROW()-9)</f>
        <v/>
      </c>
      <c r="C783" s="213" t="n"/>
      <c r="D783" s="55" t="n"/>
      <c r="E783" s="55" t="n"/>
      <c r="F783" s="56" t="n"/>
      <c r="G783" s="196" t="n"/>
      <c r="H783" s="21" t="n"/>
      <c r="I783" s="21" t="n"/>
      <c r="J783" s="53">
        <f>IF($C783="","",INDEX(Настройки!$V$6:$V$17,MONTH($C783))&amp;" "&amp;YEAR($C783))</f>
        <v/>
      </c>
      <c r="K783" s="57">
        <f>IF(OR($F783="",$D783="Перевод"),"",IF(AND(N($G783)&lt;&gt;0,COUNTIFS(Журнал!$C$10:$C$1509,$C783,Журнал!$P$10:$P$1509,$G783)&gt;0),"есть в Журнале",IF(COUNTIF(Постоянные!$C$8:$C$37,$F783)&gt;0,"есть в Постоянных",IF(COUNTIF(Покупки!$C$7:$C$18,$F783)&gt;0,"есть в Покупках",""))))</f>
        <v/>
      </c>
      <c r="P783">
        <f>IF($C783="","",DATE(YEAR($C783),MONTH($C783),1))</f>
        <v/>
      </c>
      <c r="Q783">
        <f>IF(ISNUMBER($G783),ABS($G783),0)</f>
        <v/>
      </c>
      <c r="R783">
        <f>IF(AND($D783="Расход",COUNTIFS(Счета!$B$10:$B$21,$H783,Счета!$C$10:$C$21,"Кредитная")&gt;0),1,0)</f>
        <v/>
      </c>
    </row>
    <row r="784" ht="19" customHeight="1">
      <c r="B784" s="53">
        <f>IF(AND($C784="",$F784=""),"",ROW()-9)</f>
        <v/>
      </c>
      <c r="C784" s="213" t="n"/>
      <c r="D784" s="55" t="n"/>
      <c r="E784" s="55" t="n"/>
      <c r="F784" s="56" t="n"/>
      <c r="G784" s="196" t="n"/>
      <c r="H784" s="21" t="n"/>
      <c r="I784" s="21" t="n"/>
      <c r="J784" s="53">
        <f>IF($C784="","",INDEX(Настройки!$V$6:$V$17,MONTH($C784))&amp;" "&amp;YEAR($C784))</f>
        <v/>
      </c>
      <c r="K784" s="57">
        <f>IF(OR($F784="",$D784="Перевод"),"",IF(AND(N($G784)&lt;&gt;0,COUNTIFS(Журнал!$C$10:$C$1509,$C784,Журнал!$P$10:$P$1509,$G784)&gt;0),"есть в Журнале",IF(COUNTIF(Постоянные!$C$8:$C$37,$F784)&gt;0,"есть в Постоянных",IF(COUNTIF(Покупки!$C$7:$C$18,$F784)&gt;0,"есть в Покупках",""))))</f>
        <v/>
      </c>
      <c r="P784">
        <f>IF($C784="","",DATE(YEAR($C784),MONTH($C784),1))</f>
        <v/>
      </c>
      <c r="Q784">
        <f>IF(ISNUMBER($G784),ABS($G784),0)</f>
        <v/>
      </c>
      <c r="R784">
        <f>IF(AND($D784="Расход",COUNTIFS(Счета!$B$10:$B$21,$H784,Счета!$C$10:$C$21,"Кредитная")&gt;0),1,0)</f>
        <v/>
      </c>
    </row>
    <row r="785" ht="19" customHeight="1">
      <c r="B785" s="53">
        <f>IF(AND($C785="",$F785=""),"",ROW()-9)</f>
        <v/>
      </c>
      <c r="C785" s="213" t="n"/>
      <c r="D785" s="55" t="n"/>
      <c r="E785" s="55" t="n"/>
      <c r="F785" s="56" t="n"/>
      <c r="G785" s="196" t="n"/>
      <c r="H785" s="21" t="n"/>
      <c r="I785" s="21" t="n"/>
      <c r="J785" s="53">
        <f>IF($C785="","",INDEX(Настройки!$V$6:$V$17,MONTH($C785))&amp;" "&amp;YEAR($C785))</f>
        <v/>
      </c>
      <c r="K785" s="57">
        <f>IF(OR($F785="",$D785="Перевод"),"",IF(AND(N($G785)&lt;&gt;0,COUNTIFS(Журнал!$C$10:$C$1509,$C785,Журнал!$P$10:$P$1509,$G785)&gt;0),"есть в Журнале",IF(COUNTIF(Постоянные!$C$8:$C$37,$F785)&gt;0,"есть в Постоянных",IF(COUNTIF(Покупки!$C$7:$C$18,$F785)&gt;0,"есть в Покупках",""))))</f>
        <v/>
      </c>
      <c r="P785">
        <f>IF($C785="","",DATE(YEAR($C785),MONTH($C785),1))</f>
        <v/>
      </c>
      <c r="Q785">
        <f>IF(ISNUMBER($G785),ABS($G785),0)</f>
        <v/>
      </c>
      <c r="R785">
        <f>IF(AND($D785="Расход",COUNTIFS(Счета!$B$10:$B$21,$H785,Счета!$C$10:$C$21,"Кредитная")&gt;0),1,0)</f>
        <v/>
      </c>
    </row>
    <row r="786" ht="19" customHeight="1">
      <c r="B786" s="53">
        <f>IF(AND($C786="",$F786=""),"",ROW()-9)</f>
        <v/>
      </c>
      <c r="C786" s="213" t="n"/>
      <c r="D786" s="55" t="n"/>
      <c r="E786" s="55" t="n"/>
      <c r="F786" s="56" t="n"/>
      <c r="G786" s="196" t="n"/>
      <c r="H786" s="21" t="n"/>
      <c r="I786" s="21" t="n"/>
      <c r="J786" s="53">
        <f>IF($C786="","",INDEX(Настройки!$V$6:$V$17,MONTH($C786))&amp;" "&amp;YEAR($C786))</f>
        <v/>
      </c>
      <c r="K786" s="57">
        <f>IF(OR($F786="",$D786="Перевод"),"",IF(AND(N($G786)&lt;&gt;0,COUNTIFS(Журнал!$C$10:$C$1509,$C786,Журнал!$P$10:$P$1509,$G786)&gt;0),"есть в Журнале",IF(COUNTIF(Постоянные!$C$8:$C$37,$F786)&gt;0,"есть в Постоянных",IF(COUNTIF(Покупки!$C$7:$C$18,$F786)&gt;0,"есть в Покупках",""))))</f>
        <v/>
      </c>
      <c r="P786">
        <f>IF($C786="","",DATE(YEAR($C786),MONTH($C786),1))</f>
        <v/>
      </c>
      <c r="Q786">
        <f>IF(ISNUMBER($G786),ABS($G786),0)</f>
        <v/>
      </c>
      <c r="R786">
        <f>IF(AND($D786="Расход",COUNTIFS(Счета!$B$10:$B$21,$H786,Счета!$C$10:$C$21,"Кредитная")&gt;0),1,0)</f>
        <v/>
      </c>
    </row>
    <row r="787" ht="19" customHeight="1">
      <c r="B787" s="53">
        <f>IF(AND($C787="",$F787=""),"",ROW()-9)</f>
        <v/>
      </c>
      <c r="C787" s="213" t="n"/>
      <c r="D787" s="55" t="n"/>
      <c r="E787" s="55" t="n"/>
      <c r="F787" s="56" t="n"/>
      <c r="G787" s="196" t="n"/>
      <c r="H787" s="21" t="n"/>
      <c r="I787" s="21" t="n"/>
      <c r="J787" s="53">
        <f>IF($C787="","",INDEX(Настройки!$V$6:$V$17,MONTH($C787))&amp;" "&amp;YEAR($C787))</f>
        <v/>
      </c>
      <c r="K787" s="57">
        <f>IF(OR($F787="",$D787="Перевод"),"",IF(AND(N($G787)&lt;&gt;0,COUNTIFS(Журнал!$C$10:$C$1509,$C787,Журнал!$P$10:$P$1509,$G787)&gt;0),"есть в Журнале",IF(COUNTIF(Постоянные!$C$8:$C$37,$F787)&gt;0,"есть в Постоянных",IF(COUNTIF(Покупки!$C$7:$C$18,$F787)&gt;0,"есть в Покупках",""))))</f>
        <v/>
      </c>
      <c r="P787">
        <f>IF($C787="","",DATE(YEAR($C787),MONTH($C787),1))</f>
        <v/>
      </c>
      <c r="Q787">
        <f>IF(ISNUMBER($G787),ABS($G787),0)</f>
        <v/>
      </c>
      <c r="R787">
        <f>IF(AND($D787="Расход",COUNTIFS(Счета!$B$10:$B$21,$H787,Счета!$C$10:$C$21,"Кредитная")&gt;0),1,0)</f>
        <v/>
      </c>
    </row>
    <row r="788" ht="19" customHeight="1">
      <c r="B788" s="53">
        <f>IF(AND($C788="",$F788=""),"",ROW()-9)</f>
        <v/>
      </c>
      <c r="C788" s="213" t="n"/>
      <c r="D788" s="55" t="n"/>
      <c r="E788" s="55" t="n"/>
      <c r="F788" s="56" t="n"/>
      <c r="G788" s="196" t="n"/>
      <c r="H788" s="21" t="n"/>
      <c r="I788" s="21" t="n"/>
      <c r="J788" s="53">
        <f>IF($C788="","",INDEX(Настройки!$V$6:$V$17,MONTH($C788))&amp;" "&amp;YEAR($C788))</f>
        <v/>
      </c>
      <c r="K788" s="57">
        <f>IF(OR($F788="",$D788="Перевод"),"",IF(AND(N($G788)&lt;&gt;0,COUNTIFS(Журнал!$C$10:$C$1509,$C788,Журнал!$P$10:$P$1509,$G788)&gt;0),"есть в Журнале",IF(COUNTIF(Постоянные!$C$8:$C$37,$F788)&gt;0,"есть в Постоянных",IF(COUNTIF(Покупки!$C$7:$C$18,$F788)&gt;0,"есть в Покупках",""))))</f>
        <v/>
      </c>
      <c r="P788">
        <f>IF($C788="","",DATE(YEAR($C788),MONTH($C788),1))</f>
        <v/>
      </c>
      <c r="Q788">
        <f>IF(ISNUMBER($G788),ABS($G788),0)</f>
        <v/>
      </c>
      <c r="R788">
        <f>IF(AND($D788="Расход",COUNTIFS(Счета!$B$10:$B$21,$H788,Счета!$C$10:$C$21,"Кредитная")&gt;0),1,0)</f>
        <v/>
      </c>
    </row>
    <row r="789" ht="19" customHeight="1">
      <c r="B789" s="53">
        <f>IF(AND($C789="",$F789=""),"",ROW()-9)</f>
        <v/>
      </c>
      <c r="C789" s="213" t="n"/>
      <c r="D789" s="55" t="n"/>
      <c r="E789" s="55" t="n"/>
      <c r="F789" s="56" t="n"/>
      <c r="G789" s="196" t="n"/>
      <c r="H789" s="21" t="n"/>
      <c r="I789" s="21" t="n"/>
      <c r="J789" s="53">
        <f>IF($C789="","",INDEX(Настройки!$V$6:$V$17,MONTH($C789))&amp;" "&amp;YEAR($C789))</f>
        <v/>
      </c>
      <c r="K789" s="57">
        <f>IF(OR($F789="",$D789="Перевод"),"",IF(AND(N($G789)&lt;&gt;0,COUNTIFS(Журнал!$C$10:$C$1509,$C789,Журнал!$P$10:$P$1509,$G789)&gt;0),"есть в Журнале",IF(COUNTIF(Постоянные!$C$8:$C$37,$F789)&gt;0,"есть в Постоянных",IF(COUNTIF(Покупки!$C$7:$C$18,$F789)&gt;0,"есть в Покупках",""))))</f>
        <v/>
      </c>
      <c r="P789">
        <f>IF($C789="","",DATE(YEAR($C789),MONTH($C789),1))</f>
        <v/>
      </c>
      <c r="Q789">
        <f>IF(ISNUMBER($G789),ABS($G789),0)</f>
        <v/>
      </c>
      <c r="R789">
        <f>IF(AND($D789="Расход",COUNTIFS(Счета!$B$10:$B$21,$H789,Счета!$C$10:$C$21,"Кредитная")&gt;0),1,0)</f>
        <v/>
      </c>
    </row>
    <row r="790" ht="19" customHeight="1">
      <c r="B790" s="53">
        <f>IF(AND($C790="",$F790=""),"",ROW()-9)</f>
        <v/>
      </c>
      <c r="C790" s="213" t="n"/>
      <c r="D790" s="55" t="n"/>
      <c r="E790" s="55" t="n"/>
      <c r="F790" s="56" t="n"/>
      <c r="G790" s="196" t="n"/>
      <c r="H790" s="21" t="n"/>
      <c r="I790" s="21" t="n"/>
      <c r="J790" s="53">
        <f>IF($C790="","",INDEX(Настройки!$V$6:$V$17,MONTH($C790))&amp;" "&amp;YEAR($C790))</f>
        <v/>
      </c>
      <c r="K790" s="57">
        <f>IF(OR($F790="",$D790="Перевод"),"",IF(AND(N($G790)&lt;&gt;0,COUNTIFS(Журнал!$C$10:$C$1509,$C790,Журнал!$P$10:$P$1509,$G790)&gt;0),"есть в Журнале",IF(COUNTIF(Постоянные!$C$8:$C$37,$F790)&gt;0,"есть в Постоянных",IF(COUNTIF(Покупки!$C$7:$C$18,$F790)&gt;0,"есть в Покупках",""))))</f>
        <v/>
      </c>
      <c r="P790">
        <f>IF($C790="","",DATE(YEAR($C790),MONTH($C790),1))</f>
        <v/>
      </c>
      <c r="Q790">
        <f>IF(ISNUMBER($G790),ABS($G790),0)</f>
        <v/>
      </c>
      <c r="R790">
        <f>IF(AND($D790="Расход",COUNTIFS(Счета!$B$10:$B$21,$H790,Счета!$C$10:$C$21,"Кредитная")&gt;0),1,0)</f>
        <v/>
      </c>
    </row>
    <row r="791" ht="19" customHeight="1">
      <c r="B791" s="53">
        <f>IF(AND($C791="",$F791=""),"",ROW()-9)</f>
        <v/>
      </c>
      <c r="C791" s="213" t="n"/>
      <c r="D791" s="55" t="n"/>
      <c r="E791" s="55" t="n"/>
      <c r="F791" s="56" t="n"/>
      <c r="G791" s="196" t="n"/>
      <c r="H791" s="21" t="n"/>
      <c r="I791" s="21" t="n"/>
      <c r="J791" s="53">
        <f>IF($C791="","",INDEX(Настройки!$V$6:$V$17,MONTH($C791))&amp;" "&amp;YEAR($C791))</f>
        <v/>
      </c>
      <c r="K791" s="57">
        <f>IF(OR($F791="",$D791="Перевод"),"",IF(AND(N($G791)&lt;&gt;0,COUNTIFS(Журнал!$C$10:$C$1509,$C791,Журнал!$P$10:$P$1509,$G791)&gt;0),"есть в Журнале",IF(COUNTIF(Постоянные!$C$8:$C$37,$F791)&gt;0,"есть в Постоянных",IF(COUNTIF(Покупки!$C$7:$C$18,$F791)&gt;0,"есть в Покупках",""))))</f>
        <v/>
      </c>
      <c r="P791">
        <f>IF($C791="","",DATE(YEAR($C791),MONTH($C791),1))</f>
        <v/>
      </c>
      <c r="Q791">
        <f>IF(ISNUMBER($G791),ABS($G791),0)</f>
        <v/>
      </c>
      <c r="R791">
        <f>IF(AND($D791="Расход",COUNTIFS(Счета!$B$10:$B$21,$H791,Счета!$C$10:$C$21,"Кредитная")&gt;0),1,0)</f>
        <v/>
      </c>
    </row>
    <row r="792" ht="19" customHeight="1">
      <c r="B792" s="53">
        <f>IF(AND($C792="",$F792=""),"",ROW()-9)</f>
        <v/>
      </c>
      <c r="C792" s="213" t="n"/>
      <c r="D792" s="55" t="n"/>
      <c r="E792" s="55" t="n"/>
      <c r="F792" s="56" t="n"/>
      <c r="G792" s="196" t="n"/>
      <c r="H792" s="21" t="n"/>
      <c r="I792" s="21" t="n"/>
      <c r="J792" s="53">
        <f>IF($C792="","",INDEX(Настройки!$V$6:$V$17,MONTH($C792))&amp;" "&amp;YEAR($C792))</f>
        <v/>
      </c>
      <c r="K792" s="57">
        <f>IF(OR($F792="",$D792="Перевод"),"",IF(AND(N($G792)&lt;&gt;0,COUNTIFS(Журнал!$C$10:$C$1509,$C792,Журнал!$P$10:$P$1509,$G792)&gt;0),"есть в Журнале",IF(COUNTIF(Постоянные!$C$8:$C$37,$F792)&gt;0,"есть в Постоянных",IF(COUNTIF(Покупки!$C$7:$C$18,$F792)&gt;0,"есть в Покупках",""))))</f>
        <v/>
      </c>
      <c r="P792">
        <f>IF($C792="","",DATE(YEAR($C792),MONTH($C792),1))</f>
        <v/>
      </c>
      <c r="Q792">
        <f>IF(ISNUMBER($G792),ABS($G792),0)</f>
        <v/>
      </c>
      <c r="R792">
        <f>IF(AND($D792="Расход",COUNTIFS(Счета!$B$10:$B$21,$H792,Счета!$C$10:$C$21,"Кредитная")&gt;0),1,0)</f>
        <v/>
      </c>
    </row>
    <row r="793" ht="19" customHeight="1">
      <c r="B793" s="53">
        <f>IF(AND($C793="",$F793=""),"",ROW()-9)</f>
        <v/>
      </c>
      <c r="C793" s="213" t="n"/>
      <c r="D793" s="55" t="n"/>
      <c r="E793" s="55" t="n"/>
      <c r="F793" s="56" t="n"/>
      <c r="G793" s="196" t="n"/>
      <c r="H793" s="21" t="n"/>
      <c r="I793" s="21" t="n"/>
      <c r="J793" s="53">
        <f>IF($C793="","",INDEX(Настройки!$V$6:$V$17,MONTH($C793))&amp;" "&amp;YEAR($C793))</f>
        <v/>
      </c>
      <c r="K793" s="57">
        <f>IF(OR($F793="",$D793="Перевод"),"",IF(AND(N($G793)&lt;&gt;0,COUNTIFS(Журнал!$C$10:$C$1509,$C793,Журнал!$P$10:$P$1509,$G793)&gt;0),"есть в Журнале",IF(COUNTIF(Постоянные!$C$8:$C$37,$F793)&gt;0,"есть в Постоянных",IF(COUNTIF(Покупки!$C$7:$C$18,$F793)&gt;0,"есть в Покупках",""))))</f>
        <v/>
      </c>
      <c r="P793">
        <f>IF($C793="","",DATE(YEAR($C793),MONTH($C793),1))</f>
        <v/>
      </c>
      <c r="Q793">
        <f>IF(ISNUMBER($G793),ABS($G793),0)</f>
        <v/>
      </c>
      <c r="R793">
        <f>IF(AND($D793="Расход",COUNTIFS(Счета!$B$10:$B$21,$H793,Счета!$C$10:$C$21,"Кредитная")&gt;0),1,0)</f>
        <v/>
      </c>
    </row>
    <row r="794" ht="19" customHeight="1">
      <c r="B794" s="53">
        <f>IF(AND($C794="",$F794=""),"",ROW()-9)</f>
        <v/>
      </c>
      <c r="C794" s="213" t="n"/>
      <c r="D794" s="55" t="n"/>
      <c r="E794" s="55" t="n"/>
      <c r="F794" s="56" t="n"/>
      <c r="G794" s="196" t="n"/>
      <c r="H794" s="21" t="n"/>
      <c r="I794" s="21" t="n"/>
      <c r="J794" s="53">
        <f>IF($C794="","",INDEX(Настройки!$V$6:$V$17,MONTH($C794))&amp;" "&amp;YEAR($C794))</f>
        <v/>
      </c>
      <c r="K794" s="57">
        <f>IF(OR($F794="",$D794="Перевод"),"",IF(AND(N($G794)&lt;&gt;0,COUNTIFS(Журнал!$C$10:$C$1509,$C794,Журнал!$P$10:$P$1509,$G794)&gt;0),"есть в Журнале",IF(COUNTIF(Постоянные!$C$8:$C$37,$F794)&gt;0,"есть в Постоянных",IF(COUNTIF(Покупки!$C$7:$C$18,$F794)&gt;0,"есть в Покупках",""))))</f>
        <v/>
      </c>
      <c r="P794">
        <f>IF($C794="","",DATE(YEAR($C794),MONTH($C794),1))</f>
        <v/>
      </c>
      <c r="Q794">
        <f>IF(ISNUMBER($G794),ABS($G794),0)</f>
        <v/>
      </c>
      <c r="R794">
        <f>IF(AND($D794="Расход",COUNTIFS(Счета!$B$10:$B$21,$H794,Счета!$C$10:$C$21,"Кредитная")&gt;0),1,0)</f>
        <v/>
      </c>
    </row>
    <row r="795" ht="19" customHeight="1">
      <c r="B795" s="53">
        <f>IF(AND($C795="",$F795=""),"",ROW()-9)</f>
        <v/>
      </c>
      <c r="C795" s="213" t="n"/>
      <c r="D795" s="55" t="n"/>
      <c r="E795" s="55" t="n"/>
      <c r="F795" s="56" t="n"/>
      <c r="G795" s="196" t="n"/>
      <c r="H795" s="21" t="n"/>
      <c r="I795" s="21" t="n"/>
      <c r="J795" s="53">
        <f>IF($C795="","",INDEX(Настройки!$V$6:$V$17,MONTH($C795))&amp;" "&amp;YEAR($C795))</f>
        <v/>
      </c>
      <c r="K795" s="57">
        <f>IF(OR($F795="",$D795="Перевод"),"",IF(AND(N($G795)&lt;&gt;0,COUNTIFS(Журнал!$C$10:$C$1509,$C795,Журнал!$P$10:$P$1509,$G795)&gt;0),"есть в Журнале",IF(COUNTIF(Постоянные!$C$8:$C$37,$F795)&gt;0,"есть в Постоянных",IF(COUNTIF(Покупки!$C$7:$C$18,$F795)&gt;0,"есть в Покупках",""))))</f>
        <v/>
      </c>
      <c r="P795">
        <f>IF($C795="","",DATE(YEAR($C795),MONTH($C795),1))</f>
        <v/>
      </c>
      <c r="Q795">
        <f>IF(ISNUMBER($G795),ABS($G795),0)</f>
        <v/>
      </c>
      <c r="R795">
        <f>IF(AND($D795="Расход",COUNTIFS(Счета!$B$10:$B$21,$H795,Счета!$C$10:$C$21,"Кредитная")&gt;0),1,0)</f>
        <v/>
      </c>
    </row>
    <row r="796" ht="19" customHeight="1">
      <c r="B796" s="53">
        <f>IF(AND($C796="",$F796=""),"",ROW()-9)</f>
        <v/>
      </c>
      <c r="C796" s="213" t="n"/>
      <c r="D796" s="55" t="n"/>
      <c r="E796" s="55" t="n"/>
      <c r="F796" s="56" t="n"/>
      <c r="G796" s="196" t="n"/>
      <c r="H796" s="21" t="n"/>
      <c r="I796" s="21" t="n"/>
      <c r="J796" s="53">
        <f>IF($C796="","",INDEX(Настройки!$V$6:$V$17,MONTH($C796))&amp;" "&amp;YEAR($C796))</f>
        <v/>
      </c>
      <c r="K796" s="57">
        <f>IF(OR($F796="",$D796="Перевод"),"",IF(AND(N($G796)&lt;&gt;0,COUNTIFS(Журнал!$C$10:$C$1509,$C796,Журнал!$P$10:$P$1509,$G796)&gt;0),"есть в Журнале",IF(COUNTIF(Постоянные!$C$8:$C$37,$F796)&gt;0,"есть в Постоянных",IF(COUNTIF(Покупки!$C$7:$C$18,$F796)&gt;0,"есть в Покупках",""))))</f>
        <v/>
      </c>
      <c r="P796">
        <f>IF($C796="","",DATE(YEAR($C796),MONTH($C796),1))</f>
        <v/>
      </c>
      <c r="Q796">
        <f>IF(ISNUMBER($G796),ABS($G796),0)</f>
        <v/>
      </c>
      <c r="R796">
        <f>IF(AND($D796="Расход",COUNTIFS(Счета!$B$10:$B$21,$H796,Счета!$C$10:$C$21,"Кредитная")&gt;0),1,0)</f>
        <v/>
      </c>
    </row>
    <row r="797" ht="19" customHeight="1">
      <c r="B797" s="53">
        <f>IF(AND($C797="",$F797=""),"",ROW()-9)</f>
        <v/>
      </c>
      <c r="C797" s="213" t="n"/>
      <c r="D797" s="55" t="n"/>
      <c r="E797" s="55" t="n"/>
      <c r="F797" s="56" t="n"/>
      <c r="G797" s="196" t="n"/>
      <c r="H797" s="21" t="n"/>
      <c r="I797" s="21" t="n"/>
      <c r="J797" s="53">
        <f>IF($C797="","",INDEX(Настройки!$V$6:$V$17,MONTH($C797))&amp;" "&amp;YEAR($C797))</f>
        <v/>
      </c>
      <c r="K797" s="57">
        <f>IF(OR($F797="",$D797="Перевод"),"",IF(AND(N($G797)&lt;&gt;0,COUNTIFS(Журнал!$C$10:$C$1509,$C797,Журнал!$P$10:$P$1509,$G797)&gt;0),"есть в Журнале",IF(COUNTIF(Постоянные!$C$8:$C$37,$F797)&gt;0,"есть в Постоянных",IF(COUNTIF(Покупки!$C$7:$C$18,$F797)&gt;0,"есть в Покупках",""))))</f>
        <v/>
      </c>
      <c r="P797">
        <f>IF($C797="","",DATE(YEAR($C797),MONTH($C797),1))</f>
        <v/>
      </c>
      <c r="Q797">
        <f>IF(ISNUMBER($G797),ABS($G797),0)</f>
        <v/>
      </c>
      <c r="R797">
        <f>IF(AND($D797="Расход",COUNTIFS(Счета!$B$10:$B$21,$H797,Счета!$C$10:$C$21,"Кредитная")&gt;0),1,0)</f>
        <v/>
      </c>
    </row>
    <row r="798" ht="19" customHeight="1">
      <c r="B798" s="53">
        <f>IF(AND($C798="",$F798=""),"",ROW()-9)</f>
        <v/>
      </c>
      <c r="C798" s="213" t="n"/>
      <c r="D798" s="55" t="n"/>
      <c r="E798" s="55" t="n"/>
      <c r="F798" s="56" t="n"/>
      <c r="G798" s="196" t="n"/>
      <c r="H798" s="21" t="n"/>
      <c r="I798" s="21" t="n"/>
      <c r="J798" s="53">
        <f>IF($C798="","",INDEX(Настройки!$V$6:$V$17,MONTH($C798))&amp;" "&amp;YEAR($C798))</f>
        <v/>
      </c>
      <c r="K798" s="57">
        <f>IF(OR($F798="",$D798="Перевод"),"",IF(AND(N($G798)&lt;&gt;0,COUNTIFS(Журнал!$C$10:$C$1509,$C798,Журнал!$P$10:$P$1509,$G798)&gt;0),"есть в Журнале",IF(COUNTIF(Постоянные!$C$8:$C$37,$F798)&gt;0,"есть в Постоянных",IF(COUNTIF(Покупки!$C$7:$C$18,$F798)&gt;0,"есть в Покупках",""))))</f>
        <v/>
      </c>
      <c r="P798">
        <f>IF($C798="","",DATE(YEAR($C798),MONTH($C798),1))</f>
        <v/>
      </c>
      <c r="Q798">
        <f>IF(ISNUMBER($G798),ABS($G798),0)</f>
        <v/>
      </c>
      <c r="R798">
        <f>IF(AND($D798="Расход",COUNTIFS(Счета!$B$10:$B$21,$H798,Счета!$C$10:$C$21,"Кредитная")&gt;0),1,0)</f>
        <v/>
      </c>
    </row>
    <row r="799" ht="19" customHeight="1">
      <c r="B799" s="53">
        <f>IF(AND($C799="",$F799=""),"",ROW()-9)</f>
        <v/>
      </c>
      <c r="C799" s="213" t="n"/>
      <c r="D799" s="55" t="n"/>
      <c r="E799" s="55" t="n"/>
      <c r="F799" s="56" t="n"/>
      <c r="G799" s="196" t="n"/>
      <c r="H799" s="21" t="n"/>
      <c r="I799" s="21" t="n"/>
      <c r="J799" s="53">
        <f>IF($C799="","",INDEX(Настройки!$V$6:$V$17,MONTH($C799))&amp;" "&amp;YEAR($C799))</f>
        <v/>
      </c>
      <c r="K799" s="57">
        <f>IF(OR($F799="",$D799="Перевод"),"",IF(AND(N($G799)&lt;&gt;0,COUNTIFS(Журнал!$C$10:$C$1509,$C799,Журнал!$P$10:$P$1509,$G799)&gt;0),"есть в Журнале",IF(COUNTIF(Постоянные!$C$8:$C$37,$F799)&gt;0,"есть в Постоянных",IF(COUNTIF(Покупки!$C$7:$C$18,$F799)&gt;0,"есть в Покупках",""))))</f>
        <v/>
      </c>
      <c r="P799">
        <f>IF($C799="","",DATE(YEAR($C799),MONTH($C799),1))</f>
        <v/>
      </c>
      <c r="Q799">
        <f>IF(ISNUMBER($G799),ABS($G799),0)</f>
        <v/>
      </c>
      <c r="R799">
        <f>IF(AND($D799="Расход",COUNTIFS(Счета!$B$10:$B$21,$H799,Счета!$C$10:$C$21,"Кредитная")&gt;0),1,0)</f>
        <v/>
      </c>
    </row>
    <row r="800" ht="19" customHeight="1">
      <c r="B800" s="53">
        <f>IF(AND($C800="",$F800=""),"",ROW()-9)</f>
        <v/>
      </c>
      <c r="C800" s="213" t="n"/>
      <c r="D800" s="55" t="n"/>
      <c r="E800" s="55" t="n"/>
      <c r="F800" s="56" t="n"/>
      <c r="G800" s="196" t="n"/>
      <c r="H800" s="21" t="n"/>
      <c r="I800" s="21" t="n"/>
      <c r="J800" s="53">
        <f>IF($C800="","",INDEX(Настройки!$V$6:$V$17,MONTH($C800))&amp;" "&amp;YEAR($C800))</f>
        <v/>
      </c>
      <c r="K800" s="57">
        <f>IF(OR($F800="",$D800="Перевод"),"",IF(AND(N($G800)&lt;&gt;0,COUNTIFS(Журнал!$C$10:$C$1509,$C800,Журнал!$P$10:$P$1509,$G800)&gt;0),"есть в Журнале",IF(COUNTIF(Постоянные!$C$8:$C$37,$F800)&gt;0,"есть в Постоянных",IF(COUNTIF(Покупки!$C$7:$C$18,$F800)&gt;0,"есть в Покупках",""))))</f>
        <v/>
      </c>
      <c r="P800">
        <f>IF($C800="","",DATE(YEAR($C800),MONTH($C800),1))</f>
        <v/>
      </c>
      <c r="Q800">
        <f>IF(ISNUMBER($G800),ABS($G800),0)</f>
        <v/>
      </c>
      <c r="R800">
        <f>IF(AND($D800="Расход",COUNTIFS(Счета!$B$10:$B$21,$H800,Счета!$C$10:$C$21,"Кредитная")&gt;0),1,0)</f>
        <v/>
      </c>
    </row>
    <row r="801" ht="19" customHeight="1">
      <c r="B801" s="53">
        <f>IF(AND($C801="",$F801=""),"",ROW()-9)</f>
        <v/>
      </c>
      <c r="C801" s="213" t="n"/>
      <c r="D801" s="55" t="n"/>
      <c r="E801" s="55" t="n"/>
      <c r="F801" s="56" t="n"/>
      <c r="G801" s="196" t="n"/>
      <c r="H801" s="21" t="n"/>
      <c r="I801" s="21" t="n"/>
      <c r="J801" s="53">
        <f>IF($C801="","",INDEX(Настройки!$V$6:$V$17,MONTH($C801))&amp;" "&amp;YEAR($C801))</f>
        <v/>
      </c>
      <c r="K801" s="57">
        <f>IF(OR($F801="",$D801="Перевод"),"",IF(AND(N($G801)&lt;&gt;0,COUNTIFS(Журнал!$C$10:$C$1509,$C801,Журнал!$P$10:$P$1509,$G801)&gt;0),"есть в Журнале",IF(COUNTIF(Постоянные!$C$8:$C$37,$F801)&gt;0,"есть в Постоянных",IF(COUNTIF(Покупки!$C$7:$C$18,$F801)&gt;0,"есть в Покупках",""))))</f>
        <v/>
      </c>
      <c r="P801">
        <f>IF($C801="","",DATE(YEAR($C801),MONTH($C801),1))</f>
        <v/>
      </c>
      <c r="Q801">
        <f>IF(ISNUMBER($G801),ABS($G801),0)</f>
        <v/>
      </c>
      <c r="R801">
        <f>IF(AND($D801="Расход",COUNTIFS(Счета!$B$10:$B$21,$H801,Счета!$C$10:$C$21,"Кредитная")&gt;0),1,0)</f>
        <v/>
      </c>
    </row>
    <row r="802" ht="19" customHeight="1">
      <c r="B802" s="53">
        <f>IF(AND($C802="",$F802=""),"",ROW()-9)</f>
        <v/>
      </c>
      <c r="C802" s="213" t="n"/>
      <c r="D802" s="55" t="n"/>
      <c r="E802" s="55" t="n"/>
      <c r="F802" s="56" t="n"/>
      <c r="G802" s="196" t="n"/>
      <c r="H802" s="21" t="n"/>
      <c r="I802" s="21" t="n"/>
      <c r="J802" s="53">
        <f>IF($C802="","",INDEX(Настройки!$V$6:$V$17,MONTH($C802))&amp;" "&amp;YEAR($C802))</f>
        <v/>
      </c>
      <c r="K802" s="57">
        <f>IF(OR($F802="",$D802="Перевод"),"",IF(AND(N($G802)&lt;&gt;0,COUNTIFS(Журнал!$C$10:$C$1509,$C802,Журнал!$P$10:$P$1509,$G802)&gt;0),"есть в Журнале",IF(COUNTIF(Постоянные!$C$8:$C$37,$F802)&gt;0,"есть в Постоянных",IF(COUNTIF(Покупки!$C$7:$C$18,$F802)&gt;0,"есть в Покупках",""))))</f>
        <v/>
      </c>
      <c r="P802">
        <f>IF($C802="","",DATE(YEAR($C802),MONTH($C802),1))</f>
        <v/>
      </c>
      <c r="Q802">
        <f>IF(ISNUMBER($G802),ABS($G802),0)</f>
        <v/>
      </c>
      <c r="R802">
        <f>IF(AND($D802="Расход",COUNTIFS(Счета!$B$10:$B$21,$H802,Счета!$C$10:$C$21,"Кредитная")&gt;0),1,0)</f>
        <v/>
      </c>
    </row>
    <row r="803" ht="19" customHeight="1">
      <c r="B803" s="53">
        <f>IF(AND($C803="",$F803=""),"",ROW()-9)</f>
        <v/>
      </c>
      <c r="C803" s="213" t="n"/>
      <c r="D803" s="55" t="n"/>
      <c r="E803" s="55" t="n"/>
      <c r="F803" s="56" t="n"/>
      <c r="G803" s="196" t="n"/>
      <c r="H803" s="21" t="n"/>
      <c r="I803" s="21" t="n"/>
      <c r="J803" s="53">
        <f>IF($C803="","",INDEX(Настройки!$V$6:$V$17,MONTH($C803))&amp;" "&amp;YEAR($C803))</f>
        <v/>
      </c>
      <c r="K803" s="57">
        <f>IF(OR($F803="",$D803="Перевод"),"",IF(AND(N($G803)&lt;&gt;0,COUNTIFS(Журнал!$C$10:$C$1509,$C803,Журнал!$P$10:$P$1509,$G803)&gt;0),"есть в Журнале",IF(COUNTIF(Постоянные!$C$8:$C$37,$F803)&gt;0,"есть в Постоянных",IF(COUNTIF(Покупки!$C$7:$C$18,$F803)&gt;0,"есть в Покупках",""))))</f>
        <v/>
      </c>
      <c r="P803">
        <f>IF($C803="","",DATE(YEAR($C803),MONTH($C803),1))</f>
        <v/>
      </c>
      <c r="Q803">
        <f>IF(ISNUMBER($G803),ABS($G803),0)</f>
        <v/>
      </c>
      <c r="R803">
        <f>IF(AND($D803="Расход",COUNTIFS(Счета!$B$10:$B$21,$H803,Счета!$C$10:$C$21,"Кредитная")&gt;0),1,0)</f>
        <v/>
      </c>
    </row>
    <row r="804" ht="19" customHeight="1">
      <c r="B804" s="53">
        <f>IF(AND($C804="",$F804=""),"",ROW()-9)</f>
        <v/>
      </c>
      <c r="C804" s="213" t="n"/>
      <c r="D804" s="55" t="n"/>
      <c r="E804" s="55" t="n"/>
      <c r="F804" s="56" t="n"/>
      <c r="G804" s="196" t="n"/>
      <c r="H804" s="21" t="n"/>
      <c r="I804" s="21" t="n"/>
      <c r="J804" s="53">
        <f>IF($C804="","",INDEX(Настройки!$V$6:$V$17,MONTH($C804))&amp;" "&amp;YEAR($C804))</f>
        <v/>
      </c>
      <c r="K804" s="57">
        <f>IF(OR($F804="",$D804="Перевод"),"",IF(AND(N($G804)&lt;&gt;0,COUNTIFS(Журнал!$C$10:$C$1509,$C804,Журнал!$P$10:$P$1509,$G804)&gt;0),"есть в Журнале",IF(COUNTIF(Постоянные!$C$8:$C$37,$F804)&gt;0,"есть в Постоянных",IF(COUNTIF(Покупки!$C$7:$C$18,$F804)&gt;0,"есть в Покупках",""))))</f>
        <v/>
      </c>
      <c r="P804">
        <f>IF($C804="","",DATE(YEAR($C804),MONTH($C804),1))</f>
        <v/>
      </c>
      <c r="Q804">
        <f>IF(ISNUMBER($G804),ABS($G804),0)</f>
        <v/>
      </c>
      <c r="R804">
        <f>IF(AND($D804="Расход",COUNTIFS(Счета!$B$10:$B$21,$H804,Счета!$C$10:$C$21,"Кредитная")&gt;0),1,0)</f>
        <v/>
      </c>
    </row>
    <row r="805" ht="19" customHeight="1">
      <c r="B805" s="53">
        <f>IF(AND($C805="",$F805=""),"",ROW()-9)</f>
        <v/>
      </c>
      <c r="C805" s="213" t="n"/>
      <c r="D805" s="55" t="n"/>
      <c r="E805" s="55" t="n"/>
      <c r="F805" s="56" t="n"/>
      <c r="G805" s="196" t="n"/>
      <c r="H805" s="21" t="n"/>
      <c r="I805" s="21" t="n"/>
      <c r="J805" s="53">
        <f>IF($C805="","",INDEX(Настройки!$V$6:$V$17,MONTH($C805))&amp;" "&amp;YEAR($C805))</f>
        <v/>
      </c>
      <c r="K805" s="57">
        <f>IF(OR($F805="",$D805="Перевод"),"",IF(AND(N($G805)&lt;&gt;0,COUNTIFS(Журнал!$C$10:$C$1509,$C805,Журнал!$P$10:$P$1509,$G805)&gt;0),"есть в Журнале",IF(COUNTIF(Постоянные!$C$8:$C$37,$F805)&gt;0,"есть в Постоянных",IF(COUNTIF(Покупки!$C$7:$C$18,$F805)&gt;0,"есть в Покупках",""))))</f>
        <v/>
      </c>
      <c r="P805">
        <f>IF($C805="","",DATE(YEAR($C805),MONTH($C805),1))</f>
        <v/>
      </c>
      <c r="Q805">
        <f>IF(ISNUMBER($G805),ABS($G805),0)</f>
        <v/>
      </c>
      <c r="R805">
        <f>IF(AND($D805="Расход",COUNTIFS(Счета!$B$10:$B$21,$H805,Счета!$C$10:$C$21,"Кредитная")&gt;0),1,0)</f>
        <v/>
      </c>
    </row>
    <row r="806" ht="19" customHeight="1">
      <c r="B806" s="53">
        <f>IF(AND($C806="",$F806=""),"",ROW()-9)</f>
        <v/>
      </c>
      <c r="C806" s="213" t="n"/>
      <c r="D806" s="55" t="n"/>
      <c r="E806" s="55" t="n"/>
      <c r="F806" s="56" t="n"/>
      <c r="G806" s="196" t="n"/>
      <c r="H806" s="21" t="n"/>
      <c r="I806" s="21" t="n"/>
      <c r="J806" s="53">
        <f>IF($C806="","",INDEX(Настройки!$V$6:$V$17,MONTH($C806))&amp;" "&amp;YEAR($C806))</f>
        <v/>
      </c>
      <c r="K806" s="57">
        <f>IF(OR($F806="",$D806="Перевод"),"",IF(AND(N($G806)&lt;&gt;0,COUNTIFS(Журнал!$C$10:$C$1509,$C806,Журнал!$P$10:$P$1509,$G806)&gt;0),"есть в Журнале",IF(COUNTIF(Постоянные!$C$8:$C$37,$F806)&gt;0,"есть в Постоянных",IF(COUNTIF(Покупки!$C$7:$C$18,$F806)&gt;0,"есть в Покупках",""))))</f>
        <v/>
      </c>
      <c r="P806">
        <f>IF($C806="","",DATE(YEAR($C806),MONTH($C806),1))</f>
        <v/>
      </c>
      <c r="Q806">
        <f>IF(ISNUMBER($G806),ABS($G806),0)</f>
        <v/>
      </c>
      <c r="R806">
        <f>IF(AND($D806="Расход",COUNTIFS(Счета!$B$10:$B$21,$H806,Счета!$C$10:$C$21,"Кредитная")&gt;0),1,0)</f>
        <v/>
      </c>
    </row>
    <row r="807" ht="19" customHeight="1">
      <c r="B807" s="53">
        <f>IF(AND($C807="",$F807=""),"",ROW()-9)</f>
        <v/>
      </c>
      <c r="C807" s="213" t="n"/>
      <c r="D807" s="55" t="n"/>
      <c r="E807" s="55" t="n"/>
      <c r="F807" s="56" t="n"/>
      <c r="G807" s="196" t="n"/>
      <c r="H807" s="21" t="n"/>
      <c r="I807" s="21" t="n"/>
      <c r="J807" s="53">
        <f>IF($C807="","",INDEX(Настройки!$V$6:$V$17,MONTH($C807))&amp;" "&amp;YEAR($C807))</f>
        <v/>
      </c>
      <c r="K807" s="57">
        <f>IF(OR($F807="",$D807="Перевод"),"",IF(AND(N($G807)&lt;&gt;0,COUNTIFS(Журнал!$C$10:$C$1509,$C807,Журнал!$P$10:$P$1509,$G807)&gt;0),"есть в Журнале",IF(COUNTIF(Постоянные!$C$8:$C$37,$F807)&gt;0,"есть в Постоянных",IF(COUNTIF(Покупки!$C$7:$C$18,$F807)&gt;0,"есть в Покупках",""))))</f>
        <v/>
      </c>
      <c r="P807">
        <f>IF($C807="","",DATE(YEAR($C807),MONTH($C807),1))</f>
        <v/>
      </c>
      <c r="Q807">
        <f>IF(ISNUMBER($G807),ABS($G807),0)</f>
        <v/>
      </c>
      <c r="R807">
        <f>IF(AND($D807="Расход",COUNTIFS(Счета!$B$10:$B$21,$H807,Счета!$C$10:$C$21,"Кредитная")&gt;0),1,0)</f>
        <v/>
      </c>
    </row>
    <row r="808" ht="19" customHeight="1">
      <c r="B808" s="53">
        <f>IF(AND($C808="",$F808=""),"",ROW()-9)</f>
        <v/>
      </c>
      <c r="C808" s="213" t="n"/>
      <c r="D808" s="55" t="n"/>
      <c r="E808" s="55" t="n"/>
      <c r="F808" s="56" t="n"/>
      <c r="G808" s="196" t="n"/>
      <c r="H808" s="21" t="n"/>
      <c r="I808" s="21" t="n"/>
      <c r="J808" s="53">
        <f>IF($C808="","",INDEX(Настройки!$V$6:$V$17,MONTH($C808))&amp;" "&amp;YEAR($C808))</f>
        <v/>
      </c>
      <c r="K808" s="57">
        <f>IF(OR($F808="",$D808="Перевод"),"",IF(AND(N($G808)&lt;&gt;0,COUNTIFS(Журнал!$C$10:$C$1509,$C808,Журнал!$P$10:$P$1509,$G808)&gt;0),"есть в Журнале",IF(COUNTIF(Постоянные!$C$8:$C$37,$F808)&gt;0,"есть в Постоянных",IF(COUNTIF(Покупки!$C$7:$C$18,$F808)&gt;0,"есть в Покупках",""))))</f>
        <v/>
      </c>
      <c r="P808">
        <f>IF($C808="","",DATE(YEAR($C808),MONTH($C808),1))</f>
        <v/>
      </c>
      <c r="Q808">
        <f>IF(ISNUMBER($G808),ABS($G808),0)</f>
        <v/>
      </c>
      <c r="R808">
        <f>IF(AND($D808="Расход",COUNTIFS(Счета!$B$10:$B$21,$H808,Счета!$C$10:$C$21,"Кредитная")&gt;0),1,0)</f>
        <v/>
      </c>
    </row>
    <row r="809" ht="19" customHeight="1">
      <c r="B809" s="53">
        <f>IF(AND($C809="",$F809=""),"",ROW()-9)</f>
        <v/>
      </c>
      <c r="C809" s="213" t="n"/>
      <c r="D809" s="55" t="n"/>
      <c r="E809" s="55" t="n"/>
      <c r="F809" s="56" t="n"/>
      <c r="G809" s="196" t="n"/>
      <c r="H809" s="21" t="n"/>
      <c r="I809" s="21" t="n"/>
      <c r="J809" s="53">
        <f>IF($C809="","",INDEX(Настройки!$V$6:$V$17,MONTH($C809))&amp;" "&amp;YEAR($C809))</f>
        <v/>
      </c>
      <c r="K809" s="57">
        <f>IF(OR($F809="",$D809="Перевод"),"",IF(AND(N($G809)&lt;&gt;0,COUNTIFS(Журнал!$C$10:$C$1509,$C809,Журнал!$P$10:$P$1509,$G809)&gt;0),"есть в Журнале",IF(COUNTIF(Постоянные!$C$8:$C$37,$F809)&gt;0,"есть в Постоянных",IF(COUNTIF(Покупки!$C$7:$C$18,$F809)&gt;0,"есть в Покупках",""))))</f>
        <v/>
      </c>
      <c r="P809">
        <f>IF($C809="","",DATE(YEAR($C809),MONTH($C809),1))</f>
        <v/>
      </c>
      <c r="Q809">
        <f>IF(ISNUMBER($G809),ABS($G809),0)</f>
        <v/>
      </c>
      <c r="R809">
        <f>IF(AND($D809="Расход",COUNTIFS(Счета!$B$10:$B$21,$H809,Счета!$C$10:$C$21,"Кредитная")&gt;0),1,0)</f>
        <v/>
      </c>
    </row>
    <row r="810" ht="19" customHeight="1">
      <c r="B810" s="53">
        <f>IF(AND($C810="",$F810=""),"",ROW()-9)</f>
        <v/>
      </c>
      <c r="C810" s="213" t="n"/>
      <c r="D810" s="55" t="n"/>
      <c r="E810" s="55" t="n"/>
      <c r="F810" s="56" t="n"/>
      <c r="G810" s="196" t="n"/>
      <c r="H810" s="21" t="n"/>
      <c r="I810" s="21" t="n"/>
      <c r="J810" s="53">
        <f>IF($C810="","",INDEX(Настройки!$V$6:$V$17,MONTH($C810))&amp;" "&amp;YEAR($C810))</f>
        <v/>
      </c>
      <c r="K810" s="57">
        <f>IF(OR($F810="",$D810="Перевод"),"",IF(AND(N($G810)&lt;&gt;0,COUNTIFS(Журнал!$C$10:$C$1509,$C810,Журнал!$P$10:$P$1509,$G810)&gt;0),"есть в Журнале",IF(COUNTIF(Постоянные!$C$8:$C$37,$F810)&gt;0,"есть в Постоянных",IF(COUNTIF(Покупки!$C$7:$C$18,$F810)&gt;0,"есть в Покупках",""))))</f>
        <v/>
      </c>
      <c r="P810">
        <f>IF($C810="","",DATE(YEAR($C810),MONTH($C810),1))</f>
        <v/>
      </c>
      <c r="Q810">
        <f>IF(ISNUMBER($G810),ABS($G810),0)</f>
        <v/>
      </c>
      <c r="R810">
        <f>IF(AND($D810="Расход",COUNTIFS(Счета!$B$10:$B$21,$H810,Счета!$C$10:$C$21,"Кредитная")&gt;0),1,0)</f>
        <v/>
      </c>
    </row>
    <row r="811" ht="19" customHeight="1">
      <c r="B811" s="53">
        <f>IF(AND($C811="",$F811=""),"",ROW()-9)</f>
        <v/>
      </c>
      <c r="C811" s="213" t="n"/>
      <c r="D811" s="55" t="n"/>
      <c r="E811" s="55" t="n"/>
      <c r="F811" s="56" t="n"/>
      <c r="G811" s="196" t="n"/>
      <c r="H811" s="21" t="n"/>
      <c r="I811" s="21" t="n"/>
      <c r="J811" s="53">
        <f>IF($C811="","",INDEX(Настройки!$V$6:$V$17,MONTH($C811))&amp;" "&amp;YEAR($C811))</f>
        <v/>
      </c>
      <c r="K811" s="57">
        <f>IF(OR($F811="",$D811="Перевод"),"",IF(AND(N($G811)&lt;&gt;0,COUNTIFS(Журнал!$C$10:$C$1509,$C811,Журнал!$P$10:$P$1509,$G811)&gt;0),"есть в Журнале",IF(COUNTIF(Постоянные!$C$8:$C$37,$F811)&gt;0,"есть в Постоянных",IF(COUNTIF(Покупки!$C$7:$C$18,$F811)&gt;0,"есть в Покупках",""))))</f>
        <v/>
      </c>
      <c r="P811">
        <f>IF($C811="","",DATE(YEAR($C811),MONTH($C811),1))</f>
        <v/>
      </c>
      <c r="Q811">
        <f>IF(ISNUMBER($G811),ABS($G811),0)</f>
        <v/>
      </c>
      <c r="R811">
        <f>IF(AND($D811="Расход",COUNTIFS(Счета!$B$10:$B$21,$H811,Счета!$C$10:$C$21,"Кредитная")&gt;0),1,0)</f>
        <v/>
      </c>
    </row>
    <row r="812" ht="19" customHeight="1">
      <c r="B812" s="53">
        <f>IF(AND($C812="",$F812=""),"",ROW()-9)</f>
        <v/>
      </c>
      <c r="C812" s="213" t="n"/>
      <c r="D812" s="55" t="n"/>
      <c r="E812" s="55" t="n"/>
      <c r="F812" s="56" t="n"/>
      <c r="G812" s="196" t="n"/>
      <c r="H812" s="21" t="n"/>
      <c r="I812" s="21" t="n"/>
      <c r="J812" s="53">
        <f>IF($C812="","",INDEX(Настройки!$V$6:$V$17,MONTH($C812))&amp;" "&amp;YEAR($C812))</f>
        <v/>
      </c>
      <c r="K812" s="57">
        <f>IF(OR($F812="",$D812="Перевод"),"",IF(AND(N($G812)&lt;&gt;0,COUNTIFS(Журнал!$C$10:$C$1509,$C812,Журнал!$P$10:$P$1509,$G812)&gt;0),"есть в Журнале",IF(COUNTIF(Постоянные!$C$8:$C$37,$F812)&gt;0,"есть в Постоянных",IF(COUNTIF(Покупки!$C$7:$C$18,$F812)&gt;0,"есть в Покупках",""))))</f>
        <v/>
      </c>
      <c r="P812">
        <f>IF($C812="","",DATE(YEAR($C812),MONTH($C812),1))</f>
        <v/>
      </c>
      <c r="Q812">
        <f>IF(ISNUMBER($G812),ABS($G812),0)</f>
        <v/>
      </c>
      <c r="R812">
        <f>IF(AND($D812="Расход",COUNTIFS(Счета!$B$10:$B$21,$H812,Счета!$C$10:$C$21,"Кредитная")&gt;0),1,0)</f>
        <v/>
      </c>
    </row>
    <row r="813" ht="19" customHeight="1">
      <c r="B813" s="53">
        <f>IF(AND($C813="",$F813=""),"",ROW()-9)</f>
        <v/>
      </c>
      <c r="C813" s="213" t="n"/>
      <c r="D813" s="55" t="n"/>
      <c r="E813" s="55" t="n"/>
      <c r="F813" s="56" t="n"/>
      <c r="G813" s="196" t="n"/>
      <c r="H813" s="21" t="n"/>
      <c r="I813" s="21" t="n"/>
      <c r="J813" s="53">
        <f>IF($C813="","",INDEX(Настройки!$V$6:$V$17,MONTH($C813))&amp;" "&amp;YEAR($C813))</f>
        <v/>
      </c>
      <c r="K813" s="57">
        <f>IF(OR($F813="",$D813="Перевод"),"",IF(AND(N($G813)&lt;&gt;0,COUNTIFS(Журнал!$C$10:$C$1509,$C813,Журнал!$P$10:$P$1509,$G813)&gt;0),"есть в Журнале",IF(COUNTIF(Постоянные!$C$8:$C$37,$F813)&gt;0,"есть в Постоянных",IF(COUNTIF(Покупки!$C$7:$C$18,$F813)&gt;0,"есть в Покупках",""))))</f>
        <v/>
      </c>
      <c r="P813">
        <f>IF($C813="","",DATE(YEAR($C813),MONTH($C813),1))</f>
        <v/>
      </c>
      <c r="Q813">
        <f>IF(ISNUMBER($G813),ABS($G813),0)</f>
        <v/>
      </c>
      <c r="R813">
        <f>IF(AND($D813="Расход",COUNTIFS(Счета!$B$10:$B$21,$H813,Счета!$C$10:$C$21,"Кредитная")&gt;0),1,0)</f>
        <v/>
      </c>
    </row>
    <row r="814" ht="19" customHeight="1">
      <c r="B814" s="53">
        <f>IF(AND($C814="",$F814=""),"",ROW()-9)</f>
        <v/>
      </c>
      <c r="C814" s="213" t="n"/>
      <c r="D814" s="55" t="n"/>
      <c r="E814" s="55" t="n"/>
      <c r="F814" s="56" t="n"/>
      <c r="G814" s="196" t="n"/>
      <c r="H814" s="21" t="n"/>
      <c r="I814" s="21" t="n"/>
      <c r="J814" s="53">
        <f>IF($C814="","",INDEX(Настройки!$V$6:$V$17,MONTH($C814))&amp;" "&amp;YEAR($C814))</f>
        <v/>
      </c>
      <c r="K814" s="57">
        <f>IF(OR($F814="",$D814="Перевод"),"",IF(AND(N($G814)&lt;&gt;0,COUNTIFS(Журнал!$C$10:$C$1509,$C814,Журнал!$P$10:$P$1509,$G814)&gt;0),"есть в Журнале",IF(COUNTIF(Постоянные!$C$8:$C$37,$F814)&gt;0,"есть в Постоянных",IF(COUNTIF(Покупки!$C$7:$C$18,$F814)&gt;0,"есть в Покупках",""))))</f>
        <v/>
      </c>
      <c r="P814">
        <f>IF($C814="","",DATE(YEAR($C814),MONTH($C814),1))</f>
        <v/>
      </c>
      <c r="Q814">
        <f>IF(ISNUMBER($G814),ABS($G814),0)</f>
        <v/>
      </c>
      <c r="R814">
        <f>IF(AND($D814="Расход",COUNTIFS(Счета!$B$10:$B$21,$H814,Счета!$C$10:$C$21,"Кредитная")&gt;0),1,0)</f>
        <v/>
      </c>
    </row>
    <row r="815" ht="19" customHeight="1">
      <c r="B815" s="53">
        <f>IF(AND($C815="",$F815=""),"",ROW()-9)</f>
        <v/>
      </c>
      <c r="C815" s="213" t="n"/>
      <c r="D815" s="55" t="n"/>
      <c r="E815" s="55" t="n"/>
      <c r="F815" s="56" t="n"/>
      <c r="G815" s="196" t="n"/>
      <c r="H815" s="21" t="n"/>
      <c r="I815" s="21" t="n"/>
      <c r="J815" s="53">
        <f>IF($C815="","",INDEX(Настройки!$V$6:$V$17,MONTH($C815))&amp;" "&amp;YEAR($C815))</f>
        <v/>
      </c>
      <c r="K815" s="57">
        <f>IF(OR($F815="",$D815="Перевод"),"",IF(AND(N($G815)&lt;&gt;0,COUNTIFS(Журнал!$C$10:$C$1509,$C815,Журнал!$P$10:$P$1509,$G815)&gt;0),"есть в Журнале",IF(COUNTIF(Постоянные!$C$8:$C$37,$F815)&gt;0,"есть в Постоянных",IF(COUNTIF(Покупки!$C$7:$C$18,$F815)&gt;0,"есть в Покупках",""))))</f>
        <v/>
      </c>
      <c r="P815">
        <f>IF($C815="","",DATE(YEAR($C815),MONTH($C815),1))</f>
        <v/>
      </c>
      <c r="Q815">
        <f>IF(ISNUMBER($G815),ABS($G815),0)</f>
        <v/>
      </c>
      <c r="R815">
        <f>IF(AND($D815="Расход",COUNTIFS(Счета!$B$10:$B$21,$H815,Счета!$C$10:$C$21,"Кредитная")&gt;0),1,0)</f>
        <v/>
      </c>
    </row>
    <row r="816" ht="19" customHeight="1">
      <c r="B816" s="53">
        <f>IF(AND($C816="",$F816=""),"",ROW()-9)</f>
        <v/>
      </c>
      <c r="C816" s="213" t="n"/>
      <c r="D816" s="55" t="n"/>
      <c r="E816" s="55" t="n"/>
      <c r="F816" s="56" t="n"/>
      <c r="G816" s="196" t="n"/>
      <c r="H816" s="21" t="n"/>
      <c r="I816" s="21" t="n"/>
      <c r="J816" s="53">
        <f>IF($C816="","",INDEX(Настройки!$V$6:$V$17,MONTH($C816))&amp;" "&amp;YEAR($C816))</f>
        <v/>
      </c>
      <c r="K816" s="57">
        <f>IF(OR($F816="",$D816="Перевод"),"",IF(AND(N($G816)&lt;&gt;0,COUNTIFS(Журнал!$C$10:$C$1509,$C816,Журнал!$P$10:$P$1509,$G816)&gt;0),"есть в Журнале",IF(COUNTIF(Постоянные!$C$8:$C$37,$F816)&gt;0,"есть в Постоянных",IF(COUNTIF(Покупки!$C$7:$C$18,$F816)&gt;0,"есть в Покупках",""))))</f>
        <v/>
      </c>
      <c r="P816">
        <f>IF($C816="","",DATE(YEAR($C816),MONTH($C816),1))</f>
        <v/>
      </c>
      <c r="Q816">
        <f>IF(ISNUMBER($G816),ABS($G816),0)</f>
        <v/>
      </c>
      <c r="R816">
        <f>IF(AND($D816="Расход",COUNTIFS(Счета!$B$10:$B$21,$H816,Счета!$C$10:$C$21,"Кредитная")&gt;0),1,0)</f>
        <v/>
      </c>
    </row>
    <row r="817" ht="19" customHeight="1">
      <c r="B817" s="53">
        <f>IF(AND($C817="",$F817=""),"",ROW()-9)</f>
        <v/>
      </c>
      <c r="C817" s="213" t="n"/>
      <c r="D817" s="55" t="n"/>
      <c r="E817" s="55" t="n"/>
      <c r="F817" s="56" t="n"/>
      <c r="G817" s="196" t="n"/>
      <c r="H817" s="21" t="n"/>
      <c r="I817" s="21" t="n"/>
      <c r="J817" s="53">
        <f>IF($C817="","",INDEX(Настройки!$V$6:$V$17,MONTH($C817))&amp;" "&amp;YEAR($C817))</f>
        <v/>
      </c>
      <c r="K817" s="57">
        <f>IF(OR($F817="",$D817="Перевод"),"",IF(AND(N($G817)&lt;&gt;0,COUNTIFS(Журнал!$C$10:$C$1509,$C817,Журнал!$P$10:$P$1509,$G817)&gt;0),"есть в Журнале",IF(COUNTIF(Постоянные!$C$8:$C$37,$F817)&gt;0,"есть в Постоянных",IF(COUNTIF(Покупки!$C$7:$C$18,$F817)&gt;0,"есть в Покупках",""))))</f>
        <v/>
      </c>
      <c r="P817">
        <f>IF($C817="","",DATE(YEAR($C817),MONTH($C817),1))</f>
        <v/>
      </c>
      <c r="Q817">
        <f>IF(ISNUMBER($G817),ABS($G817),0)</f>
        <v/>
      </c>
      <c r="R817">
        <f>IF(AND($D817="Расход",COUNTIFS(Счета!$B$10:$B$21,$H817,Счета!$C$10:$C$21,"Кредитная")&gt;0),1,0)</f>
        <v/>
      </c>
    </row>
    <row r="818" ht="19" customHeight="1">
      <c r="B818" s="53">
        <f>IF(AND($C818="",$F818=""),"",ROW()-9)</f>
        <v/>
      </c>
      <c r="C818" s="213" t="n"/>
      <c r="D818" s="55" t="n"/>
      <c r="E818" s="55" t="n"/>
      <c r="F818" s="56" t="n"/>
      <c r="G818" s="196" t="n"/>
      <c r="H818" s="21" t="n"/>
      <c r="I818" s="21" t="n"/>
      <c r="J818" s="53">
        <f>IF($C818="","",INDEX(Настройки!$V$6:$V$17,MONTH($C818))&amp;" "&amp;YEAR($C818))</f>
        <v/>
      </c>
      <c r="K818" s="57">
        <f>IF(OR($F818="",$D818="Перевод"),"",IF(AND(N($G818)&lt;&gt;0,COUNTIFS(Журнал!$C$10:$C$1509,$C818,Журнал!$P$10:$P$1509,$G818)&gt;0),"есть в Журнале",IF(COUNTIF(Постоянные!$C$8:$C$37,$F818)&gt;0,"есть в Постоянных",IF(COUNTIF(Покупки!$C$7:$C$18,$F818)&gt;0,"есть в Покупках",""))))</f>
        <v/>
      </c>
      <c r="P818">
        <f>IF($C818="","",DATE(YEAR($C818),MONTH($C818),1))</f>
        <v/>
      </c>
      <c r="Q818">
        <f>IF(ISNUMBER($G818),ABS($G818),0)</f>
        <v/>
      </c>
      <c r="R818">
        <f>IF(AND($D818="Расход",COUNTIFS(Счета!$B$10:$B$21,$H818,Счета!$C$10:$C$21,"Кредитная")&gt;0),1,0)</f>
        <v/>
      </c>
    </row>
    <row r="819" ht="19" customHeight="1">
      <c r="B819" s="53">
        <f>IF(AND($C819="",$F819=""),"",ROW()-9)</f>
        <v/>
      </c>
      <c r="C819" s="213" t="n"/>
      <c r="D819" s="55" t="n"/>
      <c r="E819" s="55" t="n"/>
      <c r="F819" s="56" t="n"/>
      <c r="G819" s="196" t="n"/>
      <c r="H819" s="21" t="n"/>
      <c r="I819" s="21" t="n"/>
      <c r="J819" s="53">
        <f>IF($C819="","",INDEX(Настройки!$V$6:$V$17,MONTH($C819))&amp;" "&amp;YEAR($C819))</f>
        <v/>
      </c>
      <c r="K819" s="57">
        <f>IF(OR($F819="",$D819="Перевод"),"",IF(AND(N($G819)&lt;&gt;0,COUNTIFS(Журнал!$C$10:$C$1509,$C819,Журнал!$P$10:$P$1509,$G819)&gt;0),"есть в Журнале",IF(COUNTIF(Постоянные!$C$8:$C$37,$F819)&gt;0,"есть в Постоянных",IF(COUNTIF(Покупки!$C$7:$C$18,$F819)&gt;0,"есть в Покупках",""))))</f>
        <v/>
      </c>
      <c r="P819">
        <f>IF($C819="","",DATE(YEAR($C819),MONTH($C819),1))</f>
        <v/>
      </c>
      <c r="Q819">
        <f>IF(ISNUMBER($G819),ABS($G819),0)</f>
        <v/>
      </c>
      <c r="R819">
        <f>IF(AND($D819="Расход",COUNTIFS(Счета!$B$10:$B$21,$H819,Счета!$C$10:$C$21,"Кредитная")&gt;0),1,0)</f>
        <v/>
      </c>
    </row>
    <row r="820" ht="19" customHeight="1">
      <c r="B820" s="53">
        <f>IF(AND($C820="",$F820=""),"",ROW()-9)</f>
        <v/>
      </c>
      <c r="C820" s="213" t="n"/>
      <c r="D820" s="55" t="n"/>
      <c r="E820" s="55" t="n"/>
      <c r="F820" s="56" t="n"/>
      <c r="G820" s="196" t="n"/>
      <c r="H820" s="21" t="n"/>
      <c r="I820" s="21" t="n"/>
      <c r="J820" s="53">
        <f>IF($C820="","",INDEX(Настройки!$V$6:$V$17,MONTH($C820))&amp;" "&amp;YEAR($C820))</f>
        <v/>
      </c>
      <c r="K820" s="57">
        <f>IF(OR($F820="",$D820="Перевод"),"",IF(AND(N($G820)&lt;&gt;0,COUNTIFS(Журнал!$C$10:$C$1509,$C820,Журнал!$P$10:$P$1509,$G820)&gt;0),"есть в Журнале",IF(COUNTIF(Постоянные!$C$8:$C$37,$F820)&gt;0,"есть в Постоянных",IF(COUNTIF(Покупки!$C$7:$C$18,$F820)&gt;0,"есть в Покупках",""))))</f>
        <v/>
      </c>
      <c r="P820">
        <f>IF($C820="","",DATE(YEAR($C820),MONTH($C820),1))</f>
        <v/>
      </c>
      <c r="Q820">
        <f>IF(ISNUMBER($G820),ABS($G820),0)</f>
        <v/>
      </c>
      <c r="R820">
        <f>IF(AND($D820="Расход",COUNTIFS(Счета!$B$10:$B$21,$H820,Счета!$C$10:$C$21,"Кредитная")&gt;0),1,0)</f>
        <v/>
      </c>
    </row>
    <row r="821" ht="19" customHeight="1">
      <c r="B821" s="53">
        <f>IF(AND($C821="",$F821=""),"",ROW()-9)</f>
        <v/>
      </c>
      <c r="C821" s="213" t="n"/>
      <c r="D821" s="55" t="n"/>
      <c r="E821" s="55" t="n"/>
      <c r="F821" s="56" t="n"/>
      <c r="G821" s="196" t="n"/>
      <c r="H821" s="21" t="n"/>
      <c r="I821" s="21" t="n"/>
      <c r="J821" s="53">
        <f>IF($C821="","",INDEX(Настройки!$V$6:$V$17,MONTH($C821))&amp;" "&amp;YEAR($C821))</f>
        <v/>
      </c>
      <c r="K821" s="57">
        <f>IF(OR($F821="",$D821="Перевод"),"",IF(AND(N($G821)&lt;&gt;0,COUNTIFS(Журнал!$C$10:$C$1509,$C821,Журнал!$P$10:$P$1509,$G821)&gt;0),"есть в Журнале",IF(COUNTIF(Постоянные!$C$8:$C$37,$F821)&gt;0,"есть в Постоянных",IF(COUNTIF(Покупки!$C$7:$C$18,$F821)&gt;0,"есть в Покупках",""))))</f>
        <v/>
      </c>
      <c r="P821">
        <f>IF($C821="","",DATE(YEAR($C821),MONTH($C821),1))</f>
        <v/>
      </c>
      <c r="Q821">
        <f>IF(ISNUMBER($G821),ABS($G821),0)</f>
        <v/>
      </c>
      <c r="R821">
        <f>IF(AND($D821="Расход",COUNTIFS(Счета!$B$10:$B$21,$H821,Счета!$C$10:$C$21,"Кредитная")&gt;0),1,0)</f>
        <v/>
      </c>
    </row>
    <row r="822" ht="19" customHeight="1">
      <c r="B822" s="53">
        <f>IF(AND($C822="",$F822=""),"",ROW()-9)</f>
        <v/>
      </c>
      <c r="C822" s="213" t="n"/>
      <c r="D822" s="55" t="n"/>
      <c r="E822" s="55" t="n"/>
      <c r="F822" s="56" t="n"/>
      <c r="G822" s="196" t="n"/>
      <c r="H822" s="21" t="n"/>
      <c r="I822" s="21" t="n"/>
      <c r="J822" s="53">
        <f>IF($C822="","",INDEX(Настройки!$V$6:$V$17,MONTH($C822))&amp;" "&amp;YEAR($C822))</f>
        <v/>
      </c>
      <c r="K822" s="57">
        <f>IF(OR($F822="",$D822="Перевод"),"",IF(AND(N($G822)&lt;&gt;0,COUNTIFS(Журнал!$C$10:$C$1509,$C822,Журнал!$P$10:$P$1509,$G822)&gt;0),"есть в Журнале",IF(COUNTIF(Постоянные!$C$8:$C$37,$F822)&gt;0,"есть в Постоянных",IF(COUNTIF(Покупки!$C$7:$C$18,$F822)&gt;0,"есть в Покупках",""))))</f>
        <v/>
      </c>
      <c r="P822">
        <f>IF($C822="","",DATE(YEAR($C822),MONTH($C822),1))</f>
        <v/>
      </c>
      <c r="Q822">
        <f>IF(ISNUMBER($G822),ABS($G822),0)</f>
        <v/>
      </c>
      <c r="R822">
        <f>IF(AND($D822="Расход",COUNTIFS(Счета!$B$10:$B$21,$H822,Счета!$C$10:$C$21,"Кредитная")&gt;0),1,0)</f>
        <v/>
      </c>
    </row>
    <row r="823" ht="19" customHeight="1">
      <c r="B823" s="53">
        <f>IF(AND($C823="",$F823=""),"",ROW()-9)</f>
        <v/>
      </c>
      <c r="C823" s="213" t="n"/>
      <c r="D823" s="55" t="n"/>
      <c r="E823" s="55" t="n"/>
      <c r="F823" s="56" t="n"/>
      <c r="G823" s="196" t="n"/>
      <c r="H823" s="21" t="n"/>
      <c r="I823" s="21" t="n"/>
      <c r="J823" s="53">
        <f>IF($C823="","",INDEX(Настройки!$V$6:$V$17,MONTH($C823))&amp;" "&amp;YEAR($C823))</f>
        <v/>
      </c>
      <c r="K823" s="57">
        <f>IF(OR($F823="",$D823="Перевод"),"",IF(AND(N($G823)&lt;&gt;0,COUNTIFS(Журнал!$C$10:$C$1509,$C823,Журнал!$P$10:$P$1509,$G823)&gt;0),"есть в Журнале",IF(COUNTIF(Постоянные!$C$8:$C$37,$F823)&gt;0,"есть в Постоянных",IF(COUNTIF(Покупки!$C$7:$C$18,$F823)&gt;0,"есть в Покупках",""))))</f>
        <v/>
      </c>
      <c r="P823">
        <f>IF($C823="","",DATE(YEAR($C823),MONTH($C823),1))</f>
        <v/>
      </c>
      <c r="Q823">
        <f>IF(ISNUMBER($G823),ABS($G823),0)</f>
        <v/>
      </c>
      <c r="R823">
        <f>IF(AND($D823="Расход",COUNTIFS(Счета!$B$10:$B$21,$H823,Счета!$C$10:$C$21,"Кредитная")&gt;0),1,0)</f>
        <v/>
      </c>
    </row>
    <row r="824" ht="19" customHeight="1">
      <c r="B824" s="53">
        <f>IF(AND($C824="",$F824=""),"",ROW()-9)</f>
        <v/>
      </c>
      <c r="C824" s="213" t="n"/>
      <c r="D824" s="55" t="n"/>
      <c r="E824" s="55" t="n"/>
      <c r="F824" s="56" t="n"/>
      <c r="G824" s="196" t="n"/>
      <c r="H824" s="21" t="n"/>
      <c r="I824" s="21" t="n"/>
      <c r="J824" s="53">
        <f>IF($C824="","",INDEX(Настройки!$V$6:$V$17,MONTH($C824))&amp;" "&amp;YEAR($C824))</f>
        <v/>
      </c>
      <c r="K824" s="57">
        <f>IF(OR($F824="",$D824="Перевод"),"",IF(AND(N($G824)&lt;&gt;0,COUNTIFS(Журнал!$C$10:$C$1509,$C824,Журнал!$P$10:$P$1509,$G824)&gt;0),"есть в Журнале",IF(COUNTIF(Постоянные!$C$8:$C$37,$F824)&gt;0,"есть в Постоянных",IF(COUNTIF(Покупки!$C$7:$C$18,$F824)&gt;0,"есть в Покупках",""))))</f>
        <v/>
      </c>
      <c r="P824">
        <f>IF($C824="","",DATE(YEAR($C824),MONTH($C824),1))</f>
        <v/>
      </c>
      <c r="Q824">
        <f>IF(ISNUMBER($G824),ABS($G824),0)</f>
        <v/>
      </c>
      <c r="R824">
        <f>IF(AND($D824="Расход",COUNTIFS(Счета!$B$10:$B$21,$H824,Счета!$C$10:$C$21,"Кредитная")&gt;0),1,0)</f>
        <v/>
      </c>
    </row>
    <row r="825" ht="19" customHeight="1">
      <c r="B825" s="53">
        <f>IF(AND($C825="",$F825=""),"",ROW()-9)</f>
        <v/>
      </c>
      <c r="C825" s="213" t="n"/>
      <c r="D825" s="55" t="n"/>
      <c r="E825" s="55" t="n"/>
      <c r="F825" s="56" t="n"/>
      <c r="G825" s="196" t="n"/>
      <c r="H825" s="21" t="n"/>
      <c r="I825" s="21" t="n"/>
      <c r="J825" s="53">
        <f>IF($C825="","",INDEX(Настройки!$V$6:$V$17,MONTH($C825))&amp;" "&amp;YEAR($C825))</f>
        <v/>
      </c>
      <c r="K825" s="57">
        <f>IF(OR($F825="",$D825="Перевод"),"",IF(AND(N($G825)&lt;&gt;0,COUNTIFS(Журнал!$C$10:$C$1509,$C825,Журнал!$P$10:$P$1509,$G825)&gt;0),"есть в Журнале",IF(COUNTIF(Постоянные!$C$8:$C$37,$F825)&gt;0,"есть в Постоянных",IF(COUNTIF(Покупки!$C$7:$C$18,$F825)&gt;0,"есть в Покупках",""))))</f>
        <v/>
      </c>
      <c r="P825">
        <f>IF($C825="","",DATE(YEAR($C825),MONTH($C825),1))</f>
        <v/>
      </c>
      <c r="Q825">
        <f>IF(ISNUMBER($G825),ABS($G825),0)</f>
        <v/>
      </c>
      <c r="R825">
        <f>IF(AND($D825="Расход",COUNTIFS(Счета!$B$10:$B$21,$H825,Счета!$C$10:$C$21,"Кредитная")&gt;0),1,0)</f>
        <v/>
      </c>
    </row>
    <row r="826" ht="19" customHeight="1">
      <c r="B826" s="53">
        <f>IF(AND($C826="",$F826=""),"",ROW()-9)</f>
        <v/>
      </c>
      <c r="C826" s="213" t="n"/>
      <c r="D826" s="55" t="n"/>
      <c r="E826" s="55" t="n"/>
      <c r="F826" s="56" t="n"/>
      <c r="G826" s="196" t="n"/>
      <c r="H826" s="21" t="n"/>
      <c r="I826" s="21" t="n"/>
      <c r="J826" s="53">
        <f>IF($C826="","",INDEX(Настройки!$V$6:$V$17,MONTH($C826))&amp;" "&amp;YEAR($C826))</f>
        <v/>
      </c>
      <c r="K826" s="57">
        <f>IF(OR($F826="",$D826="Перевод"),"",IF(AND(N($G826)&lt;&gt;0,COUNTIFS(Журнал!$C$10:$C$1509,$C826,Журнал!$P$10:$P$1509,$G826)&gt;0),"есть в Журнале",IF(COUNTIF(Постоянные!$C$8:$C$37,$F826)&gt;0,"есть в Постоянных",IF(COUNTIF(Покупки!$C$7:$C$18,$F826)&gt;0,"есть в Покупках",""))))</f>
        <v/>
      </c>
      <c r="P826">
        <f>IF($C826="","",DATE(YEAR($C826),MONTH($C826),1))</f>
        <v/>
      </c>
      <c r="Q826">
        <f>IF(ISNUMBER($G826),ABS($G826),0)</f>
        <v/>
      </c>
      <c r="R826">
        <f>IF(AND($D826="Расход",COUNTIFS(Счета!$B$10:$B$21,$H826,Счета!$C$10:$C$21,"Кредитная")&gt;0),1,0)</f>
        <v/>
      </c>
    </row>
    <row r="827" ht="19" customHeight="1">
      <c r="B827" s="53">
        <f>IF(AND($C827="",$F827=""),"",ROW()-9)</f>
        <v/>
      </c>
      <c r="C827" s="213" t="n"/>
      <c r="D827" s="55" t="n"/>
      <c r="E827" s="55" t="n"/>
      <c r="F827" s="56" t="n"/>
      <c r="G827" s="196" t="n"/>
      <c r="H827" s="21" t="n"/>
      <c r="I827" s="21" t="n"/>
      <c r="J827" s="53">
        <f>IF($C827="","",INDEX(Настройки!$V$6:$V$17,MONTH($C827))&amp;" "&amp;YEAR($C827))</f>
        <v/>
      </c>
      <c r="K827" s="57">
        <f>IF(OR($F827="",$D827="Перевод"),"",IF(AND(N($G827)&lt;&gt;0,COUNTIFS(Журнал!$C$10:$C$1509,$C827,Журнал!$P$10:$P$1509,$G827)&gt;0),"есть в Журнале",IF(COUNTIF(Постоянные!$C$8:$C$37,$F827)&gt;0,"есть в Постоянных",IF(COUNTIF(Покупки!$C$7:$C$18,$F827)&gt;0,"есть в Покупках",""))))</f>
        <v/>
      </c>
      <c r="P827">
        <f>IF($C827="","",DATE(YEAR($C827),MONTH($C827),1))</f>
        <v/>
      </c>
      <c r="Q827">
        <f>IF(ISNUMBER($G827),ABS($G827),0)</f>
        <v/>
      </c>
      <c r="R827">
        <f>IF(AND($D827="Расход",COUNTIFS(Счета!$B$10:$B$21,$H827,Счета!$C$10:$C$21,"Кредитная")&gt;0),1,0)</f>
        <v/>
      </c>
    </row>
    <row r="828" ht="19" customHeight="1">
      <c r="B828" s="53">
        <f>IF(AND($C828="",$F828=""),"",ROW()-9)</f>
        <v/>
      </c>
      <c r="C828" s="213" t="n"/>
      <c r="D828" s="55" t="n"/>
      <c r="E828" s="55" t="n"/>
      <c r="F828" s="56" t="n"/>
      <c r="G828" s="196" t="n"/>
      <c r="H828" s="21" t="n"/>
      <c r="I828" s="21" t="n"/>
      <c r="J828" s="53">
        <f>IF($C828="","",INDEX(Настройки!$V$6:$V$17,MONTH($C828))&amp;" "&amp;YEAR($C828))</f>
        <v/>
      </c>
      <c r="K828" s="57">
        <f>IF(OR($F828="",$D828="Перевод"),"",IF(AND(N($G828)&lt;&gt;0,COUNTIFS(Журнал!$C$10:$C$1509,$C828,Журнал!$P$10:$P$1509,$G828)&gt;0),"есть в Журнале",IF(COUNTIF(Постоянные!$C$8:$C$37,$F828)&gt;0,"есть в Постоянных",IF(COUNTIF(Покупки!$C$7:$C$18,$F828)&gt;0,"есть в Покупках",""))))</f>
        <v/>
      </c>
      <c r="P828">
        <f>IF($C828="","",DATE(YEAR($C828),MONTH($C828),1))</f>
        <v/>
      </c>
      <c r="Q828">
        <f>IF(ISNUMBER($G828),ABS($G828),0)</f>
        <v/>
      </c>
      <c r="R828">
        <f>IF(AND($D828="Расход",COUNTIFS(Счета!$B$10:$B$21,$H828,Счета!$C$10:$C$21,"Кредитная")&gt;0),1,0)</f>
        <v/>
      </c>
    </row>
    <row r="829" ht="19" customHeight="1">
      <c r="B829" s="53">
        <f>IF(AND($C829="",$F829=""),"",ROW()-9)</f>
        <v/>
      </c>
      <c r="C829" s="213" t="n"/>
      <c r="D829" s="55" t="n"/>
      <c r="E829" s="55" t="n"/>
      <c r="F829" s="56" t="n"/>
      <c r="G829" s="196" t="n"/>
      <c r="H829" s="21" t="n"/>
      <c r="I829" s="21" t="n"/>
      <c r="J829" s="53">
        <f>IF($C829="","",INDEX(Настройки!$V$6:$V$17,MONTH($C829))&amp;" "&amp;YEAR($C829))</f>
        <v/>
      </c>
      <c r="K829" s="57">
        <f>IF(OR($F829="",$D829="Перевод"),"",IF(AND(N($G829)&lt;&gt;0,COUNTIFS(Журнал!$C$10:$C$1509,$C829,Журнал!$P$10:$P$1509,$G829)&gt;0),"есть в Журнале",IF(COUNTIF(Постоянные!$C$8:$C$37,$F829)&gt;0,"есть в Постоянных",IF(COUNTIF(Покупки!$C$7:$C$18,$F829)&gt;0,"есть в Покупках",""))))</f>
        <v/>
      </c>
      <c r="P829">
        <f>IF($C829="","",DATE(YEAR($C829),MONTH($C829),1))</f>
        <v/>
      </c>
      <c r="Q829">
        <f>IF(ISNUMBER($G829),ABS($G829),0)</f>
        <v/>
      </c>
      <c r="R829">
        <f>IF(AND($D829="Расход",COUNTIFS(Счета!$B$10:$B$21,$H829,Счета!$C$10:$C$21,"Кредитная")&gt;0),1,0)</f>
        <v/>
      </c>
    </row>
    <row r="830" ht="19" customHeight="1">
      <c r="B830" s="53">
        <f>IF(AND($C830="",$F830=""),"",ROW()-9)</f>
        <v/>
      </c>
      <c r="C830" s="213" t="n"/>
      <c r="D830" s="55" t="n"/>
      <c r="E830" s="55" t="n"/>
      <c r="F830" s="56" t="n"/>
      <c r="G830" s="196" t="n"/>
      <c r="H830" s="21" t="n"/>
      <c r="I830" s="21" t="n"/>
      <c r="J830" s="53">
        <f>IF($C830="","",INDEX(Настройки!$V$6:$V$17,MONTH($C830))&amp;" "&amp;YEAR($C830))</f>
        <v/>
      </c>
      <c r="K830" s="57">
        <f>IF(OR($F830="",$D830="Перевод"),"",IF(AND(N($G830)&lt;&gt;0,COUNTIFS(Журнал!$C$10:$C$1509,$C830,Журнал!$P$10:$P$1509,$G830)&gt;0),"есть в Журнале",IF(COUNTIF(Постоянные!$C$8:$C$37,$F830)&gt;0,"есть в Постоянных",IF(COUNTIF(Покупки!$C$7:$C$18,$F830)&gt;0,"есть в Покупках",""))))</f>
        <v/>
      </c>
      <c r="P830">
        <f>IF($C830="","",DATE(YEAR($C830),MONTH($C830),1))</f>
        <v/>
      </c>
      <c r="Q830">
        <f>IF(ISNUMBER($G830),ABS($G830),0)</f>
        <v/>
      </c>
      <c r="R830">
        <f>IF(AND($D830="Расход",COUNTIFS(Счета!$B$10:$B$21,$H830,Счета!$C$10:$C$21,"Кредитная")&gt;0),1,0)</f>
        <v/>
      </c>
    </row>
    <row r="831" ht="19" customHeight="1">
      <c r="B831" s="53">
        <f>IF(AND($C831="",$F831=""),"",ROW()-9)</f>
        <v/>
      </c>
      <c r="C831" s="213" t="n"/>
      <c r="D831" s="55" t="n"/>
      <c r="E831" s="55" t="n"/>
      <c r="F831" s="56" t="n"/>
      <c r="G831" s="196" t="n"/>
      <c r="H831" s="21" t="n"/>
      <c r="I831" s="21" t="n"/>
      <c r="J831" s="53">
        <f>IF($C831="","",INDEX(Настройки!$V$6:$V$17,MONTH($C831))&amp;" "&amp;YEAR($C831))</f>
        <v/>
      </c>
      <c r="K831" s="57">
        <f>IF(OR($F831="",$D831="Перевод"),"",IF(AND(N($G831)&lt;&gt;0,COUNTIFS(Журнал!$C$10:$C$1509,$C831,Журнал!$P$10:$P$1509,$G831)&gt;0),"есть в Журнале",IF(COUNTIF(Постоянные!$C$8:$C$37,$F831)&gt;0,"есть в Постоянных",IF(COUNTIF(Покупки!$C$7:$C$18,$F831)&gt;0,"есть в Покупках",""))))</f>
        <v/>
      </c>
      <c r="P831">
        <f>IF($C831="","",DATE(YEAR($C831),MONTH($C831),1))</f>
        <v/>
      </c>
      <c r="Q831">
        <f>IF(ISNUMBER($G831),ABS($G831),0)</f>
        <v/>
      </c>
      <c r="R831">
        <f>IF(AND($D831="Расход",COUNTIFS(Счета!$B$10:$B$21,$H831,Счета!$C$10:$C$21,"Кредитная")&gt;0),1,0)</f>
        <v/>
      </c>
    </row>
    <row r="832" ht="19" customHeight="1">
      <c r="B832" s="53">
        <f>IF(AND($C832="",$F832=""),"",ROW()-9)</f>
        <v/>
      </c>
      <c r="C832" s="213" t="n"/>
      <c r="D832" s="55" t="n"/>
      <c r="E832" s="55" t="n"/>
      <c r="F832" s="56" t="n"/>
      <c r="G832" s="196" t="n"/>
      <c r="H832" s="21" t="n"/>
      <c r="I832" s="21" t="n"/>
      <c r="J832" s="53">
        <f>IF($C832="","",INDEX(Настройки!$V$6:$V$17,MONTH($C832))&amp;" "&amp;YEAR($C832))</f>
        <v/>
      </c>
      <c r="K832" s="57">
        <f>IF(OR($F832="",$D832="Перевод"),"",IF(AND(N($G832)&lt;&gt;0,COUNTIFS(Журнал!$C$10:$C$1509,$C832,Журнал!$P$10:$P$1509,$G832)&gt;0),"есть в Журнале",IF(COUNTIF(Постоянные!$C$8:$C$37,$F832)&gt;0,"есть в Постоянных",IF(COUNTIF(Покупки!$C$7:$C$18,$F832)&gt;0,"есть в Покупках",""))))</f>
        <v/>
      </c>
      <c r="P832">
        <f>IF($C832="","",DATE(YEAR($C832),MONTH($C832),1))</f>
        <v/>
      </c>
      <c r="Q832">
        <f>IF(ISNUMBER($G832),ABS($G832),0)</f>
        <v/>
      </c>
      <c r="R832">
        <f>IF(AND($D832="Расход",COUNTIFS(Счета!$B$10:$B$21,$H832,Счета!$C$10:$C$21,"Кредитная")&gt;0),1,0)</f>
        <v/>
      </c>
    </row>
    <row r="833" ht="19" customHeight="1">
      <c r="B833" s="53">
        <f>IF(AND($C833="",$F833=""),"",ROW()-9)</f>
        <v/>
      </c>
      <c r="C833" s="213" t="n"/>
      <c r="D833" s="55" t="n"/>
      <c r="E833" s="55" t="n"/>
      <c r="F833" s="56" t="n"/>
      <c r="G833" s="196" t="n"/>
      <c r="H833" s="21" t="n"/>
      <c r="I833" s="21" t="n"/>
      <c r="J833" s="53">
        <f>IF($C833="","",INDEX(Настройки!$V$6:$V$17,MONTH($C833))&amp;" "&amp;YEAR($C833))</f>
        <v/>
      </c>
      <c r="K833" s="57">
        <f>IF(OR($F833="",$D833="Перевод"),"",IF(AND(N($G833)&lt;&gt;0,COUNTIFS(Журнал!$C$10:$C$1509,$C833,Журнал!$P$10:$P$1509,$G833)&gt;0),"есть в Журнале",IF(COUNTIF(Постоянные!$C$8:$C$37,$F833)&gt;0,"есть в Постоянных",IF(COUNTIF(Покупки!$C$7:$C$18,$F833)&gt;0,"есть в Покупках",""))))</f>
        <v/>
      </c>
      <c r="P833">
        <f>IF($C833="","",DATE(YEAR($C833),MONTH($C833),1))</f>
        <v/>
      </c>
      <c r="Q833">
        <f>IF(ISNUMBER($G833),ABS($G833),0)</f>
        <v/>
      </c>
      <c r="R833">
        <f>IF(AND($D833="Расход",COUNTIFS(Счета!$B$10:$B$21,$H833,Счета!$C$10:$C$21,"Кредитная")&gt;0),1,0)</f>
        <v/>
      </c>
    </row>
    <row r="834" ht="19" customHeight="1">
      <c r="B834" s="53">
        <f>IF(AND($C834="",$F834=""),"",ROW()-9)</f>
        <v/>
      </c>
      <c r="C834" s="213" t="n"/>
      <c r="D834" s="55" t="n"/>
      <c r="E834" s="55" t="n"/>
      <c r="F834" s="56" t="n"/>
      <c r="G834" s="196" t="n"/>
      <c r="H834" s="21" t="n"/>
      <c r="I834" s="21" t="n"/>
      <c r="J834" s="53">
        <f>IF($C834="","",INDEX(Настройки!$V$6:$V$17,MONTH($C834))&amp;" "&amp;YEAR($C834))</f>
        <v/>
      </c>
      <c r="K834" s="57">
        <f>IF(OR($F834="",$D834="Перевод"),"",IF(AND(N($G834)&lt;&gt;0,COUNTIFS(Журнал!$C$10:$C$1509,$C834,Журнал!$P$10:$P$1509,$G834)&gt;0),"есть в Журнале",IF(COUNTIF(Постоянные!$C$8:$C$37,$F834)&gt;0,"есть в Постоянных",IF(COUNTIF(Покупки!$C$7:$C$18,$F834)&gt;0,"есть в Покупках",""))))</f>
        <v/>
      </c>
      <c r="P834">
        <f>IF($C834="","",DATE(YEAR($C834),MONTH($C834),1))</f>
        <v/>
      </c>
      <c r="Q834">
        <f>IF(ISNUMBER($G834),ABS($G834),0)</f>
        <v/>
      </c>
      <c r="R834">
        <f>IF(AND($D834="Расход",COUNTIFS(Счета!$B$10:$B$21,$H834,Счета!$C$10:$C$21,"Кредитная")&gt;0),1,0)</f>
        <v/>
      </c>
    </row>
    <row r="835" ht="19" customHeight="1">
      <c r="B835" s="53">
        <f>IF(AND($C835="",$F835=""),"",ROW()-9)</f>
        <v/>
      </c>
      <c r="C835" s="213" t="n"/>
      <c r="D835" s="55" t="n"/>
      <c r="E835" s="55" t="n"/>
      <c r="F835" s="56" t="n"/>
      <c r="G835" s="196" t="n"/>
      <c r="H835" s="21" t="n"/>
      <c r="I835" s="21" t="n"/>
      <c r="J835" s="53">
        <f>IF($C835="","",INDEX(Настройки!$V$6:$V$17,MONTH($C835))&amp;" "&amp;YEAR($C835))</f>
        <v/>
      </c>
      <c r="K835" s="57">
        <f>IF(OR($F835="",$D835="Перевод"),"",IF(AND(N($G835)&lt;&gt;0,COUNTIFS(Журнал!$C$10:$C$1509,$C835,Журнал!$P$10:$P$1509,$G835)&gt;0),"есть в Журнале",IF(COUNTIF(Постоянные!$C$8:$C$37,$F835)&gt;0,"есть в Постоянных",IF(COUNTIF(Покупки!$C$7:$C$18,$F835)&gt;0,"есть в Покупках",""))))</f>
        <v/>
      </c>
      <c r="P835">
        <f>IF($C835="","",DATE(YEAR($C835),MONTH($C835),1))</f>
        <v/>
      </c>
      <c r="Q835">
        <f>IF(ISNUMBER($G835),ABS($G835),0)</f>
        <v/>
      </c>
      <c r="R835">
        <f>IF(AND($D835="Расход",COUNTIFS(Счета!$B$10:$B$21,$H835,Счета!$C$10:$C$21,"Кредитная")&gt;0),1,0)</f>
        <v/>
      </c>
    </row>
    <row r="836" ht="19" customHeight="1">
      <c r="B836" s="53">
        <f>IF(AND($C836="",$F836=""),"",ROW()-9)</f>
        <v/>
      </c>
      <c r="C836" s="213" t="n"/>
      <c r="D836" s="55" t="n"/>
      <c r="E836" s="55" t="n"/>
      <c r="F836" s="56" t="n"/>
      <c r="G836" s="196" t="n"/>
      <c r="H836" s="21" t="n"/>
      <c r="I836" s="21" t="n"/>
      <c r="J836" s="53">
        <f>IF($C836="","",INDEX(Настройки!$V$6:$V$17,MONTH($C836))&amp;" "&amp;YEAR($C836))</f>
        <v/>
      </c>
      <c r="K836" s="57">
        <f>IF(OR($F836="",$D836="Перевод"),"",IF(AND(N($G836)&lt;&gt;0,COUNTIFS(Журнал!$C$10:$C$1509,$C836,Журнал!$P$10:$P$1509,$G836)&gt;0),"есть в Журнале",IF(COUNTIF(Постоянные!$C$8:$C$37,$F836)&gt;0,"есть в Постоянных",IF(COUNTIF(Покупки!$C$7:$C$18,$F836)&gt;0,"есть в Покупках",""))))</f>
        <v/>
      </c>
      <c r="P836">
        <f>IF($C836="","",DATE(YEAR($C836),MONTH($C836),1))</f>
        <v/>
      </c>
      <c r="Q836">
        <f>IF(ISNUMBER($G836),ABS($G836),0)</f>
        <v/>
      </c>
      <c r="R836">
        <f>IF(AND($D836="Расход",COUNTIFS(Счета!$B$10:$B$21,$H836,Счета!$C$10:$C$21,"Кредитная")&gt;0),1,0)</f>
        <v/>
      </c>
    </row>
    <row r="837" ht="19" customHeight="1">
      <c r="B837" s="53">
        <f>IF(AND($C837="",$F837=""),"",ROW()-9)</f>
        <v/>
      </c>
      <c r="C837" s="213" t="n"/>
      <c r="D837" s="55" t="n"/>
      <c r="E837" s="55" t="n"/>
      <c r="F837" s="56" t="n"/>
      <c r="G837" s="196" t="n"/>
      <c r="H837" s="21" t="n"/>
      <c r="I837" s="21" t="n"/>
      <c r="J837" s="53">
        <f>IF($C837="","",INDEX(Настройки!$V$6:$V$17,MONTH($C837))&amp;" "&amp;YEAR($C837))</f>
        <v/>
      </c>
      <c r="K837" s="57">
        <f>IF(OR($F837="",$D837="Перевод"),"",IF(AND(N($G837)&lt;&gt;0,COUNTIFS(Журнал!$C$10:$C$1509,$C837,Журнал!$P$10:$P$1509,$G837)&gt;0),"есть в Журнале",IF(COUNTIF(Постоянные!$C$8:$C$37,$F837)&gt;0,"есть в Постоянных",IF(COUNTIF(Покупки!$C$7:$C$18,$F837)&gt;0,"есть в Покупках",""))))</f>
        <v/>
      </c>
      <c r="P837">
        <f>IF($C837="","",DATE(YEAR($C837),MONTH($C837),1))</f>
        <v/>
      </c>
      <c r="Q837">
        <f>IF(ISNUMBER($G837),ABS($G837),0)</f>
        <v/>
      </c>
      <c r="R837">
        <f>IF(AND($D837="Расход",COUNTIFS(Счета!$B$10:$B$21,$H837,Счета!$C$10:$C$21,"Кредитная")&gt;0),1,0)</f>
        <v/>
      </c>
    </row>
    <row r="838" ht="19" customHeight="1">
      <c r="B838" s="53">
        <f>IF(AND($C838="",$F838=""),"",ROW()-9)</f>
        <v/>
      </c>
      <c r="C838" s="213" t="n"/>
      <c r="D838" s="55" t="n"/>
      <c r="E838" s="55" t="n"/>
      <c r="F838" s="56" t="n"/>
      <c r="G838" s="196" t="n"/>
      <c r="H838" s="21" t="n"/>
      <c r="I838" s="21" t="n"/>
      <c r="J838" s="53">
        <f>IF($C838="","",INDEX(Настройки!$V$6:$V$17,MONTH($C838))&amp;" "&amp;YEAR($C838))</f>
        <v/>
      </c>
      <c r="K838" s="57">
        <f>IF(OR($F838="",$D838="Перевод"),"",IF(AND(N($G838)&lt;&gt;0,COUNTIFS(Журнал!$C$10:$C$1509,$C838,Журнал!$P$10:$P$1509,$G838)&gt;0),"есть в Журнале",IF(COUNTIF(Постоянные!$C$8:$C$37,$F838)&gt;0,"есть в Постоянных",IF(COUNTIF(Покупки!$C$7:$C$18,$F838)&gt;0,"есть в Покупках",""))))</f>
        <v/>
      </c>
      <c r="P838">
        <f>IF($C838="","",DATE(YEAR($C838),MONTH($C838),1))</f>
        <v/>
      </c>
      <c r="Q838">
        <f>IF(ISNUMBER($G838),ABS($G838),0)</f>
        <v/>
      </c>
      <c r="R838">
        <f>IF(AND($D838="Расход",COUNTIFS(Счета!$B$10:$B$21,$H838,Счета!$C$10:$C$21,"Кредитная")&gt;0),1,0)</f>
        <v/>
      </c>
    </row>
    <row r="839" ht="19" customHeight="1">
      <c r="B839" s="53">
        <f>IF(AND($C839="",$F839=""),"",ROW()-9)</f>
        <v/>
      </c>
      <c r="C839" s="213" t="n"/>
      <c r="D839" s="55" t="n"/>
      <c r="E839" s="55" t="n"/>
      <c r="F839" s="56" t="n"/>
      <c r="G839" s="196" t="n"/>
      <c r="H839" s="21" t="n"/>
      <c r="I839" s="21" t="n"/>
      <c r="J839" s="53">
        <f>IF($C839="","",INDEX(Настройки!$V$6:$V$17,MONTH($C839))&amp;" "&amp;YEAR($C839))</f>
        <v/>
      </c>
      <c r="K839" s="57">
        <f>IF(OR($F839="",$D839="Перевод"),"",IF(AND(N($G839)&lt;&gt;0,COUNTIFS(Журнал!$C$10:$C$1509,$C839,Журнал!$P$10:$P$1509,$G839)&gt;0),"есть в Журнале",IF(COUNTIF(Постоянные!$C$8:$C$37,$F839)&gt;0,"есть в Постоянных",IF(COUNTIF(Покупки!$C$7:$C$18,$F839)&gt;0,"есть в Покупках",""))))</f>
        <v/>
      </c>
      <c r="P839">
        <f>IF($C839="","",DATE(YEAR($C839),MONTH($C839),1))</f>
        <v/>
      </c>
      <c r="Q839">
        <f>IF(ISNUMBER($G839),ABS($G839),0)</f>
        <v/>
      </c>
      <c r="R839">
        <f>IF(AND($D839="Расход",COUNTIFS(Счета!$B$10:$B$21,$H839,Счета!$C$10:$C$21,"Кредитная")&gt;0),1,0)</f>
        <v/>
      </c>
    </row>
    <row r="840" ht="19" customHeight="1">
      <c r="B840" s="53">
        <f>IF(AND($C840="",$F840=""),"",ROW()-9)</f>
        <v/>
      </c>
      <c r="C840" s="213" t="n"/>
      <c r="D840" s="55" t="n"/>
      <c r="E840" s="55" t="n"/>
      <c r="F840" s="56" t="n"/>
      <c r="G840" s="196" t="n"/>
      <c r="H840" s="21" t="n"/>
      <c r="I840" s="21" t="n"/>
      <c r="J840" s="53">
        <f>IF($C840="","",INDEX(Настройки!$V$6:$V$17,MONTH($C840))&amp;" "&amp;YEAR($C840))</f>
        <v/>
      </c>
      <c r="K840" s="57">
        <f>IF(OR($F840="",$D840="Перевод"),"",IF(AND(N($G840)&lt;&gt;0,COUNTIFS(Журнал!$C$10:$C$1509,$C840,Журнал!$P$10:$P$1509,$G840)&gt;0),"есть в Журнале",IF(COUNTIF(Постоянные!$C$8:$C$37,$F840)&gt;0,"есть в Постоянных",IF(COUNTIF(Покупки!$C$7:$C$18,$F840)&gt;0,"есть в Покупках",""))))</f>
        <v/>
      </c>
      <c r="P840">
        <f>IF($C840="","",DATE(YEAR($C840),MONTH($C840),1))</f>
        <v/>
      </c>
      <c r="Q840">
        <f>IF(ISNUMBER($G840),ABS($G840),0)</f>
        <v/>
      </c>
      <c r="R840">
        <f>IF(AND($D840="Расход",COUNTIFS(Счета!$B$10:$B$21,$H840,Счета!$C$10:$C$21,"Кредитная")&gt;0),1,0)</f>
        <v/>
      </c>
    </row>
    <row r="841" ht="19" customHeight="1">
      <c r="B841" s="53">
        <f>IF(AND($C841="",$F841=""),"",ROW()-9)</f>
        <v/>
      </c>
      <c r="C841" s="213" t="n"/>
      <c r="D841" s="55" t="n"/>
      <c r="E841" s="55" t="n"/>
      <c r="F841" s="56" t="n"/>
      <c r="G841" s="196" t="n"/>
      <c r="H841" s="21" t="n"/>
      <c r="I841" s="21" t="n"/>
      <c r="J841" s="53">
        <f>IF($C841="","",INDEX(Настройки!$V$6:$V$17,MONTH($C841))&amp;" "&amp;YEAR($C841))</f>
        <v/>
      </c>
      <c r="K841" s="57">
        <f>IF(OR($F841="",$D841="Перевод"),"",IF(AND(N($G841)&lt;&gt;0,COUNTIFS(Журнал!$C$10:$C$1509,$C841,Журнал!$P$10:$P$1509,$G841)&gt;0),"есть в Журнале",IF(COUNTIF(Постоянные!$C$8:$C$37,$F841)&gt;0,"есть в Постоянных",IF(COUNTIF(Покупки!$C$7:$C$18,$F841)&gt;0,"есть в Покупках",""))))</f>
        <v/>
      </c>
      <c r="P841">
        <f>IF($C841="","",DATE(YEAR($C841),MONTH($C841),1))</f>
        <v/>
      </c>
      <c r="Q841">
        <f>IF(ISNUMBER($G841),ABS($G841),0)</f>
        <v/>
      </c>
      <c r="R841">
        <f>IF(AND($D841="Расход",COUNTIFS(Счета!$B$10:$B$21,$H841,Счета!$C$10:$C$21,"Кредитная")&gt;0),1,0)</f>
        <v/>
      </c>
    </row>
    <row r="842" ht="19" customHeight="1">
      <c r="B842" s="53">
        <f>IF(AND($C842="",$F842=""),"",ROW()-9)</f>
        <v/>
      </c>
      <c r="C842" s="213" t="n"/>
      <c r="D842" s="55" t="n"/>
      <c r="E842" s="55" t="n"/>
      <c r="F842" s="56" t="n"/>
      <c r="G842" s="196" t="n"/>
      <c r="H842" s="21" t="n"/>
      <c r="I842" s="21" t="n"/>
      <c r="J842" s="53">
        <f>IF($C842="","",INDEX(Настройки!$V$6:$V$17,MONTH($C842))&amp;" "&amp;YEAR($C842))</f>
        <v/>
      </c>
      <c r="K842" s="57">
        <f>IF(OR($F842="",$D842="Перевод"),"",IF(AND(N($G842)&lt;&gt;0,COUNTIFS(Журнал!$C$10:$C$1509,$C842,Журнал!$P$10:$P$1509,$G842)&gt;0),"есть в Журнале",IF(COUNTIF(Постоянные!$C$8:$C$37,$F842)&gt;0,"есть в Постоянных",IF(COUNTIF(Покупки!$C$7:$C$18,$F842)&gt;0,"есть в Покупках",""))))</f>
        <v/>
      </c>
      <c r="P842">
        <f>IF($C842="","",DATE(YEAR($C842),MONTH($C842),1))</f>
        <v/>
      </c>
      <c r="Q842">
        <f>IF(ISNUMBER($G842),ABS($G842),0)</f>
        <v/>
      </c>
      <c r="R842">
        <f>IF(AND($D842="Расход",COUNTIFS(Счета!$B$10:$B$21,$H842,Счета!$C$10:$C$21,"Кредитная")&gt;0),1,0)</f>
        <v/>
      </c>
    </row>
    <row r="843" ht="19" customHeight="1">
      <c r="B843" s="53">
        <f>IF(AND($C843="",$F843=""),"",ROW()-9)</f>
        <v/>
      </c>
      <c r="C843" s="213" t="n"/>
      <c r="D843" s="55" t="n"/>
      <c r="E843" s="55" t="n"/>
      <c r="F843" s="56" t="n"/>
      <c r="G843" s="196" t="n"/>
      <c r="H843" s="21" t="n"/>
      <c r="I843" s="21" t="n"/>
      <c r="J843" s="53">
        <f>IF($C843="","",INDEX(Настройки!$V$6:$V$17,MONTH($C843))&amp;" "&amp;YEAR($C843))</f>
        <v/>
      </c>
      <c r="K843" s="57">
        <f>IF(OR($F843="",$D843="Перевод"),"",IF(AND(N($G843)&lt;&gt;0,COUNTIFS(Журнал!$C$10:$C$1509,$C843,Журнал!$P$10:$P$1509,$G843)&gt;0),"есть в Журнале",IF(COUNTIF(Постоянные!$C$8:$C$37,$F843)&gt;0,"есть в Постоянных",IF(COUNTIF(Покупки!$C$7:$C$18,$F843)&gt;0,"есть в Покупках",""))))</f>
        <v/>
      </c>
      <c r="P843">
        <f>IF($C843="","",DATE(YEAR($C843),MONTH($C843),1))</f>
        <v/>
      </c>
      <c r="Q843">
        <f>IF(ISNUMBER($G843),ABS($G843),0)</f>
        <v/>
      </c>
      <c r="R843">
        <f>IF(AND($D843="Расход",COUNTIFS(Счета!$B$10:$B$21,$H843,Счета!$C$10:$C$21,"Кредитная")&gt;0),1,0)</f>
        <v/>
      </c>
    </row>
    <row r="844" ht="19" customHeight="1">
      <c r="B844" s="53">
        <f>IF(AND($C844="",$F844=""),"",ROW()-9)</f>
        <v/>
      </c>
      <c r="C844" s="213" t="n"/>
      <c r="D844" s="55" t="n"/>
      <c r="E844" s="55" t="n"/>
      <c r="F844" s="56" t="n"/>
      <c r="G844" s="196" t="n"/>
      <c r="H844" s="21" t="n"/>
      <c r="I844" s="21" t="n"/>
      <c r="J844" s="53">
        <f>IF($C844="","",INDEX(Настройки!$V$6:$V$17,MONTH($C844))&amp;" "&amp;YEAR($C844))</f>
        <v/>
      </c>
      <c r="K844" s="57">
        <f>IF(OR($F844="",$D844="Перевод"),"",IF(AND(N($G844)&lt;&gt;0,COUNTIFS(Журнал!$C$10:$C$1509,$C844,Журнал!$P$10:$P$1509,$G844)&gt;0),"есть в Журнале",IF(COUNTIF(Постоянные!$C$8:$C$37,$F844)&gt;0,"есть в Постоянных",IF(COUNTIF(Покупки!$C$7:$C$18,$F844)&gt;0,"есть в Покупках",""))))</f>
        <v/>
      </c>
      <c r="P844">
        <f>IF($C844="","",DATE(YEAR($C844),MONTH($C844),1))</f>
        <v/>
      </c>
      <c r="Q844">
        <f>IF(ISNUMBER($G844),ABS($G844),0)</f>
        <v/>
      </c>
      <c r="R844">
        <f>IF(AND($D844="Расход",COUNTIFS(Счета!$B$10:$B$21,$H844,Счета!$C$10:$C$21,"Кредитная")&gt;0),1,0)</f>
        <v/>
      </c>
    </row>
    <row r="845" ht="19" customHeight="1">
      <c r="B845" s="53">
        <f>IF(AND($C845="",$F845=""),"",ROW()-9)</f>
        <v/>
      </c>
      <c r="C845" s="213" t="n"/>
      <c r="D845" s="55" t="n"/>
      <c r="E845" s="55" t="n"/>
      <c r="F845" s="56" t="n"/>
      <c r="G845" s="196" t="n"/>
      <c r="H845" s="21" t="n"/>
      <c r="I845" s="21" t="n"/>
      <c r="J845" s="53">
        <f>IF($C845="","",INDEX(Настройки!$V$6:$V$17,MONTH($C845))&amp;" "&amp;YEAR($C845))</f>
        <v/>
      </c>
      <c r="K845" s="57">
        <f>IF(OR($F845="",$D845="Перевод"),"",IF(AND(N($G845)&lt;&gt;0,COUNTIFS(Журнал!$C$10:$C$1509,$C845,Журнал!$P$10:$P$1509,$G845)&gt;0),"есть в Журнале",IF(COUNTIF(Постоянные!$C$8:$C$37,$F845)&gt;0,"есть в Постоянных",IF(COUNTIF(Покупки!$C$7:$C$18,$F845)&gt;0,"есть в Покупках",""))))</f>
        <v/>
      </c>
      <c r="P845">
        <f>IF($C845="","",DATE(YEAR($C845),MONTH($C845),1))</f>
        <v/>
      </c>
      <c r="Q845">
        <f>IF(ISNUMBER($G845),ABS($G845),0)</f>
        <v/>
      </c>
      <c r="R845">
        <f>IF(AND($D845="Расход",COUNTIFS(Счета!$B$10:$B$21,$H845,Счета!$C$10:$C$21,"Кредитная")&gt;0),1,0)</f>
        <v/>
      </c>
    </row>
    <row r="846" ht="19" customHeight="1">
      <c r="B846" s="53">
        <f>IF(AND($C846="",$F846=""),"",ROW()-9)</f>
        <v/>
      </c>
      <c r="C846" s="213" t="n"/>
      <c r="D846" s="55" t="n"/>
      <c r="E846" s="55" t="n"/>
      <c r="F846" s="56" t="n"/>
      <c r="G846" s="196" t="n"/>
      <c r="H846" s="21" t="n"/>
      <c r="I846" s="21" t="n"/>
      <c r="J846" s="53">
        <f>IF($C846="","",INDEX(Настройки!$V$6:$V$17,MONTH($C846))&amp;" "&amp;YEAR($C846))</f>
        <v/>
      </c>
      <c r="K846" s="57">
        <f>IF(OR($F846="",$D846="Перевод"),"",IF(AND(N($G846)&lt;&gt;0,COUNTIFS(Журнал!$C$10:$C$1509,$C846,Журнал!$P$10:$P$1509,$G846)&gt;0),"есть в Журнале",IF(COUNTIF(Постоянные!$C$8:$C$37,$F846)&gt;0,"есть в Постоянных",IF(COUNTIF(Покупки!$C$7:$C$18,$F846)&gt;0,"есть в Покупках",""))))</f>
        <v/>
      </c>
      <c r="P846">
        <f>IF($C846="","",DATE(YEAR($C846),MONTH($C846),1))</f>
        <v/>
      </c>
      <c r="Q846">
        <f>IF(ISNUMBER($G846),ABS($G846),0)</f>
        <v/>
      </c>
      <c r="R846">
        <f>IF(AND($D846="Расход",COUNTIFS(Счета!$B$10:$B$21,$H846,Счета!$C$10:$C$21,"Кредитная")&gt;0),1,0)</f>
        <v/>
      </c>
    </row>
    <row r="847" ht="19" customHeight="1">
      <c r="B847" s="53">
        <f>IF(AND($C847="",$F847=""),"",ROW()-9)</f>
        <v/>
      </c>
      <c r="C847" s="213" t="n"/>
      <c r="D847" s="55" t="n"/>
      <c r="E847" s="55" t="n"/>
      <c r="F847" s="56" t="n"/>
      <c r="G847" s="196" t="n"/>
      <c r="H847" s="21" t="n"/>
      <c r="I847" s="21" t="n"/>
      <c r="J847" s="53">
        <f>IF($C847="","",INDEX(Настройки!$V$6:$V$17,MONTH($C847))&amp;" "&amp;YEAR($C847))</f>
        <v/>
      </c>
      <c r="K847" s="57">
        <f>IF(OR($F847="",$D847="Перевод"),"",IF(AND(N($G847)&lt;&gt;0,COUNTIFS(Журнал!$C$10:$C$1509,$C847,Журнал!$P$10:$P$1509,$G847)&gt;0),"есть в Журнале",IF(COUNTIF(Постоянные!$C$8:$C$37,$F847)&gt;0,"есть в Постоянных",IF(COUNTIF(Покупки!$C$7:$C$18,$F847)&gt;0,"есть в Покупках",""))))</f>
        <v/>
      </c>
      <c r="P847">
        <f>IF($C847="","",DATE(YEAR($C847),MONTH($C847),1))</f>
        <v/>
      </c>
      <c r="Q847">
        <f>IF(ISNUMBER($G847),ABS($G847),0)</f>
        <v/>
      </c>
      <c r="R847">
        <f>IF(AND($D847="Расход",COUNTIFS(Счета!$B$10:$B$21,$H847,Счета!$C$10:$C$21,"Кредитная")&gt;0),1,0)</f>
        <v/>
      </c>
    </row>
    <row r="848" ht="19" customHeight="1">
      <c r="B848" s="53">
        <f>IF(AND($C848="",$F848=""),"",ROW()-9)</f>
        <v/>
      </c>
      <c r="C848" s="213" t="n"/>
      <c r="D848" s="55" t="n"/>
      <c r="E848" s="55" t="n"/>
      <c r="F848" s="56" t="n"/>
      <c r="G848" s="196" t="n"/>
      <c r="H848" s="21" t="n"/>
      <c r="I848" s="21" t="n"/>
      <c r="J848" s="53">
        <f>IF($C848="","",INDEX(Настройки!$V$6:$V$17,MONTH($C848))&amp;" "&amp;YEAR($C848))</f>
        <v/>
      </c>
      <c r="K848" s="57">
        <f>IF(OR($F848="",$D848="Перевод"),"",IF(AND(N($G848)&lt;&gt;0,COUNTIFS(Журнал!$C$10:$C$1509,$C848,Журнал!$P$10:$P$1509,$G848)&gt;0),"есть в Журнале",IF(COUNTIF(Постоянные!$C$8:$C$37,$F848)&gt;0,"есть в Постоянных",IF(COUNTIF(Покупки!$C$7:$C$18,$F848)&gt;0,"есть в Покупках",""))))</f>
        <v/>
      </c>
      <c r="P848">
        <f>IF($C848="","",DATE(YEAR($C848),MONTH($C848),1))</f>
        <v/>
      </c>
      <c r="Q848">
        <f>IF(ISNUMBER($G848),ABS($G848),0)</f>
        <v/>
      </c>
      <c r="R848">
        <f>IF(AND($D848="Расход",COUNTIFS(Счета!$B$10:$B$21,$H848,Счета!$C$10:$C$21,"Кредитная")&gt;0),1,0)</f>
        <v/>
      </c>
    </row>
    <row r="849" ht="19" customHeight="1">
      <c r="B849" s="53">
        <f>IF(AND($C849="",$F849=""),"",ROW()-9)</f>
        <v/>
      </c>
      <c r="C849" s="213" t="n"/>
      <c r="D849" s="55" t="n"/>
      <c r="E849" s="55" t="n"/>
      <c r="F849" s="56" t="n"/>
      <c r="G849" s="196" t="n"/>
      <c r="H849" s="21" t="n"/>
      <c r="I849" s="21" t="n"/>
      <c r="J849" s="53">
        <f>IF($C849="","",INDEX(Настройки!$V$6:$V$17,MONTH($C849))&amp;" "&amp;YEAR($C849))</f>
        <v/>
      </c>
      <c r="K849" s="57">
        <f>IF(OR($F849="",$D849="Перевод"),"",IF(AND(N($G849)&lt;&gt;0,COUNTIFS(Журнал!$C$10:$C$1509,$C849,Журнал!$P$10:$P$1509,$G849)&gt;0),"есть в Журнале",IF(COUNTIF(Постоянные!$C$8:$C$37,$F849)&gt;0,"есть в Постоянных",IF(COUNTIF(Покупки!$C$7:$C$18,$F849)&gt;0,"есть в Покупках",""))))</f>
        <v/>
      </c>
      <c r="P849">
        <f>IF($C849="","",DATE(YEAR($C849),MONTH($C849),1))</f>
        <v/>
      </c>
      <c r="Q849">
        <f>IF(ISNUMBER($G849),ABS($G849),0)</f>
        <v/>
      </c>
      <c r="R849">
        <f>IF(AND($D849="Расход",COUNTIFS(Счета!$B$10:$B$21,$H849,Счета!$C$10:$C$21,"Кредитная")&gt;0),1,0)</f>
        <v/>
      </c>
    </row>
    <row r="850" ht="19" customHeight="1">
      <c r="B850" s="53">
        <f>IF(AND($C850="",$F850=""),"",ROW()-9)</f>
        <v/>
      </c>
      <c r="C850" s="213" t="n"/>
      <c r="D850" s="55" t="n"/>
      <c r="E850" s="55" t="n"/>
      <c r="F850" s="56" t="n"/>
      <c r="G850" s="196" t="n"/>
      <c r="H850" s="21" t="n"/>
      <c r="I850" s="21" t="n"/>
      <c r="J850" s="53">
        <f>IF($C850="","",INDEX(Настройки!$V$6:$V$17,MONTH($C850))&amp;" "&amp;YEAR($C850))</f>
        <v/>
      </c>
      <c r="K850" s="57">
        <f>IF(OR($F850="",$D850="Перевод"),"",IF(AND(N($G850)&lt;&gt;0,COUNTIFS(Журнал!$C$10:$C$1509,$C850,Журнал!$P$10:$P$1509,$G850)&gt;0),"есть в Журнале",IF(COUNTIF(Постоянные!$C$8:$C$37,$F850)&gt;0,"есть в Постоянных",IF(COUNTIF(Покупки!$C$7:$C$18,$F850)&gt;0,"есть в Покупках",""))))</f>
        <v/>
      </c>
      <c r="P850">
        <f>IF($C850="","",DATE(YEAR($C850),MONTH($C850),1))</f>
        <v/>
      </c>
      <c r="Q850">
        <f>IF(ISNUMBER($G850),ABS($G850),0)</f>
        <v/>
      </c>
      <c r="R850">
        <f>IF(AND($D850="Расход",COUNTIFS(Счета!$B$10:$B$21,$H850,Счета!$C$10:$C$21,"Кредитная")&gt;0),1,0)</f>
        <v/>
      </c>
    </row>
    <row r="851" ht="19" customHeight="1">
      <c r="B851" s="53">
        <f>IF(AND($C851="",$F851=""),"",ROW()-9)</f>
        <v/>
      </c>
      <c r="C851" s="213" t="n"/>
      <c r="D851" s="55" t="n"/>
      <c r="E851" s="55" t="n"/>
      <c r="F851" s="56" t="n"/>
      <c r="G851" s="196" t="n"/>
      <c r="H851" s="21" t="n"/>
      <c r="I851" s="21" t="n"/>
      <c r="J851" s="53">
        <f>IF($C851="","",INDEX(Настройки!$V$6:$V$17,MONTH($C851))&amp;" "&amp;YEAR($C851))</f>
        <v/>
      </c>
      <c r="K851" s="57">
        <f>IF(OR($F851="",$D851="Перевод"),"",IF(AND(N($G851)&lt;&gt;0,COUNTIFS(Журнал!$C$10:$C$1509,$C851,Журнал!$P$10:$P$1509,$G851)&gt;0),"есть в Журнале",IF(COUNTIF(Постоянные!$C$8:$C$37,$F851)&gt;0,"есть в Постоянных",IF(COUNTIF(Покупки!$C$7:$C$18,$F851)&gt;0,"есть в Покупках",""))))</f>
        <v/>
      </c>
      <c r="P851">
        <f>IF($C851="","",DATE(YEAR($C851),MONTH($C851),1))</f>
        <v/>
      </c>
      <c r="Q851">
        <f>IF(ISNUMBER($G851),ABS($G851),0)</f>
        <v/>
      </c>
      <c r="R851">
        <f>IF(AND($D851="Расход",COUNTIFS(Счета!$B$10:$B$21,$H851,Счета!$C$10:$C$21,"Кредитная")&gt;0),1,0)</f>
        <v/>
      </c>
    </row>
    <row r="852" ht="19" customHeight="1">
      <c r="B852" s="53">
        <f>IF(AND($C852="",$F852=""),"",ROW()-9)</f>
        <v/>
      </c>
      <c r="C852" s="213" t="n"/>
      <c r="D852" s="55" t="n"/>
      <c r="E852" s="55" t="n"/>
      <c r="F852" s="56" t="n"/>
      <c r="G852" s="196" t="n"/>
      <c r="H852" s="21" t="n"/>
      <c r="I852" s="21" t="n"/>
      <c r="J852" s="53">
        <f>IF($C852="","",INDEX(Настройки!$V$6:$V$17,MONTH($C852))&amp;" "&amp;YEAR($C852))</f>
        <v/>
      </c>
      <c r="K852" s="57">
        <f>IF(OR($F852="",$D852="Перевод"),"",IF(AND(N($G852)&lt;&gt;0,COUNTIFS(Журнал!$C$10:$C$1509,$C852,Журнал!$P$10:$P$1509,$G852)&gt;0),"есть в Журнале",IF(COUNTIF(Постоянные!$C$8:$C$37,$F852)&gt;0,"есть в Постоянных",IF(COUNTIF(Покупки!$C$7:$C$18,$F852)&gt;0,"есть в Покупках",""))))</f>
        <v/>
      </c>
      <c r="P852">
        <f>IF($C852="","",DATE(YEAR($C852),MONTH($C852),1))</f>
        <v/>
      </c>
      <c r="Q852">
        <f>IF(ISNUMBER($G852),ABS($G852),0)</f>
        <v/>
      </c>
      <c r="R852">
        <f>IF(AND($D852="Расход",COUNTIFS(Счета!$B$10:$B$21,$H852,Счета!$C$10:$C$21,"Кредитная")&gt;0),1,0)</f>
        <v/>
      </c>
    </row>
    <row r="853" ht="19" customHeight="1">
      <c r="B853" s="53">
        <f>IF(AND($C853="",$F853=""),"",ROW()-9)</f>
        <v/>
      </c>
      <c r="C853" s="213" t="n"/>
      <c r="D853" s="55" t="n"/>
      <c r="E853" s="55" t="n"/>
      <c r="F853" s="56" t="n"/>
      <c r="G853" s="196" t="n"/>
      <c r="H853" s="21" t="n"/>
      <c r="I853" s="21" t="n"/>
      <c r="J853" s="53">
        <f>IF($C853="","",INDEX(Настройки!$V$6:$V$17,MONTH($C853))&amp;" "&amp;YEAR($C853))</f>
        <v/>
      </c>
      <c r="K853" s="57">
        <f>IF(OR($F853="",$D853="Перевод"),"",IF(AND(N($G853)&lt;&gt;0,COUNTIFS(Журнал!$C$10:$C$1509,$C853,Журнал!$P$10:$P$1509,$G853)&gt;0),"есть в Журнале",IF(COUNTIF(Постоянные!$C$8:$C$37,$F853)&gt;0,"есть в Постоянных",IF(COUNTIF(Покупки!$C$7:$C$18,$F853)&gt;0,"есть в Покупках",""))))</f>
        <v/>
      </c>
      <c r="P853">
        <f>IF($C853="","",DATE(YEAR($C853),MONTH($C853),1))</f>
        <v/>
      </c>
      <c r="Q853">
        <f>IF(ISNUMBER($G853),ABS($G853),0)</f>
        <v/>
      </c>
      <c r="R853">
        <f>IF(AND($D853="Расход",COUNTIFS(Счета!$B$10:$B$21,$H853,Счета!$C$10:$C$21,"Кредитная")&gt;0),1,0)</f>
        <v/>
      </c>
    </row>
    <row r="854" ht="19" customHeight="1">
      <c r="B854" s="53">
        <f>IF(AND($C854="",$F854=""),"",ROW()-9)</f>
        <v/>
      </c>
      <c r="C854" s="213" t="n"/>
      <c r="D854" s="55" t="n"/>
      <c r="E854" s="55" t="n"/>
      <c r="F854" s="56" t="n"/>
      <c r="G854" s="196" t="n"/>
      <c r="H854" s="21" t="n"/>
      <c r="I854" s="21" t="n"/>
      <c r="J854" s="53">
        <f>IF($C854="","",INDEX(Настройки!$V$6:$V$17,MONTH($C854))&amp;" "&amp;YEAR($C854))</f>
        <v/>
      </c>
      <c r="K854" s="57">
        <f>IF(OR($F854="",$D854="Перевод"),"",IF(AND(N($G854)&lt;&gt;0,COUNTIFS(Журнал!$C$10:$C$1509,$C854,Журнал!$P$10:$P$1509,$G854)&gt;0),"есть в Журнале",IF(COUNTIF(Постоянные!$C$8:$C$37,$F854)&gt;0,"есть в Постоянных",IF(COUNTIF(Покупки!$C$7:$C$18,$F854)&gt;0,"есть в Покупках",""))))</f>
        <v/>
      </c>
      <c r="P854">
        <f>IF($C854="","",DATE(YEAR($C854),MONTH($C854),1))</f>
        <v/>
      </c>
      <c r="Q854">
        <f>IF(ISNUMBER($G854),ABS($G854),0)</f>
        <v/>
      </c>
      <c r="R854">
        <f>IF(AND($D854="Расход",COUNTIFS(Счета!$B$10:$B$21,$H854,Счета!$C$10:$C$21,"Кредитная")&gt;0),1,0)</f>
        <v/>
      </c>
    </row>
    <row r="855" ht="19" customHeight="1">
      <c r="B855" s="53">
        <f>IF(AND($C855="",$F855=""),"",ROW()-9)</f>
        <v/>
      </c>
      <c r="C855" s="213" t="n"/>
      <c r="D855" s="55" t="n"/>
      <c r="E855" s="55" t="n"/>
      <c r="F855" s="56" t="n"/>
      <c r="G855" s="196" t="n"/>
      <c r="H855" s="21" t="n"/>
      <c r="I855" s="21" t="n"/>
      <c r="J855" s="53">
        <f>IF($C855="","",INDEX(Настройки!$V$6:$V$17,MONTH($C855))&amp;" "&amp;YEAR($C855))</f>
        <v/>
      </c>
      <c r="K855" s="57">
        <f>IF(OR($F855="",$D855="Перевод"),"",IF(AND(N($G855)&lt;&gt;0,COUNTIFS(Журнал!$C$10:$C$1509,$C855,Журнал!$P$10:$P$1509,$G855)&gt;0),"есть в Журнале",IF(COUNTIF(Постоянные!$C$8:$C$37,$F855)&gt;0,"есть в Постоянных",IF(COUNTIF(Покупки!$C$7:$C$18,$F855)&gt;0,"есть в Покупках",""))))</f>
        <v/>
      </c>
      <c r="P855">
        <f>IF($C855="","",DATE(YEAR($C855),MONTH($C855),1))</f>
        <v/>
      </c>
      <c r="Q855">
        <f>IF(ISNUMBER($G855),ABS($G855),0)</f>
        <v/>
      </c>
      <c r="R855">
        <f>IF(AND($D855="Расход",COUNTIFS(Счета!$B$10:$B$21,$H855,Счета!$C$10:$C$21,"Кредитная")&gt;0),1,0)</f>
        <v/>
      </c>
    </row>
    <row r="856" ht="19" customHeight="1">
      <c r="B856" s="53">
        <f>IF(AND($C856="",$F856=""),"",ROW()-9)</f>
        <v/>
      </c>
      <c r="C856" s="213" t="n"/>
      <c r="D856" s="55" t="n"/>
      <c r="E856" s="55" t="n"/>
      <c r="F856" s="56" t="n"/>
      <c r="G856" s="196" t="n"/>
      <c r="H856" s="21" t="n"/>
      <c r="I856" s="21" t="n"/>
      <c r="J856" s="53">
        <f>IF($C856="","",INDEX(Настройки!$V$6:$V$17,MONTH($C856))&amp;" "&amp;YEAR($C856))</f>
        <v/>
      </c>
      <c r="K856" s="57">
        <f>IF(OR($F856="",$D856="Перевод"),"",IF(AND(N($G856)&lt;&gt;0,COUNTIFS(Журнал!$C$10:$C$1509,$C856,Журнал!$P$10:$P$1509,$G856)&gt;0),"есть в Журнале",IF(COUNTIF(Постоянные!$C$8:$C$37,$F856)&gt;0,"есть в Постоянных",IF(COUNTIF(Покупки!$C$7:$C$18,$F856)&gt;0,"есть в Покупках",""))))</f>
        <v/>
      </c>
      <c r="P856">
        <f>IF($C856="","",DATE(YEAR($C856),MONTH($C856),1))</f>
        <v/>
      </c>
      <c r="Q856">
        <f>IF(ISNUMBER($G856),ABS($G856),0)</f>
        <v/>
      </c>
      <c r="R856">
        <f>IF(AND($D856="Расход",COUNTIFS(Счета!$B$10:$B$21,$H856,Счета!$C$10:$C$21,"Кредитная")&gt;0),1,0)</f>
        <v/>
      </c>
    </row>
    <row r="857" ht="19" customHeight="1">
      <c r="B857" s="53">
        <f>IF(AND($C857="",$F857=""),"",ROW()-9)</f>
        <v/>
      </c>
      <c r="C857" s="213" t="n"/>
      <c r="D857" s="55" t="n"/>
      <c r="E857" s="55" t="n"/>
      <c r="F857" s="56" t="n"/>
      <c r="G857" s="196" t="n"/>
      <c r="H857" s="21" t="n"/>
      <c r="I857" s="21" t="n"/>
      <c r="J857" s="53">
        <f>IF($C857="","",INDEX(Настройки!$V$6:$V$17,MONTH($C857))&amp;" "&amp;YEAR($C857))</f>
        <v/>
      </c>
      <c r="K857" s="57">
        <f>IF(OR($F857="",$D857="Перевод"),"",IF(AND(N($G857)&lt;&gt;0,COUNTIFS(Журнал!$C$10:$C$1509,$C857,Журнал!$P$10:$P$1509,$G857)&gt;0),"есть в Журнале",IF(COUNTIF(Постоянные!$C$8:$C$37,$F857)&gt;0,"есть в Постоянных",IF(COUNTIF(Покупки!$C$7:$C$18,$F857)&gt;0,"есть в Покупках",""))))</f>
        <v/>
      </c>
      <c r="P857">
        <f>IF($C857="","",DATE(YEAR($C857),MONTH($C857),1))</f>
        <v/>
      </c>
      <c r="Q857">
        <f>IF(ISNUMBER($G857),ABS($G857),0)</f>
        <v/>
      </c>
      <c r="R857">
        <f>IF(AND($D857="Расход",COUNTIFS(Счета!$B$10:$B$21,$H857,Счета!$C$10:$C$21,"Кредитная")&gt;0),1,0)</f>
        <v/>
      </c>
    </row>
    <row r="858" ht="19" customHeight="1">
      <c r="B858" s="53">
        <f>IF(AND($C858="",$F858=""),"",ROW()-9)</f>
        <v/>
      </c>
      <c r="C858" s="213" t="n"/>
      <c r="D858" s="55" t="n"/>
      <c r="E858" s="55" t="n"/>
      <c r="F858" s="56" t="n"/>
      <c r="G858" s="196" t="n"/>
      <c r="H858" s="21" t="n"/>
      <c r="I858" s="21" t="n"/>
      <c r="J858" s="53">
        <f>IF($C858="","",INDEX(Настройки!$V$6:$V$17,MONTH($C858))&amp;" "&amp;YEAR($C858))</f>
        <v/>
      </c>
      <c r="K858" s="57">
        <f>IF(OR($F858="",$D858="Перевод"),"",IF(AND(N($G858)&lt;&gt;0,COUNTIFS(Журнал!$C$10:$C$1509,$C858,Журнал!$P$10:$P$1509,$G858)&gt;0),"есть в Журнале",IF(COUNTIF(Постоянные!$C$8:$C$37,$F858)&gt;0,"есть в Постоянных",IF(COUNTIF(Покупки!$C$7:$C$18,$F858)&gt;0,"есть в Покупках",""))))</f>
        <v/>
      </c>
      <c r="P858">
        <f>IF($C858="","",DATE(YEAR($C858),MONTH($C858),1))</f>
        <v/>
      </c>
      <c r="Q858">
        <f>IF(ISNUMBER($G858),ABS($G858),0)</f>
        <v/>
      </c>
      <c r="R858">
        <f>IF(AND($D858="Расход",COUNTIFS(Счета!$B$10:$B$21,$H858,Счета!$C$10:$C$21,"Кредитная")&gt;0),1,0)</f>
        <v/>
      </c>
    </row>
    <row r="859" ht="19" customHeight="1">
      <c r="B859" s="53">
        <f>IF(AND($C859="",$F859=""),"",ROW()-9)</f>
        <v/>
      </c>
      <c r="C859" s="213" t="n"/>
      <c r="D859" s="55" t="n"/>
      <c r="E859" s="55" t="n"/>
      <c r="F859" s="56" t="n"/>
      <c r="G859" s="196" t="n"/>
      <c r="H859" s="21" t="n"/>
      <c r="I859" s="21" t="n"/>
      <c r="J859" s="53">
        <f>IF($C859="","",INDEX(Настройки!$V$6:$V$17,MONTH($C859))&amp;" "&amp;YEAR($C859))</f>
        <v/>
      </c>
      <c r="K859" s="57">
        <f>IF(OR($F859="",$D859="Перевод"),"",IF(AND(N($G859)&lt;&gt;0,COUNTIFS(Журнал!$C$10:$C$1509,$C859,Журнал!$P$10:$P$1509,$G859)&gt;0),"есть в Журнале",IF(COUNTIF(Постоянные!$C$8:$C$37,$F859)&gt;0,"есть в Постоянных",IF(COUNTIF(Покупки!$C$7:$C$18,$F859)&gt;0,"есть в Покупках",""))))</f>
        <v/>
      </c>
      <c r="P859">
        <f>IF($C859="","",DATE(YEAR($C859),MONTH($C859),1))</f>
        <v/>
      </c>
      <c r="Q859">
        <f>IF(ISNUMBER($G859),ABS($G859),0)</f>
        <v/>
      </c>
      <c r="R859">
        <f>IF(AND($D859="Расход",COUNTIFS(Счета!$B$10:$B$21,$H859,Счета!$C$10:$C$21,"Кредитная")&gt;0),1,0)</f>
        <v/>
      </c>
    </row>
    <row r="860" ht="19" customHeight="1">
      <c r="B860" s="53">
        <f>IF(AND($C860="",$F860=""),"",ROW()-9)</f>
        <v/>
      </c>
      <c r="C860" s="213" t="n"/>
      <c r="D860" s="55" t="n"/>
      <c r="E860" s="55" t="n"/>
      <c r="F860" s="56" t="n"/>
      <c r="G860" s="196" t="n"/>
      <c r="H860" s="21" t="n"/>
      <c r="I860" s="21" t="n"/>
      <c r="J860" s="53">
        <f>IF($C860="","",INDEX(Настройки!$V$6:$V$17,MONTH($C860))&amp;" "&amp;YEAR($C860))</f>
        <v/>
      </c>
      <c r="K860" s="57">
        <f>IF(OR($F860="",$D860="Перевод"),"",IF(AND(N($G860)&lt;&gt;0,COUNTIFS(Журнал!$C$10:$C$1509,$C860,Журнал!$P$10:$P$1509,$G860)&gt;0),"есть в Журнале",IF(COUNTIF(Постоянные!$C$8:$C$37,$F860)&gt;0,"есть в Постоянных",IF(COUNTIF(Покупки!$C$7:$C$18,$F860)&gt;0,"есть в Покупках",""))))</f>
        <v/>
      </c>
      <c r="P860">
        <f>IF($C860="","",DATE(YEAR($C860),MONTH($C860),1))</f>
        <v/>
      </c>
      <c r="Q860">
        <f>IF(ISNUMBER($G860),ABS($G860),0)</f>
        <v/>
      </c>
      <c r="R860">
        <f>IF(AND($D860="Расход",COUNTIFS(Счета!$B$10:$B$21,$H860,Счета!$C$10:$C$21,"Кредитная")&gt;0),1,0)</f>
        <v/>
      </c>
    </row>
    <row r="861" ht="19" customHeight="1">
      <c r="B861" s="53">
        <f>IF(AND($C861="",$F861=""),"",ROW()-9)</f>
        <v/>
      </c>
      <c r="C861" s="213" t="n"/>
      <c r="D861" s="55" t="n"/>
      <c r="E861" s="55" t="n"/>
      <c r="F861" s="56" t="n"/>
      <c r="G861" s="196" t="n"/>
      <c r="H861" s="21" t="n"/>
      <c r="I861" s="21" t="n"/>
      <c r="J861" s="53">
        <f>IF($C861="","",INDEX(Настройки!$V$6:$V$17,MONTH($C861))&amp;" "&amp;YEAR($C861))</f>
        <v/>
      </c>
      <c r="K861" s="57">
        <f>IF(OR($F861="",$D861="Перевод"),"",IF(AND(N($G861)&lt;&gt;0,COUNTIFS(Журнал!$C$10:$C$1509,$C861,Журнал!$P$10:$P$1509,$G861)&gt;0),"есть в Журнале",IF(COUNTIF(Постоянные!$C$8:$C$37,$F861)&gt;0,"есть в Постоянных",IF(COUNTIF(Покупки!$C$7:$C$18,$F861)&gt;0,"есть в Покупках",""))))</f>
        <v/>
      </c>
      <c r="P861">
        <f>IF($C861="","",DATE(YEAR($C861),MONTH($C861),1))</f>
        <v/>
      </c>
      <c r="Q861">
        <f>IF(ISNUMBER($G861),ABS($G861),0)</f>
        <v/>
      </c>
      <c r="R861">
        <f>IF(AND($D861="Расход",COUNTIFS(Счета!$B$10:$B$21,$H861,Счета!$C$10:$C$21,"Кредитная")&gt;0),1,0)</f>
        <v/>
      </c>
    </row>
    <row r="862" ht="19" customHeight="1">
      <c r="B862" s="53">
        <f>IF(AND($C862="",$F862=""),"",ROW()-9)</f>
        <v/>
      </c>
      <c r="C862" s="213" t="n"/>
      <c r="D862" s="55" t="n"/>
      <c r="E862" s="55" t="n"/>
      <c r="F862" s="56" t="n"/>
      <c r="G862" s="196" t="n"/>
      <c r="H862" s="21" t="n"/>
      <c r="I862" s="21" t="n"/>
      <c r="J862" s="53">
        <f>IF($C862="","",INDEX(Настройки!$V$6:$V$17,MONTH($C862))&amp;" "&amp;YEAR($C862))</f>
        <v/>
      </c>
      <c r="K862" s="57">
        <f>IF(OR($F862="",$D862="Перевод"),"",IF(AND(N($G862)&lt;&gt;0,COUNTIFS(Журнал!$C$10:$C$1509,$C862,Журнал!$P$10:$P$1509,$G862)&gt;0),"есть в Журнале",IF(COUNTIF(Постоянные!$C$8:$C$37,$F862)&gt;0,"есть в Постоянных",IF(COUNTIF(Покупки!$C$7:$C$18,$F862)&gt;0,"есть в Покупках",""))))</f>
        <v/>
      </c>
      <c r="P862">
        <f>IF($C862="","",DATE(YEAR($C862),MONTH($C862),1))</f>
        <v/>
      </c>
      <c r="Q862">
        <f>IF(ISNUMBER($G862),ABS($G862),0)</f>
        <v/>
      </c>
      <c r="R862">
        <f>IF(AND($D862="Расход",COUNTIFS(Счета!$B$10:$B$21,$H862,Счета!$C$10:$C$21,"Кредитная")&gt;0),1,0)</f>
        <v/>
      </c>
    </row>
    <row r="863" ht="19" customHeight="1">
      <c r="B863" s="53">
        <f>IF(AND($C863="",$F863=""),"",ROW()-9)</f>
        <v/>
      </c>
      <c r="C863" s="213" t="n"/>
      <c r="D863" s="55" t="n"/>
      <c r="E863" s="55" t="n"/>
      <c r="F863" s="56" t="n"/>
      <c r="G863" s="196" t="n"/>
      <c r="H863" s="21" t="n"/>
      <c r="I863" s="21" t="n"/>
      <c r="J863" s="53">
        <f>IF($C863="","",INDEX(Настройки!$V$6:$V$17,MONTH($C863))&amp;" "&amp;YEAR($C863))</f>
        <v/>
      </c>
      <c r="K863" s="57">
        <f>IF(OR($F863="",$D863="Перевод"),"",IF(AND(N($G863)&lt;&gt;0,COUNTIFS(Журнал!$C$10:$C$1509,$C863,Журнал!$P$10:$P$1509,$G863)&gt;0),"есть в Журнале",IF(COUNTIF(Постоянные!$C$8:$C$37,$F863)&gt;0,"есть в Постоянных",IF(COUNTIF(Покупки!$C$7:$C$18,$F863)&gt;0,"есть в Покупках",""))))</f>
        <v/>
      </c>
      <c r="P863">
        <f>IF($C863="","",DATE(YEAR($C863),MONTH($C863),1))</f>
        <v/>
      </c>
      <c r="Q863">
        <f>IF(ISNUMBER($G863),ABS($G863),0)</f>
        <v/>
      </c>
      <c r="R863">
        <f>IF(AND($D863="Расход",COUNTIFS(Счета!$B$10:$B$21,$H863,Счета!$C$10:$C$21,"Кредитная")&gt;0),1,0)</f>
        <v/>
      </c>
    </row>
    <row r="864" ht="19" customHeight="1">
      <c r="B864" s="53">
        <f>IF(AND($C864="",$F864=""),"",ROW()-9)</f>
        <v/>
      </c>
      <c r="C864" s="213" t="n"/>
      <c r="D864" s="55" t="n"/>
      <c r="E864" s="55" t="n"/>
      <c r="F864" s="56" t="n"/>
      <c r="G864" s="196" t="n"/>
      <c r="H864" s="21" t="n"/>
      <c r="I864" s="21" t="n"/>
      <c r="J864" s="53">
        <f>IF($C864="","",INDEX(Настройки!$V$6:$V$17,MONTH($C864))&amp;" "&amp;YEAR($C864))</f>
        <v/>
      </c>
      <c r="K864" s="57">
        <f>IF(OR($F864="",$D864="Перевод"),"",IF(AND(N($G864)&lt;&gt;0,COUNTIFS(Журнал!$C$10:$C$1509,$C864,Журнал!$P$10:$P$1509,$G864)&gt;0),"есть в Журнале",IF(COUNTIF(Постоянные!$C$8:$C$37,$F864)&gt;0,"есть в Постоянных",IF(COUNTIF(Покупки!$C$7:$C$18,$F864)&gt;0,"есть в Покупках",""))))</f>
        <v/>
      </c>
      <c r="P864">
        <f>IF($C864="","",DATE(YEAR($C864),MONTH($C864),1))</f>
        <v/>
      </c>
      <c r="Q864">
        <f>IF(ISNUMBER($G864),ABS($G864),0)</f>
        <v/>
      </c>
      <c r="R864">
        <f>IF(AND($D864="Расход",COUNTIFS(Счета!$B$10:$B$21,$H864,Счета!$C$10:$C$21,"Кредитная")&gt;0),1,0)</f>
        <v/>
      </c>
    </row>
    <row r="865" ht="19" customHeight="1">
      <c r="B865" s="53">
        <f>IF(AND($C865="",$F865=""),"",ROW()-9)</f>
        <v/>
      </c>
      <c r="C865" s="213" t="n"/>
      <c r="D865" s="55" t="n"/>
      <c r="E865" s="55" t="n"/>
      <c r="F865" s="56" t="n"/>
      <c r="G865" s="196" t="n"/>
      <c r="H865" s="21" t="n"/>
      <c r="I865" s="21" t="n"/>
      <c r="J865" s="53">
        <f>IF($C865="","",INDEX(Настройки!$V$6:$V$17,MONTH($C865))&amp;" "&amp;YEAR($C865))</f>
        <v/>
      </c>
      <c r="K865" s="57">
        <f>IF(OR($F865="",$D865="Перевод"),"",IF(AND(N($G865)&lt;&gt;0,COUNTIFS(Журнал!$C$10:$C$1509,$C865,Журнал!$P$10:$P$1509,$G865)&gt;0),"есть в Журнале",IF(COUNTIF(Постоянные!$C$8:$C$37,$F865)&gt;0,"есть в Постоянных",IF(COUNTIF(Покупки!$C$7:$C$18,$F865)&gt;0,"есть в Покупках",""))))</f>
        <v/>
      </c>
      <c r="P865">
        <f>IF($C865="","",DATE(YEAR($C865),MONTH($C865),1))</f>
        <v/>
      </c>
      <c r="Q865">
        <f>IF(ISNUMBER($G865),ABS($G865),0)</f>
        <v/>
      </c>
      <c r="R865">
        <f>IF(AND($D865="Расход",COUNTIFS(Счета!$B$10:$B$21,$H865,Счета!$C$10:$C$21,"Кредитная")&gt;0),1,0)</f>
        <v/>
      </c>
    </row>
    <row r="866" ht="19" customHeight="1">
      <c r="B866" s="53">
        <f>IF(AND($C866="",$F866=""),"",ROW()-9)</f>
        <v/>
      </c>
      <c r="C866" s="213" t="n"/>
      <c r="D866" s="55" t="n"/>
      <c r="E866" s="55" t="n"/>
      <c r="F866" s="56" t="n"/>
      <c r="G866" s="196" t="n"/>
      <c r="H866" s="21" t="n"/>
      <c r="I866" s="21" t="n"/>
      <c r="J866" s="53">
        <f>IF($C866="","",INDEX(Настройки!$V$6:$V$17,MONTH($C866))&amp;" "&amp;YEAR($C866))</f>
        <v/>
      </c>
      <c r="K866" s="57">
        <f>IF(OR($F866="",$D866="Перевод"),"",IF(AND(N($G866)&lt;&gt;0,COUNTIFS(Журнал!$C$10:$C$1509,$C866,Журнал!$P$10:$P$1509,$G866)&gt;0),"есть в Журнале",IF(COUNTIF(Постоянные!$C$8:$C$37,$F866)&gt;0,"есть в Постоянных",IF(COUNTIF(Покупки!$C$7:$C$18,$F866)&gt;0,"есть в Покупках",""))))</f>
        <v/>
      </c>
      <c r="P866">
        <f>IF($C866="","",DATE(YEAR($C866),MONTH($C866),1))</f>
        <v/>
      </c>
      <c r="Q866">
        <f>IF(ISNUMBER($G866),ABS($G866),0)</f>
        <v/>
      </c>
      <c r="R866">
        <f>IF(AND($D866="Расход",COUNTIFS(Счета!$B$10:$B$21,$H866,Счета!$C$10:$C$21,"Кредитная")&gt;0),1,0)</f>
        <v/>
      </c>
    </row>
    <row r="867" ht="19" customHeight="1">
      <c r="B867" s="53">
        <f>IF(AND($C867="",$F867=""),"",ROW()-9)</f>
        <v/>
      </c>
      <c r="C867" s="213" t="n"/>
      <c r="D867" s="55" t="n"/>
      <c r="E867" s="55" t="n"/>
      <c r="F867" s="56" t="n"/>
      <c r="G867" s="196" t="n"/>
      <c r="H867" s="21" t="n"/>
      <c r="I867" s="21" t="n"/>
      <c r="J867" s="53">
        <f>IF($C867="","",INDEX(Настройки!$V$6:$V$17,MONTH($C867))&amp;" "&amp;YEAR($C867))</f>
        <v/>
      </c>
      <c r="K867" s="57">
        <f>IF(OR($F867="",$D867="Перевод"),"",IF(AND(N($G867)&lt;&gt;0,COUNTIFS(Журнал!$C$10:$C$1509,$C867,Журнал!$P$10:$P$1509,$G867)&gt;0),"есть в Журнале",IF(COUNTIF(Постоянные!$C$8:$C$37,$F867)&gt;0,"есть в Постоянных",IF(COUNTIF(Покупки!$C$7:$C$18,$F867)&gt;0,"есть в Покупках",""))))</f>
        <v/>
      </c>
      <c r="P867">
        <f>IF($C867="","",DATE(YEAR($C867),MONTH($C867),1))</f>
        <v/>
      </c>
      <c r="Q867">
        <f>IF(ISNUMBER($G867),ABS($G867),0)</f>
        <v/>
      </c>
      <c r="R867">
        <f>IF(AND($D867="Расход",COUNTIFS(Счета!$B$10:$B$21,$H867,Счета!$C$10:$C$21,"Кредитная")&gt;0),1,0)</f>
        <v/>
      </c>
    </row>
    <row r="868" ht="19" customHeight="1">
      <c r="B868" s="53">
        <f>IF(AND($C868="",$F868=""),"",ROW()-9)</f>
        <v/>
      </c>
      <c r="C868" s="213" t="n"/>
      <c r="D868" s="55" t="n"/>
      <c r="E868" s="55" t="n"/>
      <c r="F868" s="56" t="n"/>
      <c r="G868" s="196" t="n"/>
      <c r="H868" s="21" t="n"/>
      <c r="I868" s="21" t="n"/>
      <c r="J868" s="53">
        <f>IF($C868="","",INDEX(Настройки!$V$6:$V$17,MONTH($C868))&amp;" "&amp;YEAR($C868))</f>
        <v/>
      </c>
      <c r="K868" s="57">
        <f>IF(OR($F868="",$D868="Перевод"),"",IF(AND(N($G868)&lt;&gt;0,COUNTIFS(Журнал!$C$10:$C$1509,$C868,Журнал!$P$10:$P$1509,$G868)&gt;0),"есть в Журнале",IF(COUNTIF(Постоянные!$C$8:$C$37,$F868)&gt;0,"есть в Постоянных",IF(COUNTIF(Покупки!$C$7:$C$18,$F868)&gt;0,"есть в Покупках",""))))</f>
        <v/>
      </c>
      <c r="P868">
        <f>IF($C868="","",DATE(YEAR($C868),MONTH($C868),1))</f>
        <v/>
      </c>
      <c r="Q868">
        <f>IF(ISNUMBER($G868),ABS($G868),0)</f>
        <v/>
      </c>
      <c r="R868">
        <f>IF(AND($D868="Расход",COUNTIFS(Счета!$B$10:$B$21,$H868,Счета!$C$10:$C$21,"Кредитная")&gt;0),1,0)</f>
        <v/>
      </c>
    </row>
    <row r="869" ht="19" customHeight="1">
      <c r="B869" s="53">
        <f>IF(AND($C869="",$F869=""),"",ROW()-9)</f>
        <v/>
      </c>
      <c r="C869" s="213" t="n"/>
      <c r="D869" s="55" t="n"/>
      <c r="E869" s="55" t="n"/>
      <c r="F869" s="56" t="n"/>
      <c r="G869" s="196" t="n"/>
      <c r="H869" s="21" t="n"/>
      <c r="I869" s="21" t="n"/>
      <c r="J869" s="53">
        <f>IF($C869="","",INDEX(Настройки!$V$6:$V$17,MONTH($C869))&amp;" "&amp;YEAR($C869))</f>
        <v/>
      </c>
      <c r="K869" s="57">
        <f>IF(OR($F869="",$D869="Перевод"),"",IF(AND(N($G869)&lt;&gt;0,COUNTIFS(Журнал!$C$10:$C$1509,$C869,Журнал!$P$10:$P$1509,$G869)&gt;0),"есть в Журнале",IF(COUNTIF(Постоянные!$C$8:$C$37,$F869)&gt;0,"есть в Постоянных",IF(COUNTIF(Покупки!$C$7:$C$18,$F869)&gt;0,"есть в Покупках",""))))</f>
        <v/>
      </c>
      <c r="P869">
        <f>IF($C869="","",DATE(YEAR($C869),MONTH($C869),1))</f>
        <v/>
      </c>
      <c r="Q869">
        <f>IF(ISNUMBER($G869),ABS($G869),0)</f>
        <v/>
      </c>
      <c r="R869">
        <f>IF(AND($D869="Расход",COUNTIFS(Счета!$B$10:$B$21,$H869,Счета!$C$10:$C$21,"Кредитная")&gt;0),1,0)</f>
        <v/>
      </c>
    </row>
    <row r="870" ht="19" customHeight="1">
      <c r="B870" s="53">
        <f>IF(AND($C870="",$F870=""),"",ROW()-9)</f>
        <v/>
      </c>
      <c r="C870" s="213" t="n"/>
      <c r="D870" s="55" t="n"/>
      <c r="E870" s="55" t="n"/>
      <c r="F870" s="56" t="n"/>
      <c r="G870" s="196" t="n"/>
      <c r="H870" s="21" t="n"/>
      <c r="I870" s="21" t="n"/>
      <c r="J870" s="53">
        <f>IF($C870="","",INDEX(Настройки!$V$6:$V$17,MONTH($C870))&amp;" "&amp;YEAR($C870))</f>
        <v/>
      </c>
      <c r="K870" s="57">
        <f>IF(OR($F870="",$D870="Перевод"),"",IF(AND(N($G870)&lt;&gt;0,COUNTIFS(Журнал!$C$10:$C$1509,$C870,Журнал!$P$10:$P$1509,$G870)&gt;0),"есть в Журнале",IF(COUNTIF(Постоянные!$C$8:$C$37,$F870)&gt;0,"есть в Постоянных",IF(COUNTIF(Покупки!$C$7:$C$18,$F870)&gt;0,"есть в Покупках",""))))</f>
        <v/>
      </c>
      <c r="P870">
        <f>IF($C870="","",DATE(YEAR($C870),MONTH($C870),1))</f>
        <v/>
      </c>
      <c r="Q870">
        <f>IF(ISNUMBER($G870),ABS($G870),0)</f>
        <v/>
      </c>
      <c r="R870">
        <f>IF(AND($D870="Расход",COUNTIFS(Счета!$B$10:$B$21,$H870,Счета!$C$10:$C$21,"Кредитная")&gt;0),1,0)</f>
        <v/>
      </c>
    </row>
    <row r="871" ht="19" customHeight="1">
      <c r="B871" s="53">
        <f>IF(AND($C871="",$F871=""),"",ROW()-9)</f>
        <v/>
      </c>
      <c r="C871" s="213" t="n"/>
      <c r="D871" s="55" t="n"/>
      <c r="E871" s="55" t="n"/>
      <c r="F871" s="56" t="n"/>
      <c r="G871" s="196" t="n"/>
      <c r="H871" s="21" t="n"/>
      <c r="I871" s="21" t="n"/>
      <c r="J871" s="53">
        <f>IF($C871="","",INDEX(Настройки!$V$6:$V$17,MONTH($C871))&amp;" "&amp;YEAR($C871))</f>
        <v/>
      </c>
      <c r="K871" s="57">
        <f>IF(OR($F871="",$D871="Перевод"),"",IF(AND(N($G871)&lt;&gt;0,COUNTIFS(Журнал!$C$10:$C$1509,$C871,Журнал!$P$10:$P$1509,$G871)&gt;0),"есть в Журнале",IF(COUNTIF(Постоянные!$C$8:$C$37,$F871)&gt;0,"есть в Постоянных",IF(COUNTIF(Покупки!$C$7:$C$18,$F871)&gt;0,"есть в Покупках",""))))</f>
        <v/>
      </c>
      <c r="P871">
        <f>IF($C871="","",DATE(YEAR($C871),MONTH($C871),1))</f>
        <v/>
      </c>
      <c r="Q871">
        <f>IF(ISNUMBER($G871),ABS($G871),0)</f>
        <v/>
      </c>
      <c r="R871">
        <f>IF(AND($D871="Расход",COUNTIFS(Счета!$B$10:$B$21,$H871,Счета!$C$10:$C$21,"Кредитная")&gt;0),1,0)</f>
        <v/>
      </c>
    </row>
    <row r="872" ht="19" customHeight="1">
      <c r="B872" s="53">
        <f>IF(AND($C872="",$F872=""),"",ROW()-9)</f>
        <v/>
      </c>
      <c r="C872" s="213" t="n"/>
      <c r="D872" s="55" t="n"/>
      <c r="E872" s="55" t="n"/>
      <c r="F872" s="56" t="n"/>
      <c r="G872" s="196" t="n"/>
      <c r="H872" s="21" t="n"/>
      <c r="I872" s="21" t="n"/>
      <c r="J872" s="53">
        <f>IF($C872="","",INDEX(Настройки!$V$6:$V$17,MONTH($C872))&amp;" "&amp;YEAR($C872))</f>
        <v/>
      </c>
      <c r="K872" s="57">
        <f>IF(OR($F872="",$D872="Перевод"),"",IF(AND(N($G872)&lt;&gt;0,COUNTIFS(Журнал!$C$10:$C$1509,$C872,Журнал!$P$10:$P$1509,$G872)&gt;0),"есть в Журнале",IF(COUNTIF(Постоянные!$C$8:$C$37,$F872)&gt;0,"есть в Постоянных",IF(COUNTIF(Покупки!$C$7:$C$18,$F872)&gt;0,"есть в Покупках",""))))</f>
        <v/>
      </c>
      <c r="P872">
        <f>IF($C872="","",DATE(YEAR($C872),MONTH($C872),1))</f>
        <v/>
      </c>
      <c r="Q872">
        <f>IF(ISNUMBER($G872),ABS($G872),0)</f>
        <v/>
      </c>
      <c r="R872">
        <f>IF(AND($D872="Расход",COUNTIFS(Счета!$B$10:$B$21,$H872,Счета!$C$10:$C$21,"Кредитная")&gt;0),1,0)</f>
        <v/>
      </c>
    </row>
    <row r="873" ht="19" customHeight="1">
      <c r="B873" s="53">
        <f>IF(AND($C873="",$F873=""),"",ROW()-9)</f>
        <v/>
      </c>
      <c r="C873" s="213" t="n"/>
      <c r="D873" s="55" t="n"/>
      <c r="E873" s="55" t="n"/>
      <c r="F873" s="56" t="n"/>
      <c r="G873" s="196" t="n"/>
      <c r="H873" s="21" t="n"/>
      <c r="I873" s="21" t="n"/>
      <c r="J873" s="53">
        <f>IF($C873="","",INDEX(Настройки!$V$6:$V$17,MONTH($C873))&amp;" "&amp;YEAR($C873))</f>
        <v/>
      </c>
      <c r="K873" s="57">
        <f>IF(OR($F873="",$D873="Перевод"),"",IF(AND(N($G873)&lt;&gt;0,COUNTIFS(Журнал!$C$10:$C$1509,$C873,Журнал!$P$10:$P$1509,$G873)&gt;0),"есть в Журнале",IF(COUNTIF(Постоянные!$C$8:$C$37,$F873)&gt;0,"есть в Постоянных",IF(COUNTIF(Покупки!$C$7:$C$18,$F873)&gt;0,"есть в Покупках",""))))</f>
        <v/>
      </c>
      <c r="P873">
        <f>IF($C873="","",DATE(YEAR($C873),MONTH($C873),1))</f>
        <v/>
      </c>
      <c r="Q873">
        <f>IF(ISNUMBER($G873),ABS($G873),0)</f>
        <v/>
      </c>
      <c r="R873">
        <f>IF(AND($D873="Расход",COUNTIFS(Счета!$B$10:$B$21,$H873,Счета!$C$10:$C$21,"Кредитная")&gt;0),1,0)</f>
        <v/>
      </c>
    </row>
    <row r="874" ht="19" customHeight="1">
      <c r="B874" s="53">
        <f>IF(AND($C874="",$F874=""),"",ROW()-9)</f>
        <v/>
      </c>
      <c r="C874" s="213" t="n"/>
      <c r="D874" s="55" t="n"/>
      <c r="E874" s="55" t="n"/>
      <c r="F874" s="56" t="n"/>
      <c r="G874" s="196" t="n"/>
      <c r="H874" s="21" t="n"/>
      <c r="I874" s="21" t="n"/>
      <c r="J874" s="53">
        <f>IF($C874="","",INDEX(Настройки!$V$6:$V$17,MONTH($C874))&amp;" "&amp;YEAR($C874))</f>
        <v/>
      </c>
      <c r="K874" s="57">
        <f>IF(OR($F874="",$D874="Перевод"),"",IF(AND(N($G874)&lt;&gt;0,COUNTIFS(Журнал!$C$10:$C$1509,$C874,Журнал!$P$10:$P$1509,$G874)&gt;0),"есть в Журнале",IF(COUNTIF(Постоянные!$C$8:$C$37,$F874)&gt;0,"есть в Постоянных",IF(COUNTIF(Покупки!$C$7:$C$18,$F874)&gt;0,"есть в Покупках",""))))</f>
        <v/>
      </c>
      <c r="P874">
        <f>IF($C874="","",DATE(YEAR($C874),MONTH($C874),1))</f>
        <v/>
      </c>
      <c r="Q874">
        <f>IF(ISNUMBER($G874),ABS($G874),0)</f>
        <v/>
      </c>
      <c r="R874">
        <f>IF(AND($D874="Расход",COUNTIFS(Счета!$B$10:$B$21,$H874,Счета!$C$10:$C$21,"Кредитная")&gt;0),1,0)</f>
        <v/>
      </c>
    </row>
    <row r="875" ht="19" customHeight="1">
      <c r="B875" s="53">
        <f>IF(AND($C875="",$F875=""),"",ROW()-9)</f>
        <v/>
      </c>
      <c r="C875" s="213" t="n"/>
      <c r="D875" s="55" t="n"/>
      <c r="E875" s="55" t="n"/>
      <c r="F875" s="56" t="n"/>
      <c r="G875" s="196" t="n"/>
      <c r="H875" s="21" t="n"/>
      <c r="I875" s="21" t="n"/>
      <c r="J875" s="53">
        <f>IF($C875="","",INDEX(Настройки!$V$6:$V$17,MONTH($C875))&amp;" "&amp;YEAR($C875))</f>
        <v/>
      </c>
      <c r="K875" s="57">
        <f>IF(OR($F875="",$D875="Перевод"),"",IF(AND(N($G875)&lt;&gt;0,COUNTIFS(Журнал!$C$10:$C$1509,$C875,Журнал!$P$10:$P$1509,$G875)&gt;0),"есть в Журнале",IF(COUNTIF(Постоянные!$C$8:$C$37,$F875)&gt;0,"есть в Постоянных",IF(COUNTIF(Покупки!$C$7:$C$18,$F875)&gt;0,"есть в Покупках",""))))</f>
        <v/>
      </c>
      <c r="P875">
        <f>IF($C875="","",DATE(YEAR($C875),MONTH($C875),1))</f>
        <v/>
      </c>
      <c r="Q875">
        <f>IF(ISNUMBER($G875),ABS($G875),0)</f>
        <v/>
      </c>
      <c r="R875">
        <f>IF(AND($D875="Расход",COUNTIFS(Счета!$B$10:$B$21,$H875,Счета!$C$10:$C$21,"Кредитная")&gt;0),1,0)</f>
        <v/>
      </c>
    </row>
    <row r="876" ht="19" customHeight="1">
      <c r="B876" s="53">
        <f>IF(AND($C876="",$F876=""),"",ROW()-9)</f>
        <v/>
      </c>
      <c r="C876" s="213" t="n"/>
      <c r="D876" s="55" t="n"/>
      <c r="E876" s="55" t="n"/>
      <c r="F876" s="56" t="n"/>
      <c r="G876" s="196" t="n"/>
      <c r="H876" s="21" t="n"/>
      <c r="I876" s="21" t="n"/>
      <c r="J876" s="53">
        <f>IF($C876="","",INDEX(Настройки!$V$6:$V$17,MONTH($C876))&amp;" "&amp;YEAR($C876))</f>
        <v/>
      </c>
      <c r="K876" s="57">
        <f>IF(OR($F876="",$D876="Перевод"),"",IF(AND(N($G876)&lt;&gt;0,COUNTIFS(Журнал!$C$10:$C$1509,$C876,Журнал!$P$10:$P$1509,$G876)&gt;0),"есть в Журнале",IF(COUNTIF(Постоянные!$C$8:$C$37,$F876)&gt;0,"есть в Постоянных",IF(COUNTIF(Покупки!$C$7:$C$18,$F876)&gt;0,"есть в Покупках",""))))</f>
        <v/>
      </c>
      <c r="P876">
        <f>IF($C876="","",DATE(YEAR($C876),MONTH($C876),1))</f>
        <v/>
      </c>
      <c r="Q876">
        <f>IF(ISNUMBER($G876),ABS($G876),0)</f>
        <v/>
      </c>
      <c r="R876">
        <f>IF(AND($D876="Расход",COUNTIFS(Счета!$B$10:$B$21,$H876,Счета!$C$10:$C$21,"Кредитная")&gt;0),1,0)</f>
        <v/>
      </c>
    </row>
    <row r="877" ht="19" customHeight="1">
      <c r="B877" s="53">
        <f>IF(AND($C877="",$F877=""),"",ROW()-9)</f>
        <v/>
      </c>
      <c r="C877" s="213" t="n"/>
      <c r="D877" s="55" t="n"/>
      <c r="E877" s="55" t="n"/>
      <c r="F877" s="56" t="n"/>
      <c r="G877" s="196" t="n"/>
      <c r="H877" s="21" t="n"/>
      <c r="I877" s="21" t="n"/>
      <c r="J877" s="53">
        <f>IF($C877="","",INDEX(Настройки!$V$6:$V$17,MONTH($C877))&amp;" "&amp;YEAR($C877))</f>
        <v/>
      </c>
      <c r="K877" s="57">
        <f>IF(OR($F877="",$D877="Перевод"),"",IF(AND(N($G877)&lt;&gt;0,COUNTIFS(Журнал!$C$10:$C$1509,$C877,Журнал!$P$10:$P$1509,$G877)&gt;0),"есть в Журнале",IF(COUNTIF(Постоянные!$C$8:$C$37,$F877)&gt;0,"есть в Постоянных",IF(COUNTIF(Покупки!$C$7:$C$18,$F877)&gt;0,"есть в Покупках",""))))</f>
        <v/>
      </c>
      <c r="P877">
        <f>IF($C877="","",DATE(YEAR($C877),MONTH($C877),1))</f>
        <v/>
      </c>
      <c r="Q877">
        <f>IF(ISNUMBER($G877),ABS($G877),0)</f>
        <v/>
      </c>
      <c r="R877">
        <f>IF(AND($D877="Расход",COUNTIFS(Счета!$B$10:$B$21,$H877,Счета!$C$10:$C$21,"Кредитная")&gt;0),1,0)</f>
        <v/>
      </c>
    </row>
    <row r="878" ht="19" customHeight="1">
      <c r="B878" s="53">
        <f>IF(AND($C878="",$F878=""),"",ROW()-9)</f>
        <v/>
      </c>
      <c r="C878" s="213" t="n"/>
      <c r="D878" s="55" t="n"/>
      <c r="E878" s="55" t="n"/>
      <c r="F878" s="56" t="n"/>
      <c r="G878" s="196" t="n"/>
      <c r="H878" s="21" t="n"/>
      <c r="I878" s="21" t="n"/>
      <c r="J878" s="53">
        <f>IF($C878="","",INDEX(Настройки!$V$6:$V$17,MONTH($C878))&amp;" "&amp;YEAR($C878))</f>
        <v/>
      </c>
      <c r="K878" s="57">
        <f>IF(OR($F878="",$D878="Перевод"),"",IF(AND(N($G878)&lt;&gt;0,COUNTIFS(Журнал!$C$10:$C$1509,$C878,Журнал!$P$10:$P$1509,$G878)&gt;0),"есть в Журнале",IF(COUNTIF(Постоянные!$C$8:$C$37,$F878)&gt;0,"есть в Постоянных",IF(COUNTIF(Покупки!$C$7:$C$18,$F878)&gt;0,"есть в Покупках",""))))</f>
        <v/>
      </c>
      <c r="P878">
        <f>IF($C878="","",DATE(YEAR($C878),MONTH($C878),1))</f>
        <v/>
      </c>
      <c r="Q878">
        <f>IF(ISNUMBER($G878),ABS($G878),0)</f>
        <v/>
      </c>
      <c r="R878">
        <f>IF(AND($D878="Расход",COUNTIFS(Счета!$B$10:$B$21,$H878,Счета!$C$10:$C$21,"Кредитная")&gt;0),1,0)</f>
        <v/>
      </c>
    </row>
    <row r="879" ht="19" customHeight="1">
      <c r="B879" s="53">
        <f>IF(AND($C879="",$F879=""),"",ROW()-9)</f>
        <v/>
      </c>
      <c r="C879" s="213" t="n"/>
      <c r="D879" s="55" t="n"/>
      <c r="E879" s="55" t="n"/>
      <c r="F879" s="56" t="n"/>
      <c r="G879" s="196" t="n"/>
      <c r="H879" s="21" t="n"/>
      <c r="I879" s="21" t="n"/>
      <c r="J879" s="53">
        <f>IF($C879="","",INDEX(Настройки!$V$6:$V$17,MONTH($C879))&amp;" "&amp;YEAR($C879))</f>
        <v/>
      </c>
      <c r="K879" s="57">
        <f>IF(OR($F879="",$D879="Перевод"),"",IF(AND(N($G879)&lt;&gt;0,COUNTIFS(Журнал!$C$10:$C$1509,$C879,Журнал!$P$10:$P$1509,$G879)&gt;0),"есть в Журнале",IF(COUNTIF(Постоянные!$C$8:$C$37,$F879)&gt;0,"есть в Постоянных",IF(COUNTIF(Покупки!$C$7:$C$18,$F879)&gt;0,"есть в Покупках",""))))</f>
        <v/>
      </c>
      <c r="P879">
        <f>IF($C879="","",DATE(YEAR($C879),MONTH($C879),1))</f>
        <v/>
      </c>
      <c r="Q879">
        <f>IF(ISNUMBER($G879),ABS($G879),0)</f>
        <v/>
      </c>
      <c r="R879">
        <f>IF(AND($D879="Расход",COUNTIFS(Счета!$B$10:$B$21,$H879,Счета!$C$10:$C$21,"Кредитная")&gt;0),1,0)</f>
        <v/>
      </c>
    </row>
    <row r="880" ht="19" customHeight="1">
      <c r="B880" s="53">
        <f>IF(AND($C880="",$F880=""),"",ROW()-9)</f>
        <v/>
      </c>
      <c r="C880" s="213" t="n"/>
      <c r="D880" s="55" t="n"/>
      <c r="E880" s="55" t="n"/>
      <c r="F880" s="56" t="n"/>
      <c r="G880" s="196" t="n"/>
      <c r="H880" s="21" t="n"/>
      <c r="I880" s="21" t="n"/>
      <c r="J880" s="53">
        <f>IF($C880="","",INDEX(Настройки!$V$6:$V$17,MONTH($C880))&amp;" "&amp;YEAR($C880))</f>
        <v/>
      </c>
      <c r="K880" s="57">
        <f>IF(OR($F880="",$D880="Перевод"),"",IF(AND(N($G880)&lt;&gt;0,COUNTIFS(Журнал!$C$10:$C$1509,$C880,Журнал!$P$10:$P$1509,$G880)&gt;0),"есть в Журнале",IF(COUNTIF(Постоянные!$C$8:$C$37,$F880)&gt;0,"есть в Постоянных",IF(COUNTIF(Покупки!$C$7:$C$18,$F880)&gt;0,"есть в Покупках",""))))</f>
        <v/>
      </c>
      <c r="P880">
        <f>IF($C880="","",DATE(YEAR($C880),MONTH($C880),1))</f>
        <v/>
      </c>
      <c r="Q880">
        <f>IF(ISNUMBER($G880),ABS($G880),0)</f>
        <v/>
      </c>
      <c r="R880">
        <f>IF(AND($D880="Расход",COUNTIFS(Счета!$B$10:$B$21,$H880,Счета!$C$10:$C$21,"Кредитная")&gt;0),1,0)</f>
        <v/>
      </c>
    </row>
    <row r="881" ht="19" customHeight="1">
      <c r="B881" s="53">
        <f>IF(AND($C881="",$F881=""),"",ROW()-9)</f>
        <v/>
      </c>
      <c r="C881" s="213" t="n"/>
      <c r="D881" s="55" t="n"/>
      <c r="E881" s="55" t="n"/>
      <c r="F881" s="56" t="n"/>
      <c r="G881" s="196" t="n"/>
      <c r="H881" s="21" t="n"/>
      <c r="I881" s="21" t="n"/>
      <c r="J881" s="53">
        <f>IF($C881="","",INDEX(Настройки!$V$6:$V$17,MONTH($C881))&amp;" "&amp;YEAR($C881))</f>
        <v/>
      </c>
      <c r="K881" s="57">
        <f>IF(OR($F881="",$D881="Перевод"),"",IF(AND(N($G881)&lt;&gt;0,COUNTIFS(Журнал!$C$10:$C$1509,$C881,Журнал!$P$10:$P$1509,$G881)&gt;0),"есть в Журнале",IF(COUNTIF(Постоянные!$C$8:$C$37,$F881)&gt;0,"есть в Постоянных",IF(COUNTIF(Покупки!$C$7:$C$18,$F881)&gt;0,"есть в Покупках",""))))</f>
        <v/>
      </c>
      <c r="P881">
        <f>IF($C881="","",DATE(YEAR($C881),MONTH($C881),1))</f>
        <v/>
      </c>
      <c r="Q881">
        <f>IF(ISNUMBER($G881),ABS($G881),0)</f>
        <v/>
      </c>
      <c r="R881">
        <f>IF(AND($D881="Расход",COUNTIFS(Счета!$B$10:$B$21,$H881,Счета!$C$10:$C$21,"Кредитная")&gt;0),1,0)</f>
        <v/>
      </c>
    </row>
    <row r="882" ht="19" customHeight="1">
      <c r="B882" s="53">
        <f>IF(AND($C882="",$F882=""),"",ROW()-9)</f>
        <v/>
      </c>
      <c r="C882" s="213" t="n"/>
      <c r="D882" s="55" t="n"/>
      <c r="E882" s="55" t="n"/>
      <c r="F882" s="56" t="n"/>
      <c r="G882" s="196" t="n"/>
      <c r="H882" s="21" t="n"/>
      <c r="I882" s="21" t="n"/>
      <c r="J882" s="53">
        <f>IF($C882="","",INDEX(Настройки!$V$6:$V$17,MONTH($C882))&amp;" "&amp;YEAR($C882))</f>
        <v/>
      </c>
      <c r="K882" s="57">
        <f>IF(OR($F882="",$D882="Перевод"),"",IF(AND(N($G882)&lt;&gt;0,COUNTIFS(Журнал!$C$10:$C$1509,$C882,Журнал!$P$10:$P$1509,$G882)&gt;0),"есть в Журнале",IF(COUNTIF(Постоянные!$C$8:$C$37,$F882)&gt;0,"есть в Постоянных",IF(COUNTIF(Покупки!$C$7:$C$18,$F882)&gt;0,"есть в Покупках",""))))</f>
        <v/>
      </c>
      <c r="P882">
        <f>IF($C882="","",DATE(YEAR($C882),MONTH($C882),1))</f>
        <v/>
      </c>
      <c r="Q882">
        <f>IF(ISNUMBER($G882),ABS($G882),0)</f>
        <v/>
      </c>
      <c r="R882">
        <f>IF(AND($D882="Расход",COUNTIFS(Счета!$B$10:$B$21,$H882,Счета!$C$10:$C$21,"Кредитная")&gt;0),1,0)</f>
        <v/>
      </c>
    </row>
    <row r="883" ht="19" customHeight="1">
      <c r="B883" s="53">
        <f>IF(AND($C883="",$F883=""),"",ROW()-9)</f>
        <v/>
      </c>
      <c r="C883" s="213" t="n"/>
      <c r="D883" s="55" t="n"/>
      <c r="E883" s="55" t="n"/>
      <c r="F883" s="56" t="n"/>
      <c r="G883" s="196" t="n"/>
      <c r="H883" s="21" t="n"/>
      <c r="I883" s="21" t="n"/>
      <c r="J883" s="53">
        <f>IF($C883="","",INDEX(Настройки!$V$6:$V$17,MONTH($C883))&amp;" "&amp;YEAR($C883))</f>
        <v/>
      </c>
      <c r="K883" s="57">
        <f>IF(OR($F883="",$D883="Перевод"),"",IF(AND(N($G883)&lt;&gt;0,COUNTIFS(Журнал!$C$10:$C$1509,$C883,Журнал!$P$10:$P$1509,$G883)&gt;0),"есть в Журнале",IF(COUNTIF(Постоянные!$C$8:$C$37,$F883)&gt;0,"есть в Постоянных",IF(COUNTIF(Покупки!$C$7:$C$18,$F883)&gt;0,"есть в Покупках",""))))</f>
        <v/>
      </c>
      <c r="P883">
        <f>IF($C883="","",DATE(YEAR($C883),MONTH($C883),1))</f>
        <v/>
      </c>
      <c r="Q883">
        <f>IF(ISNUMBER($G883),ABS($G883),0)</f>
        <v/>
      </c>
      <c r="R883">
        <f>IF(AND($D883="Расход",COUNTIFS(Счета!$B$10:$B$21,$H883,Счета!$C$10:$C$21,"Кредитная")&gt;0),1,0)</f>
        <v/>
      </c>
    </row>
    <row r="884" ht="19" customHeight="1">
      <c r="B884" s="53">
        <f>IF(AND($C884="",$F884=""),"",ROW()-9)</f>
        <v/>
      </c>
      <c r="C884" s="213" t="n"/>
      <c r="D884" s="55" t="n"/>
      <c r="E884" s="55" t="n"/>
      <c r="F884" s="56" t="n"/>
      <c r="G884" s="196" t="n"/>
      <c r="H884" s="21" t="n"/>
      <c r="I884" s="21" t="n"/>
      <c r="J884" s="53">
        <f>IF($C884="","",INDEX(Настройки!$V$6:$V$17,MONTH($C884))&amp;" "&amp;YEAR($C884))</f>
        <v/>
      </c>
      <c r="K884" s="57">
        <f>IF(OR($F884="",$D884="Перевод"),"",IF(AND(N($G884)&lt;&gt;0,COUNTIFS(Журнал!$C$10:$C$1509,$C884,Журнал!$P$10:$P$1509,$G884)&gt;0),"есть в Журнале",IF(COUNTIF(Постоянные!$C$8:$C$37,$F884)&gt;0,"есть в Постоянных",IF(COUNTIF(Покупки!$C$7:$C$18,$F884)&gt;0,"есть в Покупках",""))))</f>
        <v/>
      </c>
      <c r="P884">
        <f>IF($C884="","",DATE(YEAR($C884),MONTH($C884),1))</f>
        <v/>
      </c>
      <c r="Q884">
        <f>IF(ISNUMBER($G884),ABS($G884),0)</f>
        <v/>
      </c>
      <c r="R884">
        <f>IF(AND($D884="Расход",COUNTIFS(Счета!$B$10:$B$21,$H884,Счета!$C$10:$C$21,"Кредитная")&gt;0),1,0)</f>
        <v/>
      </c>
    </row>
    <row r="885" ht="19" customHeight="1">
      <c r="B885" s="53">
        <f>IF(AND($C885="",$F885=""),"",ROW()-9)</f>
        <v/>
      </c>
      <c r="C885" s="213" t="n"/>
      <c r="D885" s="55" t="n"/>
      <c r="E885" s="55" t="n"/>
      <c r="F885" s="56" t="n"/>
      <c r="G885" s="196" t="n"/>
      <c r="H885" s="21" t="n"/>
      <c r="I885" s="21" t="n"/>
      <c r="J885" s="53">
        <f>IF($C885="","",INDEX(Настройки!$V$6:$V$17,MONTH($C885))&amp;" "&amp;YEAR($C885))</f>
        <v/>
      </c>
      <c r="K885" s="57">
        <f>IF(OR($F885="",$D885="Перевод"),"",IF(AND(N($G885)&lt;&gt;0,COUNTIFS(Журнал!$C$10:$C$1509,$C885,Журнал!$P$10:$P$1509,$G885)&gt;0),"есть в Журнале",IF(COUNTIF(Постоянные!$C$8:$C$37,$F885)&gt;0,"есть в Постоянных",IF(COUNTIF(Покупки!$C$7:$C$18,$F885)&gt;0,"есть в Покупках",""))))</f>
        <v/>
      </c>
      <c r="P885">
        <f>IF($C885="","",DATE(YEAR($C885),MONTH($C885),1))</f>
        <v/>
      </c>
      <c r="Q885">
        <f>IF(ISNUMBER($G885),ABS($G885),0)</f>
        <v/>
      </c>
      <c r="R885">
        <f>IF(AND($D885="Расход",COUNTIFS(Счета!$B$10:$B$21,$H885,Счета!$C$10:$C$21,"Кредитная")&gt;0),1,0)</f>
        <v/>
      </c>
    </row>
    <row r="886" ht="19" customHeight="1">
      <c r="B886" s="53">
        <f>IF(AND($C886="",$F886=""),"",ROW()-9)</f>
        <v/>
      </c>
      <c r="C886" s="213" t="n"/>
      <c r="D886" s="55" t="n"/>
      <c r="E886" s="55" t="n"/>
      <c r="F886" s="56" t="n"/>
      <c r="G886" s="196" t="n"/>
      <c r="H886" s="21" t="n"/>
      <c r="I886" s="21" t="n"/>
      <c r="J886" s="53">
        <f>IF($C886="","",INDEX(Настройки!$V$6:$V$17,MONTH($C886))&amp;" "&amp;YEAR($C886))</f>
        <v/>
      </c>
      <c r="K886" s="57">
        <f>IF(OR($F886="",$D886="Перевод"),"",IF(AND(N($G886)&lt;&gt;0,COUNTIFS(Журнал!$C$10:$C$1509,$C886,Журнал!$P$10:$P$1509,$G886)&gt;0),"есть в Журнале",IF(COUNTIF(Постоянные!$C$8:$C$37,$F886)&gt;0,"есть в Постоянных",IF(COUNTIF(Покупки!$C$7:$C$18,$F886)&gt;0,"есть в Покупках",""))))</f>
        <v/>
      </c>
      <c r="P886">
        <f>IF($C886="","",DATE(YEAR($C886),MONTH($C886),1))</f>
        <v/>
      </c>
      <c r="Q886">
        <f>IF(ISNUMBER($G886),ABS($G886),0)</f>
        <v/>
      </c>
      <c r="R886">
        <f>IF(AND($D886="Расход",COUNTIFS(Счета!$B$10:$B$21,$H886,Счета!$C$10:$C$21,"Кредитная")&gt;0),1,0)</f>
        <v/>
      </c>
    </row>
    <row r="887" ht="19" customHeight="1">
      <c r="B887" s="53">
        <f>IF(AND($C887="",$F887=""),"",ROW()-9)</f>
        <v/>
      </c>
      <c r="C887" s="213" t="n"/>
      <c r="D887" s="55" t="n"/>
      <c r="E887" s="55" t="n"/>
      <c r="F887" s="56" t="n"/>
      <c r="G887" s="196" t="n"/>
      <c r="H887" s="21" t="n"/>
      <c r="I887" s="21" t="n"/>
      <c r="J887" s="53">
        <f>IF($C887="","",INDEX(Настройки!$V$6:$V$17,MONTH($C887))&amp;" "&amp;YEAR($C887))</f>
        <v/>
      </c>
      <c r="K887" s="57">
        <f>IF(OR($F887="",$D887="Перевод"),"",IF(AND(N($G887)&lt;&gt;0,COUNTIFS(Журнал!$C$10:$C$1509,$C887,Журнал!$P$10:$P$1509,$G887)&gt;0),"есть в Журнале",IF(COUNTIF(Постоянные!$C$8:$C$37,$F887)&gt;0,"есть в Постоянных",IF(COUNTIF(Покупки!$C$7:$C$18,$F887)&gt;0,"есть в Покупках",""))))</f>
        <v/>
      </c>
      <c r="P887">
        <f>IF($C887="","",DATE(YEAR($C887),MONTH($C887),1))</f>
        <v/>
      </c>
      <c r="Q887">
        <f>IF(ISNUMBER($G887),ABS($G887),0)</f>
        <v/>
      </c>
      <c r="R887">
        <f>IF(AND($D887="Расход",COUNTIFS(Счета!$B$10:$B$21,$H887,Счета!$C$10:$C$21,"Кредитная")&gt;0),1,0)</f>
        <v/>
      </c>
    </row>
    <row r="888" ht="19" customHeight="1">
      <c r="B888" s="53">
        <f>IF(AND($C888="",$F888=""),"",ROW()-9)</f>
        <v/>
      </c>
      <c r="C888" s="213" t="n"/>
      <c r="D888" s="55" t="n"/>
      <c r="E888" s="55" t="n"/>
      <c r="F888" s="56" t="n"/>
      <c r="G888" s="196" t="n"/>
      <c r="H888" s="21" t="n"/>
      <c r="I888" s="21" t="n"/>
      <c r="J888" s="53">
        <f>IF($C888="","",INDEX(Настройки!$V$6:$V$17,MONTH($C888))&amp;" "&amp;YEAR($C888))</f>
        <v/>
      </c>
      <c r="K888" s="57">
        <f>IF(OR($F888="",$D888="Перевод"),"",IF(AND(N($G888)&lt;&gt;0,COUNTIFS(Журнал!$C$10:$C$1509,$C888,Журнал!$P$10:$P$1509,$G888)&gt;0),"есть в Журнале",IF(COUNTIF(Постоянные!$C$8:$C$37,$F888)&gt;0,"есть в Постоянных",IF(COUNTIF(Покупки!$C$7:$C$18,$F888)&gt;0,"есть в Покупках",""))))</f>
        <v/>
      </c>
      <c r="P888">
        <f>IF($C888="","",DATE(YEAR($C888),MONTH($C888),1))</f>
        <v/>
      </c>
      <c r="Q888">
        <f>IF(ISNUMBER($G888),ABS($G888),0)</f>
        <v/>
      </c>
      <c r="R888">
        <f>IF(AND($D888="Расход",COUNTIFS(Счета!$B$10:$B$21,$H888,Счета!$C$10:$C$21,"Кредитная")&gt;0),1,0)</f>
        <v/>
      </c>
    </row>
    <row r="889" ht="19" customHeight="1">
      <c r="B889" s="53">
        <f>IF(AND($C889="",$F889=""),"",ROW()-9)</f>
        <v/>
      </c>
      <c r="C889" s="213" t="n"/>
      <c r="D889" s="55" t="n"/>
      <c r="E889" s="55" t="n"/>
      <c r="F889" s="56" t="n"/>
      <c r="G889" s="196" t="n"/>
      <c r="H889" s="21" t="n"/>
      <c r="I889" s="21" t="n"/>
      <c r="J889" s="53">
        <f>IF($C889="","",INDEX(Настройки!$V$6:$V$17,MONTH($C889))&amp;" "&amp;YEAR($C889))</f>
        <v/>
      </c>
      <c r="K889" s="57">
        <f>IF(OR($F889="",$D889="Перевод"),"",IF(AND(N($G889)&lt;&gt;0,COUNTIFS(Журнал!$C$10:$C$1509,$C889,Журнал!$P$10:$P$1509,$G889)&gt;0),"есть в Журнале",IF(COUNTIF(Постоянные!$C$8:$C$37,$F889)&gt;0,"есть в Постоянных",IF(COUNTIF(Покупки!$C$7:$C$18,$F889)&gt;0,"есть в Покупках",""))))</f>
        <v/>
      </c>
      <c r="P889">
        <f>IF($C889="","",DATE(YEAR($C889),MONTH($C889),1))</f>
        <v/>
      </c>
      <c r="Q889">
        <f>IF(ISNUMBER($G889),ABS($G889),0)</f>
        <v/>
      </c>
      <c r="R889">
        <f>IF(AND($D889="Расход",COUNTIFS(Счета!$B$10:$B$21,$H889,Счета!$C$10:$C$21,"Кредитная")&gt;0),1,0)</f>
        <v/>
      </c>
    </row>
    <row r="890" ht="19" customHeight="1">
      <c r="B890" s="53">
        <f>IF(AND($C890="",$F890=""),"",ROW()-9)</f>
        <v/>
      </c>
      <c r="C890" s="213" t="n"/>
      <c r="D890" s="55" t="n"/>
      <c r="E890" s="55" t="n"/>
      <c r="F890" s="56" t="n"/>
      <c r="G890" s="196" t="n"/>
      <c r="H890" s="21" t="n"/>
      <c r="I890" s="21" t="n"/>
      <c r="J890" s="53">
        <f>IF($C890="","",INDEX(Настройки!$V$6:$V$17,MONTH($C890))&amp;" "&amp;YEAR($C890))</f>
        <v/>
      </c>
      <c r="K890" s="57">
        <f>IF(OR($F890="",$D890="Перевод"),"",IF(AND(N($G890)&lt;&gt;0,COUNTIFS(Журнал!$C$10:$C$1509,$C890,Журнал!$P$10:$P$1509,$G890)&gt;0),"есть в Журнале",IF(COUNTIF(Постоянные!$C$8:$C$37,$F890)&gt;0,"есть в Постоянных",IF(COUNTIF(Покупки!$C$7:$C$18,$F890)&gt;0,"есть в Покупках",""))))</f>
        <v/>
      </c>
      <c r="P890">
        <f>IF($C890="","",DATE(YEAR($C890),MONTH($C890),1))</f>
        <v/>
      </c>
      <c r="Q890">
        <f>IF(ISNUMBER($G890),ABS($G890),0)</f>
        <v/>
      </c>
      <c r="R890">
        <f>IF(AND($D890="Расход",COUNTIFS(Счета!$B$10:$B$21,$H890,Счета!$C$10:$C$21,"Кредитная")&gt;0),1,0)</f>
        <v/>
      </c>
    </row>
    <row r="891" ht="19" customHeight="1">
      <c r="B891" s="53">
        <f>IF(AND($C891="",$F891=""),"",ROW()-9)</f>
        <v/>
      </c>
      <c r="C891" s="213" t="n"/>
      <c r="D891" s="55" t="n"/>
      <c r="E891" s="55" t="n"/>
      <c r="F891" s="56" t="n"/>
      <c r="G891" s="196" t="n"/>
      <c r="H891" s="21" t="n"/>
      <c r="I891" s="21" t="n"/>
      <c r="J891" s="53">
        <f>IF($C891="","",INDEX(Настройки!$V$6:$V$17,MONTH($C891))&amp;" "&amp;YEAR($C891))</f>
        <v/>
      </c>
      <c r="K891" s="57">
        <f>IF(OR($F891="",$D891="Перевод"),"",IF(AND(N($G891)&lt;&gt;0,COUNTIFS(Журнал!$C$10:$C$1509,$C891,Журнал!$P$10:$P$1509,$G891)&gt;0),"есть в Журнале",IF(COUNTIF(Постоянные!$C$8:$C$37,$F891)&gt;0,"есть в Постоянных",IF(COUNTIF(Покупки!$C$7:$C$18,$F891)&gt;0,"есть в Покупках",""))))</f>
        <v/>
      </c>
      <c r="P891">
        <f>IF($C891="","",DATE(YEAR($C891),MONTH($C891),1))</f>
        <v/>
      </c>
      <c r="Q891">
        <f>IF(ISNUMBER($G891),ABS($G891),0)</f>
        <v/>
      </c>
      <c r="R891">
        <f>IF(AND($D891="Расход",COUNTIFS(Счета!$B$10:$B$21,$H891,Счета!$C$10:$C$21,"Кредитная")&gt;0),1,0)</f>
        <v/>
      </c>
    </row>
    <row r="892" ht="19" customHeight="1">
      <c r="B892" s="53">
        <f>IF(AND($C892="",$F892=""),"",ROW()-9)</f>
        <v/>
      </c>
      <c r="C892" s="213" t="n"/>
      <c r="D892" s="55" t="n"/>
      <c r="E892" s="55" t="n"/>
      <c r="F892" s="56" t="n"/>
      <c r="G892" s="196" t="n"/>
      <c r="H892" s="21" t="n"/>
      <c r="I892" s="21" t="n"/>
      <c r="J892" s="53">
        <f>IF($C892="","",INDEX(Настройки!$V$6:$V$17,MONTH($C892))&amp;" "&amp;YEAR($C892))</f>
        <v/>
      </c>
      <c r="K892" s="57">
        <f>IF(OR($F892="",$D892="Перевод"),"",IF(AND(N($G892)&lt;&gt;0,COUNTIFS(Журнал!$C$10:$C$1509,$C892,Журнал!$P$10:$P$1509,$G892)&gt;0),"есть в Журнале",IF(COUNTIF(Постоянные!$C$8:$C$37,$F892)&gt;0,"есть в Постоянных",IF(COUNTIF(Покупки!$C$7:$C$18,$F892)&gt;0,"есть в Покупках",""))))</f>
        <v/>
      </c>
      <c r="P892">
        <f>IF($C892="","",DATE(YEAR($C892),MONTH($C892),1))</f>
        <v/>
      </c>
      <c r="Q892">
        <f>IF(ISNUMBER($G892),ABS($G892),0)</f>
        <v/>
      </c>
      <c r="R892">
        <f>IF(AND($D892="Расход",COUNTIFS(Счета!$B$10:$B$21,$H892,Счета!$C$10:$C$21,"Кредитная")&gt;0),1,0)</f>
        <v/>
      </c>
    </row>
    <row r="893" ht="19" customHeight="1">
      <c r="B893" s="53">
        <f>IF(AND($C893="",$F893=""),"",ROW()-9)</f>
        <v/>
      </c>
      <c r="C893" s="213" t="n"/>
      <c r="D893" s="55" t="n"/>
      <c r="E893" s="55" t="n"/>
      <c r="F893" s="56" t="n"/>
      <c r="G893" s="196" t="n"/>
      <c r="H893" s="21" t="n"/>
      <c r="I893" s="21" t="n"/>
      <c r="J893" s="53">
        <f>IF($C893="","",INDEX(Настройки!$V$6:$V$17,MONTH($C893))&amp;" "&amp;YEAR($C893))</f>
        <v/>
      </c>
      <c r="K893" s="57">
        <f>IF(OR($F893="",$D893="Перевод"),"",IF(AND(N($G893)&lt;&gt;0,COUNTIFS(Журнал!$C$10:$C$1509,$C893,Журнал!$P$10:$P$1509,$G893)&gt;0),"есть в Журнале",IF(COUNTIF(Постоянные!$C$8:$C$37,$F893)&gt;0,"есть в Постоянных",IF(COUNTIF(Покупки!$C$7:$C$18,$F893)&gt;0,"есть в Покупках",""))))</f>
        <v/>
      </c>
      <c r="P893">
        <f>IF($C893="","",DATE(YEAR($C893),MONTH($C893),1))</f>
        <v/>
      </c>
      <c r="Q893">
        <f>IF(ISNUMBER($G893),ABS($G893),0)</f>
        <v/>
      </c>
      <c r="R893">
        <f>IF(AND($D893="Расход",COUNTIFS(Счета!$B$10:$B$21,$H893,Счета!$C$10:$C$21,"Кредитная")&gt;0),1,0)</f>
        <v/>
      </c>
    </row>
    <row r="894" ht="19" customHeight="1">
      <c r="B894" s="53">
        <f>IF(AND($C894="",$F894=""),"",ROW()-9)</f>
        <v/>
      </c>
      <c r="C894" s="213" t="n"/>
      <c r="D894" s="55" t="n"/>
      <c r="E894" s="55" t="n"/>
      <c r="F894" s="56" t="n"/>
      <c r="G894" s="196" t="n"/>
      <c r="H894" s="21" t="n"/>
      <c r="I894" s="21" t="n"/>
      <c r="J894" s="53">
        <f>IF($C894="","",INDEX(Настройки!$V$6:$V$17,MONTH($C894))&amp;" "&amp;YEAR($C894))</f>
        <v/>
      </c>
      <c r="K894" s="57">
        <f>IF(OR($F894="",$D894="Перевод"),"",IF(AND(N($G894)&lt;&gt;0,COUNTIFS(Журнал!$C$10:$C$1509,$C894,Журнал!$P$10:$P$1509,$G894)&gt;0),"есть в Журнале",IF(COUNTIF(Постоянные!$C$8:$C$37,$F894)&gt;0,"есть в Постоянных",IF(COUNTIF(Покупки!$C$7:$C$18,$F894)&gt;0,"есть в Покупках",""))))</f>
        <v/>
      </c>
      <c r="P894">
        <f>IF($C894="","",DATE(YEAR($C894),MONTH($C894),1))</f>
        <v/>
      </c>
      <c r="Q894">
        <f>IF(ISNUMBER($G894),ABS($G894),0)</f>
        <v/>
      </c>
      <c r="R894">
        <f>IF(AND($D894="Расход",COUNTIFS(Счета!$B$10:$B$21,$H894,Счета!$C$10:$C$21,"Кредитная")&gt;0),1,0)</f>
        <v/>
      </c>
    </row>
    <row r="895" ht="19" customHeight="1">
      <c r="B895" s="53">
        <f>IF(AND($C895="",$F895=""),"",ROW()-9)</f>
        <v/>
      </c>
      <c r="C895" s="213" t="n"/>
      <c r="D895" s="55" t="n"/>
      <c r="E895" s="55" t="n"/>
      <c r="F895" s="56" t="n"/>
      <c r="G895" s="196" t="n"/>
      <c r="H895" s="21" t="n"/>
      <c r="I895" s="21" t="n"/>
      <c r="J895" s="53">
        <f>IF($C895="","",INDEX(Настройки!$V$6:$V$17,MONTH($C895))&amp;" "&amp;YEAR($C895))</f>
        <v/>
      </c>
      <c r="K895" s="57">
        <f>IF(OR($F895="",$D895="Перевод"),"",IF(AND(N($G895)&lt;&gt;0,COUNTIFS(Журнал!$C$10:$C$1509,$C895,Журнал!$P$10:$P$1509,$G895)&gt;0),"есть в Журнале",IF(COUNTIF(Постоянные!$C$8:$C$37,$F895)&gt;0,"есть в Постоянных",IF(COUNTIF(Покупки!$C$7:$C$18,$F895)&gt;0,"есть в Покупках",""))))</f>
        <v/>
      </c>
      <c r="P895">
        <f>IF($C895="","",DATE(YEAR($C895),MONTH($C895),1))</f>
        <v/>
      </c>
      <c r="Q895">
        <f>IF(ISNUMBER($G895),ABS($G895),0)</f>
        <v/>
      </c>
      <c r="R895">
        <f>IF(AND($D895="Расход",COUNTIFS(Счета!$B$10:$B$21,$H895,Счета!$C$10:$C$21,"Кредитная")&gt;0),1,0)</f>
        <v/>
      </c>
    </row>
    <row r="896" ht="19" customHeight="1">
      <c r="B896" s="53">
        <f>IF(AND($C896="",$F896=""),"",ROW()-9)</f>
        <v/>
      </c>
      <c r="C896" s="213" t="n"/>
      <c r="D896" s="55" t="n"/>
      <c r="E896" s="55" t="n"/>
      <c r="F896" s="56" t="n"/>
      <c r="G896" s="196" t="n"/>
      <c r="H896" s="21" t="n"/>
      <c r="I896" s="21" t="n"/>
      <c r="J896" s="53">
        <f>IF($C896="","",INDEX(Настройки!$V$6:$V$17,MONTH($C896))&amp;" "&amp;YEAR($C896))</f>
        <v/>
      </c>
      <c r="K896" s="57">
        <f>IF(OR($F896="",$D896="Перевод"),"",IF(AND(N($G896)&lt;&gt;0,COUNTIFS(Журнал!$C$10:$C$1509,$C896,Журнал!$P$10:$P$1509,$G896)&gt;0),"есть в Журнале",IF(COUNTIF(Постоянные!$C$8:$C$37,$F896)&gt;0,"есть в Постоянных",IF(COUNTIF(Покупки!$C$7:$C$18,$F896)&gt;0,"есть в Покупках",""))))</f>
        <v/>
      </c>
      <c r="P896">
        <f>IF($C896="","",DATE(YEAR($C896),MONTH($C896),1))</f>
        <v/>
      </c>
      <c r="Q896">
        <f>IF(ISNUMBER($G896),ABS($G896),0)</f>
        <v/>
      </c>
      <c r="R896">
        <f>IF(AND($D896="Расход",COUNTIFS(Счета!$B$10:$B$21,$H896,Счета!$C$10:$C$21,"Кредитная")&gt;0),1,0)</f>
        <v/>
      </c>
    </row>
    <row r="897" ht="19" customHeight="1">
      <c r="B897" s="53">
        <f>IF(AND($C897="",$F897=""),"",ROW()-9)</f>
        <v/>
      </c>
      <c r="C897" s="213" t="n"/>
      <c r="D897" s="55" t="n"/>
      <c r="E897" s="55" t="n"/>
      <c r="F897" s="56" t="n"/>
      <c r="G897" s="196" t="n"/>
      <c r="H897" s="21" t="n"/>
      <c r="I897" s="21" t="n"/>
      <c r="J897" s="53">
        <f>IF($C897="","",INDEX(Настройки!$V$6:$V$17,MONTH($C897))&amp;" "&amp;YEAR($C897))</f>
        <v/>
      </c>
      <c r="K897" s="57">
        <f>IF(OR($F897="",$D897="Перевод"),"",IF(AND(N($G897)&lt;&gt;0,COUNTIFS(Журнал!$C$10:$C$1509,$C897,Журнал!$P$10:$P$1509,$G897)&gt;0),"есть в Журнале",IF(COUNTIF(Постоянные!$C$8:$C$37,$F897)&gt;0,"есть в Постоянных",IF(COUNTIF(Покупки!$C$7:$C$18,$F897)&gt;0,"есть в Покупках",""))))</f>
        <v/>
      </c>
      <c r="P897">
        <f>IF($C897="","",DATE(YEAR($C897),MONTH($C897),1))</f>
        <v/>
      </c>
      <c r="Q897">
        <f>IF(ISNUMBER($G897),ABS($G897),0)</f>
        <v/>
      </c>
      <c r="R897">
        <f>IF(AND($D897="Расход",COUNTIFS(Счета!$B$10:$B$21,$H897,Счета!$C$10:$C$21,"Кредитная")&gt;0),1,0)</f>
        <v/>
      </c>
    </row>
    <row r="898" ht="19" customHeight="1">
      <c r="B898" s="53">
        <f>IF(AND($C898="",$F898=""),"",ROW()-9)</f>
        <v/>
      </c>
      <c r="C898" s="213" t="n"/>
      <c r="D898" s="55" t="n"/>
      <c r="E898" s="55" t="n"/>
      <c r="F898" s="56" t="n"/>
      <c r="G898" s="196" t="n"/>
      <c r="H898" s="21" t="n"/>
      <c r="I898" s="21" t="n"/>
      <c r="J898" s="53">
        <f>IF($C898="","",INDEX(Настройки!$V$6:$V$17,MONTH($C898))&amp;" "&amp;YEAR($C898))</f>
        <v/>
      </c>
      <c r="K898" s="57">
        <f>IF(OR($F898="",$D898="Перевод"),"",IF(AND(N($G898)&lt;&gt;0,COUNTIFS(Журнал!$C$10:$C$1509,$C898,Журнал!$P$10:$P$1509,$G898)&gt;0),"есть в Журнале",IF(COUNTIF(Постоянные!$C$8:$C$37,$F898)&gt;0,"есть в Постоянных",IF(COUNTIF(Покупки!$C$7:$C$18,$F898)&gt;0,"есть в Покупках",""))))</f>
        <v/>
      </c>
      <c r="P898">
        <f>IF($C898="","",DATE(YEAR($C898),MONTH($C898),1))</f>
        <v/>
      </c>
      <c r="Q898">
        <f>IF(ISNUMBER($G898),ABS($G898),0)</f>
        <v/>
      </c>
      <c r="R898">
        <f>IF(AND($D898="Расход",COUNTIFS(Счета!$B$10:$B$21,$H898,Счета!$C$10:$C$21,"Кредитная")&gt;0),1,0)</f>
        <v/>
      </c>
    </row>
    <row r="899" ht="19" customHeight="1">
      <c r="B899" s="53">
        <f>IF(AND($C899="",$F899=""),"",ROW()-9)</f>
        <v/>
      </c>
      <c r="C899" s="213" t="n"/>
      <c r="D899" s="55" t="n"/>
      <c r="E899" s="55" t="n"/>
      <c r="F899" s="56" t="n"/>
      <c r="G899" s="196" t="n"/>
      <c r="H899" s="21" t="n"/>
      <c r="I899" s="21" t="n"/>
      <c r="J899" s="53">
        <f>IF($C899="","",INDEX(Настройки!$V$6:$V$17,MONTH($C899))&amp;" "&amp;YEAR($C899))</f>
        <v/>
      </c>
      <c r="K899" s="57">
        <f>IF(OR($F899="",$D899="Перевод"),"",IF(AND(N($G899)&lt;&gt;0,COUNTIFS(Журнал!$C$10:$C$1509,$C899,Журнал!$P$10:$P$1509,$G899)&gt;0),"есть в Журнале",IF(COUNTIF(Постоянные!$C$8:$C$37,$F899)&gt;0,"есть в Постоянных",IF(COUNTIF(Покупки!$C$7:$C$18,$F899)&gt;0,"есть в Покупках",""))))</f>
        <v/>
      </c>
      <c r="P899">
        <f>IF($C899="","",DATE(YEAR($C899),MONTH($C899),1))</f>
        <v/>
      </c>
      <c r="Q899">
        <f>IF(ISNUMBER($G899),ABS($G899),0)</f>
        <v/>
      </c>
      <c r="R899">
        <f>IF(AND($D899="Расход",COUNTIFS(Счета!$B$10:$B$21,$H899,Счета!$C$10:$C$21,"Кредитная")&gt;0),1,0)</f>
        <v/>
      </c>
    </row>
    <row r="900" ht="19" customHeight="1">
      <c r="B900" s="53">
        <f>IF(AND($C900="",$F900=""),"",ROW()-9)</f>
        <v/>
      </c>
      <c r="C900" s="213" t="n"/>
      <c r="D900" s="55" t="n"/>
      <c r="E900" s="55" t="n"/>
      <c r="F900" s="56" t="n"/>
      <c r="G900" s="196" t="n"/>
      <c r="H900" s="21" t="n"/>
      <c r="I900" s="21" t="n"/>
      <c r="J900" s="53">
        <f>IF($C900="","",INDEX(Настройки!$V$6:$V$17,MONTH($C900))&amp;" "&amp;YEAR($C900))</f>
        <v/>
      </c>
      <c r="K900" s="57">
        <f>IF(OR($F900="",$D900="Перевод"),"",IF(AND(N($G900)&lt;&gt;0,COUNTIFS(Журнал!$C$10:$C$1509,$C900,Журнал!$P$10:$P$1509,$G900)&gt;0),"есть в Журнале",IF(COUNTIF(Постоянные!$C$8:$C$37,$F900)&gt;0,"есть в Постоянных",IF(COUNTIF(Покупки!$C$7:$C$18,$F900)&gt;0,"есть в Покупках",""))))</f>
        <v/>
      </c>
      <c r="P900">
        <f>IF($C900="","",DATE(YEAR($C900),MONTH($C900),1))</f>
        <v/>
      </c>
      <c r="Q900">
        <f>IF(ISNUMBER($G900),ABS($G900),0)</f>
        <v/>
      </c>
      <c r="R900">
        <f>IF(AND($D900="Расход",COUNTIFS(Счета!$B$10:$B$21,$H900,Счета!$C$10:$C$21,"Кредитная")&gt;0),1,0)</f>
        <v/>
      </c>
    </row>
    <row r="901" ht="19" customHeight="1">
      <c r="B901" s="53">
        <f>IF(AND($C901="",$F901=""),"",ROW()-9)</f>
        <v/>
      </c>
      <c r="C901" s="213" t="n"/>
      <c r="D901" s="55" t="n"/>
      <c r="E901" s="55" t="n"/>
      <c r="F901" s="56" t="n"/>
      <c r="G901" s="196" t="n"/>
      <c r="H901" s="21" t="n"/>
      <c r="I901" s="21" t="n"/>
      <c r="J901" s="53">
        <f>IF($C901="","",INDEX(Настройки!$V$6:$V$17,MONTH($C901))&amp;" "&amp;YEAR($C901))</f>
        <v/>
      </c>
      <c r="K901" s="57">
        <f>IF(OR($F901="",$D901="Перевод"),"",IF(AND(N($G901)&lt;&gt;0,COUNTIFS(Журнал!$C$10:$C$1509,$C901,Журнал!$P$10:$P$1509,$G901)&gt;0),"есть в Журнале",IF(COUNTIF(Постоянные!$C$8:$C$37,$F901)&gt;0,"есть в Постоянных",IF(COUNTIF(Покупки!$C$7:$C$18,$F901)&gt;0,"есть в Покупках",""))))</f>
        <v/>
      </c>
      <c r="P901">
        <f>IF($C901="","",DATE(YEAR($C901),MONTH($C901),1))</f>
        <v/>
      </c>
      <c r="Q901">
        <f>IF(ISNUMBER($G901),ABS($G901),0)</f>
        <v/>
      </c>
      <c r="R901">
        <f>IF(AND($D901="Расход",COUNTIFS(Счета!$B$10:$B$21,$H901,Счета!$C$10:$C$21,"Кредитная")&gt;0),1,0)</f>
        <v/>
      </c>
    </row>
    <row r="902" ht="19" customHeight="1">
      <c r="B902" s="53">
        <f>IF(AND($C902="",$F902=""),"",ROW()-9)</f>
        <v/>
      </c>
      <c r="C902" s="213" t="n"/>
      <c r="D902" s="55" t="n"/>
      <c r="E902" s="55" t="n"/>
      <c r="F902" s="56" t="n"/>
      <c r="G902" s="196" t="n"/>
      <c r="H902" s="21" t="n"/>
      <c r="I902" s="21" t="n"/>
      <c r="J902" s="53">
        <f>IF($C902="","",INDEX(Настройки!$V$6:$V$17,MONTH($C902))&amp;" "&amp;YEAR($C902))</f>
        <v/>
      </c>
      <c r="K902" s="57">
        <f>IF(OR($F902="",$D902="Перевод"),"",IF(AND(N($G902)&lt;&gt;0,COUNTIFS(Журнал!$C$10:$C$1509,$C902,Журнал!$P$10:$P$1509,$G902)&gt;0),"есть в Журнале",IF(COUNTIF(Постоянные!$C$8:$C$37,$F902)&gt;0,"есть в Постоянных",IF(COUNTIF(Покупки!$C$7:$C$18,$F902)&gt;0,"есть в Покупках",""))))</f>
        <v/>
      </c>
      <c r="P902">
        <f>IF($C902="","",DATE(YEAR($C902),MONTH($C902),1))</f>
        <v/>
      </c>
      <c r="Q902">
        <f>IF(ISNUMBER($G902),ABS($G902),0)</f>
        <v/>
      </c>
      <c r="R902">
        <f>IF(AND($D902="Расход",COUNTIFS(Счета!$B$10:$B$21,$H902,Счета!$C$10:$C$21,"Кредитная")&gt;0),1,0)</f>
        <v/>
      </c>
    </row>
    <row r="903" ht="19" customHeight="1">
      <c r="B903" s="53">
        <f>IF(AND($C903="",$F903=""),"",ROW()-9)</f>
        <v/>
      </c>
      <c r="C903" s="213" t="n"/>
      <c r="D903" s="55" t="n"/>
      <c r="E903" s="55" t="n"/>
      <c r="F903" s="56" t="n"/>
      <c r="G903" s="196" t="n"/>
      <c r="H903" s="21" t="n"/>
      <c r="I903" s="21" t="n"/>
      <c r="J903" s="53">
        <f>IF($C903="","",INDEX(Настройки!$V$6:$V$17,MONTH($C903))&amp;" "&amp;YEAR($C903))</f>
        <v/>
      </c>
      <c r="K903" s="57">
        <f>IF(OR($F903="",$D903="Перевод"),"",IF(AND(N($G903)&lt;&gt;0,COUNTIFS(Журнал!$C$10:$C$1509,$C903,Журнал!$P$10:$P$1509,$G903)&gt;0),"есть в Журнале",IF(COUNTIF(Постоянные!$C$8:$C$37,$F903)&gt;0,"есть в Постоянных",IF(COUNTIF(Покупки!$C$7:$C$18,$F903)&gt;0,"есть в Покупках",""))))</f>
        <v/>
      </c>
      <c r="P903">
        <f>IF($C903="","",DATE(YEAR($C903),MONTH($C903),1))</f>
        <v/>
      </c>
      <c r="Q903">
        <f>IF(ISNUMBER($G903),ABS($G903),0)</f>
        <v/>
      </c>
      <c r="R903">
        <f>IF(AND($D903="Расход",COUNTIFS(Счета!$B$10:$B$21,$H903,Счета!$C$10:$C$21,"Кредитная")&gt;0),1,0)</f>
        <v/>
      </c>
    </row>
    <row r="904" ht="19" customHeight="1">
      <c r="B904" s="53">
        <f>IF(AND($C904="",$F904=""),"",ROW()-9)</f>
        <v/>
      </c>
      <c r="C904" s="213" t="n"/>
      <c r="D904" s="55" t="n"/>
      <c r="E904" s="55" t="n"/>
      <c r="F904" s="56" t="n"/>
      <c r="G904" s="196" t="n"/>
      <c r="H904" s="21" t="n"/>
      <c r="I904" s="21" t="n"/>
      <c r="J904" s="53">
        <f>IF($C904="","",INDEX(Настройки!$V$6:$V$17,MONTH($C904))&amp;" "&amp;YEAR($C904))</f>
        <v/>
      </c>
      <c r="K904" s="57">
        <f>IF(OR($F904="",$D904="Перевод"),"",IF(AND(N($G904)&lt;&gt;0,COUNTIFS(Журнал!$C$10:$C$1509,$C904,Журнал!$P$10:$P$1509,$G904)&gt;0),"есть в Журнале",IF(COUNTIF(Постоянные!$C$8:$C$37,$F904)&gt;0,"есть в Постоянных",IF(COUNTIF(Покупки!$C$7:$C$18,$F904)&gt;0,"есть в Покупках",""))))</f>
        <v/>
      </c>
      <c r="P904">
        <f>IF($C904="","",DATE(YEAR($C904),MONTH($C904),1))</f>
        <v/>
      </c>
      <c r="Q904">
        <f>IF(ISNUMBER($G904),ABS($G904),0)</f>
        <v/>
      </c>
      <c r="R904">
        <f>IF(AND($D904="Расход",COUNTIFS(Счета!$B$10:$B$21,$H904,Счета!$C$10:$C$21,"Кредитная")&gt;0),1,0)</f>
        <v/>
      </c>
    </row>
    <row r="905" ht="19" customHeight="1">
      <c r="B905" s="53">
        <f>IF(AND($C905="",$F905=""),"",ROW()-9)</f>
        <v/>
      </c>
      <c r="C905" s="213" t="n"/>
      <c r="D905" s="55" t="n"/>
      <c r="E905" s="55" t="n"/>
      <c r="F905" s="56" t="n"/>
      <c r="G905" s="196" t="n"/>
      <c r="H905" s="21" t="n"/>
      <c r="I905" s="21" t="n"/>
      <c r="J905" s="53">
        <f>IF($C905="","",INDEX(Настройки!$V$6:$V$17,MONTH($C905))&amp;" "&amp;YEAR($C905))</f>
        <v/>
      </c>
      <c r="K905" s="57">
        <f>IF(OR($F905="",$D905="Перевод"),"",IF(AND(N($G905)&lt;&gt;0,COUNTIFS(Журнал!$C$10:$C$1509,$C905,Журнал!$P$10:$P$1509,$G905)&gt;0),"есть в Журнале",IF(COUNTIF(Постоянные!$C$8:$C$37,$F905)&gt;0,"есть в Постоянных",IF(COUNTIF(Покупки!$C$7:$C$18,$F905)&gt;0,"есть в Покупках",""))))</f>
        <v/>
      </c>
      <c r="P905">
        <f>IF($C905="","",DATE(YEAR($C905),MONTH($C905),1))</f>
        <v/>
      </c>
      <c r="Q905">
        <f>IF(ISNUMBER($G905),ABS($G905),0)</f>
        <v/>
      </c>
      <c r="R905">
        <f>IF(AND($D905="Расход",COUNTIFS(Счета!$B$10:$B$21,$H905,Счета!$C$10:$C$21,"Кредитная")&gt;0),1,0)</f>
        <v/>
      </c>
    </row>
    <row r="906" ht="19" customHeight="1">
      <c r="B906" s="53">
        <f>IF(AND($C906="",$F906=""),"",ROW()-9)</f>
        <v/>
      </c>
      <c r="C906" s="213" t="n"/>
      <c r="D906" s="55" t="n"/>
      <c r="E906" s="55" t="n"/>
      <c r="F906" s="56" t="n"/>
      <c r="G906" s="196" t="n"/>
      <c r="H906" s="21" t="n"/>
      <c r="I906" s="21" t="n"/>
      <c r="J906" s="53">
        <f>IF($C906="","",INDEX(Настройки!$V$6:$V$17,MONTH($C906))&amp;" "&amp;YEAR($C906))</f>
        <v/>
      </c>
      <c r="K906" s="57">
        <f>IF(OR($F906="",$D906="Перевод"),"",IF(AND(N($G906)&lt;&gt;0,COUNTIFS(Журнал!$C$10:$C$1509,$C906,Журнал!$P$10:$P$1509,$G906)&gt;0),"есть в Журнале",IF(COUNTIF(Постоянные!$C$8:$C$37,$F906)&gt;0,"есть в Постоянных",IF(COUNTIF(Покупки!$C$7:$C$18,$F906)&gt;0,"есть в Покупках",""))))</f>
        <v/>
      </c>
      <c r="P906">
        <f>IF($C906="","",DATE(YEAR($C906),MONTH($C906),1))</f>
        <v/>
      </c>
      <c r="Q906">
        <f>IF(ISNUMBER($G906),ABS($G906),0)</f>
        <v/>
      </c>
      <c r="R906">
        <f>IF(AND($D906="Расход",COUNTIFS(Счета!$B$10:$B$21,$H906,Счета!$C$10:$C$21,"Кредитная")&gt;0),1,0)</f>
        <v/>
      </c>
    </row>
    <row r="907" ht="19" customHeight="1">
      <c r="B907" s="53">
        <f>IF(AND($C907="",$F907=""),"",ROW()-9)</f>
        <v/>
      </c>
      <c r="C907" s="213" t="n"/>
      <c r="D907" s="55" t="n"/>
      <c r="E907" s="55" t="n"/>
      <c r="F907" s="56" t="n"/>
      <c r="G907" s="196" t="n"/>
      <c r="H907" s="21" t="n"/>
      <c r="I907" s="21" t="n"/>
      <c r="J907" s="53">
        <f>IF($C907="","",INDEX(Настройки!$V$6:$V$17,MONTH($C907))&amp;" "&amp;YEAR($C907))</f>
        <v/>
      </c>
      <c r="K907" s="57">
        <f>IF(OR($F907="",$D907="Перевод"),"",IF(AND(N($G907)&lt;&gt;0,COUNTIFS(Журнал!$C$10:$C$1509,$C907,Журнал!$P$10:$P$1509,$G907)&gt;0),"есть в Журнале",IF(COUNTIF(Постоянные!$C$8:$C$37,$F907)&gt;0,"есть в Постоянных",IF(COUNTIF(Покупки!$C$7:$C$18,$F907)&gt;0,"есть в Покупках",""))))</f>
        <v/>
      </c>
      <c r="P907">
        <f>IF($C907="","",DATE(YEAR($C907),MONTH($C907),1))</f>
        <v/>
      </c>
      <c r="Q907">
        <f>IF(ISNUMBER($G907),ABS($G907),0)</f>
        <v/>
      </c>
      <c r="R907">
        <f>IF(AND($D907="Расход",COUNTIFS(Счета!$B$10:$B$21,$H907,Счета!$C$10:$C$21,"Кредитная")&gt;0),1,0)</f>
        <v/>
      </c>
    </row>
    <row r="908" ht="19" customHeight="1">
      <c r="B908" s="53">
        <f>IF(AND($C908="",$F908=""),"",ROW()-9)</f>
        <v/>
      </c>
      <c r="C908" s="213" t="n"/>
      <c r="D908" s="55" t="n"/>
      <c r="E908" s="55" t="n"/>
      <c r="F908" s="56" t="n"/>
      <c r="G908" s="196" t="n"/>
      <c r="H908" s="21" t="n"/>
      <c r="I908" s="21" t="n"/>
      <c r="J908" s="53">
        <f>IF($C908="","",INDEX(Настройки!$V$6:$V$17,MONTH($C908))&amp;" "&amp;YEAR($C908))</f>
        <v/>
      </c>
      <c r="K908" s="57">
        <f>IF(OR($F908="",$D908="Перевод"),"",IF(AND(N($G908)&lt;&gt;0,COUNTIFS(Журнал!$C$10:$C$1509,$C908,Журнал!$P$10:$P$1509,$G908)&gt;0),"есть в Журнале",IF(COUNTIF(Постоянные!$C$8:$C$37,$F908)&gt;0,"есть в Постоянных",IF(COUNTIF(Покупки!$C$7:$C$18,$F908)&gt;0,"есть в Покупках",""))))</f>
        <v/>
      </c>
      <c r="P908">
        <f>IF($C908="","",DATE(YEAR($C908),MONTH($C908),1))</f>
        <v/>
      </c>
      <c r="Q908">
        <f>IF(ISNUMBER($G908),ABS($G908),0)</f>
        <v/>
      </c>
      <c r="R908">
        <f>IF(AND($D908="Расход",COUNTIFS(Счета!$B$10:$B$21,$H908,Счета!$C$10:$C$21,"Кредитная")&gt;0),1,0)</f>
        <v/>
      </c>
    </row>
    <row r="909" ht="19" customHeight="1">
      <c r="B909" s="53">
        <f>IF(AND($C909="",$F909=""),"",ROW()-9)</f>
        <v/>
      </c>
      <c r="C909" s="213" t="n"/>
      <c r="D909" s="55" t="n"/>
      <c r="E909" s="55" t="n"/>
      <c r="F909" s="56" t="n"/>
      <c r="G909" s="196" t="n"/>
      <c r="H909" s="21" t="n"/>
      <c r="I909" s="21" t="n"/>
      <c r="J909" s="53">
        <f>IF($C909="","",INDEX(Настройки!$V$6:$V$17,MONTH($C909))&amp;" "&amp;YEAR($C909))</f>
        <v/>
      </c>
      <c r="K909" s="57">
        <f>IF(OR($F909="",$D909="Перевод"),"",IF(AND(N($G909)&lt;&gt;0,COUNTIFS(Журнал!$C$10:$C$1509,$C909,Журнал!$P$10:$P$1509,$G909)&gt;0),"есть в Журнале",IF(COUNTIF(Постоянные!$C$8:$C$37,$F909)&gt;0,"есть в Постоянных",IF(COUNTIF(Покупки!$C$7:$C$18,$F909)&gt;0,"есть в Покупках",""))))</f>
        <v/>
      </c>
      <c r="P909">
        <f>IF($C909="","",DATE(YEAR($C909),MONTH($C909),1))</f>
        <v/>
      </c>
      <c r="Q909">
        <f>IF(ISNUMBER($G909),ABS($G909),0)</f>
        <v/>
      </c>
      <c r="R909">
        <f>IF(AND($D909="Расход",COUNTIFS(Счета!$B$10:$B$21,$H909,Счета!$C$10:$C$21,"Кредитная")&gt;0),1,0)</f>
        <v/>
      </c>
    </row>
    <row r="910" ht="19" customHeight="1">
      <c r="B910" s="53">
        <f>IF(AND($C910="",$F910=""),"",ROW()-9)</f>
        <v/>
      </c>
      <c r="C910" s="213" t="n"/>
      <c r="D910" s="55" t="n"/>
      <c r="E910" s="55" t="n"/>
      <c r="F910" s="56" t="n"/>
      <c r="G910" s="196" t="n"/>
      <c r="H910" s="21" t="n"/>
      <c r="I910" s="21" t="n"/>
      <c r="J910" s="53">
        <f>IF($C910="","",INDEX(Настройки!$V$6:$V$17,MONTH($C910))&amp;" "&amp;YEAR($C910))</f>
        <v/>
      </c>
      <c r="K910" s="57">
        <f>IF(OR($F910="",$D910="Перевод"),"",IF(AND(N($G910)&lt;&gt;0,COUNTIFS(Журнал!$C$10:$C$1509,$C910,Журнал!$P$10:$P$1509,$G910)&gt;0),"есть в Журнале",IF(COUNTIF(Постоянные!$C$8:$C$37,$F910)&gt;0,"есть в Постоянных",IF(COUNTIF(Покупки!$C$7:$C$18,$F910)&gt;0,"есть в Покупках",""))))</f>
        <v/>
      </c>
      <c r="P910">
        <f>IF($C910="","",DATE(YEAR($C910),MONTH($C910),1))</f>
        <v/>
      </c>
      <c r="Q910">
        <f>IF(ISNUMBER($G910),ABS($G910),0)</f>
        <v/>
      </c>
      <c r="R910">
        <f>IF(AND($D910="Расход",COUNTIFS(Счета!$B$10:$B$21,$H910,Счета!$C$10:$C$21,"Кредитная")&gt;0),1,0)</f>
        <v/>
      </c>
    </row>
    <row r="911" ht="19" customHeight="1">
      <c r="B911" s="53">
        <f>IF(AND($C911="",$F911=""),"",ROW()-9)</f>
        <v/>
      </c>
      <c r="C911" s="213" t="n"/>
      <c r="D911" s="55" t="n"/>
      <c r="E911" s="55" t="n"/>
      <c r="F911" s="56" t="n"/>
      <c r="G911" s="196" t="n"/>
      <c r="H911" s="21" t="n"/>
      <c r="I911" s="21" t="n"/>
      <c r="J911" s="53">
        <f>IF($C911="","",INDEX(Настройки!$V$6:$V$17,MONTH($C911))&amp;" "&amp;YEAR($C911))</f>
        <v/>
      </c>
      <c r="K911" s="57">
        <f>IF(OR($F911="",$D911="Перевод"),"",IF(AND(N($G911)&lt;&gt;0,COUNTIFS(Журнал!$C$10:$C$1509,$C911,Журнал!$P$10:$P$1509,$G911)&gt;0),"есть в Журнале",IF(COUNTIF(Постоянные!$C$8:$C$37,$F911)&gt;0,"есть в Постоянных",IF(COUNTIF(Покупки!$C$7:$C$18,$F911)&gt;0,"есть в Покупках",""))))</f>
        <v/>
      </c>
      <c r="P911">
        <f>IF($C911="","",DATE(YEAR($C911),MONTH($C911),1))</f>
        <v/>
      </c>
      <c r="Q911">
        <f>IF(ISNUMBER($G911),ABS($G911),0)</f>
        <v/>
      </c>
      <c r="R911">
        <f>IF(AND($D911="Расход",COUNTIFS(Счета!$B$10:$B$21,$H911,Счета!$C$10:$C$21,"Кредитная")&gt;0),1,0)</f>
        <v/>
      </c>
    </row>
    <row r="912" ht="19" customHeight="1">
      <c r="B912" s="53">
        <f>IF(AND($C912="",$F912=""),"",ROW()-9)</f>
        <v/>
      </c>
      <c r="C912" s="213" t="n"/>
      <c r="D912" s="55" t="n"/>
      <c r="E912" s="55" t="n"/>
      <c r="F912" s="56" t="n"/>
      <c r="G912" s="196" t="n"/>
      <c r="H912" s="21" t="n"/>
      <c r="I912" s="21" t="n"/>
      <c r="J912" s="53">
        <f>IF($C912="","",INDEX(Настройки!$V$6:$V$17,MONTH($C912))&amp;" "&amp;YEAR($C912))</f>
        <v/>
      </c>
      <c r="K912" s="57">
        <f>IF(OR($F912="",$D912="Перевод"),"",IF(AND(N($G912)&lt;&gt;0,COUNTIFS(Журнал!$C$10:$C$1509,$C912,Журнал!$P$10:$P$1509,$G912)&gt;0),"есть в Журнале",IF(COUNTIF(Постоянные!$C$8:$C$37,$F912)&gt;0,"есть в Постоянных",IF(COUNTIF(Покупки!$C$7:$C$18,$F912)&gt;0,"есть в Покупках",""))))</f>
        <v/>
      </c>
      <c r="P912">
        <f>IF($C912="","",DATE(YEAR($C912),MONTH($C912),1))</f>
        <v/>
      </c>
      <c r="Q912">
        <f>IF(ISNUMBER($G912),ABS($G912),0)</f>
        <v/>
      </c>
      <c r="R912">
        <f>IF(AND($D912="Расход",COUNTIFS(Счета!$B$10:$B$21,$H912,Счета!$C$10:$C$21,"Кредитная")&gt;0),1,0)</f>
        <v/>
      </c>
    </row>
    <row r="913" ht="19" customHeight="1">
      <c r="B913" s="53">
        <f>IF(AND($C913="",$F913=""),"",ROW()-9)</f>
        <v/>
      </c>
      <c r="C913" s="213" t="n"/>
      <c r="D913" s="55" t="n"/>
      <c r="E913" s="55" t="n"/>
      <c r="F913" s="56" t="n"/>
      <c r="G913" s="196" t="n"/>
      <c r="H913" s="21" t="n"/>
      <c r="I913" s="21" t="n"/>
      <c r="J913" s="53">
        <f>IF($C913="","",INDEX(Настройки!$V$6:$V$17,MONTH($C913))&amp;" "&amp;YEAR($C913))</f>
        <v/>
      </c>
      <c r="K913" s="57">
        <f>IF(OR($F913="",$D913="Перевод"),"",IF(AND(N($G913)&lt;&gt;0,COUNTIFS(Журнал!$C$10:$C$1509,$C913,Журнал!$P$10:$P$1509,$G913)&gt;0),"есть в Журнале",IF(COUNTIF(Постоянные!$C$8:$C$37,$F913)&gt;0,"есть в Постоянных",IF(COUNTIF(Покупки!$C$7:$C$18,$F913)&gt;0,"есть в Покупках",""))))</f>
        <v/>
      </c>
      <c r="P913">
        <f>IF($C913="","",DATE(YEAR($C913),MONTH($C913),1))</f>
        <v/>
      </c>
      <c r="Q913">
        <f>IF(ISNUMBER($G913),ABS($G913),0)</f>
        <v/>
      </c>
      <c r="R913">
        <f>IF(AND($D913="Расход",COUNTIFS(Счета!$B$10:$B$21,$H913,Счета!$C$10:$C$21,"Кредитная")&gt;0),1,0)</f>
        <v/>
      </c>
    </row>
    <row r="914" ht="19" customHeight="1">
      <c r="B914" s="53">
        <f>IF(AND($C914="",$F914=""),"",ROW()-9)</f>
        <v/>
      </c>
      <c r="C914" s="213" t="n"/>
      <c r="D914" s="55" t="n"/>
      <c r="E914" s="55" t="n"/>
      <c r="F914" s="56" t="n"/>
      <c r="G914" s="196" t="n"/>
      <c r="H914" s="21" t="n"/>
      <c r="I914" s="21" t="n"/>
      <c r="J914" s="53">
        <f>IF($C914="","",INDEX(Настройки!$V$6:$V$17,MONTH($C914))&amp;" "&amp;YEAR($C914))</f>
        <v/>
      </c>
      <c r="K914" s="57">
        <f>IF(OR($F914="",$D914="Перевод"),"",IF(AND(N($G914)&lt;&gt;0,COUNTIFS(Журнал!$C$10:$C$1509,$C914,Журнал!$P$10:$P$1509,$G914)&gt;0),"есть в Журнале",IF(COUNTIF(Постоянные!$C$8:$C$37,$F914)&gt;0,"есть в Постоянных",IF(COUNTIF(Покупки!$C$7:$C$18,$F914)&gt;0,"есть в Покупках",""))))</f>
        <v/>
      </c>
      <c r="P914">
        <f>IF($C914="","",DATE(YEAR($C914),MONTH($C914),1))</f>
        <v/>
      </c>
      <c r="Q914">
        <f>IF(ISNUMBER($G914),ABS($G914),0)</f>
        <v/>
      </c>
      <c r="R914">
        <f>IF(AND($D914="Расход",COUNTIFS(Счета!$B$10:$B$21,$H914,Счета!$C$10:$C$21,"Кредитная")&gt;0),1,0)</f>
        <v/>
      </c>
    </row>
    <row r="915" ht="19" customHeight="1">
      <c r="B915" s="53">
        <f>IF(AND($C915="",$F915=""),"",ROW()-9)</f>
        <v/>
      </c>
      <c r="C915" s="213" t="n"/>
      <c r="D915" s="55" t="n"/>
      <c r="E915" s="55" t="n"/>
      <c r="F915" s="56" t="n"/>
      <c r="G915" s="196" t="n"/>
      <c r="H915" s="21" t="n"/>
      <c r="I915" s="21" t="n"/>
      <c r="J915" s="53">
        <f>IF($C915="","",INDEX(Настройки!$V$6:$V$17,MONTH($C915))&amp;" "&amp;YEAR($C915))</f>
        <v/>
      </c>
      <c r="K915" s="57">
        <f>IF(OR($F915="",$D915="Перевод"),"",IF(AND(N($G915)&lt;&gt;0,COUNTIFS(Журнал!$C$10:$C$1509,$C915,Журнал!$P$10:$P$1509,$G915)&gt;0),"есть в Журнале",IF(COUNTIF(Постоянные!$C$8:$C$37,$F915)&gt;0,"есть в Постоянных",IF(COUNTIF(Покупки!$C$7:$C$18,$F915)&gt;0,"есть в Покупках",""))))</f>
        <v/>
      </c>
      <c r="P915">
        <f>IF($C915="","",DATE(YEAR($C915),MONTH($C915),1))</f>
        <v/>
      </c>
      <c r="Q915">
        <f>IF(ISNUMBER($G915),ABS($G915),0)</f>
        <v/>
      </c>
      <c r="R915">
        <f>IF(AND($D915="Расход",COUNTIFS(Счета!$B$10:$B$21,$H915,Счета!$C$10:$C$21,"Кредитная")&gt;0),1,0)</f>
        <v/>
      </c>
    </row>
    <row r="916" ht="19" customHeight="1">
      <c r="B916" s="53">
        <f>IF(AND($C916="",$F916=""),"",ROW()-9)</f>
        <v/>
      </c>
      <c r="C916" s="213" t="n"/>
      <c r="D916" s="55" t="n"/>
      <c r="E916" s="55" t="n"/>
      <c r="F916" s="56" t="n"/>
      <c r="G916" s="196" t="n"/>
      <c r="H916" s="21" t="n"/>
      <c r="I916" s="21" t="n"/>
      <c r="J916" s="53">
        <f>IF($C916="","",INDEX(Настройки!$V$6:$V$17,MONTH($C916))&amp;" "&amp;YEAR($C916))</f>
        <v/>
      </c>
      <c r="K916" s="57">
        <f>IF(OR($F916="",$D916="Перевод"),"",IF(AND(N($G916)&lt;&gt;0,COUNTIFS(Журнал!$C$10:$C$1509,$C916,Журнал!$P$10:$P$1509,$G916)&gt;0),"есть в Журнале",IF(COUNTIF(Постоянные!$C$8:$C$37,$F916)&gt;0,"есть в Постоянных",IF(COUNTIF(Покупки!$C$7:$C$18,$F916)&gt;0,"есть в Покупках",""))))</f>
        <v/>
      </c>
      <c r="P916">
        <f>IF($C916="","",DATE(YEAR($C916),MONTH($C916),1))</f>
        <v/>
      </c>
      <c r="Q916">
        <f>IF(ISNUMBER($G916),ABS($G916),0)</f>
        <v/>
      </c>
      <c r="R916">
        <f>IF(AND($D916="Расход",COUNTIFS(Счета!$B$10:$B$21,$H916,Счета!$C$10:$C$21,"Кредитная")&gt;0),1,0)</f>
        <v/>
      </c>
    </row>
    <row r="917" ht="19" customHeight="1">
      <c r="B917" s="53">
        <f>IF(AND($C917="",$F917=""),"",ROW()-9)</f>
        <v/>
      </c>
      <c r="C917" s="213" t="n"/>
      <c r="D917" s="55" t="n"/>
      <c r="E917" s="55" t="n"/>
      <c r="F917" s="56" t="n"/>
      <c r="G917" s="196" t="n"/>
      <c r="H917" s="21" t="n"/>
      <c r="I917" s="21" t="n"/>
      <c r="J917" s="53">
        <f>IF($C917="","",INDEX(Настройки!$V$6:$V$17,MONTH($C917))&amp;" "&amp;YEAR($C917))</f>
        <v/>
      </c>
      <c r="K917" s="57">
        <f>IF(OR($F917="",$D917="Перевод"),"",IF(AND(N($G917)&lt;&gt;0,COUNTIFS(Журнал!$C$10:$C$1509,$C917,Журнал!$P$10:$P$1509,$G917)&gt;0),"есть в Журнале",IF(COUNTIF(Постоянные!$C$8:$C$37,$F917)&gt;0,"есть в Постоянных",IF(COUNTIF(Покупки!$C$7:$C$18,$F917)&gt;0,"есть в Покупках",""))))</f>
        <v/>
      </c>
      <c r="P917">
        <f>IF($C917="","",DATE(YEAR($C917),MONTH($C917),1))</f>
        <v/>
      </c>
      <c r="Q917">
        <f>IF(ISNUMBER($G917),ABS($G917),0)</f>
        <v/>
      </c>
      <c r="R917">
        <f>IF(AND($D917="Расход",COUNTIFS(Счета!$B$10:$B$21,$H917,Счета!$C$10:$C$21,"Кредитная")&gt;0),1,0)</f>
        <v/>
      </c>
    </row>
    <row r="918" ht="19" customHeight="1">
      <c r="B918" s="53">
        <f>IF(AND($C918="",$F918=""),"",ROW()-9)</f>
        <v/>
      </c>
      <c r="C918" s="213" t="n"/>
      <c r="D918" s="55" t="n"/>
      <c r="E918" s="55" t="n"/>
      <c r="F918" s="56" t="n"/>
      <c r="G918" s="196" t="n"/>
      <c r="H918" s="21" t="n"/>
      <c r="I918" s="21" t="n"/>
      <c r="J918" s="53">
        <f>IF($C918="","",INDEX(Настройки!$V$6:$V$17,MONTH($C918))&amp;" "&amp;YEAR($C918))</f>
        <v/>
      </c>
      <c r="K918" s="57">
        <f>IF(OR($F918="",$D918="Перевод"),"",IF(AND(N($G918)&lt;&gt;0,COUNTIFS(Журнал!$C$10:$C$1509,$C918,Журнал!$P$10:$P$1509,$G918)&gt;0),"есть в Журнале",IF(COUNTIF(Постоянные!$C$8:$C$37,$F918)&gt;0,"есть в Постоянных",IF(COUNTIF(Покупки!$C$7:$C$18,$F918)&gt;0,"есть в Покупках",""))))</f>
        <v/>
      </c>
      <c r="P918">
        <f>IF($C918="","",DATE(YEAR($C918),MONTH($C918),1))</f>
        <v/>
      </c>
      <c r="Q918">
        <f>IF(ISNUMBER($G918),ABS($G918),0)</f>
        <v/>
      </c>
      <c r="R918">
        <f>IF(AND($D918="Расход",COUNTIFS(Счета!$B$10:$B$21,$H918,Счета!$C$10:$C$21,"Кредитная")&gt;0),1,0)</f>
        <v/>
      </c>
    </row>
    <row r="919" ht="19" customHeight="1">
      <c r="B919" s="53">
        <f>IF(AND($C919="",$F919=""),"",ROW()-9)</f>
        <v/>
      </c>
      <c r="C919" s="213" t="n"/>
      <c r="D919" s="55" t="n"/>
      <c r="E919" s="55" t="n"/>
      <c r="F919" s="56" t="n"/>
      <c r="G919" s="196" t="n"/>
      <c r="H919" s="21" t="n"/>
      <c r="I919" s="21" t="n"/>
      <c r="J919" s="53">
        <f>IF($C919="","",INDEX(Настройки!$V$6:$V$17,MONTH($C919))&amp;" "&amp;YEAR($C919))</f>
        <v/>
      </c>
      <c r="K919" s="57">
        <f>IF(OR($F919="",$D919="Перевод"),"",IF(AND(N($G919)&lt;&gt;0,COUNTIFS(Журнал!$C$10:$C$1509,$C919,Журнал!$P$10:$P$1509,$G919)&gt;0),"есть в Журнале",IF(COUNTIF(Постоянные!$C$8:$C$37,$F919)&gt;0,"есть в Постоянных",IF(COUNTIF(Покупки!$C$7:$C$18,$F919)&gt;0,"есть в Покупках",""))))</f>
        <v/>
      </c>
      <c r="P919">
        <f>IF($C919="","",DATE(YEAR($C919),MONTH($C919),1))</f>
        <v/>
      </c>
      <c r="Q919">
        <f>IF(ISNUMBER($G919),ABS($G919),0)</f>
        <v/>
      </c>
      <c r="R919">
        <f>IF(AND($D919="Расход",COUNTIFS(Счета!$B$10:$B$21,$H919,Счета!$C$10:$C$21,"Кредитная")&gt;0),1,0)</f>
        <v/>
      </c>
    </row>
    <row r="920" ht="19" customHeight="1">
      <c r="B920" s="53">
        <f>IF(AND($C920="",$F920=""),"",ROW()-9)</f>
        <v/>
      </c>
      <c r="C920" s="213" t="n"/>
      <c r="D920" s="55" t="n"/>
      <c r="E920" s="55" t="n"/>
      <c r="F920" s="56" t="n"/>
      <c r="G920" s="196" t="n"/>
      <c r="H920" s="21" t="n"/>
      <c r="I920" s="21" t="n"/>
      <c r="J920" s="53">
        <f>IF($C920="","",INDEX(Настройки!$V$6:$V$17,MONTH($C920))&amp;" "&amp;YEAR($C920))</f>
        <v/>
      </c>
      <c r="K920" s="57">
        <f>IF(OR($F920="",$D920="Перевод"),"",IF(AND(N($G920)&lt;&gt;0,COUNTIFS(Журнал!$C$10:$C$1509,$C920,Журнал!$P$10:$P$1509,$G920)&gt;0),"есть в Журнале",IF(COUNTIF(Постоянные!$C$8:$C$37,$F920)&gt;0,"есть в Постоянных",IF(COUNTIF(Покупки!$C$7:$C$18,$F920)&gt;0,"есть в Покупках",""))))</f>
        <v/>
      </c>
      <c r="P920">
        <f>IF($C920="","",DATE(YEAR($C920),MONTH($C920),1))</f>
        <v/>
      </c>
      <c r="Q920">
        <f>IF(ISNUMBER($G920),ABS($G920),0)</f>
        <v/>
      </c>
      <c r="R920">
        <f>IF(AND($D920="Расход",COUNTIFS(Счета!$B$10:$B$21,$H920,Счета!$C$10:$C$21,"Кредитная")&gt;0),1,0)</f>
        <v/>
      </c>
    </row>
    <row r="921" ht="19" customHeight="1">
      <c r="B921" s="53">
        <f>IF(AND($C921="",$F921=""),"",ROW()-9)</f>
        <v/>
      </c>
      <c r="C921" s="213" t="n"/>
      <c r="D921" s="55" t="n"/>
      <c r="E921" s="55" t="n"/>
      <c r="F921" s="56" t="n"/>
      <c r="G921" s="196" t="n"/>
      <c r="H921" s="21" t="n"/>
      <c r="I921" s="21" t="n"/>
      <c r="J921" s="53">
        <f>IF($C921="","",INDEX(Настройки!$V$6:$V$17,MONTH($C921))&amp;" "&amp;YEAR($C921))</f>
        <v/>
      </c>
      <c r="K921" s="57">
        <f>IF(OR($F921="",$D921="Перевод"),"",IF(AND(N($G921)&lt;&gt;0,COUNTIFS(Журнал!$C$10:$C$1509,$C921,Журнал!$P$10:$P$1509,$G921)&gt;0),"есть в Журнале",IF(COUNTIF(Постоянные!$C$8:$C$37,$F921)&gt;0,"есть в Постоянных",IF(COUNTIF(Покупки!$C$7:$C$18,$F921)&gt;0,"есть в Покупках",""))))</f>
        <v/>
      </c>
      <c r="P921">
        <f>IF($C921="","",DATE(YEAR($C921),MONTH($C921),1))</f>
        <v/>
      </c>
      <c r="Q921">
        <f>IF(ISNUMBER($G921),ABS($G921),0)</f>
        <v/>
      </c>
      <c r="R921">
        <f>IF(AND($D921="Расход",COUNTIFS(Счета!$B$10:$B$21,$H921,Счета!$C$10:$C$21,"Кредитная")&gt;0),1,0)</f>
        <v/>
      </c>
    </row>
    <row r="922" ht="19" customHeight="1">
      <c r="B922" s="53">
        <f>IF(AND($C922="",$F922=""),"",ROW()-9)</f>
        <v/>
      </c>
      <c r="C922" s="213" t="n"/>
      <c r="D922" s="55" t="n"/>
      <c r="E922" s="55" t="n"/>
      <c r="F922" s="56" t="n"/>
      <c r="G922" s="196" t="n"/>
      <c r="H922" s="21" t="n"/>
      <c r="I922" s="21" t="n"/>
      <c r="J922" s="53">
        <f>IF($C922="","",INDEX(Настройки!$V$6:$V$17,MONTH($C922))&amp;" "&amp;YEAR($C922))</f>
        <v/>
      </c>
      <c r="K922" s="57">
        <f>IF(OR($F922="",$D922="Перевод"),"",IF(AND(N($G922)&lt;&gt;0,COUNTIFS(Журнал!$C$10:$C$1509,$C922,Журнал!$P$10:$P$1509,$G922)&gt;0),"есть в Журнале",IF(COUNTIF(Постоянные!$C$8:$C$37,$F922)&gt;0,"есть в Постоянных",IF(COUNTIF(Покупки!$C$7:$C$18,$F922)&gt;0,"есть в Покупках",""))))</f>
        <v/>
      </c>
      <c r="P922">
        <f>IF($C922="","",DATE(YEAR($C922),MONTH($C922),1))</f>
        <v/>
      </c>
      <c r="Q922">
        <f>IF(ISNUMBER($G922),ABS($G922),0)</f>
        <v/>
      </c>
      <c r="R922">
        <f>IF(AND($D922="Расход",COUNTIFS(Счета!$B$10:$B$21,$H922,Счета!$C$10:$C$21,"Кредитная")&gt;0),1,0)</f>
        <v/>
      </c>
    </row>
    <row r="923" ht="19" customHeight="1">
      <c r="B923" s="53">
        <f>IF(AND($C923="",$F923=""),"",ROW()-9)</f>
        <v/>
      </c>
      <c r="C923" s="213" t="n"/>
      <c r="D923" s="55" t="n"/>
      <c r="E923" s="55" t="n"/>
      <c r="F923" s="56" t="n"/>
      <c r="G923" s="196" t="n"/>
      <c r="H923" s="21" t="n"/>
      <c r="I923" s="21" t="n"/>
      <c r="J923" s="53">
        <f>IF($C923="","",INDEX(Настройки!$V$6:$V$17,MONTH($C923))&amp;" "&amp;YEAR($C923))</f>
        <v/>
      </c>
      <c r="K923" s="57">
        <f>IF(OR($F923="",$D923="Перевод"),"",IF(AND(N($G923)&lt;&gt;0,COUNTIFS(Журнал!$C$10:$C$1509,$C923,Журнал!$P$10:$P$1509,$G923)&gt;0),"есть в Журнале",IF(COUNTIF(Постоянные!$C$8:$C$37,$F923)&gt;0,"есть в Постоянных",IF(COUNTIF(Покупки!$C$7:$C$18,$F923)&gt;0,"есть в Покупках",""))))</f>
        <v/>
      </c>
      <c r="P923">
        <f>IF($C923="","",DATE(YEAR($C923),MONTH($C923),1))</f>
        <v/>
      </c>
      <c r="Q923">
        <f>IF(ISNUMBER($G923),ABS($G923),0)</f>
        <v/>
      </c>
      <c r="R923">
        <f>IF(AND($D923="Расход",COUNTIFS(Счета!$B$10:$B$21,$H923,Счета!$C$10:$C$21,"Кредитная")&gt;0),1,0)</f>
        <v/>
      </c>
    </row>
    <row r="924" ht="19" customHeight="1">
      <c r="B924" s="53">
        <f>IF(AND($C924="",$F924=""),"",ROW()-9)</f>
        <v/>
      </c>
      <c r="C924" s="213" t="n"/>
      <c r="D924" s="55" t="n"/>
      <c r="E924" s="55" t="n"/>
      <c r="F924" s="56" t="n"/>
      <c r="G924" s="196" t="n"/>
      <c r="H924" s="21" t="n"/>
      <c r="I924" s="21" t="n"/>
      <c r="J924" s="53">
        <f>IF($C924="","",INDEX(Настройки!$V$6:$V$17,MONTH($C924))&amp;" "&amp;YEAR($C924))</f>
        <v/>
      </c>
      <c r="K924" s="57">
        <f>IF(OR($F924="",$D924="Перевод"),"",IF(AND(N($G924)&lt;&gt;0,COUNTIFS(Журнал!$C$10:$C$1509,$C924,Журнал!$P$10:$P$1509,$G924)&gt;0),"есть в Журнале",IF(COUNTIF(Постоянные!$C$8:$C$37,$F924)&gt;0,"есть в Постоянных",IF(COUNTIF(Покупки!$C$7:$C$18,$F924)&gt;0,"есть в Покупках",""))))</f>
        <v/>
      </c>
      <c r="P924">
        <f>IF($C924="","",DATE(YEAR($C924),MONTH($C924),1))</f>
        <v/>
      </c>
      <c r="Q924">
        <f>IF(ISNUMBER($G924),ABS($G924),0)</f>
        <v/>
      </c>
      <c r="R924">
        <f>IF(AND($D924="Расход",COUNTIFS(Счета!$B$10:$B$21,$H924,Счета!$C$10:$C$21,"Кредитная")&gt;0),1,0)</f>
        <v/>
      </c>
    </row>
    <row r="925" ht="19" customHeight="1">
      <c r="B925" s="53">
        <f>IF(AND($C925="",$F925=""),"",ROW()-9)</f>
        <v/>
      </c>
      <c r="C925" s="213" t="n"/>
      <c r="D925" s="55" t="n"/>
      <c r="E925" s="55" t="n"/>
      <c r="F925" s="56" t="n"/>
      <c r="G925" s="196" t="n"/>
      <c r="H925" s="21" t="n"/>
      <c r="I925" s="21" t="n"/>
      <c r="J925" s="53">
        <f>IF($C925="","",INDEX(Настройки!$V$6:$V$17,MONTH($C925))&amp;" "&amp;YEAR($C925))</f>
        <v/>
      </c>
      <c r="K925" s="57">
        <f>IF(OR($F925="",$D925="Перевод"),"",IF(AND(N($G925)&lt;&gt;0,COUNTIFS(Журнал!$C$10:$C$1509,$C925,Журнал!$P$10:$P$1509,$G925)&gt;0),"есть в Журнале",IF(COUNTIF(Постоянные!$C$8:$C$37,$F925)&gt;0,"есть в Постоянных",IF(COUNTIF(Покупки!$C$7:$C$18,$F925)&gt;0,"есть в Покупках",""))))</f>
        <v/>
      </c>
      <c r="P925">
        <f>IF($C925="","",DATE(YEAR($C925),MONTH($C925),1))</f>
        <v/>
      </c>
      <c r="Q925">
        <f>IF(ISNUMBER($G925),ABS($G925),0)</f>
        <v/>
      </c>
      <c r="R925">
        <f>IF(AND($D925="Расход",COUNTIFS(Счета!$B$10:$B$21,$H925,Счета!$C$10:$C$21,"Кредитная")&gt;0),1,0)</f>
        <v/>
      </c>
    </row>
    <row r="926" ht="19" customHeight="1">
      <c r="B926" s="53">
        <f>IF(AND($C926="",$F926=""),"",ROW()-9)</f>
        <v/>
      </c>
      <c r="C926" s="213" t="n"/>
      <c r="D926" s="55" t="n"/>
      <c r="E926" s="55" t="n"/>
      <c r="F926" s="56" t="n"/>
      <c r="G926" s="196" t="n"/>
      <c r="H926" s="21" t="n"/>
      <c r="I926" s="21" t="n"/>
      <c r="J926" s="53">
        <f>IF($C926="","",INDEX(Настройки!$V$6:$V$17,MONTH($C926))&amp;" "&amp;YEAR($C926))</f>
        <v/>
      </c>
      <c r="K926" s="57">
        <f>IF(OR($F926="",$D926="Перевод"),"",IF(AND(N($G926)&lt;&gt;0,COUNTIFS(Журнал!$C$10:$C$1509,$C926,Журнал!$P$10:$P$1509,$G926)&gt;0),"есть в Журнале",IF(COUNTIF(Постоянные!$C$8:$C$37,$F926)&gt;0,"есть в Постоянных",IF(COUNTIF(Покупки!$C$7:$C$18,$F926)&gt;0,"есть в Покупках",""))))</f>
        <v/>
      </c>
      <c r="P926">
        <f>IF($C926="","",DATE(YEAR($C926),MONTH($C926),1))</f>
        <v/>
      </c>
      <c r="Q926">
        <f>IF(ISNUMBER($G926),ABS($G926),0)</f>
        <v/>
      </c>
      <c r="R926">
        <f>IF(AND($D926="Расход",COUNTIFS(Счета!$B$10:$B$21,$H926,Счета!$C$10:$C$21,"Кредитная")&gt;0),1,0)</f>
        <v/>
      </c>
    </row>
    <row r="927" ht="19" customHeight="1">
      <c r="B927" s="53">
        <f>IF(AND($C927="",$F927=""),"",ROW()-9)</f>
        <v/>
      </c>
      <c r="C927" s="213" t="n"/>
      <c r="D927" s="55" t="n"/>
      <c r="E927" s="55" t="n"/>
      <c r="F927" s="56" t="n"/>
      <c r="G927" s="196" t="n"/>
      <c r="H927" s="21" t="n"/>
      <c r="I927" s="21" t="n"/>
      <c r="J927" s="53">
        <f>IF($C927="","",INDEX(Настройки!$V$6:$V$17,MONTH($C927))&amp;" "&amp;YEAR($C927))</f>
        <v/>
      </c>
      <c r="K927" s="57">
        <f>IF(OR($F927="",$D927="Перевод"),"",IF(AND(N($G927)&lt;&gt;0,COUNTIFS(Журнал!$C$10:$C$1509,$C927,Журнал!$P$10:$P$1509,$G927)&gt;0),"есть в Журнале",IF(COUNTIF(Постоянные!$C$8:$C$37,$F927)&gt;0,"есть в Постоянных",IF(COUNTIF(Покупки!$C$7:$C$18,$F927)&gt;0,"есть в Покупках",""))))</f>
        <v/>
      </c>
      <c r="P927">
        <f>IF($C927="","",DATE(YEAR($C927),MONTH($C927),1))</f>
        <v/>
      </c>
      <c r="Q927">
        <f>IF(ISNUMBER($G927),ABS($G927),0)</f>
        <v/>
      </c>
      <c r="R927">
        <f>IF(AND($D927="Расход",COUNTIFS(Счета!$B$10:$B$21,$H927,Счета!$C$10:$C$21,"Кредитная")&gt;0),1,0)</f>
        <v/>
      </c>
    </row>
    <row r="928" ht="19" customHeight="1">
      <c r="B928" s="53">
        <f>IF(AND($C928="",$F928=""),"",ROW()-9)</f>
        <v/>
      </c>
      <c r="C928" s="213" t="n"/>
      <c r="D928" s="55" t="n"/>
      <c r="E928" s="55" t="n"/>
      <c r="F928" s="56" t="n"/>
      <c r="G928" s="196" t="n"/>
      <c r="H928" s="21" t="n"/>
      <c r="I928" s="21" t="n"/>
      <c r="J928" s="53">
        <f>IF($C928="","",INDEX(Настройки!$V$6:$V$17,MONTH($C928))&amp;" "&amp;YEAR($C928))</f>
        <v/>
      </c>
      <c r="K928" s="57">
        <f>IF(OR($F928="",$D928="Перевод"),"",IF(AND(N($G928)&lt;&gt;0,COUNTIFS(Журнал!$C$10:$C$1509,$C928,Журнал!$P$10:$P$1509,$G928)&gt;0),"есть в Журнале",IF(COUNTIF(Постоянные!$C$8:$C$37,$F928)&gt;0,"есть в Постоянных",IF(COUNTIF(Покупки!$C$7:$C$18,$F928)&gt;0,"есть в Покупках",""))))</f>
        <v/>
      </c>
      <c r="P928">
        <f>IF($C928="","",DATE(YEAR($C928),MONTH($C928),1))</f>
        <v/>
      </c>
      <c r="Q928">
        <f>IF(ISNUMBER($G928),ABS($G928),0)</f>
        <v/>
      </c>
      <c r="R928">
        <f>IF(AND($D928="Расход",COUNTIFS(Счета!$B$10:$B$21,$H928,Счета!$C$10:$C$21,"Кредитная")&gt;0),1,0)</f>
        <v/>
      </c>
    </row>
    <row r="929" ht="19" customHeight="1">
      <c r="B929" s="53">
        <f>IF(AND($C929="",$F929=""),"",ROW()-9)</f>
        <v/>
      </c>
      <c r="C929" s="213" t="n"/>
      <c r="D929" s="55" t="n"/>
      <c r="E929" s="55" t="n"/>
      <c r="F929" s="56" t="n"/>
      <c r="G929" s="196" t="n"/>
      <c r="H929" s="21" t="n"/>
      <c r="I929" s="21" t="n"/>
      <c r="J929" s="53">
        <f>IF($C929="","",INDEX(Настройки!$V$6:$V$17,MONTH($C929))&amp;" "&amp;YEAR($C929))</f>
        <v/>
      </c>
      <c r="K929" s="57">
        <f>IF(OR($F929="",$D929="Перевод"),"",IF(AND(N($G929)&lt;&gt;0,COUNTIFS(Журнал!$C$10:$C$1509,$C929,Журнал!$P$10:$P$1509,$G929)&gt;0),"есть в Журнале",IF(COUNTIF(Постоянные!$C$8:$C$37,$F929)&gt;0,"есть в Постоянных",IF(COUNTIF(Покупки!$C$7:$C$18,$F929)&gt;0,"есть в Покупках",""))))</f>
        <v/>
      </c>
      <c r="P929">
        <f>IF($C929="","",DATE(YEAR($C929),MONTH($C929),1))</f>
        <v/>
      </c>
      <c r="Q929">
        <f>IF(ISNUMBER($G929),ABS($G929),0)</f>
        <v/>
      </c>
      <c r="R929">
        <f>IF(AND($D929="Расход",COUNTIFS(Счета!$B$10:$B$21,$H929,Счета!$C$10:$C$21,"Кредитная")&gt;0),1,0)</f>
        <v/>
      </c>
    </row>
    <row r="930" ht="19" customHeight="1">
      <c r="B930" s="53">
        <f>IF(AND($C930="",$F930=""),"",ROW()-9)</f>
        <v/>
      </c>
      <c r="C930" s="213" t="n"/>
      <c r="D930" s="55" t="n"/>
      <c r="E930" s="55" t="n"/>
      <c r="F930" s="56" t="n"/>
      <c r="G930" s="196" t="n"/>
      <c r="H930" s="21" t="n"/>
      <c r="I930" s="21" t="n"/>
      <c r="J930" s="53">
        <f>IF($C930="","",INDEX(Настройки!$V$6:$V$17,MONTH($C930))&amp;" "&amp;YEAR($C930))</f>
        <v/>
      </c>
      <c r="K930" s="57">
        <f>IF(OR($F930="",$D930="Перевод"),"",IF(AND(N($G930)&lt;&gt;0,COUNTIFS(Журнал!$C$10:$C$1509,$C930,Журнал!$P$10:$P$1509,$G930)&gt;0),"есть в Журнале",IF(COUNTIF(Постоянные!$C$8:$C$37,$F930)&gt;0,"есть в Постоянных",IF(COUNTIF(Покупки!$C$7:$C$18,$F930)&gt;0,"есть в Покупках",""))))</f>
        <v/>
      </c>
      <c r="P930">
        <f>IF($C930="","",DATE(YEAR($C930),MONTH($C930),1))</f>
        <v/>
      </c>
      <c r="Q930">
        <f>IF(ISNUMBER($G930),ABS($G930),0)</f>
        <v/>
      </c>
      <c r="R930">
        <f>IF(AND($D930="Расход",COUNTIFS(Счета!$B$10:$B$21,$H930,Счета!$C$10:$C$21,"Кредитная")&gt;0),1,0)</f>
        <v/>
      </c>
    </row>
    <row r="931" ht="19" customHeight="1">
      <c r="B931" s="53">
        <f>IF(AND($C931="",$F931=""),"",ROW()-9)</f>
        <v/>
      </c>
      <c r="C931" s="213" t="n"/>
      <c r="D931" s="55" t="n"/>
      <c r="E931" s="55" t="n"/>
      <c r="F931" s="56" t="n"/>
      <c r="G931" s="196" t="n"/>
      <c r="H931" s="21" t="n"/>
      <c r="I931" s="21" t="n"/>
      <c r="J931" s="53">
        <f>IF($C931="","",INDEX(Настройки!$V$6:$V$17,MONTH($C931))&amp;" "&amp;YEAR($C931))</f>
        <v/>
      </c>
      <c r="K931" s="57">
        <f>IF(OR($F931="",$D931="Перевод"),"",IF(AND(N($G931)&lt;&gt;0,COUNTIFS(Журнал!$C$10:$C$1509,$C931,Журнал!$P$10:$P$1509,$G931)&gt;0),"есть в Журнале",IF(COUNTIF(Постоянные!$C$8:$C$37,$F931)&gt;0,"есть в Постоянных",IF(COUNTIF(Покупки!$C$7:$C$18,$F931)&gt;0,"есть в Покупках",""))))</f>
        <v/>
      </c>
      <c r="P931">
        <f>IF($C931="","",DATE(YEAR($C931),MONTH($C931),1))</f>
        <v/>
      </c>
      <c r="Q931">
        <f>IF(ISNUMBER($G931),ABS($G931),0)</f>
        <v/>
      </c>
      <c r="R931">
        <f>IF(AND($D931="Расход",COUNTIFS(Счета!$B$10:$B$21,$H931,Счета!$C$10:$C$21,"Кредитная")&gt;0),1,0)</f>
        <v/>
      </c>
    </row>
    <row r="932" ht="19" customHeight="1">
      <c r="B932" s="53">
        <f>IF(AND($C932="",$F932=""),"",ROW()-9)</f>
        <v/>
      </c>
      <c r="C932" s="213" t="n"/>
      <c r="D932" s="55" t="n"/>
      <c r="E932" s="55" t="n"/>
      <c r="F932" s="56" t="n"/>
      <c r="G932" s="196" t="n"/>
      <c r="H932" s="21" t="n"/>
      <c r="I932" s="21" t="n"/>
      <c r="J932" s="53">
        <f>IF($C932="","",INDEX(Настройки!$V$6:$V$17,MONTH($C932))&amp;" "&amp;YEAR($C932))</f>
        <v/>
      </c>
      <c r="K932" s="57">
        <f>IF(OR($F932="",$D932="Перевод"),"",IF(AND(N($G932)&lt;&gt;0,COUNTIFS(Журнал!$C$10:$C$1509,$C932,Журнал!$P$10:$P$1509,$G932)&gt;0),"есть в Журнале",IF(COUNTIF(Постоянные!$C$8:$C$37,$F932)&gt;0,"есть в Постоянных",IF(COUNTIF(Покупки!$C$7:$C$18,$F932)&gt;0,"есть в Покупках",""))))</f>
        <v/>
      </c>
      <c r="P932">
        <f>IF($C932="","",DATE(YEAR($C932),MONTH($C932),1))</f>
        <v/>
      </c>
      <c r="Q932">
        <f>IF(ISNUMBER($G932),ABS($G932),0)</f>
        <v/>
      </c>
      <c r="R932">
        <f>IF(AND($D932="Расход",COUNTIFS(Счета!$B$10:$B$21,$H932,Счета!$C$10:$C$21,"Кредитная")&gt;0),1,0)</f>
        <v/>
      </c>
    </row>
    <row r="933" ht="19" customHeight="1">
      <c r="B933" s="53">
        <f>IF(AND($C933="",$F933=""),"",ROW()-9)</f>
        <v/>
      </c>
      <c r="C933" s="213" t="n"/>
      <c r="D933" s="55" t="n"/>
      <c r="E933" s="55" t="n"/>
      <c r="F933" s="56" t="n"/>
      <c r="G933" s="196" t="n"/>
      <c r="H933" s="21" t="n"/>
      <c r="I933" s="21" t="n"/>
      <c r="J933" s="53">
        <f>IF($C933="","",INDEX(Настройки!$V$6:$V$17,MONTH($C933))&amp;" "&amp;YEAR($C933))</f>
        <v/>
      </c>
      <c r="K933" s="57">
        <f>IF(OR($F933="",$D933="Перевод"),"",IF(AND(N($G933)&lt;&gt;0,COUNTIFS(Журнал!$C$10:$C$1509,$C933,Журнал!$P$10:$P$1509,$G933)&gt;0),"есть в Журнале",IF(COUNTIF(Постоянные!$C$8:$C$37,$F933)&gt;0,"есть в Постоянных",IF(COUNTIF(Покупки!$C$7:$C$18,$F933)&gt;0,"есть в Покупках",""))))</f>
        <v/>
      </c>
      <c r="P933">
        <f>IF($C933="","",DATE(YEAR($C933),MONTH($C933),1))</f>
        <v/>
      </c>
      <c r="Q933">
        <f>IF(ISNUMBER($G933),ABS($G933),0)</f>
        <v/>
      </c>
      <c r="R933">
        <f>IF(AND($D933="Расход",COUNTIFS(Счета!$B$10:$B$21,$H933,Счета!$C$10:$C$21,"Кредитная")&gt;0),1,0)</f>
        <v/>
      </c>
    </row>
    <row r="934" ht="19" customHeight="1">
      <c r="B934" s="53">
        <f>IF(AND($C934="",$F934=""),"",ROW()-9)</f>
        <v/>
      </c>
      <c r="C934" s="213" t="n"/>
      <c r="D934" s="55" t="n"/>
      <c r="E934" s="55" t="n"/>
      <c r="F934" s="56" t="n"/>
      <c r="G934" s="196" t="n"/>
      <c r="H934" s="21" t="n"/>
      <c r="I934" s="21" t="n"/>
      <c r="J934" s="53">
        <f>IF($C934="","",INDEX(Настройки!$V$6:$V$17,MONTH($C934))&amp;" "&amp;YEAR($C934))</f>
        <v/>
      </c>
      <c r="K934" s="57">
        <f>IF(OR($F934="",$D934="Перевод"),"",IF(AND(N($G934)&lt;&gt;0,COUNTIFS(Журнал!$C$10:$C$1509,$C934,Журнал!$P$10:$P$1509,$G934)&gt;0),"есть в Журнале",IF(COUNTIF(Постоянные!$C$8:$C$37,$F934)&gt;0,"есть в Постоянных",IF(COUNTIF(Покупки!$C$7:$C$18,$F934)&gt;0,"есть в Покупках",""))))</f>
        <v/>
      </c>
      <c r="P934">
        <f>IF($C934="","",DATE(YEAR($C934),MONTH($C934),1))</f>
        <v/>
      </c>
      <c r="Q934">
        <f>IF(ISNUMBER($G934),ABS($G934),0)</f>
        <v/>
      </c>
      <c r="R934">
        <f>IF(AND($D934="Расход",COUNTIFS(Счета!$B$10:$B$21,$H934,Счета!$C$10:$C$21,"Кредитная")&gt;0),1,0)</f>
        <v/>
      </c>
    </row>
    <row r="935" ht="19" customHeight="1">
      <c r="B935" s="53">
        <f>IF(AND($C935="",$F935=""),"",ROW()-9)</f>
        <v/>
      </c>
      <c r="C935" s="213" t="n"/>
      <c r="D935" s="55" t="n"/>
      <c r="E935" s="55" t="n"/>
      <c r="F935" s="56" t="n"/>
      <c r="G935" s="196" t="n"/>
      <c r="H935" s="21" t="n"/>
      <c r="I935" s="21" t="n"/>
      <c r="J935" s="53">
        <f>IF($C935="","",INDEX(Настройки!$V$6:$V$17,MONTH($C935))&amp;" "&amp;YEAR($C935))</f>
        <v/>
      </c>
      <c r="K935" s="57">
        <f>IF(OR($F935="",$D935="Перевод"),"",IF(AND(N($G935)&lt;&gt;0,COUNTIFS(Журнал!$C$10:$C$1509,$C935,Журнал!$P$10:$P$1509,$G935)&gt;0),"есть в Журнале",IF(COUNTIF(Постоянные!$C$8:$C$37,$F935)&gt;0,"есть в Постоянных",IF(COUNTIF(Покупки!$C$7:$C$18,$F935)&gt;0,"есть в Покупках",""))))</f>
        <v/>
      </c>
      <c r="P935">
        <f>IF($C935="","",DATE(YEAR($C935),MONTH($C935),1))</f>
        <v/>
      </c>
      <c r="Q935">
        <f>IF(ISNUMBER($G935),ABS($G935),0)</f>
        <v/>
      </c>
      <c r="R935">
        <f>IF(AND($D935="Расход",COUNTIFS(Счета!$B$10:$B$21,$H935,Счета!$C$10:$C$21,"Кредитная")&gt;0),1,0)</f>
        <v/>
      </c>
    </row>
    <row r="936" ht="19" customHeight="1">
      <c r="B936" s="53">
        <f>IF(AND($C936="",$F936=""),"",ROW()-9)</f>
        <v/>
      </c>
      <c r="C936" s="213" t="n"/>
      <c r="D936" s="55" t="n"/>
      <c r="E936" s="55" t="n"/>
      <c r="F936" s="56" t="n"/>
      <c r="G936" s="196" t="n"/>
      <c r="H936" s="21" t="n"/>
      <c r="I936" s="21" t="n"/>
      <c r="J936" s="53">
        <f>IF($C936="","",INDEX(Настройки!$V$6:$V$17,MONTH($C936))&amp;" "&amp;YEAR($C936))</f>
        <v/>
      </c>
      <c r="K936" s="57">
        <f>IF(OR($F936="",$D936="Перевод"),"",IF(AND(N($G936)&lt;&gt;0,COUNTIFS(Журнал!$C$10:$C$1509,$C936,Журнал!$P$10:$P$1509,$G936)&gt;0),"есть в Журнале",IF(COUNTIF(Постоянные!$C$8:$C$37,$F936)&gt;0,"есть в Постоянных",IF(COUNTIF(Покупки!$C$7:$C$18,$F936)&gt;0,"есть в Покупках",""))))</f>
        <v/>
      </c>
      <c r="P936">
        <f>IF($C936="","",DATE(YEAR($C936),MONTH($C936),1))</f>
        <v/>
      </c>
      <c r="Q936">
        <f>IF(ISNUMBER($G936),ABS($G936),0)</f>
        <v/>
      </c>
      <c r="R936">
        <f>IF(AND($D936="Расход",COUNTIFS(Счета!$B$10:$B$21,$H936,Счета!$C$10:$C$21,"Кредитная")&gt;0),1,0)</f>
        <v/>
      </c>
    </row>
    <row r="937" ht="19" customHeight="1">
      <c r="B937" s="53">
        <f>IF(AND($C937="",$F937=""),"",ROW()-9)</f>
        <v/>
      </c>
      <c r="C937" s="213" t="n"/>
      <c r="D937" s="55" t="n"/>
      <c r="E937" s="55" t="n"/>
      <c r="F937" s="56" t="n"/>
      <c r="G937" s="196" t="n"/>
      <c r="H937" s="21" t="n"/>
      <c r="I937" s="21" t="n"/>
      <c r="J937" s="53">
        <f>IF($C937="","",INDEX(Настройки!$V$6:$V$17,MONTH($C937))&amp;" "&amp;YEAR($C937))</f>
        <v/>
      </c>
      <c r="K937" s="57">
        <f>IF(OR($F937="",$D937="Перевод"),"",IF(AND(N($G937)&lt;&gt;0,COUNTIFS(Журнал!$C$10:$C$1509,$C937,Журнал!$P$10:$P$1509,$G937)&gt;0),"есть в Журнале",IF(COUNTIF(Постоянные!$C$8:$C$37,$F937)&gt;0,"есть в Постоянных",IF(COUNTIF(Покупки!$C$7:$C$18,$F937)&gt;0,"есть в Покупках",""))))</f>
        <v/>
      </c>
      <c r="P937">
        <f>IF($C937="","",DATE(YEAR($C937),MONTH($C937),1))</f>
        <v/>
      </c>
      <c r="Q937">
        <f>IF(ISNUMBER($G937),ABS($G937),0)</f>
        <v/>
      </c>
      <c r="R937">
        <f>IF(AND($D937="Расход",COUNTIFS(Счета!$B$10:$B$21,$H937,Счета!$C$10:$C$21,"Кредитная")&gt;0),1,0)</f>
        <v/>
      </c>
    </row>
    <row r="938" ht="19" customHeight="1">
      <c r="B938" s="53">
        <f>IF(AND($C938="",$F938=""),"",ROW()-9)</f>
        <v/>
      </c>
      <c r="C938" s="213" t="n"/>
      <c r="D938" s="55" t="n"/>
      <c r="E938" s="55" t="n"/>
      <c r="F938" s="56" t="n"/>
      <c r="G938" s="196" t="n"/>
      <c r="H938" s="21" t="n"/>
      <c r="I938" s="21" t="n"/>
      <c r="J938" s="53">
        <f>IF($C938="","",INDEX(Настройки!$V$6:$V$17,MONTH($C938))&amp;" "&amp;YEAR($C938))</f>
        <v/>
      </c>
      <c r="K938" s="57">
        <f>IF(OR($F938="",$D938="Перевод"),"",IF(AND(N($G938)&lt;&gt;0,COUNTIFS(Журнал!$C$10:$C$1509,$C938,Журнал!$P$10:$P$1509,$G938)&gt;0),"есть в Журнале",IF(COUNTIF(Постоянные!$C$8:$C$37,$F938)&gt;0,"есть в Постоянных",IF(COUNTIF(Покупки!$C$7:$C$18,$F938)&gt;0,"есть в Покупках",""))))</f>
        <v/>
      </c>
      <c r="P938">
        <f>IF($C938="","",DATE(YEAR($C938),MONTH($C938),1))</f>
        <v/>
      </c>
      <c r="Q938">
        <f>IF(ISNUMBER($G938),ABS($G938),0)</f>
        <v/>
      </c>
      <c r="R938">
        <f>IF(AND($D938="Расход",COUNTIFS(Счета!$B$10:$B$21,$H938,Счета!$C$10:$C$21,"Кредитная")&gt;0),1,0)</f>
        <v/>
      </c>
    </row>
    <row r="939" ht="19" customHeight="1">
      <c r="B939" s="53">
        <f>IF(AND($C939="",$F939=""),"",ROW()-9)</f>
        <v/>
      </c>
      <c r="C939" s="213" t="n"/>
      <c r="D939" s="55" t="n"/>
      <c r="E939" s="55" t="n"/>
      <c r="F939" s="56" t="n"/>
      <c r="G939" s="196" t="n"/>
      <c r="H939" s="21" t="n"/>
      <c r="I939" s="21" t="n"/>
      <c r="J939" s="53">
        <f>IF($C939="","",INDEX(Настройки!$V$6:$V$17,MONTH($C939))&amp;" "&amp;YEAR($C939))</f>
        <v/>
      </c>
      <c r="K939" s="57">
        <f>IF(OR($F939="",$D939="Перевод"),"",IF(AND(N($G939)&lt;&gt;0,COUNTIFS(Журнал!$C$10:$C$1509,$C939,Журнал!$P$10:$P$1509,$G939)&gt;0),"есть в Журнале",IF(COUNTIF(Постоянные!$C$8:$C$37,$F939)&gt;0,"есть в Постоянных",IF(COUNTIF(Покупки!$C$7:$C$18,$F939)&gt;0,"есть в Покупках",""))))</f>
        <v/>
      </c>
      <c r="P939">
        <f>IF($C939="","",DATE(YEAR($C939),MONTH($C939),1))</f>
        <v/>
      </c>
      <c r="Q939">
        <f>IF(ISNUMBER($G939),ABS($G939),0)</f>
        <v/>
      </c>
      <c r="R939">
        <f>IF(AND($D939="Расход",COUNTIFS(Счета!$B$10:$B$21,$H939,Счета!$C$10:$C$21,"Кредитная")&gt;0),1,0)</f>
        <v/>
      </c>
    </row>
    <row r="940" ht="19" customHeight="1">
      <c r="B940" s="53">
        <f>IF(AND($C940="",$F940=""),"",ROW()-9)</f>
        <v/>
      </c>
      <c r="C940" s="213" t="n"/>
      <c r="D940" s="55" t="n"/>
      <c r="E940" s="55" t="n"/>
      <c r="F940" s="56" t="n"/>
      <c r="G940" s="196" t="n"/>
      <c r="H940" s="21" t="n"/>
      <c r="I940" s="21" t="n"/>
      <c r="J940" s="53">
        <f>IF($C940="","",INDEX(Настройки!$V$6:$V$17,MONTH($C940))&amp;" "&amp;YEAR($C940))</f>
        <v/>
      </c>
      <c r="K940" s="57">
        <f>IF(OR($F940="",$D940="Перевод"),"",IF(AND(N($G940)&lt;&gt;0,COUNTIFS(Журнал!$C$10:$C$1509,$C940,Журнал!$P$10:$P$1509,$G940)&gt;0),"есть в Журнале",IF(COUNTIF(Постоянные!$C$8:$C$37,$F940)&gt;0,"есть в Постоянных",IF(COUNTIF(Покупки!$C$7:$C$18,$F940)&gt;0,"есть в Покупках",""))))</f>
        <v/>
      </c>
      <c r="P940">
        <f>IF($C940="","",DATE(YEAR($C940),MONTH($C940),1))</f>
        <v/>
      </c>
      <c r="Q940">
        <f>IF(ISNUMBER($G940),ABS($G940),0)</f>
        <v/>
      </c>
      <c r="R940">
        <f>IF(AND($D940="Расход",COUNTIFS(Счета!$B$10:$B$21,$H940,Счета!$C$10:$C$21,"Кредитная")&gt;0),1,0)</f>
        <v/>
      </c>
    </row>
    <row r="941" ht="19" customHeight="1">
      <c r="B941" s="53">
        <f>IF(AND($C941="",$F941=""),"",ROW()-9)</f>
        <v/>
      </c>
      <c r="C941" s="213" t="n"/>
      <c r="D941" s="55" t="n"/>
      <c r="E941" s="55" t="n"/>
      <c r="F941" s="56" t="n"/>
      <c r="G941" s="196" t="n"/>
      <c r="H941" s="21" t="n"/>
      <c r="I941" s="21" t="n"/>
      <c r="J941" s="53">
        <f>IF($C941="","",INDEX(Настройки!$V$6:$V$17,MONTH($C941))&amp;" "&amp;YEAR($C941))</f>
        <v/>
      </c>
      <c r="K941" s="57">
        <f>IF(OR($F941="",$D941="Перевод"),"",IF(AND(N($G941)&lt;&gt;0,COUNTIFS(Журнал!$C$10:$C$1509,$C941,Журнал!$P$10:$P$1509,$G941)&gt;0),"есть в Журнале",IF(COUNTIF(Постоянные!$C$8:$C$37,$F941)&gt;0,"есть в Постоянных",IF(COUNTIF(Покупки!$C$7:$C$18,$F941)&gt;0,"есть в Покупках",""))))</f>
        <v/>
      </c>
      <c r="P941">
        <f>IF($C941="","",DATE(YEAR($C941),MONTH($C941),1))</f>
        <v/>
      </c>
      <c r="Q941">
        <f>IF(ISNUMBER($G941),ABS($G941),0)</f>
        <v/>
      </c>
      <c r="R941">
        <f>IF(AND($D941="Расход",COUNTIFS(Счета!$B$10:$B$21,$H941,Счета!$C$10:$C$21,"Кредитная")&gt;0),1,0)</f>
        <v/>
      </c>
    </row>
    <row r="942" ht="19" customHeight="1">
      <c r="B942" s="53">
        <f>IF(AND($C942="",$F942=""),"",ROW()-9)</f>
        <v/>
      </c>
      <c r="C942" s="213" t="n"/>
      <c r="D942" s="55" t="n"/>
      <c r="E942" s="55" t="n"/>
      <c r="F942" s="56" t="n"/>
      <c r="G942" s="196" t="n"/>
      <c r="H942" s="21" t="n"/>
      <c r="I942" s="21" t="n"/>
      <c r="J942" s="53">
        <f>IF($C942="","",INDEX(Настройки!$V$6:$V$17,MONTH($C942))&amp;" "&amp;YEAR($C942))</f>
        <v/>
      </c>
      <c r="K942" s="57">
        <f>IF(OR($F942="",$D942="Перевод"),"",IF(AND(N($G942)&lt;&gt;0,COUNTIFS(Журнал!$C$10:$C$1509,$C942,Журнал!$P$10:$P$1509,$G942)&gt;0),"есть в Журнале",IF(COUNTIF(Постоянные!$C$8:$C$37,$F942)&gt;0,"есть в Постоянных",IF(COUNTIF(Покупки!$C$7:$C$18,$F942)&gt;0,"есть в Покупках",""))))</f>
        <v/>
      </c>
      <c r="P942">
        <f>IF($C942="","",DATE(YEAR($C942),MONTH($C942),1))</f>
        <v/>
      </c>
      <c r="Q942">
        <f>IF(ISNUMBER($G942),ABS($G942),0)</f>
        <v/>
      </c>
      <c r="R942">
        <f>IF(AND($D942="Расход",COUNTIFS(Счета!$B$10:$B$21,$H942,Счета!$C$10:$C$21,"Кредитная")&gt;0),1,0)</f>
        <v/>
      </c>
    </row>
    <row r="943" ht="19" customHeight="1">
      <c r="B943" s="53">
        <f>IF(AND($C943="",$F943=""),"",ROW()-9)</f>
        <v/>
      </c>
      <c r="C943" s="213" t="n"/>
      <c r="D943" s="55" t="n"/>
      <c r="E943" s="55" t="n"/>
      <c r="F943" s="56" t="n"/>
      <c r="G943" s="196" t="n"/>
      <c r="H943" s="21" t="n"/>
      <c r="I943" s="21" t="n"/>
      <c r="J943" s="53">
        <f>IF($C943="","",INDEX(Настройки!$V$6:$V$17,MONTH($C943))&amp;" "&amp;YEAR($C943))</f>
        <v/>
      </c>
      <c r="K943" s="57">
        <f>IF(OR($F943="",$D943="Перевод"),"",IF(AND(N($G943)&lt;&gt;0,COUNTIFS(Журнал!$C$10:$C$1509,$C943,Журнал!$P$10:$P$1509,$G943)&gt;0),"есть в Журнале",IF(COUNTIF(Постоянные!$C$8:$C$37,$F943)&gt;0,"есть в Постоянных",IF(COUNTIF(Покупки!$C$7:$C$18,$F943)&gt;0,"есть в Покупках",""))))</f>
        <v/>
      </c>
      <c r="P943">
        <f>IF($C943="","",DATE(YEAR($C943),MONTH($C943),1))</f>
        <v/>
      </c>
      <c r="Q943">
        <f>IF(ISNUMBER($G943),ABS($G943),0)</f>
        <v/>
      </c>
      <c r="R943">
        <f>IF(AND($D943="Расход",COUNTIFS(Счета!$B$10:$B$21,$H943,Счета!$C$10:$C$21,"Кредитная")&gt;0),1,0)</f>
        <v/>
      </c>
    </row>
    <row r="944" ht="19" customHeight="1">
      <c r="B944" s="53">
        <f>IF(AND($C944="",$F944=""),"",ROW()-9)</f>
        <v/>
      </c>
      <c r="C944" s="213" t="n"/>
      <c r="D944" s="55" t="n"/>
      <c r="E944" s="55" t="n"/>
      <c r="F944" s="56" t="n"/>
      <c r="G944" s="196" t="n"/>
      <c r="H944" s="21" t="n"/>
      <c r="I944" s="21" t="n"/>
      <c r="J944" s="53">
        <f>IF($C944="","",INDEX(Настройки!$V$6:$V$17,MONTH($C944))&amp;" "&amp;YEAR($C944))</f>
        <v/>
      </c>
      <c r="K944" s="57">
        <f>IF(OR($F944="",$D944="Перевод"),"",IF(AND(N($G944)&lt;&gt;0,COUNTIFS(Журнал!$C$10:$C$1509,$C944,Журнал!$P$10:$P$1509,$G944)&gt;0),"есть в Журнале",IF(COUNTIF(Постоянные!$C$8:$C$37,$F944)&gt;0,"есть в Постоянных",IF(COUNTIF(Покупки!$C$7:$C$18,$F944)&gt;0,"есть в Покупках",""))))</f>
        <v/>
      </c>
      <c r="P944">
        <f>IF($C944="","",DATE(YEAR($C944),MONTH($C944),1))</f>
        <v/>
      </c>
      <c r="Q944">
        <f>IF(ISNUMBER($G944),ABS($G944),0)</f>
        <v/>
      </c>
      <c r="R944">
        <f>IF(AND($D944="Расход",COUNTIFS(Счета!$B$10:$B$21,$H944,Счета!$C$10:$C$21,"Кредитная")&gt;0),1,0)</f>
        <v/>
      </c>
    </row>
    <row r="945" ht="19" customHeight="1">
      <c r="B945" s="53">
        <f>IF(AND($C945="",$F945=""),"",ROW()-9)</f>
        <v/>
      </c>
      <c r="C945" s="213" t="n"/>
      <c r="D945" s="55" t="n"/>
      <c r="E945" s="55" t="n"/>
      <c r="F945" s="56" t="n"/>
      <c r="G945" s="196" t="n"/>
      <c r="H945" s="21" t="n"/>
      <c r="I945" s="21" t="n"/>
      <c r="J945" s="53">
        <f>IF($C945="","",INDEX(Настройки!$V$6:$V$17,MONTH($C945))&amp;" "&amp;YEAR($C945))</f>
        <v/>
      </c>
      <c r="K945" s="57">
        <f>IF(OR($F945="",$D945="Перевод"),"",IF(AND(N($G945)&lt;&gt;0,COUNTIFS(Журнал!$C$10:$C$1509,$C945,Журнал!$P$10:$P$1509,$G945)&gt;0),"есть в Журнале",IF(COUNTIF(Постоянные!$C$8:$C$37,$F945)&gt;0,"есть в Постоянных",IF(COUNTIF(Покупки!$C$7:$C$18,$F945)&gt;0,"есть в Покупках",""))))</f>
        <v/>
      </c>
      <c r="P945">
        <f>IF($C945="","",DATE(YEAR($C945),MONTH($C945),1))</f>
        <v/>
      </c>
      <c r="Q945">
        <f>IF(ISNUMBER($G945),ABS($G945),0)</f>
        <v/>
      </c>
      <c r="R945">
        <f>IF(AND($D945="Расход",COUNTIFS(Счета!$B$10:$B$21,$H945,Счета!$C$10:$C$21,"Кредитная")&gt;0),1,0)</f>
        <v/>
      </c>
    </row>
    <row r="946" ht="19" customHeight="1">
      <c r="B946" s="53">
        <f>IF(AND($C946="",$F946=""),"",ROW()-9)</f>
        <v/>
      </c>
      <c r="C946" s="213" t="n"/>
      <c r="D946" s="55" t="n"/>
      <c r="E946" s="55" t="n"/>
      <c r="F946" s="56" t="n"/>
      <c r="G946" s="196" t="n"/>
      <c r="H946" s="21" t="n"/>
      <c r="I946" s="21" t="n"/>
      <c r="J946" s="53">
        <f>IF($C946="","",INDEX(Настройки!$V$6:$V$17,MONTH($C946))&amp;" "&amp;YEAR($C946))</f>
        <v/>
      </c>
      <c r="K946" s="57">
        <f>IF(OR($F946="",$D946="Перевод"),"",IF(AND(N($G946)&lt;&gt;0,COUNTIFS(Журнал!$C$10:$C$1509,$C946,Журнал!$P$10:$P$1509,$G946)&gt;0),"есть в Журнале",IF(COUNTIF(Постоянные!$C$8:$C$37,$F946)&gt;0,"есть в Постоянных",IF(COUNTIF(Покупки!$C$7:$C$18,$F946)&gt;0,"есть в Покупках",""))))</f>
        <v/>
      </c>
      <c r="P946">
        <f>IF($C946="","",DATE(YEAR($C946),MONTH($C946),1))</f>
        <v/>
      </c>
      <c r="Q946">
        <f>IF(ISNUMBER($G946),ABS($G946),0)</f>
        <v/>
      </c>
      <c r="R946">
        <f>IF(AND($D946="Расход",COUNTIFS(Счета!$B$10:$B$21,$H946,Счета!$C$10:$C$21,"Кредитная")&gt;0),1,0)</f>
        <v/>
      </c>
    </row>
    <row r="947" ht="19" customHeight="1">
      <c r="B947" s="53">
        <f>IF(AND($C947="",$F947=""),"",ROW()-9)</f>
        <v/>
      </c>
      <c r="C947" s="213" t="n"/>
      <c r="D947" s="55" t="n"/>
      <c r="E947" s="55" t="n"/>
      <c r="F947" s="56" t="n"/>
      <c r="G947" s="196" t="n"/>
      <c r="H947" s="21" t="n"/>
      <c r="I947" s="21" t="n"/>
      <c r="J947" s="53">
        <f>IF($C947="","",INDEX(Настройки!$V$6:$V$17,MONTH($C947))&amp;" "&amp;YEAR($C947))</f>
        <v/>
      </c>
      <c r="K947" s="57">
        <f>IF(OR($F947="",$D947="Перевод"),"",IF(AND(N($G947)&lt;&gt;0,COUNTIFS(Журнал!$C$10:$C$1509,$C947,Журнал!$P$10:$P$1509,$G947)&gt;0),"есть в Журнале",IF(COUNTIF(Постоянные!$C$8:$C$37,$F947)&gt;0,"есть в Постоянных",IF(COUNTIF(Покупки!$C$7:$C$18,$F947)&gt;0,"есть в Покупках",""))))</f>
        <v/>
      </c>
      <c r="P947">
        <f>IF($C947="","",DATE(YEAR($C947),MONTH($C947),1))</f>
        <v/>
      </c>
      <c r="Q947">
        <f>IF(ISNUMBER($G947),ABS($G947),0)</f>
        <v/>
      </c>
      <c r="R947">
        <f>IF(AND($D947="Расход",COUNTIFS(Счета!$B$10:$B$21,$H947,Счета!$C$10:$C$21,"Кредитная")&gt;0),1,0)</f>
        <v/>
      </c>
    </row>
    <row r="948" ht="19" customHeight="1">
      <c r="B948" s="53">
        <f>IF(AND($C948="",$F948=""),"",ROW()-9)</f>
        <v/>
      </c>
      <c r="C948" s="213" t="n"/>
      <c r="D948" s="55" t="n"/>
      <c r="E948" s="55" t="n"/>
      <c r="F948" s="56" t="n"/>
      <c r="G948" s="196" t="n"/>
      <c r="H948" s="21" t="n"/>
      <c r="I948" s="21" t="n"/>
      <c r="J948" s="53">
        <f>IF($C948="","",INDEX(Настройки!$V$6:$V$17,MONTH($C948))&amp;" "&amp;YEAR($C948))</f>
        <v/>
      </c>
      <c r="K948" s="57">
        <f>IF(OR($F948="",$D948="Перевод"),"",IF(AND(N($G948)&lt;&gt;0,COUNTIFS(Журнал!$C$10:$C$1509,$C948,Журнал!$P$10:$P$1509,$G948)&gt;0),"есть в Журнале",IF(COUNTIF(Постоянные!$C$8:$C$37,$F948)&gt;0,"есть в Постоянных",IF(COUNTIF(Покупки!$C$7:$C$18,$F948)&gt;0,"есть в Покупках",""))))</f>
        <v/>
      </c>
      <c r="P948">
        <f>IF($C948="","",DATE(YEAR($C948),MONTH($C948),1))</f>
        <v/>
      </c>
      <c r="Q948">
        <f>IF(ISNUMBER($G948),ABS($G948),0)</f>
        <v/>
      </c>
      <c r="R948">
        <f>IF(AND($D948="Расход",COUNTIFS(Счета!$B$10:$B$21,$H948,Счета!$C$10:$C$21,"Кредитная")&gt;0),1,0)</f>
        <v/>
      </c>
    </row>
    <row r="949" ht="19" customHeight="1">
      <c r="B949" s="53">
        <f>IF(AND($C949="",$F949=""),"",ROW()-9)</f>
        <v/>
      </c>
      <c r="C949" s="213" t="n"/>
      <c r="D949" s="55" t="n"/>
      <c r="E949" s="55" t="n"/>
      <c r="F949" s="56" t="n"/>
      <c r="G949" s="196" t="n"/>
      <c r="H949" s="21" t="n"/>
      <c r="I949" s="21" t="n"/>
      <c r="J949" s="53">
        <f>IF($C949="","",INDEX(Настройки!$V$6:$V$17,MONTH($C949))&amp;" "&amp;YEAR($C949))</f>
        <v/>
      </c>
      <c r="K949" s="57">
        <f>IF(OR($F949="",$D949="Перевод"),"",IF(AND(N($G949)&lt;&gt;0,COUNTIFS(Журнал!$C$10:$C$1509,$C949,Журнал!$P$10:$P$1509,$G949)&gt;0),"есть в Журнале",IF(COUNTIF(Постоянные!$C$8:$C$37,$F949)&gt;0,"есть в Постоянных",IF(COUNTIF(Покупки!$C$7:$C$18,$F949)&gt;0,"есть в Покупках",""))))</f>
        <v/>
      </c>
      <c r="P949">
        <f>IF($C949="","",DATE(YEAR($C949),MONTH($C949),1))</f>
        <v/>
      </c>
      <c r="Q949">
        <f>IF(ISNUMBER($G949),ABS($G949),0)</f>
        <v/>
      </c>
      <c r="R949">
        <f>IF(AND($D949="Расход",COUNTIFS(Счета!$B$10:$B$21,$H949,Счета!$C$10:$C$21,"Кредитная")&gt;0),1,0)</f>
        <v/>
      </c>
    </row>
    <row r="950" ht="19" customHeight="1">
      <c r="B950" s="53">
        <f>IF(AND($C950="",$F950=""),"",ROW()-9)</f>
        <v/>
      </c>
      <c r="C950" s="213" t="n"/>
      <c r="D950" s="55" t="n"/>
      <c r="E950" s="55" t="n"/>
      <c r="F950" s="56" t="n"/>
      <c r="G950" s="196" t="n"/>
      <c r="H950" s="21" t="n"/>
      <c r="I950" s="21" t="n"/>
      <c r="J950" s="53">
        <f>IF($C950="","",INDEX(Настройки!$V$6:$V$17,MONTH($C950))&amp;" "&amp;YEAR($C950))</f>
        <v/>
      </c>
      <c r="K950" s="57">
        <f>IF(OR($F950="",$D950="Перевод"),"",IF(AND(N($G950)&lt;&gt;0,COUNTIFS(Журнал!$C$10:$C$1509,$C950,Журнал!$P$10:$P$1509,$G950)&gt;0),"есть в Журнале",IF(COUNTIF(Постоянные!$C$8:$C$37,$F950)&gt;0,"есть в Постоянных",IF(COUNTIF(Покупки!$C$7:$C$18,$F950)&gt;0,"есть в Покупках",""))))</f>
        <v/>
      </c>
      <c r="P950">
        <f>IF($C950="","",DATE(YEAR($C950),MONTH($C950),1))</f>
        <v/>
      </c>
      <c r="Q950">
        <f>IF(ISNUMBER($G950),ABS($G950),0)</f>
        <v/>
      </c>
      <c r="R950">
        <f>IF(AND($D950="Расход",COUNTIFS(Счета!$B$10:$B$21,$H950,Счета!$C$10:$C$21,"Кредитная")&gt;0),1,0)</f>
        <v/>
      </c>
    </row>
    <row r="951" ht="19" customHeight="1">
      <c r="B951" s="53">
        <f>IF(AND($C951="",$F951=""),"",ROW()-9)</f>
        <v/>
      </c>
      <c r="C951" s="213" t="n"/>
      <c r="D951" s="55" t="n"/>
      <c r="E951" s="55" t="n"/>
      <c r="F951" s="56" t="n"/>
      <c r="G951" s="196" t="n"/>
      <c r="H951" s="21" t="n"/>
      <c r="I951" s="21" t="n"/>
      <c r="J951" s="53">
        <f>IF($C951="","",INDEX(Настройки!$V$6:$V$17,MONTH($C951))&amp;" "&amp;YEAR($C951))</f>
        <v/>
      </c>
      <c r="K951" s="57">
        <f>IF(OR($F951="",$D951="Перевод"),"",IF(AND(N($G951)&lt;&gt;0,COUNTIFS(Журнал!$C$10:$C$1509,$C951,Журнал!$P$10:$P$1509,$G951)&gt;0),"есть в Журнале",IF(COUNTIF(Постоянные!$C$8:$C$37,$F951)&gt;0,"есть в Постоянных",IF(COUNTIF(Покупки!$C$7:$C$18,$F951)&gt;0,"есть в Покупках",""))))</f>
        <v/>
      </c>
      <c r="P951">
        <f>IF($C951="","",DATE(YEAR($C951),MONTH($C951),1))</f>
        <v/>
      </c>
      <c r="Q951">
        <f>IF(ISNUMBER($G951),ABS($G951),0)</f>
        <v/>
      </c>
      <c r="R951">
        <f>IF(AND($D951="Расход",COUNTIFS(Счета!$B$10:$B$21,$H951,Счета!$C$10:$C$21,"Кредитная")&gt;0),1,0)</f>
        <v/>
      </c>
    </row>
    <row r="952" ht="19" customHeight="1">
      <c r="B952" s="53">
        <f>IF(AND($C952="",$F952=""),"",ROW()-9)</f>
        <v/>
      </c>
      <c r="C952" s="213" t="n"/>
      <c r="D952" s="55" t="n"/>
      <c r="E952" s="55" t="n"/>
      <c r="F952" s="56" t="n"/>
      <c r="G952" s="196" t="n"/>
      <c r="H952" s="21" t="n"/>
      <c r="I952" s="21" t="n"/>
      <c r="J952" s="53">
        <f>IF($C952="","",INDEX(Настройки!$V$6:$V$17,MONTH($C952))&amp;" "&amp;YEAR($C952))</f>
        <v/>
      </c>
      <c r="K952" s="57">
        <f>IF(OR($F952="",$D952="Перевод"),"",IF(AND(N($G952)&lt;&gt;0,COUNTIFS(Журнал!$C$10:$C$1509,$C952,Журнал!$P$10:$P$1509,$G952)&gt;0),"есть в Журнале",IF(COUNTIF(Постоянные!$C$8:$C$37,$F952)&gt;0,"есть в Постоянных",IF(COUNTIF(Покупки!$C$7:$C$18,$F952)&gt;0,"есть в Покупках",""))))</f>
        <v/>
      </c>
      <c r="P952">
        <f>IF($C952="","",DATE(YEAR($C952),MONTH($C952),1))</f>
        <v/>
      </c>
      <c r="Q952">
        <f>IF(ISNUMBER($G952),ABS($G952),0)</f>
        <v/>
      </c>
      <c r="R952">
        <f>IF(AND($D952="Расход",COUNTIFS(Счета!$B$10:$B$21,$H952,Счета!$C$10:$C$21,"Кредитная")&gt;0),1,0)</f>
        <v/>
      </c>
    </row>
    <row r="953" ht="19" customHeight="1">
      <c r="B953" s="53">
        <f>IF(AND($C953="",$F953=""),"",ROW()-9)</f>
        <v/>
      </c>
      <c r="C953" s="213" t="n"/>
      <c r="D953" s="55" t="n"/>
      <c r="E953" s="55" t="n"/>
      <c r="F953" s="56" t="n"/>
      <c r="G953" s="196" t="n"/>
      <c r="H953" s="21" t="n"/>
      <c r="I953" s="21" t="n"/>
      <c r="J953" s="53">
        <f>IF($C953="","",INDEX(Настройки!$V$6:$V$17,MONTH($C953))&amp;" "&amp;YEAR($C953))</f>
        <v/>
      </c>
      <c r="K953" s="57">
        <f>IF(OR($F953="",$D953="Перевод"),"",IF(AND(N($G953)&lt;&gt;0,COUNTIFS(Журнал!$C$10:$C$1509,$C953,Журнал!$P$10:$P$1509,$G953)&gt;0),"есть в Журнале",IF(COUNTIF(Постоянные!$C$8:$C$37,$F953)&gt;0,"есть в Постоянных",IF(COUNTIF(Покупки!$C$7:$C$18,$F953)&gt;0,"есть в Покупках",""))))</f>
        <v/>
      </c>
      <c r="P953">
        <f>IF($C953="","",DATE(YEAR($C953),MONTH($C953),1))</f>
        <v/>
      </c>
      <c r="Q953">
        <f>IF(ISNUMBER($G953),ABS($G953),0)</f>
        <v/>
      </c>
      <c r="R953">
        <f>IF(AND($D953="Расход",COUNTIFS(Счета!$B$10:$B$21,$H953,Счета!$C$10:$C$21,"Кредитная")&gt;0),1,0)</f>
        <v/>
      </c>
    </row>
    <row r="954" ht="19" customHeight="1">
      <c r="B954" s="53">
        <f>IF(AND($C954="",$F954=""),"",ROW()-9)</f>
        <v/>
      </c>
      <c r="C954" s="213" t="n"/>
      <c r="D954" s="55" t="n"/>
      <c r="E954" s="55" t="n"/>
      <c r="F954" s="56" t="n"/>
      <c r="G954" s="196" t="n"/>
      <c r="H954" s="21" t="n"/>
      <c r="I954" s="21" t="n"/>
      <c r="J954" s="53">
        <f>IF($C954="","",INDEX(Настройки!$V$6:$V$17,MONTH($C954))&amp;" "&amp;YEAR($C954))</f>
        <v/>
      </c>
      <c r="K954" s="57">
        <f>IF(OR($F954="",$D954="Перевод"),"",IF(AND(N($G954)&lt;&gt;0,COUNTIFS(Журнал!$C$10:$C$1509,$C954,Журнал!$P$10:$P$1509,$G954)&gt;0),"есть в Журнале",IF(COUNTIF(Постоянные!$C$8:$C$37,$F954)&gt;0,"есть в Постоянных",IF(COUNTIF(Покупки!$C$7:$C$18,$F954)&gt;0,"есть в Покупках",""))))</f>
        <v/>
      </c>
      <c r="P954">
        <f>IF($C954="","",DATE(YEAR($C954),MONTH($C954),1))</f>
        <v/>
      </c>
      <c r="Q954">
        <f>IF(ISNUMBER($G954),ABS($G954),0)</f>
        <v/>
      </c>
      <c r="R954">
        <f>IF(AND($D954="Расход",COUNTIFS(Счета!$B$10:$B$21,$H954,Счета!$C$10:$C$21,"Кредитная")&gt;0),1,0)</f>
        <v/>
      </c>
    </row>
    <row r="955" ht="19" customHeight="1">
      <c r="B955" s="53">
        <f>IF(AND($C955="",$F955=""),"",ROW()-9)</f>
        <v/>
      </c>
      <c r="C955" s="213" t="n"/>
      <c r="D955" s="55" t="n"/>
      <c r="E955" s="55" t="n"/>
      <c r="F955" s="56" t="n"/>
      <c r="G955" s="196" t="n"/>
      <c r="H955" s="21" t="n"/>
      <c r="I955" s="21" t="n"/>
      <c r="J955" s="53">
        <f>IF($C955="","",INDEX(Настройки!$V$6:$V$17,MONTH($C955))&amp;" "&amp;YEAR($C955))</f>
        <v/>
      </c>
      <c r="K955" s="57">
        <f>IF(OR($F955="",$D955="Перевод"),"",IF(AND(N($G955)&lt;&gt;0,COUNTIFS(Журнал!$C$10:$C$1509,$C955,Журнал!$P$10:$P$1509,$G955)&gt;0),"есть в Журнале",IF(COUNTIF(Постоянные!$C$8:$C$37,$F955)&gt;0,"есть в Постоянных",IF(COUNTIF(Покупки!$C$7:$C$18,$F955)&gt;0,"есть в Покупках",""))))</f>
        <v/>
      </c>
      <c r="P955">
        <f>IF($C955="","",DATE(YEAR($C955),MONTH($C955),1))</f>
        <v/>
      </c>
      <c r="Q955">
        <f>IF(ISNUMBER($G955),ABS($G955),0)</f>
        <v/>
      </c>
      <c r="R955">
        <f>IF(AND($D955="Расход",COUNTIFS(Счета!$B$10:$B$21,$H955,Счета!$C$10:$C$21,"Кредитная")&gt;0),1,0)</f>
        <v/>
      </c>
    </row>
    <row r="956" ht="19" customHeight="1">
      <c r="B956" s="53">
        <f>IF(AND($C956="",$F956=""),"",ROW()-9)</f>
        <v/>
      </c>
      <c r="C956" s="213" t="n"/>
      <c r="D956" s="55" t="n"/>
      <c r="E956" s="55" t="n"/>
      <c r="F956" s="56" t="n"/>
      <c r="G956" s="196" t="n"/>
      <c r="H956" s="21" t="n"/>
      <c r="I956" s="21" t="n"/>
      <c r="J956" s="53">
        <f>IF($C956="","",INDEX(Настройки!$V$6:$V$17,MONTH($C956))&amp;" "&amp;YEAR($C956))</f>
        <v/>
      </c>
      <c r="K956" s="57">
        <f>IF(OR($F956="",$D956="Перевод"),"",IF(AND(N($G956)&lt;&gt;0,COUNTIFS(Журнал!$C$10:$C$1509,$C956,Журнал!$P$10:$P$1509,$G956)&gt;0),"есть в Журнале",IF(COUNTIF(Постоянные!$C$8:$C$37,$F956)&gt;0,"есть в Постоянных",IF(COUNTIF(Покупки!$C$7:$C$18,$F956)&gt;0,"есть в Покупках",""))))</f>
        <v/>
      </c>
      <c r="P956">
        <f>IF($C956="","",DATE(YEAR($C956),MONTH($C956),1))</f>
        <v/>
      </c>
      <c r="Q956">
        <f>IF(ISNUMBER($G956),ABS($G956),0)</f>
        <v/>
      </c>
      <c r="R956">
        <f>IF(AND($D956="Расход",COUNTIFS(Счета!$B$10:$B$21,$H956,Счета!$C$10:$C$21,"Кредитная")&gt;0),1,0)</f>
        <v/>
      </c>
    </row>
    <row r="957" ht="19" customHeight="1">
      <c r="B957" s="53">
        <f>IF(AND($C957="",$F957=""),"",ROW()-9)</f>
        <v/>
      </c>
      <c r="C957" s="213" t="n"/>
      <c r="D957" s="55" t="n"/>
      <c r="E957" s="55" t="n"/>
      <c r="F957" s="56" t="n"/>
      <c r="G957" s="196" t="n"/>
      <c r="H957" s="21" t="n"/>
      <c r="I957" s="21" t="n"/>
      <c r="J957" s="53">
        <f>IF($C957="","",INDEX(Настройки!$V$6:$V$17,MONTH($C957))&amp;" "&amp;YEAR($C957))</f>
        <v/>
      </c>
      <c r="K957" s="57">
        <f>IF(OR($F957="",$D957="Перевод"),"",IF(AND(N($G957)&lt;&gt;0,COUNTIFS(Журнал!$C$10:$C$1509,$C957,Журнал!$P$10:$P$1509,$G957)&gt;0),"есть в Журнале",IF(COUNTIF(Постоянные!$C$8:$C$37,$F957)&gt;0,"есть в Постоянных",IF(COUNTIF(Покупки!$C$7:$C$18,$F957)&gt;0,"есть в Покупках",""))))</f>
        <v/>
      </c>
      <c r="P957">
        <f>IF($C957="","",DATE(YEAR($C957),MONTH($C957),1))</f>
        <v/>
      </c>
      <c r="Q957">
        <f>IF(ISNUMBER($G957),ABS($G957),0)</f>
        <v/>
      </c>
      <c r="R957">
        <f>IF(AND($D957="Расход",COUNTIFS(Счета!$B$10:$B$21,$H957,Счета!$C$10:$C$21,"Кредитная")&gt;0),1,0)</f>
        <v/>
      </c>
    </row>
    <row r="958" ht="19" customHeight="1">
      <c r="B958" s="53">
        <f>IF(AND($C958="",$F958=""),"",ROW()-9)</f>
        <v/>
      </c>
      <c r="C958" s="213" t="n"/>
      <c r="D958" s="55" t="n"/>
      <c r="E958" s="55" t="n"/>
      <c r="F958" s="56" t="n"/>
      <c r="G958" s="196" t="n"/>
      <c r="H958" s="21" t="n"/>
      <c r="I958" s="21" t="n"/>
      <c r="J958" s="53">
        <f>IF($C958="","",INDEX(Настройки!$V$6:$V$17,MONTH($C958))&amp;" "&amp;YEAR($C958))</f>
        <v/>
      </c>
      <c r="K958" s="57">
        <f>IF(OR($F958="",$D958="Перевод"),"",IF(AND(N($G958)&lt;&gt;0,COUNTIFS(Журнал!$C$10:$C$1509,$C958,Журнал!$P$10:$P$1509,$G958)&gt;0),"есть в Журнале",IF(COUNTIF(Постоянные!$C$8:$C$37,$F958)&gt;0,"есть в Постоянных",IF(COUNTIF(Покупки!$C$7:$C$18,$F958)&gt;0,"есть в Покупках",""))))</f>
        <v/>
      </c>
      <c r="P958">
        <f>IF($C958="","",DATE(YEAR($C958),MONTH($C958),1))</f>
        <v/>
      </c>
      <c r="Q958">
        <f>IF(ISNUMBER($G958),ABS($G958),0)</f>
        <v/>
      </c>
      <c r="R958">
        <f>IF(AND($D958="Расход",COUNTIFS(Счета!$B$10:$B$21,$H958,Счета!$C$10:$C$21,"Кредитная")&gt;0),1,0)</f>
        <v/>
      </c>
    </row>
    <row r="959" ht="19" customHeight="1">
      <c r="B959" s="53">
        <f>IF(AND($C959="",$F959=""),"",ROW()-9)</f>
        <v/>
      </c>
      <c r="C959" s="213" t="n"/>
      <c r="D959" s="55" t="n"/>
      <c r="E959" s="55" t="n"/>
      <c r="F959" s="56" t="n"/>
      <c r="G959" s="196" t="n"/>
      <c r="H959" s="21" t="n"/>
      <c r="I959" s="21" t="n"/>
      <c r="J959" s="53">
        <f>IF($C959="","",INDEX(Настройки!$V$6:$V$17,MONTH($C959))&amp;" "&amp;YEAR($C959))</f>
        <v/>
      </c>
      <c r="K959" s="57">
        <f>IF(OR($F959="",$D959="Перевод"),"",IF(AND(N($G959)&lt;&gt;0,COUNTIFS(Журнал!$C$10:$C$1509,$C959,Журнал!$P$10:$P$1509,$G959)&gt;0),"есть в Журнале",IF(COUNTIF(Постоянные!$C$8:$C$37,$F959)&gt;0,"есть в Постоянных",IF(COUNTIF(Покупки!$C$7:$C$18,$F959)&gt;0,"есть в Покупках",""))))</f>
        <v/>
      </c>
      <c r="P959">
        <f>IF($C959="","",DATE(YEAR($C959),MONTH($C959),1))</f>
        <v/>
      </c>
      <c r="Q959">
        <f>IF(ISNUMBER($G959),ABS($G959),0)</f>
        <v/>
      </c>
      <c r="R959">
        <f>IF(AND($D959="Расход",COUNTIFS(Счета!$B$10:$B$21,$H959,Счета!$C$10:$C$21,"Кредитная")&gt;0),1,0)</f>
        <v/>
      </c>
    </row>
    <row r="960" ht="19" customHeight="1">
      <c r="B960" s="53">
        <f>IF(AND($C960="",$F960=""),"",ROW()-9)</f>
        <v/>
      </c>
      <c r="C960" s="213" t="n"/>
      <c r="D960" s="55" t="n"/>
      <c r="E960" s="55" t="n"/>
      <c r="F960" s="56" t="n"/>
      <c r="G960" s="196" t="n"/>
      <c r="H960" s="21" t="n"/>
      <c r="I960" s="21" t="n"/>
      <c r="J960" s="53">
        <f>IF($C960="","",INDEX(Настройки!$V$6:$V$17,MONTH($C960))&amp;" "&amp;YEAR($C960))</f>
        <v/>
      </c>
      <c r="K960" s="57">
        <f>IF(OR($F960="",$D960="Перевод"),"",IF(AND(N($G960)&lt;&gt;0,COUNTIFS(Журнал!$C$10:$C$1509,$C960,Журнал!$P$10:$P$1509,$G960)&gt;0),"есть в Журнале",IF(COUNTIF(Постоянные!$C$8:$C$37,$F960)&gt;0,"есть в Постоянных",IF(COUNTIF(Покупки!$C$7:$C$18,$F960)&gt;0,"есть в Покупках",""))))</f>
        <v/>
      </c>
      <c r="P960">
        <f>IF($C960="","",DATE(YEAR($C960),MONTH($C960),1))</f>
        <v/>
      </c>
      <c r="Q960">
        <f>IF(ISNUMBER($G960),ABS($G960),0)</f>
        <v/>
      </c>
      <c r="R960">
        <f>IF(AND($D960="Расход",COUNTIFS(Счета!$B$10:$B$21,$H960,Счета!$C$10:$C$21,"Кредитная")&gt;0),1,0)</f>
        <v/>
      </c>
    </row>
    <row r="961" ht="19" customHeight="1">
      <c r="B961" s="53">
        <f>IF(AND($C961="",$F961=""),"",ROW()-9)</f>
        <v/>
      </c>
      <c r="C961" s="213" t="n"/>
      <c r="D961" s="55" t="n"/>
      <c r="E961" s="55" t="n"/>
      <c r="F961" s="56" t="n"/>
      <c r="G961" s="196" t="n"/>
      <c r="H961" s="21" t="n"/>
      <c r="I961" s="21" t="n"/>
      <c r="J961" s="53">
        <f>IF($C961="","",INDEX(Настройки!$V$6:$V$17,MONTH($C961))&amp;" "&amp;YEAR($C961))</f>
        <v/>
      </c>
      <c r="K961" s="57">
        <f>IF(OR($F961="",$D961="Перевод"),"",IF(AND(N($G961)&lt;&gt;0,COUNTIFS(Журнал!$C$10:$C$1509,$C961,Журнал!$P$10:$P$1509,$G961)&gt;0),"есть в Журнале",IF(COUNTIF(Постоянные!$C$8:$C$37,$F961)&gt;0,"есть в Постоянных",IF(COUNTIF(Покупки!$C$7:$C$18,$F961)&gt;0,"есть в Покупках",""))))</f>
        <v/>
      </c>
      <c r="P961">
        <f>IF($C961="","",DATE(YEAR($C961),MONTH($C961),1))</f>
        <v/>
      </c>
      <c r="Q961">
        <f>IF(ISNUMBER($G961),ABS($G961),0)</f>
        <v/>
      </c>
      <c r="R961">
        <f>IF(AND($D961="Расход",COUNTIFS(Счета!$B$10:$B$21,$H961,Счета!$C$10:$C$21,"Кредитная")&gt;0),1,0)</f>
        <v/>
      </c>
    </row>
    <row r="962" ht="19" customHeight="1">
      <c r="B962" s="53">
        <f>IF(AND($C962="",$F962=""),"",ROW()-9)</f>
        <v/>
      </c>
      <c r="C962" s="213" t="n"/>
      <c r="D962" s="55" t="n"/>
      <c r="E962" s="55" t="n"/>
      <c r="F962" s="56" t="n"/>
      <c r="G962" s="196" t="n"/>
      <c r="H962" s="21" t="n"/>
      <c r="I962" s="21" t="n"/>
      <c r="J962" s="53">
        <f>IF($C962="","",INDEX(Настройки!$V$6:$V$17,MONTH($C962))&amp;" "&amp;YEAR($C962))</f>
        <v/>
      </c>
      <c r="K962" s="57">
        <f>IF(OR($F962="",$D962="Перевод"),"",IF(AND(N($G962)&lt;&gt;0,COUNTIFS(Журнал!$C$10:$C$1509,$C962,Журнал!$P$10:$P$1509,$G962)&gt;0),"есть в Журнале",IF(COUNTIF(Постоянные!$C$8:$C$37,$F962)&gt;0,"есть в Постоянных",IF(COUNTIF(Покупки!$C$7:$C$18,$F962)&gt;0,"есть в Покупках",""))))</f>
        <v/>
      </c>
      <c r="P962">
        <f>IF($C962="","",DATE(YEAR($C962),MONTH($C962),1))</f>
        <v/>
      </c>
      <c r="Q962">
        <f>IF(ISNUMBER($G962),ABS($G962),0)</f>
        <v/>
      </c>
      <c r="R962">
        <f>IF(AND($D962="Расход",COUNTIFS(Счета!$B$10:$B$21,$H962,Счета!$C$10:$C$21,"Кредитная")&gt;0),1,0)</f>
        <v/>
      </c>
    </row>
    <row r="963" ht="19" customHeight="1">
      <c r="B963" s="53">
        <f>IF(AND($C963="",$F963=""),"",ROW()-9)</f>
        <v/>
      </c>
      <c r="C963" s="213" t="n"/>
      <c r="D963" s="55" t="n"/>
      <c r="E963" s="55" t="n"/>
      <c r="F963" s="56" t="n"/>
      <c r="G963" s="196" t="n"/>
      <c r="H963" s="21" t="n"/>
      <c r="I963" s="21" t="n"/>
      <c r="J963" s="53">
        <f>IF($C963="","",INDEX(Настройки!$V$6:$V$17,MONTH($C963))&amp;" "&amp;YEAR($C963))</f>
        <v/>
      </c>
      <c r="K963" s="57">
        <f>IF(OR($F963="",$D963="Перевод"),"",IF(AND(N($G963)&lt;&gt;0,COUNTIFS(Журнал!$C$10:$C$1509,$C963,Журнал!$P$10:$P$1509,$G963)&gt;0),"есть в Журнале",IF(COUNTIF(Постоянные!$C$8:$C$37,$F963)&gt;0,"есть в Постоянных",IF(COUNTIF(Покупки!$C$7:$C$18,$F963)&gt;0,"есть в Покупках",""))))</f>
        <v/>
      </c>
      <c r="P963">
        <f>IF($C963="","",DATE(YEAR($C963),MONTH($C963),1))</f>
        <v/>
      </c>
      <c r="Q963">
        <f>IF(ISNUMBER($G963),ABS($G963),0)</f>
        <v/>
      </c>
      <c r="R963">
        <f>IF(AND($D963="Расход",COUNTIFS(Счета!$B$10:$B$21,$H963,Счета!$C$10:$C$21,"Кредитная")&gt;0),1,0)</f>
        <v/>
      </c>
    </row>
    <row r="964" ht="19" customHeight="1">
      <c r="B964" s="53">
        <f>IF(AND($C964="",$F964=""),"",ROW()-9)</f>
        <v/>
      </c>
      <c r="C964" s="213" t="n"/>
      <c r="D964" s="55" t="n"/>
      <c r="E964" s="55" t="n"/>
      <c r="F964" s="56" t="n"/>
      <c r="G964" s="196" t="n"/>
      <c r="H964" s="21" t="n"/>
      <c r="I964" s="21" t="n"/>
      <c r="J964" s="53">
        <f>IF($C964="","",INDEX(Настройки!$V$6:$V$17,MONTH($C964))&amp;" "&amp;YEAR($C964))</f>
        <v/>
      </c>
      <c r="K964" s="57">
        <f>IF(OR($F964="",$D964="Перевод"),"",IF(AND(N($G964)&lt;&gt;0,COUNTIFS(Журнал!$C$10:$C$1509,$C964,Журнал!$P$10:$P$1509,$G964)&gt;0),"есть в Журнале",IF(COUNTIF(Постоянные!$C$8:$C$37,$F964)&gt;0,"есть в Постоянных",IF(COUNTIF(Покупки!$C$7:$C$18,$F964)&gt;0,"есть в Покупках",""))))</f>
        <v/>
      </c>
      <c r="P964">
        <f>IF($C964="","",DATE(YEAR($C964),MONTH($C964),1))</f>
        <v/>
      </c>
      <c r="Q964">
        <f>IF(ISNUMBER($G964),ABS($G964),0)</f>
        <v/>
      </c>
      <c r="R964">
        <f>IF(AND($D964="Расход",COUNTIFS(Счета!$B$10:$B$21,$H964,Счета!$C$10:$C$21,"Кредитная")&gt;0),1,0)</f>
        <v/>
      </c>
    </row>
    <row r="965" ht="19" customHeight="1">
      <c r="B965" s="53">
        <f>IF(AND($C965="",$F965=""),"",ROW()-9)</f>
        <v/>
      </c>
      <c r="C965" s="213" t="n"/>
      <c r="D965" s="55" t="n"/>
      <c r="E965" s="55" t="n"/>
      <c r="F965" s="56" t="n"/>
      <c r="G965" s="196" t="n"/>
      <c r="H965" s="21" t="n"/>
      <c r="I965" s="21" t="n"/>
      <c r="J965" s="53">
        <f>IF($C965="","",INDEX(Настройки!$V$6:$V$17,MONTH($C965))&amp;" "&amp;YEAR($C965))</f>
        <v/>
      </c>
      <c r="K965" s="57">
        <f>IF(OR($F965="",$D965="Перевод"),"",IF(AND(N($G965)&lt;&gt;0,COUNTIFS(Журнал!$C$10:$C$1509,$C965,Журнал!$P$10:$P$1509,$G965)&gt;0),"есть в Журнале",IF(COUNTIF(Постоянные!$C$8:$C$37,$F965)&gt;0,"есть в Постоянных",IF(COUNTIF(Покупки!$C$7:$C$18,$F965)&gt;0,"есть в Покупках",""))))</f>
        <v/>
      </c>
      <c r="P965">
        <f>IF($C965="","",DATE(YEAR($C965),MONTH($C965),1))</f>
        <v/>
      </c>
      <c r="Q965">
        <f>IF(ISNUMBER($G965),ABS($G965),0)</f>
        <v/>
      </c>
      <c r="R965">
        <f>IF(AND($D965="Расход",COUNTIFS(Счета!$B$10:$B$21,$H965,Счета!$C$10:$C$21,"Кредитная")&gt;0),1,0)</f>
        <v/>
      </c>
    </row>
    <row r="966" ht="19" customHeight="1">
      <c r="B966" s="53">
        <f>IF(AND($C966="",$F966=""),"",ROW()-9)</f>
        <v/>
      </c>
      <c r="C966" s="213" t="n"/>
      <c r="D966" s="55" t="n"/>
      <c r="E966" s="55" t="n"/>
      <c r="F966" s="56" t="n"/>
      <c r="G966" s="196" t="n"/>
      <c r="H966" s="21" t="n"/>
      <c r="I966" s="21" t="n"/>
      <c r="J966" s="53">
        <f>IF($C966="","",INDEX(Настройки!$V$6:$V$17,MONTH($C966))&amp;" "&amp;YEAR($C966))</f>
        <v/>
      </c>
      <c r="K966" s="57">
        <f>IF(OR($F966="",$D966="Перевод"),"",IF(AND(N($G966)&lt;&gt;0,COUNTIFS(Журнал!$C$10:$C$1509,$C966,Журнал!$P$10:$P$1509,$G966)&gt;0),"есть в Журнале",IF(COUNTIF(Постоянные!$C$8:$C$37,$F966)&gt;0,"есть в Постоянных",IF(COUNTIF(Покупки!$C$7:$C$18,$F966)&gt;0,"есть в Покупках",""))))</f>
        <v/>
      </c>
      <c r="P966">
        <f>IF($C966="","",DATE(YEAR($C966),MONTH($C966),1))</f>
        <v/>
      </c>
      <c r="Q966">
        <f>IF(ISNUMBER($G966),ABS($G966),0)</f>
        <v/>
      </c>
      <c r="R966">
        <f>IF(AND($D966="Расход",COUNTIFS(Счета!$B$10:$B$21,$H966,Счета!$C$10:$C$21,"Кредитная")&gt;0),1,0)</f>
        <v/>
      </c>
    </row>
    <row r="967" ht="19" customHeight="1">
      <c r="B967" s="53">
        <f>IF(AND($C967="",$F967=""),"",ROW()-9)</f>
        <v/>
      </c>
      <c r="C967" s="213" t="n"/>
      <c r="D967" s="55" t="n"/>
      <c r="E967" s="55" t="n"/>
      <c r="F967" s="56" t="n"/>
      <c r="G967" s="196" t="n"/>
      <c r="H967" s="21" t="n"/>
      <c r="I967" s="21" t="n"/>
      <c r="J967" s="53">
        <f>IF($C967="","",INDEX(Настройки!$V$6:$V$17,MONTH($C967))&amp;" "&amp;YEAR($C967))</f>
        <v/>
      </c>
      <c r="K967" s="57">
        <f>IF(OR($F967="",$D967="Перевод"),"",IF(AND(N($G967)&lt;&gt;0,COUNTIFS(Журнал!$C$10:$C$1509,$C967,Журнал!$P$10:$P$1509,$G967)&gt;0),"есть в Журнале",IF(COUNTIF(Постоянные!$C$8:$C$37,$F967)&gt;0,"есть в Постоянных",IF(COUNTIF(Покупки!$C$7:$C$18,$F967)&gt;0,"есть в Покупках",""))))</f>
        <v/>
      </c>
      <c r="P967">
        <f>IF($C967="","",DATE(YEAR($C967),MONTH($C967),1))</f>
        <v/>
      </c>
      <c r="Q967">
        <f>IF(ISNUMBER($G967),ABS($G967),0)</f>
        <v/>
      </c>
      <c r="R967">
        <f>IF(AND($D967="Расход",COUNTIFS(Счета!$B$10:$B$21,$H967,Счета!$C$10:$C$21,"Кредитная")&gt;0),1,0)</f>
        <v/>
      </c>
    </row>
    <row r="968" ht="19" customHeight="1">
      <c r="B968" s="53">
        <f>IF(AND($C968="",$F968=""),"",ROW()-9)</f>
        <v/>
      </c>
      <c r="C968" s="213" t="n"/>
      <c r="D968" s="55" t="n"/>
      <c r="E968" s="55" t="n"/>
      <c r="F968" s="56" t="n"/>
      <c r="G968" s="196" t="n"/>
      <c r="H968" s="21" t="n"/>
      <c r="I968" s="21" t="n"/>
      <c r="J968" s="53">
        <f>IF($C968="","",INDEX(Настройки!$V$6:$V$17,MONTH($C968))&amp;" "&amp;YEAR($C968))</f>
        <v/>
      </c>
      <c r="K968" s="57">
        <f>IF(OR($F968="",$D968="Перевод"),"",IF(AND(N($G968)&lt;&gt;0,COUNTIFS(Журнал!$C$10:$C$1509,$C968,Журнал!$P$10:$P$1509,$G968)&gt;0),"есть в Журнале",IF(COUNTIF(Постоянные!$C$8:$C$37,$F968)&gt;0,"есть в Постоянных",IF(COUNTIF(Покупки!$C$7:$C$18,$F968)&gt;0,"есть в Покупках",""))))</f>
        <v/>
      </c>
      <c r="P968">
        <f>IF($C968="","",DATE(YEAR($C968),MONTH($C968),1))</f>
        <v/>
      </c>
      <c r="Q968">
        <f>IF(ISNUMBER($G968),ABS($G968),0)</f>
        <v/>
      </c>
      <c r="R968">
        <f>IF(AND($D968="Расход",COUNTIFS(Счета!$B$10:$B$21,$H968,Счета!$C$10:$C$21,"Кредитная")&gt;0),1,0)</f>
        <v/>
      </c>
    </row>
    <row r="969" ht="19" customHeight="1">
      <c r="B969" s="53">
        <f>IF(AND($C969="",$F969=""),"",ROW()-9)</f>
        <v/>
      </c>
      <c r="C969" s="213" t="n"/>
      <c r="D969" s="55" t="n"/>
      <c r="E969" s="55" t="n"/>
      <c r="F969" s="56" t="n"/>
      <c r="G969" s="196" t="n"/>
      <c r="H969" s="21" t="n"/>
      <c r="I969" s="21" t="n"/>
      <c r="J969" s="53">
        <f>IF($C969="","",INDEX(Настройки!$V$6:$V$17,MONTH($C969))&amp;" "&amp;YEAR($C969))</f>
        <v/>
      </c>
      <c r="K969" s="57">
        <f>IF(OR($F969="",$D969="Перевод"),"",IF(AND(N($G969)&lt;&gt;0,COUNTIFS(Журнал!$C$10:$C$1509,$C969,Журнал!$P$10:$P$1509,$G969)&gt;0),"есть в Журнале",IF(COUNTIF(Постоянные!$C$8:$C$37,$F969)&gt;0,"есть в Постоянных",IF(COUNTIF(Покупки!$C$7:$C$18,$F969)&gt;0,"есть в Покупках",""))))</f>
        <v/>
      </c>
      <c r="P969">
        <f>IF($C969="","",DATE(YEAR($C969),MONTH($C969),1))</f>
        <v/>
      </c>
      <c r="Q969">
        <f>IF(ISNUMBER($G969),ABS($G969),0)</f>
        <v/>
      </c>
      <c r="R969">
        <f>IF(AND($D969="Расход",COUNTIFS(Счета!$B$10:$B$21,$H969,Счета!$C$10:$C$21,"Кредитная")&gt;0),1,0)</f>
        <v/>
      </c>
    </row>
    <row r="970" ht="19" customHeight="1">
      <c r="B970" s="53">
        <f>IF(AND($C970="",$F970=""),"",ROW()-9)</f>
        <v/>
      </c>
      <c r="C970" s="213" t="n"/>
      <c r="D970" s="55" t="n"/>
      <c r="E970" s="55" t="n"/>
      <c r="F970" s="56" t="n"/>
      <c r="G970" s="196" t="n"/>
      <c r="H970" s="21" t="n"/>
      <c r="I970" s="21" t="n"/>
      <c r="J970" s="53">
        <f>IF($C970="","",INDEX(Настройки!$V$6:$V$17,MONTH($C970))&amp;" "&amp;YEAR($C970))</f>
        <v/>
      </c>
      <c r="K970" s="57">
        <f>IF(OR($F970="",$D970="Перевод"),"",IF(AND(N($G970)&lt;&gt;0,COUNTIFS(Журнал!$C$10:$C$1509,$C970,Журнал!$P$10:$P$1509,$G970)&gt;0),"есть в Журнале",IF(COUNTIF(Постоянные!$C$8:$C$37,$F970)&gt;0,"есть в Постоянных",IF(COUNTIF(Покупки!$C$7:$C$18,$F970)&gt;0,"есть в Покупках",""))))</f>
        <v/>
      </c>
      <c r="P970">
        <f>IF($C970="","",DATE(YEAR($C970),MONTH($C970),1))</f>
        <v/>
      </c>
      <c r="Q970">
        <f>IF(ISNUMBER($G970),ABS($G970),0)</f>
        <v/>
      </c>
      <c r="R970">
        <f>IF(AND($D970="Расход",COUNTIFS(Счета!$B$10:$B$21,$H970,Счета!$C$10:$C$21,"Кредитная")&gt;0),1,0)</f>
        <v/>
      </c>
    </row>
    <row r="971" ht="19" customHeight="1">
      <c r="B971" s="53">
        <f>IF(AND($C971="",$F971=""),"",ROW()-9)</f>
        <v/>
      </c>
      <c r="C971" s="213" t="n"/>
      <c r="D971" s="55" t="n"/>
      <c r="E971" s="55" t="n"/>
      <c r="F971" s="56" t="n"/>
      <c r="G971" s="196" t="n"/>
      <c r="H971" s="21" t="n"/>
      <c r="I971" s="21" t="n"/>
      <c r="J971" s="53">
        <f>IF($C971="","",INDEX(Настройки!$V$6:$V$17,MONTH($C971))&amp;" "&amp;YEAR($C971))</f>
        <v/>
      </c>
      <c r="K971" s="57">
        <f>IF(OR($F971="",$D971="Перевод"),"",IF(AND(N($G971)&lt;&gt;0,COUNTIFS(Журнал!$C$10:$C$1509,$C971,Журнал!$P$10:$P$1509,$G971)&gt;0),"есть в Журнале",IF(COUNTIF(Постоянные!$C$8:$C$37,$F971)&gt;0,"есть в Постоянных",IF(COUNTIF(Покупки!$C$7:$C$18,$F971)&gt;0,"есть в Покупках",""))))</f>
        <v/>
      </c>
      <c r="P971">
        <f>IF($C971="","",DATE(YEAR($C971),MONTH($C971),1))</f>
        <v/>
      </c>
      <c r="Q971">
        <f>IF(ISNUMBER($G971),ABS($G971),0)</f>
        <v/>
      </c>
      <c r="R971">
        <f>IF(AND($D971="Расход",COUNTIFS(Счета!$B$10:$B$21,$H971,Счета!$C$10:$C$21,"Кредитная")&gt;0),1,0)</f>
        <v/>
      </c>
    </row>
    <row r="972" ht="19" customHeight="1">
      <c r="B972" s="53">
        <f>IF(AND($C972="",$F972=""),"",ROW()-9)</f>
        <v/>
      </c>
      <c r="C972" s="213" t="n"/>
      <c r="D972" s="55" t="n"/>
      <c r="E972" s="55" t="n"/>
      <c r="F972" s="56" t="n"/>
      <c r="G972" s="196" t="n"/>
      <c r="H972" s="21" t="n"/>
      <c r="I972" s="21" t="n"/>
      <c r="J972" s="53">
        <f>IF($C972="","",INDEX(Настройки!$V$6:$V$17,MONTH($C972))&amp;" "&amp;YEAR($C972))</f>
        <v/>
      </c>
      <c r="K972" s="57">
        <f>IF(OR($F972="",$D972="Перевод"),"",IF(AND(N($G972)&lt;&gt;0,COUNTIFS(Журнал!$C$10:$C$1509,$C972,Журнал!$P$10:$P$1509,$G972)&gt;0),"есть в Журнале",IF(COUNTIF(Постоянные!$C$8:$C$37,$F972)&gt;0,"есть в Постоянных",IF(COUNTIF(Покупки!$C$7:$C$18,$F972)&gt;0,"есть в Покупках",""))))</f>
        <v/>
      </c>
      <c r="P972">
        <f>IF($C972="","",DATE(YEAR($C972),MONTH($C972),1))</f>
        <v/>
      </c>
      <c r="Q972">
        <f>IF(ISNUMBER($G972),ABS($G972),0)</f>
        <v/>
      </c>
      <c r="R972">
        <f>IF(AND($D972="Расход",COUNTIFS(Счета!$B$10:$B$21,$H972,Счета!$C$10:$C$21,"Кредитная")&gt;0),1,0)</f>
        <v/>
      </c>
    </row>
    <row r="973" ht="19" customHeight="1">
      <c r="B973" s="53">
        <f>IF(AND($C973="",$F973=""),"",ROW()-9)</f>
        <v/>
      </c>
      <c r="C973" s="213" t="n"/>
      <c r="D973" s="55" t="n"/>
      <c r="E973" s="55" t="n"/>
      <c r="F973" s="56" t="n"/>
      <c r="G973" s="196" t="n"/>
      <c r="H973" s="21" t="n"/>
      <c r="I973" s="21" t="n"/>
      <c r="J973" s="53">
        <f>IF($C973="","",INDEX(Настройки!$V$6:$V$17,MONTH($C973))&amp;" "&amp;YEAR($C973))</f>
        <v/>
      </c>
      <c r="K973" s="57">
        <f>IF(OR($F973="",$D973="Перевод"),"",IF(AND(N($G973)&lt;&gt;0,COUNTIFS(Журнал!$C$10:$C$1509,$C973,Журнал!$P$10:$P$1509,$G973)&gt;0),"есть в Журнале",IF(COUNTIF(Постоянные!$C$8:$C$37,$F973)&gt;0,"есть в Постоянных",IF(COUNTIF(Покупки!$C$7:$C$18,$F973)&gt;0,"есть в Покупках",""))))</f>
        <v/>
      </c>
      <c r="P973">
        <f>IF($C973="","",DATE(YEAR($C973),MONTH($C973),1))</f>
        <v/>
      </c>
      <c r="Q973">
        <f>IF(ISNUMBER($G973),ABS($G973),0)</f>
        <v/>
      </c>
      <c r="R973">
        <f>IF(AND($D973="Расход",COUNTIFS(Счета!$B$10:$B$21,$H973,Счета!$C$10:$C$21,"Кредитная")&gt;0),1,0)</f>
        <v/>
      </c>
    </row>
    <row r="974" ht="19" customHeight="1">
      <c r="B974" s="53">
        <f>IF(AND($C974="",$F974=""),"",ROW()-9)</f>
        <v/>
      </c>
      <c r="C974" s="213" t="n"/>
      <c r="D974" s="55" t="n"/>
      <c r="E974" s="55" t="n"/>
      <c r="F974" s="56" t="n"/>
      <c r="G974" s="196" t="n"/>
      <c r="H974" s="21" t="n"/>
      <c r="I974" s="21" t="n"/>
      <c r="J974" s="53">
        <f>IF($C974="","",INDEX(Настройки!$V$6:$V$17,MONTH($C974))&amp;" "&amp;YEAR($C974))</f>
        <v/>
      </c>
      <c r="K974" s="57">
        <f>IF(OR($F974="",$D974="Перевод"),"",IF(AND(N($G974)&lt;&gt;0,COUNTIFS(Журнал!$C$10:$C$1509,$C974,Журнал!$P$10:$P$1509,$G974)&gt;0),"есть в Журнале",IF(COUNTIF(Постоянные!$C$8:$C$37,$F974)&gt;0,"есть в Постоянных",IF(COUNTIF(Покупки!$C$7:$C$18,$F974)&gt;0,"есть в Покупках",""))))</f>
        <v/>
      </c>
      <c r="P974">
        <f>IF($C974="","",DATE(YEAR($C974),MONTH($C974),1))</f>
        <v/>
      </c>
      <c r="Q974">
        <f>IF(ISNUMBER($G974),ABS($G974),0)</f>
        <v/>
      </c>
      <c r="R974">
        <f>IF(AND($D974="Расход",COUNTIFS(Счета!$B$10:$B$21,$H974,Счета!$C$10:$C$21,"Кредитная")&gt;0),1,0)</f>
        <v/>
      </c>
    </row>
    <row r="975" ht="19" customHeight="1">
      <c r="B975" s="53">
        <f>IF(AND($C975="",$F975=""),"",ROW()-9)</f>
        <v/>
      </c>
      <c r="C975" s="213" t="n"/>
      <c r="D975" s="55" t="n"/>
      <c r="E975" s="55" t="n"/>
      <c r="F975" s="56" t="n"/>
      <c r="G975" s="196" t="n"/>
      <c r="H975" s="21" t="n"/>
      <c r="I975" s="21" t="n"/>
      <c r="J975" s="53">
        <f>IF($C975="","",INDEX(Настройки!$V$6:$V$17,MONTH($C975))&amp;" "&amp;YEAR($C975))</f>
        <v/>
      </c>
      <c r="K975" s="57">
        <f>IF(OR($F975="",$D975="Перевод"),"",IF(AND(N($G975)&lt;&gt;0,COUNTIFS(Журнал!$C$10:$C$1509,$C975,Журнал!$P$10:$P$1509,$G975)&gt;0),"есть в Журнале",IF(COUNTIF(Постоянные!$C$8:$C$37,$F975)&gt;0,"есть в Постоянных",IF(COUNTIF(Покупки!$C$7:$C$18,$F975)&gt;0,"есть в Покупках",""))))</f>
        <v/>
      </c>
      <c r="P975">
        <f>IF($C975="","",DATE(YEAR($C975),MONTH($C975),1))</f>
        <v/>
      </c>
      <c r="Q975">
        <f>IF(ISNUMBER($G975),ABS($G975),0)</f>
        <v/>
      </c>
      <c r="R975">
        <f>IF(AND($D975="Расход",COUNTIFS(Счета!$B$10:$B$21,$H975,Счета!$C$10:$C$21,"Кредитная")&gt;0),1,0)</f>
        <v/>
      </c>
    </row>
    <row r="976" ht="19" customHeight="1">
      <c r="B976" s="53">
        <f>IF(AND($C976="",$F976=""),"",ROW()-9)</f>
        <v/>
      </c>
      <c r="C976" s="213" t="n"/>
      <c r="D976" s="55" t="n"/>
      <c r="E976" s="55" t="n"/>
      <c r="F976" s="56" t="n"/>
      <c r="G976" s="196" t="n"/>
      <c r="H976" s="21" t="n"/>
      <c r="I976" s="21" t="n"/>
      <c r="J976" s="53">
        <f>IF($C976="","",INDEX(Настройки!$V$6:$V$17,MONTH($C976))&amp;" "&amp;YEAR($C976))</f>
        <v/>
      </c>
      <c r="K976" s="57">
        <f>IF(OR($F976="",$D976="Перевод"),"",IF(AND(N($G976)&lt;&gt;0,COUNTIFS(Журнал!$C$10:$C$1509,$C976,Журнал!$P$10:$P$1509,$G976)&gt;0),"есть в Журнале",IF(COUNTIF(Постоянные!$C$8:$C$37,$F976)&gt;0,"есть в Постоянных",IF(COUNTIF(Покупки!$C$7:$C$18,$F976)&gt;0,"есть в Покупках",""))))</f>
        <v/>
      </c>
      <c r="P976">
        <f>IF($C976="","",DATE(YEAR($C976),MONTH($C976),1))</f>
        <v/>
      </c>
      <c r="Q976">
        <f>IF(ISNUMBER($G976),ABS($G976),0)</f>
        <v/>
      </c>
      <c r="R976">
        <f>IF(AND($D976="Расход",COUNTIFS(Счета!$B$10:$B$21,$H976,Счета!$C$10:$C$21,"Кредитная")&gt;0),1,0)</f>
        <v/>
      </c>
    </row>
    <row r="977" ht="19" customHeight="1">
      <c r="B977" s="53">
        <f>IF(AND($C977="",$F977=""),"",ROW()-9)</f>
        <v/>
      </c>
      <c r="C977" s="213" t="n"/>
      <c r="D977" s="55" t="n"/>
      <c r="E977" s="55" t="n"/>
      <c r="F977" s="56" t="n"/>
      <c r="G977" s="196" t="n"/>
      <c r="H977" s="21" t="n"/>
      <c r="I977" s="21" t="n"/>
      <c r="J977" s="53">
        <f>IF($C977="","",INDEX(Настройки!$V$6:$V$17,MONTH($C977))&amp;" "&amp;YEAR($C977))</f>
        <v/>
      </c>
      <c r="K977" s="57">
        <f>IF(OR($F977="",$D977="Перевод"),"",IF(AND(N($G977)&lt;&gt;0,COUNTIFS(Журнал!$C$10:$C$1509,$C977,Журнал!$P$10:$P$1509,$G977)&gt;0),"есть в Журнале",IF(COUNTIF(Постоянные!$C$8:$C$37,$F977)&gt;0,"есть в Постоянных",IF(COUNTIF(Покупки!$C$7:$C$18,$F977)&gt;0,"есть в Покупках",""))))</f>
        <v/>
      </c>
      <c r="P977">
        <f>IF($C977="","",DATE(YEAR($C977),MONTH($C977),1))</f>
        <v/>
      </c>
      <c r="Q977">
        <f>IF(ISNUMBER($G977),ABS($G977),0)</f>
        <v/>
      </c>
      <c r="R977">
        <f>IF(AND($D977="Расход",COUNTIFS(Счета!$B$10:$B$21,$H977,Счета!$C$10:$C$21,"Кредитная")&gt;0),1,0)</f>
        <v/>
      </c>
    </row>
    <row r="978" ht="19" customHeight="1">
      <c r="B978" s="53">
        <f>IF(AND($C978="",$F978=""),"",ROW()-9)</f>
        <v/>
      </c>
      <c r="C978" s="213" t="n"/>
      <c r="D978" s="55" t="n"/>
      <c r="E978" s="55" t="n"/>
      <c r="F978" s="56" t="n"/>
      <c r="G978" s="196" t="n"/>
      <c r="H978" s="21" t="n"/>
      <c r="I978" s="21" t="n"/>
      <c r="J978" s="53">
        <f>IF($C978="","",INDEX(Настройки!$V$6:$V$17,MONTH($C978))&amp;" "&amp;YEAR($C978))</f>
        <v/>
      </c>
      <c r="K978" s="57">
        <f>IF(OR($F978="",$D978="Перевод"),"",IF(AND(N($G978)&lt;&gt;0,COUNTIFS(Журнал!$C$10:$C$1509,$C978,Журнал!$P$10:$P$1509,$G978)&gt;0),"есть в Журнале",IF(COUNTIF(Постоянные!$C$8:$C$37,$F978)&gt;0,"есть в Постоянных",IF(COUNTIF(Покупки!$C$7:$C$18,$F978)&gt;0,"есть в Покупках",""))))</f>
        <v/>
      </c>
      <c r="P978">
        <f>IF($C978="","",DATE(YEAR($C978),MONTH($C978),1))</f>
        <v/>
      </c>
      <c r="Q978">
        <f>IF(ISNUMBER($G978),ABS($G978),0)</f>
        <v/>
      </c>
      <c r="R978">
        <f>IF(AND($D978="Расход",COUNTIFS(Счета!$B$10:$B$21,$H978,Счета!$C$10:$C$21,"Кредитная")&gt;0),1,0)</f>
        <v/>
      </c>
    </row>
    <row r="979" ht="19" customHeight="1">
      <c r="B979" s="53">
        <f>IF(AND($C979="",$F979=""),"",ROW()-9)</f>
        <v/>
      </c>
      <c r="C979" s="213" t="n"/>
      <c r="D979" s="55" t="n"/>
      <c r="E979" s="55" t="n"/>
      <c r="F979" s="56" t="n"/>
      <c r="G979" s="196" t="n"/>
      <c r="H979" s="21" t="n"/>
      <c r="I979" s="21" t="n"/>
      <c r="J979" s="53">
        <f>IF($C979="","",INDEX(Настройки!$V$6:$V$17,MONTH($C979))&amp;" "&amp;YEAR($C979))</f>
        <v/>
      </c>
      <c r="K979" s="57">
        <f>IF(OR($F979="",$D979="Перевод"),"",IF(AND(N($G979)&lt;&gt;0,COUNTIFS(Журнал!$C$10:$C$1509,$C979,Журнал!$P$10:$P$1509,$G979)&gt;0),"есть в Журнале",IF(COUNTIF(Постоянные!$C$8:$C$37,$F979)&gt;0,"есть в Постоянных",IF(COUNTIF(Покупки!$C$7:$C$18,$F979)&gt;0,"есть в Покупках",""))))</f>
        <v/>
      </c>
      <c r="P979">
        <f>IF($C979="","",DATE(YEAR($C979),MONTH($C979),1))</f>
        <v/>
      </c>
      <c r="Q979">
        <f>IF(ISNUMBER($G979),ABS($G979),0)</f>
        <v/>
      </c>
      <c r="R979">
        <f>IF(AND($D979="Расход",COUNTIFS(Счета!$B$10:$B$21,$H979,Счета!$C$10:$C$21,"Кредитная")&gt;0),1,0)</f>
        <v/>
      </c>
    </row>
    <row r="980" ht="19" customHeight="1">
      <c r="B980" s="53">
        <f>IF(AND($C980="",$F980=""),"",ROW()-9)</f>
        <v/>
      </c>
      <c r="C980" s="213" t="n"/>
      <c r="D980" s="55" t="n"/>
      <c r="E980" s="55" t="n"/>
      <c r="F980" s="56" t="n"/>
      <c r="G980" s="196" t="n"/>
      <c r="H980" s="21" t="n"/>
      <c r="I980" s="21" t="n"/>
      <c r="J980" s="53">
        <f>IF($C980="","",INDEX(Настройки!$V$6:$V$17,MONTH($C980))&amp;" "&amp;YEAR($C980))</f>
        <v/>
      </c>
      <c r="K980" s="57">
        <f>IF(OR($F980="",$D980="Перевод"),"",IF(AND(N($G980)&lt;&gt;0,COUNTIFS(Журнал!$C$10:$C$1509,$C980,Журнал!$P$10:$P$1509,$G980)&gt;0),"есть в Журнале",IF(COUNTIF(Постоянные!$C$8:$C$37,$F980)&gt;0,"есть в Постоянных",IF(COUNTIF(Покупки!$C$7:$C$18,$F980)&gt;0,"есть в Покупках",""))))</f>
        <v/>
      </c>
      <c r="P980">
        <f>IF($C980="","",DATE(YEAR($C980),MONTH($C980),1))</f>
        <v/>
      </c>
      <c r="Q980">
        <f>IF(ISNUMBER($G980),ABS($G980),0)</f>
        <v/>
      </c>
      <c r="R980">
        <f>IF(AND($D980="Расход",COUNTIFS(Счета!$B$10:$B$21,$H980,Счета!$C$10:$C$21,"Кредитная")&gt;0),1,0)</f>
        <v/>
      </c>
    </row>
    <row r="981" ht="19" customHeight="1">
      <c r="B981" s="53">
        <f>IF(AND($C981="",$F981=""),"",ROW()-9)</f>
        <v/>
      </c>
      <c r="C981" s="213" t="n"/>
      <c r="D981" s="55" t="n"/>
      <c r="E981" s="55" t="n"/>
      <c r="F981" s="56" t="n"/>
      <c r="G981" s="196" t="n"/>
      <c r="H981" s="21" t="n"/>
      <c r="I981" s="21" t="n"/>
      <c r="J981" s="53">
        <f>IF($C981="","",INDEX(Настройки!$V$6:$V$17,MONTH($C981))&amp;" "&amp;YEAR($C981))</f>
        <v/>
      </c>
      <c r="K981" s="57">
        <f>IF(OR($F981="",$D981="Перевод"),"",IF(AND(N($G981)&lt;&gt;0,COUNTIFS(Журнал!$C$10:$C$1509,$C981,Журнал!$P$10:$P$1509,$G981)&gt;0),"есть в Журнале",IF(COUNTIF(Постоянные!$C$8:$C$37,$F981)&gt;0,"есть в Постоянных",IF(COUNTIF(Покупки!$C$7:$C$18,$F981)&gt;0,"есть в Покупках",""))))</f>
        <v/>
      </c>
      <c r="P981">
        <f>IF($C981="","",DATE(YEAR($C981),MONTH($C981),1))</f>
        <v/>
      </c>
      <c r="Q981">
        <f>IF(ISNUMBER($G981),ABS($G981),0)</f>
        <v/>
      </c>
      <c r="R981">
        <f>IF(AND($D981="Расход",COUNTIFS(Счета!$B$10:$B$21,$H981,Счета!$C$10:$C$21,"Кредитная")&gt;0),1,0)</f>
        <v/>
      </c>
    </row>
    <row r="982" ht="19" customHeight="1">
      <c r="B982" s="53">
        <f>IF(AND($C982="",$F982=""),"",ROW()-9)</f>
        <v/>
      </c>
      <c r="C982" s="213" t="n"/>
      <c r="D982" s="55" t="n"/>
      <c r="E982" s="55" t="n"/>
      <c r="F982" s="56" t="n"/>
      <c r="G982" s="196" t="n"/>
      <c r="H982" s="21" t="n"/>
      <c r="I982" s="21" t="n"/>
      <c r="J982" s="53">
        <f>IF($C982="","",INDEX(Настройки!$V$6:$V$17,MONTH($C982))&amp;" "&amp;YEAR($C982))</f>
        <v/>
      </c>
      <c r="K982" s="57">
        <f>IF(OR($F982="",$D982="Перевод"),"",IF(AND(N($G982)&lt;&gt;0,COUNTIFS(Журнал!$C$10:$C$1509,$C982,Журнал!$P$10:$P$1509,$G982)&gt;0),"есть в Журнале",IF(COUNTIF(Постоянные!$C$8:$C$37,$F982)&gt;0,"есть в Постоянных",IF(COUNTIF(Покупки!$C$7:$C$18,$F982)&gt;0,"есть в Покупках",""))))</f>
        <v/>
      </c>
      <c r="P982">
        <f>IF($C982="","",DATE(YEAR($C982),MONTH($C982),1))</f>
        <v/>
      </c>
      <c r="Q982">
        <f>IF(ISNUMBER($G982),ABS($G982),0)</f>
        <v/>
      </c>
      <c r="R982">
        <f>IF(AND($D982="Расход",COUNTIFS(Счета!$B$10:$B$21,$H982,Счета!$C$10:$C$21,"Кредитная")&gt;0),1,0)</f>
        <v/>
      </c>
    </row>
    <row r="983" ht="19" customHeight="1">
      <c r="B983" s="53">
        <f>IF(AND($C983="",$F983=""),"",ROW()-9)</f>
        <v/>
      </c>
      <c r="C983" s="213" t="n"/>
      <c r="D983" s="55" t="n"/>
      <c r="E983" s="55" t="n"/>
      <c r="F983" s="56" t="n"/>
      <c r="G983" s="196" t="n"/>
      <c r="H983" s="21" t="n"/>
      <c r="I983" s="21" t="n"/>
      <c r="J983" s="53">
        <f>IF($C983="","",INDEX(Настройки!$V$6:$V$17,MONTH($C983))&amp;" "&amp;YEAR($C983))</f>
        <v/>
      </c>
      <c r="K983" s="57">
        <f>IF(OR($F983="",$D983="Перевод"),"",IF(AND(N($G983)&lt;&gt;0,COUNTIFS(Журнал!$C$10:$C$1509,$C983,Журнал!$P$10:$P$1509,$G983)&gt;0),"есть в Журнале",IF(COUNTIF(Постоянные!$C$8:$C$37,$F983)&gt;0,"есть в Постоянных",IF(COUNTIF(Покупки!$C$7:$C$18,$F983)&gt;0,"есть в Покупках",""))))</f>
        <v/>
      </c>
      <c r="P983">
        <f>IF($C983="","",DATE(YEAR($C983),MONTH($C983),1))</f>
        <v/>
      </c>
      <c r="Q983">
        <f>IF(ISNUMBER($G983),ABS($G983),0)</f>
        <v/>
      </c>
      <c r="R983">
        <f>IF(AND($D983="Расход",COUNTIFS(Счета!$B$10:$B$21,$H983,Счета!$C$10:$C$21,"Кредитная")&gt;0),1,0)</f>
        <v/>
      </c>
    </row>
    <row r="984" ht="19" customHeight="1">
      <c r="B984" s="53">
        <f>IF(AND($C984="",$F984=""),"",ROW()-9)</f>
        <v/>
      </c>
      <c r="C984" s="213" t="n"/>
      <c r="D984" s="55" t="n"/>
      <c r="E984" s="55" t="n"/>
      <c r="F984" s="56" t="n"/>
      <c r="G984" s="196" t="n"/>
      <c r="H984" s="21" t="n"/>
      <c r="I984" s="21" t="n"/>
      <c r="J984" s="53">
        <f>IF($C984="","",INDEX(Настройки!$V$6:$V$17,MONTH($C984))&amp;" "&amp;YEAR($C984))</f>
        <v/>
      </c>
      <c r="K984" s="57">
        <f>IF(OR($F984="",$D984="Перевод"),"",IF(AND(N($G984)&lt;&gt;0,COUNTIFS(Журнал!$C$10:$C$1509,$C984,Журнал!$P$10:$P$1509,$G984)&gt;0),"есть в Журнале",IF(COUNTIF(Постоянные!$C$8:$C$37,$F984)&gt;0,"есть в Постоянных",IF(COUNTIF(Покупки!$C$7:$C$18,$F984)&gt;0,"есть в Покупках",""))))</f>
        <v/>
      </c>
      <c r="P984">
        <f>IF($C984="","",DATE(YEAR($C984),MONTH($C984),1))</f>
        <v/>
      </c>
      <c r="Q984">
        <f>IF(ISNUMBER($G984),ABS($G984),0)</f>
        <v/>
      </c>
      <c r="R984">
        <f>IF(AND($D984="Расход",COUNTIFS(Счета!$B$10:$B$21,$H984,Счета!$C$10:$C$21,"Кредитная")&gt;0),1,0)</f>
        <v/>
      </c>
    </row>
    <row r="985" ht="19" customHeight="1">
      <c r="B985" s="53">
        <f>IF(AND($C985="",$F985=""),"",ROW()-9)</f>
        <v/>
      </c>
      <c r="C985" s="213" t="n"/>
      <c r="D985" s="55" t="n"/>
      <c r="E985" s="55" t="n"/>
      <c r="F985" s="56" t="n"/>
      <c r="G985" s="196" t="n"/>
      <c r="H985" s="21" t="n"/>
      <c r="I985" s="21" t="n"/>
      <c r="J985" s="53">
        <f>IF($C985="","",INDEX(Настройки!$V$6:$V$17,MONTH($C985))&amp;" "&amp;YEAR($C985))</f>
        <v/>
      </c>
      <c r="K985" s="57">
        <f>IF(OR($F985="",$D985="Перевод"),"",IF(AND(N($G985)&lt;&gt;0,COUNTIFS(Журнал!$C$10:$C$1509,$C985,Журнал!$P$10:$P$1509,$G985)&gt;0),"есть в Журнале",IF(COUNTIF(Постоянные!$C$8:$C$37,$F985)&gt;0,"есть в Постоянных",IF(COUNTIF(Покупки!$C$7:$C$18,$F985)&gt;0,"есть в Покупках",""))))</f>
        <v/>
      </c>
      <c r="P985">
        <f>IF($C985="","",DATE(YEAR($C985),MONTH($C985),1))</f>
        <v/>
      </c>
      <c r="Q985">
        <f>IF(ISNUMBER($G985),ABS($G985),0)</f>
        <v/>
      </c>
      <c r="R985">
        <f>IF(AND($D985="Расход",COUNTIFS(Счета!$B$10:$B$21,$H985,Счета!$C$10:$C$21,"Кредитная")&gt;0),1,0)</f>
        <v/>
      </c>
    </row>
    <row r="986" ht="19" customHeight="1">
      <c r="B986" s="53">
        <f>IF(AND($C986="",$F986=""),"",ROW()-9)</f>
        <v/>
      </c>
      <c r="C986" s="213" t="n"/>
      <c r="D986" s="55" t="n"/>
      <c r="E986" s="55" t="n"/>
      <c r="F986" s="56" t="n"/>
      <c r="G986" s="196" t="n"/>
      <c r="H986" s="21" t="n"/>
      <c r="I986" s="21" t="n"/>
      <c r="J986" s="53">
        <f>IF($C986="","",INDEX(Настройки!$V$6:$V$17,MONTH($C986))&amp;" "&amp;YEAR($C986))</f>
        <v/>
      </c>
      <c r="K986" s="57">
        <f>IF(OR($F986="",$D986="Перевод"),"",IF(AND(N($G986)&lt;&gt;0,COUNTIFS(Журнал!$C$10:$C$1509,$C986,Журнал!$P$10:$P$1509,$G986)&gt;0),"есть в Журнале",IF(COUNTIF(Постоянные!$C$8:$C$37,$F986)&gt;0,"есть в Постоянных",IF(COUNTIF(Покупки!$C$7:$C$18,$F986)&gt;0,"есть в Покупках",""))))</f>
        <v/>
      </c>
      <c r="P986">
        <f>IF($C986="","",DATE(YEAR($C986),MONTH($C986),1))</f>
        <v/>
      </c>
      <c r="Q986">
        <f>IF(ISNUMBER($G986),ABS($G986),0)</f>
        <v/>
      </c>
      <c r="R986">
        <f>IF(AND($D986="Расход",COUNTIFS(Счета!$B$10:$B$21,$H986,Счета!$C$10:$C$21,"Кредитная")&gt;0),1,0)</f>
        <v/>
      </c>
    </row>
    <row r="987" ht="19" customHeight="1">
      <c r="B987" s="53">
        <f>IF(AND($C987="",$F987=""),"",ROW()-9)</f>
        <v/>
      </c>
      <c r="C987" s="213" t="n"/>
      <c r="D987" s="55" t="n"/>
      <c r="E987" s="55" t="n"/>
      <c r="F987" s="56" t="n"/>
      <c r="G987" s="196" t="n"/>
      <c r="H987" s="21" t="n"/>
      <c r="I987" s="21" t="n"/>
      <c r="J987" s="53">
        <f>IF($C987="","",INDEX(Настройки!$V$6:$V$17,MONTH($C987))&amp;" "&amp;YEAR($C987))</f>
        <v/>
      </c>
      <c r="K987" s="57">
        <f>IF(OR($F987="",$D987="Перевод"),"",IF(AND(N($G987)&lt;&gt;0,COUNTIFS(Журнал!$C$10:$C$1509,$C987,Журнал!$P$10:$P$1509,$G987)&gt;0),"есть в Журнале",IF(COUNTIF(Постоянные!$C$8:$C$37,$F987)&gt;0,"есть в Постоянных",IF(COUNTIF(Покупки!$C$7:$C$18,$F987)&gt;0,"есть в Покупках",""))))</f>
        <v/>
      </c>
      <c r="P987">
        <f>IF($C987="","",DATE(YEAR($C987),MONTH($C987),1))</f>
        <v/>
      </c>
      <c r="Q987">
        <f>IF(ISNUMBER($G987),ABS($G987),0)</f>
        <v/>
      </c>
      <c r="R987">
        <f>IF(AND($D987="Расход",COUNTIFS(Счета!$B$10:$B$21,$H987,Счета!$C$10:$C$21,"Кредитная")&gt;0),1,0)</f>
        <v/>
      </c>
    </row>
    <row r="988" ht="19" customHeight="1">
      <c r="B988" s="53">
        <f>IF(AND($C988="",$F988=""),"",ROW()-9)</f>
        <v/>
      </c>
      <c r="C988" s="213" t="n"/>
      <c r="D988" s="55" t="n"/>
      <c r="E988" s="55" t="n"/>
      <c r="F988" s="56" t="n"/>
      <c r="G988" s="196" t="n"/>
      <c r="H988" s="21" t="n"/>
      <c r="I988" s="21" t="n"/>
      <c r="J988" s="53">
        <f>IF($C988="","",INDEX(Настройки!$V$6:$V$17,MONTH($C988))&amp;" "&amp;YEAR($C988))</f>
        <v/>
      </c>
      <c r="K988" s="57">
        <f>IF(OR($F988="",$D988="Перевод"),"",IF(AND(N($G988)&lt;&gt;0,COUNTIFS(Журнал!$C$10:$C$1509,$C988,Журнал!$P$10:$P$1509,$G988)&gt;0),"есть в Журнале",IF(COUNTIF(Постоянные!$C$8:$C$37,$F988)&gt;0,"есть в Постоянных",IF(COUNTIF(Покупки!$C$7:$C$18,$F988)&gt;0,"есть в Покупках",""))))</f>
        <v/>
      </c>
      <c r="P988">
        <f>IF($C988="","",DATE(YEAR($C988),MONTH($C988),1))</f>
        <v/>
      </c>
      <c r="Q988">
        <f>IF(ISNUMBER($G988),ABS($G988),0)</f>
        <v/>
      </c>
      <c r="R988">
        <f>IF(AND($D988="Расход",COUNTIFS(Счета!$B$10:$B$21,$H988,Счета!$C$10:$C$21,"Кредитная")&gt;0),1,0)</f>
        <v/>
      </c>
    </row>
    <row r="989" ht="19" customHeight="1">
      <c r="B989" s="53">
        <f>IF(AND($C989="",$F989=""),"",ROW()-9)</f>
        <v/>
      </c>
      <c r="C989" s="213" t="n"/>
      <c r="D989" s="55" t="n"/>
      <c r="E989" s="55" t="n"/>
      <c r="F989" s="56" t="n"/>
      <c r="G989" s="196" t="n"/>
      <c r="H989" s="21" t="n"/>
      <c r="I989" s="21" t="n"/>
      <c r="J989" s="53">
        <f>IF($C989="","",INDEX(Настройки!$V$6:$V$17,MONTH($C989))&amp;" "&amp;YEAR($C989))</f>
        <v/>
      </c>
      <c r="K989" s="57">
        <f>IF(OR($F989="",$D989="Перевод"),"",IF(AND(N($G989)&lt;&gt;0,COUNTIFS(Журнал!$C$10:$C$1509,$C989,Журнал!$P$10:$P$1509,$G989)&gt;0),"есть в Журнале",IF(COUNTIF(Постоянные!$C$8:$C$37,$F989)&gt;0,"есть в Постоянных",IF(COUNTIF(Покупки!$C$7:$C$18,$F989)&gt;0,"есть в Покупках",""))))</f>
        <v/>
      </c>
      <c r="P989">
        <f>IF($C989="","",DATE(YEAR($C989),MONTH($C989),1))</f>
        <v/>
      </c>
      <c r="Q989">
        <f>IF(ISNUMBER($G989),ABS($G989),0)</f>
        <v/>
      </c>
      <c r="R989">
        <f>IF(AND($D989="Расход",COUNTIFS(Счета!$B$10:$B$21,$H989,Счета!$C$10:$C$21,"Кредитная")&gt;0),1,0)</f>
        <v/>
      </c>
    </row>
    <row r="990" ht="19" customHeight="1">
      <c r="B990" s="53">
        <f>IF(AND($C990="",$F990=""),"",ROW()-9)</f>
        <v/>
      </c>
      <c r="C990" s="213" t="n"/>
      <c r="D990" s="55" t="n"/>
      <c r="E990" s="55" t="n"/>
      <c r="F990" s="56" t="n"/>
      <c r="G990" s="196" t="n"/>
      <c r="H990" s="21" t="n"/>
      <c r="I990" s="21" t="n"/>
      <c r="J990" s="53">
        <f>IF($C990="","",INDEX(Настройки!$V$6:$V$17,MONTH($C990))&amp;" "&amp;YEAR($C990))</f>
        <v/>
      </c>
      <c r="K990" s="57">
        <f>IF(OR($F990="",$D990="Перевод"),"",IF(AND(N($G990)&lt;&gt;0,COUNTIFS(Журнал!$C$10:$C$1509,$C990,Журнал!$P$10:$P$1509,$G990)&gt;0),"есть в Журнале",IF(COUNTIF(Постоянные!$C$8:$C$37,$F990)&gt;0,"есть в Постоянных",IF(COUNTIF(Покупки!$C$7:$C$18,$F990)&gt;0,"есть в Покупках",""))))</f>
        <v/>
      </c>
      <c r="P990">
        <f>IF($C990="","",DATE(YEAR($C990),MONTH($C990),1))</f>
        <v/>
      </c>
      <c r="Q990">
        <f>IF(ISNUMBER($G990),ABS($G990),0)</f>
        <v/>
      </c>
      <c r="R990">
        <f>IF(AND($D990="Расход",COUNTIFS(Счета!$B$10:$B$21,$H990,Счета!$C$10:$C$21,"Кредитная")&gt;0),1,0)</f>
        <v/>
      </c>
    </row>
    <row r="991" ht="19" customHeight="1">
      <c r="B991" s="53">
        <f>IF(AND($C991="",$F991=""),"",ROW()-9)</f>
        <v/>
      </c>
      <c r="C991" s="213" t="n"/>
      <c r="D991" s="55" t="n"/>
      <c r="E991" s="55" t="n"/>
      <c r="F991" s="56" t="n"/>
      <c r="G991" s="196" t="n"/>
      <c r="H991" s="21" t="n"/>
      <c r="I991" s="21" t="n"/>
      <c r="J991" s="53">
        <f>IF($C991="","",INDEX(Настройки!$V$6:$V$17,MONTH($C991))&amp;" "&amp;YEAR($C991))</f>
        <v/>
      </c>
      <c r="K991" s="57">
        <f>IF(OR($F991="",$D991="Перевод"),"",IF(AND(N($G991)&lt;&gt;0,COUNTIFS(Журнал!$C$10:$C$1509,$C991,Журнал!$P$10:$P$1509,$G991)&gt;0),"есть в Журнале",IF(COUNTIF(Постоянные!$C$8:$C$37,$F991)&gt;0,"есть в Постоянных",IF(COUNTIF(Покупки!$C$7:$C$18,$F991)&gt;0,"есть в Покупках",""))))</f>
        <v/>
      </c>
      <c r="P991">
        <f>IF($C991="","",DATE(YEAR($C991),MONTH($C991),1))</f>
        <v/>
      </c>
      <c r="Q991">
        <f>IF(ISNUMBER($G991),ABS($G991),0)</f>
        <v/>
      </c>
      <c r="R991">
        <f>IF(AND($D991="Расход",COUNTIFS(Счета!$B$10:$B$21,$H991,Счета!$C$10:$C$21,"Кредитная")&gt;0),1,0)</f>
        <v/>
      </c>
    </row>
    <row r="992" ht="19" customHeight="1">
      <c r="B992" s="53">
        <f>IF(AND($C992="",$F992=""),"",ROW()-9)</f>
        <v/>
      </c>
      <c r="C992" s="213" t="n"/>
      <c r="D992" s="55" t="n"/>
      <c r="E992" s="55" t="n"/>
      <c r="F992" s="56" t="n"/>
      <c r="G992" s="196" t="n"/>
      <c r="H992" s="21" t="n"/>
      <c r="I992" s="21" t="n"/>
      <c r="J992" s="53">
        <f>IF($C992="","",INDEX(Настройки!$V$6:$V$17,MONTH($C992))&amp;" "&amp;YEAR($C992))</f>
        <v/>
      </c>
      <c r="K992" s="57">
        <f>IF(OR($F992="",$D992="Перевод"),"",IF(AND(N($G992)&lt;&gt;0,COUNTIFS(Журнал!$C$10:$C$1509,$C992,Журнал!$P$10:$P$1509,$G992)&gt;0),"есть в Журнале",IF(COUNTIF(Постоянные!$C$8:$C$37,$F992)&gt;0,"есть в Постоянных",IF(COUNTIF(Покупки!$C$7:$C$18,$F992)&gt;0,"есть в Покупках",""))))</f>
        <v/>
      </c>
      <c r="P992">
        <f>IF($C992="","",DATE(YEAR($C992),MONTH($C992),1))</f>
        <v/>
      </c>
      <c r="Q992">
        <f>IF(ISNUMBER($G992),ABS($G992),0)</f>
        <v/>
      </c>
      <c r="R992">
        <f>IF(AND($D992="Расход",COUNTIFS(Счета!$B$10:$B$21,$H992,Счета!$C$10:$C$21,"Кредитная")&gt;0),1,0)</f>
        <v/>
      </c>
    </row>
    <row r="993" ht="19" customHeight="1">
      <c r="B993" s="53">
        <f>IF(AND($C993="",$F993=""),"",ROW()-9)</f>
        <v/>
      </c>
      <c r="C993" s="213" t="n"/>
      <c r="D993" s="55" t="n"/>
      <c r="E993" s="55" t="n"/>
      <c r="F993" s="56" t="n"/>
      <c r="G993" s="196" t="n"/>
      <c r="H993" s="21" t="n"/>
      <c r="I993" s="21" t="n"/>
      <c r="J993" s="53">
        <f>IF($C993="","",INDEX(Настройки!$V$6:$V$17,MONTH($C993))&amp;" "&amp;YEAR($C993))</f>
        <v/>
      </c>
      <c r="K993" s="57">
        <f>IF(OR($F993="",$D993="Перевод"),"",IF(AND(N($G993)&lt;&gt;0,COUNTIFS(Журнал!$C$10:$C$1509,$C993,Журнал!$P$10:$P$1509,$G993)&gt;0),"есть в Журнале",IF(COUNTIF(Постоянные!$C$8:$C$37,$F993)&gt;0,"есть в Постоянных",IF(COUNTIF(Покупки!$C$7:$C$18,$F993)&gt;0,"есть в Покупках",""))))</f>
        <v/>
      </c>
      <c r="P993">
        <f>IF($C993="","",DATE(YEAR($C993),MONTH($C993),1))</f>
        <v/>
      </c>
      <c r="Q993">
        <f>IF(ISNUMBER($G993),ABS($G993),0)</f>
        <v/>
      </c>
      <c r="R993">
        <f>IF(AND($D993="Расход",COUNTIFS(Счета!$B$10:$B$21,$H993,Счета!$C$10:$C$21,"Кредитная")&gt;0),1,0)</f>
        <v/>
      </c>
    </row>
    <row r="994" ht="19" customHeight="1">
      <c r="B994" s="53">
        <f>IF(AND($C994="",$F994=""),"",ROW()-9)</f>
        <v/>
      </c>
      <c r="C994" s="213" t="n"/>
      <c r="D994" s="55" t="n"/>
      <c r="E994" s="55" t="n"/>
      <c r="F994" s="56" t="n"/>
      <c r="G994" s="196" t="n"/>
      <c r="H994" s="21" t="n"/>
      <c r="I994" s="21" t="n"/>
      <c r="J994" s="53">
        <f>IF($C994="","",INDEX(Настройки!$V$6:$V$17,MONTH($C994))&amp;" "&amp;YEAR($C994))</f>
        <v/>
      </c>
      <c r="K994" s="57">
        <f>IF(OR($F994="",$D994="Перевод"),"",IF(AND(N($G994)&lt;&gt;0,COUNTIFS(Журнал!$C$10:$C$1509,$C994,Журнал!$P$10:$P$1509,$G994)&gt;0),"есть в Журнале",IF(COUNTIF(Постоянные!$C$8:$C$37,$F994)&gt;0,"есть в Постоянных",IF(COUNTIF(Покупки!$C$7:$C$18,$F994)&gt;0,"есть в Покупках",""))))</f>
        <v/>
      </c>
      <c r="P994">
        <f>IF($C994="","",DATE(YEAR($C994),MONTH($C994),1))</f>
        <v/>
      </c>
      <c r="Q994">
        <f>IF(ISNUMBER($G994),ABS($G994),0)</f>
        <v/>
      </c>
      <c r="R994">
        <f>IF(AND($D994="Расход",COUNTIFS(Счета!$B$10:$B$21,$H994,Счета!$C$10:$C$21,"Кредитная")&gt;0),1,0)</f>
        <v/>
      </c>
    </row>
    <row r="995" ht="19" customHeight="1">
      <c r="B995" s="53">
        <f>IF(AND($C995="",$F995=""),"",ROW()-9)</f>
        <v/>
      </c>
      <c r="C995" s="213" t="n"/>
      <c r="D995" s="55" t="n"/>
      <c r="E995" s="55" t="n"/>
      <c r="F995" s="56" t="n"/>
      <c r="G995" s="196" t="n"/>
      <c r="H995" s="21" t="n"/>
      <c r="I995" s="21" t="n"/>
      <c r="J995" s="53">
        <f>IF($C995="","",INDEX(Настройки!$V$6:$V$17,MONTH($C995))&amp;" "&amp;YEAR($C995))</f>
        <v/>
      </c>
      <c r="K995" s="57">
        <f>IF(OR($F995="",$D995="Перевод"),"",IF(AND(N($G995)&lt;&gt;0,COUNTIFS(Журнал!$C$10:$C$1509,$C995,Журнал!$P$10:$P$1509,$G995)&gt;0),"есть в Журнале",IF(COUNTIF(Постоянные!$C$8:$C$37,$F995)&gt;0,"есть в Постоянных",IF(COUNTIF(Покупки!$C$7:$C$18,$F995)&gt;0,"есть в Покупках",""))))</f>
        <v/>
      </c>
      <c r="P995">
        <f>IF($C995="","",DATE(YEAR($C995),MONTH($C995),1))</f>
        <v/>
      </c>
      <c r="Q995">
        <f>IF(ISNUMBER($G995),ABS($G995),0)</f>
        <v/>
      </c>
      <c r="R995">
        <f>IF(AND($D995="Расход",COUNTIFS(Счета!$B$10:$B$21,$H995,Счета!$C$10:$C$21,"Кредитная")&gt;0),1,0)</f>
        <v/>
      </c>
    </row>
    <row r="996" ht="19" customHeight="1">
      <c r="B996" s="53">
        <f>IF(AND($C996="",$F996=""),"",ROW()-9)</f>
        <v/>
      </c>
      <c r="C996" s="213" t="n"/>
      <c r="D996" s="55" t="n"/>
      <c r="E996" s="55" t="n"/>
      <c r="F996" s="56" t="n"/>
      <c r="G996" s="196" t="n"/>
      <c r="H996" s="21" t="n"/>
      <c r="I996" s="21" t="n"/>
      <c r="J996" s="53">
        <f>IF($C996="","",INDEX(Настройки!$V$6:$V$17,MONTH($C996))&amp;" "&amp;YEAR($C996))</f>
        <v/>
      </c>
      <c r="K996" s="57">
        <f>IF(OR($F996="",$D996="Перевод"),"",IF(AND(N($G996)&lt;&gt;0,COUNTIFS(Журнал!$C$10:$C$1509,$C996,Журнал!$P$10:$P$1509,$G996)&gt;0),"есть в Журнале",IF(COUNTIF(Постоянные!$C$8:$C$37,$F996)&gt;0,"есть в Постоянных",IF(COUNTIF(Покупки!$C$7:$C$18,$F996)&gt;0,"есть в Покупках",""))))</f>
        <v/>
      </c>
      <c r="P996">
        <f>IF($C996="","",DATE(YEAR($C996),MONTH($C996),1))</f>
        <v/>
      </c>
      <c r="Q996">
        <f>IF(ISNUMBER($G996),ABS($G996),0)</f>
        <v/>
      </c>
      <c r="R996">
        <f>IF(AND($D996="Расход",COUNTIFS(Счета!$B$10:$B$21,$H996,Счета!$C$10:$C$21,"Кредитная")&gt;0),1,0)</f>
        <v/>
      </c>
    </row>
    <row r="997" ht="19" customHeight="1">
      <c r="B997" s="53">
        <f>IF(AND($C997="",$F997=""),"",ROW()-9)</f>
        <v/>
      </c>
      <c r="C997" s="213" t="n"/>
      <c r="D997" s="55" t="n"/>
      <c r="E997" s="55" t="n"/>
      <c r="F997" s="56" t="n"/>
      <c r="G997" s="196" t="n"/>
      <c r="H997" s="21" t="n"/>
      <c r="I997" s="21" t="n"/>
      <c r="J997" s="53">
        <f>IF($C997="","",INDEX(Настройки!$V$6:$V$17,MONTH($C997))&amp;" "&amp;YEAR($C997))</f>
        <v/>
      </c>
      <c r="K997" s="57">
        <f>IF(OR($F997="",$D997="Перевод"),"",IF(AND(N($G997)&lt;&gt;0,COUNTIFS(Журнал!$C$10:$C$1509,$C997,Журнал!$P$10:$P$1509,$G997)&gt;0),"есть в Журнале",IF(COUNTIF(Постоянные!$C$8:$C$37,$F997)&gt;0,"есть в Постоянных",IF(COUNTIF(Покупки!$C$7:$C$18,$F997)&gt;0,"есть в Покупках",""))))</f>
        <v/>
      </c>
      <c r="P997">
        <f>IF($C997="","",DATE(YEAR($C997),MONTH($C997),1))</f>
        <v/>
      </c>
      <c r="Q997">
        <f>IF(ISNUMBER($G997),ABS($G997),0)</f>
        <v/>
      </c>
      <c r="R997">
        <f>IF(AND($D997="Расход",COUNTIFS(Счета!$B$10:$B$21,$H997,Счета!$C$10:$C$21,"Кредитная")&gt;0),1,0)</f>
        <v/>
      </c>
    </row>
    <row r="998" ht="19" customHeight="1">
      <c r="B998" s="53">
        <f>IF(AND($C998="",$F998=""),"",ROW()-9)</f>
        <v/>
      </c>
      <c r="C998" s="213" t="n"/>
      <c r="D998" s="55" t="n"/>
      <c r="E998" s="55" t="n"/>
      <c r="F998" s="56" t="n"/>
      <c r="G998" s="196" t="n"/>
      <c r="H998" s="21" t="n"/>
      <c r="I998" s="21" t="n"/>
      <c r="J998" s="53">
        <f>IF($C998="","",INDEX(Настройки!$V$6:$V$17,MONTH($C998))&amp;" "&amp;YEAR($C998))</f>
        <v/>
      </c>
      <c r="K998" s="57">
        <f>IF(OR($F998="",$D998="Перевод"),"",IF(AND(N($G998)&lt;&gt;0,COUNTIFS(Журнал!$C$10:$C$1509,$C998,Журнал!$P$10:$P$1509,$G998)&gt;0),"есть в Журнале",IF(COUNTIF(Постоянные!$C$8:$C$37,$F998)&gt;0,"есть в Постоянных",IF(COUNTIF(Покупки!$C$7:$C$18,$F998)&gt;0,"есть в Покупках",""))))</f>
        <v/>
      </c>
      <c r="P998">
        <f>IF($C998="","",DATE(YEAR($C998),MONTH($C998),1))</f>
        <v/>
      </c>
      <c r="Q998">
        <f>IF(ISNUMBER($G998),ABS($G998),0)</f>
        <v/>
      </c>
      <c r="R998">
        <f>IF(AND($D998="Расход",COUNTIFS(Счета!$B$10:$B$21,$H998,Счета!$C$10:$C$21,"Кредитная")&gt;0),1,0)</f>
        <v/>
      </c>
    </row>
    <row r="999" ht="19" customHeight="1">
      <c r="B999" s="53">
        <f>IF(AND($C999="",$F999=""),"",ROW()-9)</f>
        <v/>
      </c>
      <c r="C999" s="213" t="n"/>
      <c r="D999" s="55" t="n"/>
      <c r="E999" s="55" t="n"/>
      <c r="F999" s="56" t="n"/>
      <c r="G999" s="196" t="n"/>
      <c r="H999" s="21" t="n"/>
      <c r="I999" s="21" t="n"/>
      <c r="J999" s="53">
        <f>IF($C999="","",INDEX(Настройки!$V$6:$V$17,MONTH($C999))&amp;" "&amp;YEAR($C999))</f>
        <v/>
      </c>
      <c r="K999" s="57">
        <f>IF(OR($F999="",$D999="Перевод"),"",IF(AND(N($G999)&lt;&gt;0,COUNTIFS(Журнал!$C$10:$C$1509,$C999,Журнал!$P$10:$P$1509,$G999)&gt;0),"есть в Журнале",IF(COUNTIF(Постоянные!$C$8:$C$37,$F999)&gt;0,"есть в Постоянных",IF(COUNTIF(Покупки!$C$7:$C$18,$F999)&gt;0,"есть в Покупках",""))))</f>
        <v/>
      </c>
      <c r="P999">
        <f>IF($C999="","",DATE(YEAR($C999),MONTH($C999),1))</f>
        <v/>
      </c>
      <c r="Q999">
        <f>IF(ISNUMBER($G999),ABS($G999),0)</f>
        <v/>
      </c>
      <c r="R999">
        <f>IF(AND($D999="Расход",COUNTIFS(Счета!$B$10:$B$21,$H999,Счета!$C$10:$C$21,"Кредитная")&gt;0),1,0)</f>
        <v/>
      </c>
    </row>
    <row r="1000" ht="19" customHeight="1">
      <c r="B1000" s="53">
        <f>IF(AND($C1000="",$F1000=""),"",ROW()-9)</f>
        <v/>
      </c>
      <c r="C1000" s="213" t="n"/>
      <c r="D1000" s="55" t="n"/>
      <c r="E1000" s="55" t="n"/>
      <c r="F1000" s="56" t="n"/>
      <c r="G1000" s="196" t="n"/>
      <c r="H1000" s="21" t="n"/>
      <c r="I1000" s="21" t="n"/>
      <c r="J1000" s="53">
        <f>IF($C1000="","",INDEX(Настройки!$V$6:$V$17,MONTH($C1000))&amp;" "&amp;YEAR($C1000))</f>
        <v/>
      </c>
      <c r="K1000" s="57">
        <f>IF(OR($F1000="",$D1000="Перевод"),"",IF(AND(N($G1000)&lt;&gt;0,COUNTIFS(Журнал!$C$10:$C$1509,$C1000,Журнал!$P$10:$P$1509,$G1000)&gt;0),"есть в Журнале",IF(COUNTIF(Постоянные!$C$8:$C$37,$F1000)&gt;0,"есть в Постоянных",IF(COUNTIF(Покупки!$C$7:$C$18,$F1000)&gt;0,"есть в Покупках",""))))</f>
        <v/>
      </c>
      <c r="P1000">
        <f>IF($C1000="","",DATE(YEAR($C1000),MONTH($C1000),1))</f>
        <v/>
      </c>
      <c r="Q1000">
        <f>IF(ISNUMBER($G1000),ABS($G1000),0)</f>
        <v/>
      </c>
      <c r="R1000">
        <f>IF(AND($D1000="Расход",COUNTIFS(Счета!$B$10:$B$21,$H1000,Счета!$C$10:$C$21,"Кредитная")&gt;0),1,0)</f>
        <v/>
      </c>
    </row>
    <row r="1001" ht="19" customHeight="1">
      <c r="B1001" s="53">
        <f>IF(AND($C1001="",$F1001=""),"",ROW()-9)</f>
        <v/>
      </c>
      <c r="C1001" s="213" t="n"/>
      <c r="D1001" s="55" t="n"/>
      <c r="E1001" s="55" t="n"/>
      <c r="F1001" s="56" t="n"/>
      <c r="G1001" s="196" t="n"/>
      <c r="H1001" s="21" t="n"/>
      <c r="I1001" s="21" t="n"/>
      <c r="J1001" s="53">
        <f>IF($C1001="","",INDEX(Настройки!$V$6:$V$17,MONTH($C1001))&amp;" "&amp;YEAR($C1001))</f>
        <v/>
      </c>
      <c r="K1001" s="57">
        <f>IF(OR($F1001="",$D1001="Перевод"),"",IF(AND(N($G1001)&lt;&gt;0,COUNTIFS(Журнал!$C$10:$C$1509,$C1001,Журнал!$P$10:$P$1509,$G1001)&gt;0),"есть в Журнале",IF(COUNTIF(Постоянные!$C$8:$C$37,$F1001)&gt;0,"есть в Постоянных",IF(COUNTIF(Покупки!$C$7:$C$18,$F1001)&gt;0,"есть в Покупках",""))))</f>
        <v/>
      </c>
      <c r="P1001">
        <f>IF($C1001="","",DATE(YEAR($C1001),MONTH($C1001),1))</f>
        <v/>
      </c>
      <c r="Q1001">
        <f>IF(ISNUMBER($G1001),ABS($G1001),0)</f>
        <v/>
      </c>
      <c r="R1001">
        <f>IF(AND($D1001="Расход",COUNTIFS(Счета!$B$10:$B$21,$H1001,Счета!$C$10:$C$21,"Кредитная")&gt;0),1,0)</f>
        <v/>
      </c>
    </row>
    <row r="1002" ht="19" customHeight="1">
      <c r="B1002" s="53">
        <f>IF(AND($C1002="",$F1002=""),"",ROW()-9)</f>
        <v/>
      </c>
      <c r="C1002" s="213" t="n"/>
      <c r="D1002" s="55" t="n"/>
      <c r="E1002" s="55" t="n"/>
      <c r="F1002" s="56" t="n"/>
      <c r="G1002" s="196" t="n"/>
      <c r="H1002" s="21" t="n"/>
      <c r="I1002" s="21" t="n"/>
      <c r="J1002" s="53">
        <f>IF($C1002="","",INDEX(Настройки!$V$6:$V$17,MONTH($C1002))&amp;" "&amp;YEAR($C1002))</f>
        <v/>
      </c>
      <c r="K1002" s="57">
        <f>IF(OR($F1002="",$D1002="Перевод"),"",IF(AND(N($G1002)&lt;&gt;0,COUNTIFS(Журнал!$C$10:$C$1509,$C1002,Журнал!$P$10:$P$1509,$G1002)&gt;0),"есть в Журнале",IF(COUNTIF(Постоянные!$C$8:$C$37,$F1002)&gt;0,"есть в Постоянных",IF(COUNTIF(Покупки!$C$7:$C$18,$F1002)&gt;0,"есть в Покупках",""))))</f>
        <v/>
      </c>
      <c r="P1002">
        <f>IF($C1002="","",DATE(YEAR($C1002),MONTH($C1002),1))</f>
        <v/>
      </c>
      <c r="Q1002">
        <f>IF(ISNUMBER($G1002),ABS($G1002),0)</f>
        <v/>
      </c>
      <c r="R1002">
        <f>IF(AND($D1002="Расход",COUNTIFS(Счета!$B$10:$B$21,$H1002,Счета!$C$10:$C$21,"Кредитная")&gt;0),1,0)</f>
        <v/>
      </c>
    </row>
    <row r="1003" ht="19" customHeight="1">
      <c r="B1003" s="53">
        <f>IF(AND($C1003="",$F1003=""),"",ROW()-9)</f>
        <v/>
      </c>
      <c r="C1003" s="213" t="n"/>
      <c r="D1003" s="55" t="n"/>
      <c r="E1003" s="55" t="n"/>
      <c r="F1003" s="56" t="n"/>
      <c r="G1003" s="196" t="n"/>
      <c r="H1003" s="21" t="n"/>
      <c r="I1003" s="21" t="n"/>
      <c r="J1003" s="53">
        <f>IF($C1003="","",INDEX(Настройки!$V$6:$V$17,MONTH($C1003))&amp;" "&amp;YEAR($C1003))</f>
        <v/>
      </c>
      <c r="K1003" s="57">
        <f>IF(OR($F1003="",$D1003="Перевод"),"",IF(AND(N($G1003)&lt;&gt;0,COUNTIFS(Журнал!$C$10:$C$1509,$C1003,Журнал!$P$10:$P$1509,$G1003)&gt;0),"есть в Журнале",IF(COUNTIF(Постоянные!$C$8:$C$37,$F1003)&gt;0,"есть в Постоянных",IF(COUNTIF(Покупки!$C$7:$C$18,$F1003)&gt;0,"есть в Покупках",""))))</f>
        <v/>
      </c>
      <c r="P1003">
        <f>IF($C1003="","",DATE(YEAR($C1003),MONTH($C1003),1))</f>
        <v/>
      </c>
      <c r="Q1003">
        <f>IF(ISNUMBER($G1003),ABS($G1003),0)</f>
        <v/>
      </c>
      <c r="R1003">
        <f>IF(AND($D1003="Расход",COUNTIFS(Счета!$B$10:$B$21,$H1003,Счета!$C$10:$C$21,"Кредитная")&gt;0),1,0)</f>
        <v/>
      </c>
    </row>
    <row r="1004" ht="19" customHeight="1">
      <c r="B1004" s="53">
        <f>IF(AND($C1004="",$F1004=""),"",ROW()-9)</f>
        <v/>
      </c>
      <c r="C1004" s="213" t="n"/>
      <c r="D1004" s="55" t="n"/>
      <c r="E1004" s="55" t="n"/>
      <c r="F1004" s="56" t="n"/>
      <c r="G1004" s="196" t="n"/>
      <c r="H1004" s="21" t="n"/>
      <c r="I1004" s="21" t="n"/>
      <c r="J1004" s="53">
        <f>IF($C1004="","",INDEX(Настройки!$V$6:$V$17,MONTH($C1004))&amp;" "&amp;YEAR($C1004))</f>
        <v/>
      </c>
      <c r="K1004" s="57">
        <f>IF(OR($F1004="",$D1004="Перевод"),"",IF(AND(N($G1004)&lt;&gt;0,COUNTIFS(Журнал!$C$10:$C$1509,$C1004,Журнал!$P$10:$P$1509,$G1004)&gt;0),"есть в Журнале",IF(COUNTIF(Постоянные!$C$8:$C$37,$F1004)&gt;0,"есть в Постоянных",IF(COUNTIF(Покупки!$C$7:$C$18,$F1004)&gt;0,"есть в Покупках",""))))</f>
        <v/>
      </c>
      <c r="P1004">
        <f>IF($C1004="","",DATE(YEAR($C1004),MONTH($C1004),1))</f>
        <v/>
      </c>
      <c r="Q1004">
        <f>IF(ISNUMBER($G1004),ABS($G1004),0)</f>
        <v/>
      </c>
      <c r="R1004">
        <f>IF(AND($D1004="Расход",COUNTIFS(Счета!$B$10:$B$21,$H1004,Счета!$C$10:$C$21,"Кредитная")&gt;0),1,0)</f>
        <v/>
      </c>
    </row>
    <row r="1005" ht="19" customHeight="1">
      <c r="B1005" s="53">
        <f>IF(AND($C1005="",$F1005=""),"",ROW()-9)</f>
        <v/>
      </c>
      <c r="C1005" s="213" t="n"/>
      <c r="D1005" s="55" t="n"/>
      <c r="E1005" s="55" t="n"/>
      <c r="F1005" s="56" t="n"/>
      <c r="G1005" s="196" t="n"/>
      <c r="H1005" s="21" t="n"/>
      <c r="I1005" s="21" t="n"/>
      <c r="J1005" s="53">
        <f>IF($C1005="","",INDEX(Настройки!$V$6:$V$17,MONTH($C1005))&amp;" "&amp;YEAR($C1005))</f>
        <v/>
      </c>
      <c r="K1005" s="57">
        <f>IF(OR($F1005="",$D1005="Перевод"),"",IF(AND(N($G1005)&lt;&gt;0,COUNTIFS(Журнал!$C$10:$C$1509,$C1005,Журнал!$P$10:$P$1509,$G1005)&gt;0),"есть в Журнале",IF(COUNTIF(Постоянные!$C$8:$C$37,$F1005)&gt;0,"есть в Постоянных",IF(COUNTIF(Покупки!$C$7:$C$18,$F1005)&gt;0,"есть в Покупках",""))))</f>
        <v/>
      </c>
      <c r="P1005">
        <f>IF($C1005="","",DATE(YEAR($C1005),MONTH($C1005),1))</f>
        <v/>
      </c>
      <c r="Q1005">
        <f>IF(ISNUMBER($G1005),ABS($G1005),0)</f>
        <v/>
      </c>
      <c r="R1005">
        <f>IF(AND($D1005="Расход",COUNTIFS(Счета!$B$10:$B$21,$H1005,Счета!$C$10:$C$21,"Кредитная")&gt;0),1,0)</f>
        <v/>
      </c>
    </row>
    <row r="1006" ht="19" customHeight="1">
      <c r="B1006" s="53">
        <f>IF(AND($C1006="",$F1006=""),"",ROW()-9)</f>
        <v/>
      </c>
      <c r="C1006" s="213" t="n"/>
      <c r="D1006" s="55" t="n"/>
      <c r="E1006" s="55" t="n"/>
      <c r="F1006" s="56" t="n"/>
      <c r="G1006" s="196" t="n"/>
      <c r="H1006" s="21" t="n"/>
      <c r="I1006" s="21" t="n"/>
      <c r="J1006" s="53">
        <f>IF($C1006="","",INDEX(Настройки!$V$6:$V$17,MONTH($C1006))&amp;" "&amp;YEAR($C1006))</f>
        <v/>
      </c>
      <c r="K1006" s="57">
        <f>IF(OR($F1006="",$D1006="Перевод"),"",IF(AND(N($G1006)&lt;&gt;0,COUNTIFS(Журнал!$C$10:$C$1509,$C1006,Журнал!$P$10:$P$1509,$G1006)&gt;0),"есть в Журнале",IF(COUNTIF(Постоянные!$C$8:$C$37,$F1006)&gt;0,"есть в Постоянных",IF(COUNTIF(Покупки!$C$7:$C$18,$F1006)&gt;0,"есть в Покупках",""))))</f>
        <v/>
      </c>
      <c r="P1006">
        <f>IF($C1006="","",DATE(YEAR($C1006),MONTH($C1006),1))</f>
        <v/>
      </c>
      <c r="Q1006">
        <f>IF(ISNUMBER($G1006),ABS($G1006),0)</f>
        <v/>
      </c>
      <c r="R1006">
        <f>IF(AND($D1006="Расход",COUNTIFS(Счета!$B$10:$B$21,$H1006,Счета!$C$10:$C$21,"Кредитная")&gt;0),1,0)</f>
        <v/>
      </c>
    </row>
    <row r="1007" ht="19" customHeight="1">
      <c r="B1007" s="53">
        <f>IF(AND($C1007="",$F1007=""),"",ROW()-9)</f>
        <v/>
      </c>
      <c r="C1007" s="213" t="n"/>
      <c r="D1007" s="55" t="n"/>
      <c r="E1007" s="55" t="n"/>
      <c r="F1007" s="56" t="n"/>
      <c r="G1007" s="196" t="n"/>
      <c r="H1007" s="21" t="n"/>
      <c r="I1007" s="21" t="n"/>
      <c r="J1007" s="53">
        <f>IF($C1007="","",INDEX(Настройки!$V$6:$V$17,MONTH($C1007))&amp;" "&amp;YEAR($C1007))</f>
        <v/>
      </c>
      <c r="K1007" s="57">
        <f>IF(OR($F1007="",$D1007="Перевод"),"",IF(AND(N($G1007)&lt;&gt;0,COUNTIFS(Журнал!$C$10:$C$1509,$C1007,Журнал!$P$10:$P$1509,$G1007)&gt;0),"есть в Журнале",IF(COUNTIF(Постоянные!$C$8:$C$37,$F1007)&gt;0,"есть в Постоянных",IF(COUNTIF(Покупки!$C$7:$C$18,$F1007)&gt;0,"есть в Покупках",""))))</f>
        <v/>
      </c>
      <c r="P1007">
        <f>IF($C1007="","",DATE(YEAR($C1007),MONTH($C1007),1))</f>
        <v/>
      </c>
      <c r="Q1007">
        <f>IF(ISNUMBER($G1007),ABS($G1007),0)</f>
        <v/>
      </c>
      <c r="R1007">
        <f>IF(AND($D1007="Расход",COUNTIFS(Счета!$B$10:$B$21,$H1007,Счета!$C$10:$C$21,"Кредитная")&gt;0),1,0)</f>
        <v/>
      </c>
    </row>
    <row r="1008" ht="19" customHeight="1">
      <c r="B1008" s="53">
        <f>IF(AND($C1008="",$F1008=""),"",ROW()-9)</f>
        <v/>
      </c>
      <c r="C1008" s="213" t="n"/>
      <c r="D1008" s="55" t="n"/>
      <c r="E1008" s="55" t="n"/>
      <c r="F1008" s="56" t="n"/>
      <c r="G1008" s="196" t="n"/>
      <c r="H1008" s="21" t="n"/>
      <c r="I1008" s="21" t="n"/>
      <c r="J1008" s="53">
        <f>IF($C1008="","",INDEX(Настройки!$V$6:$V$17,MONTH($C1008))&amp;" "&amp;YEAR($C1008))</f>
        <v/>
      </c>
      <c r="K1008" s="57">
        <f>IF(OR($F1008="",$D1008="Перевод"),"",IF(AND(N($G1008)&lt;&gt;0,COUNTIFS(Журнал!$C$10:$C$1509,$C1008,Журнал!$P$10:$P$1509,$G1008)&gt;0),"есть в Журнале",IF(COUNTIF(Постоянные!$C$8:$C$37,$F1008)&gt;0,"есть в Постоянных",IF(COUNTIF(Покупки!$C$7:$C$18,$F1008)&gt;0,"есть в Покупках",""))))</f>
        <v/>
      </c>
      <c r="P1008">
        <f>IF($C1008="","",DATE(YEAR($C1008),MONTH($C1008),1))</f>
        <v/>
      </c>
      <c r="Q1008">
        <f>IF(ISNUMBER($G1008),ABS($G1008),0)</f>
        <v/>
      </c>
      <c r="R1008">
        <f>IF(AND($D1008="Расход",COUNTIFS(Счета!$B$10:$B$21,$H1008,Счета!$C$10:$C$21,"Кредитная")&gt;0),1,0)</f>
        <v/>
      </c>
    </row>
    <row r="1009" ht="19" customHeight="1">
      <c r="B1009" s="53">
        <f>IF(AND($C1009="",$F1009=""),"",ROW()-9)</f>
        <v/>
      </c>
      <c r="C1009" s="213" t="n"/>
      <c r="D1009" s="55" t="n"/>
      <c r="E1009" s="55" t="n"/>
      <c r="F1009" s="56" t="n"/>
      <c r="G1009" s="196" t="n"/>
      <c r="H1009" s="21" t="n"/>
      <c r="I1009" s="21" t="n"/>
      <c r="J1009" s="53">
        <f>IF($C1009="","",INDEX(Настройки!$V$6:$V$17,MONTH($C1009))&amp;" "&amp;YEAR($C1009))</f>
        <v/>
      </c>
      <c r="K1009" s="57">
        <f>IF(OR($F1009="",$D1009="Перевод"),"",IF(AND(N($G1009)&lt;&gt;0,COUNTIFS(Журнал!$C$10:$C$1509,$C1009,Журнал!$P$10:$P$1509,$G1009)&gt;0),"есть в Журнале",IF(COUNTIF(Постоянные!$C$8:$C$37,$F1009)&gt;0,"есть в Постоянных",IF(COUNTIF(Покупки!$C$7:$C$18,$F1009)&gt;0,"есть в Покупках",""))))</f>
        <v/>
      </c>
      <c r="P1009">
        <f>IF($C1009="","",DATE(YEAR($C1009),MONTH($C1009),1))</f>
        <v/>
      </c>
      <c r="Q1009">
        <f>IF(ISNUMBER($G1009),ABS($G1009),0)</f>
        <v/>
      </c>
      <c r="R1009">
        <f>IF(AND($D1009="Расход",COUNTIFS(Счета!$B$10:$B$21,$H1009,Счета!$C$10:$C$21,"Кредитная")&gt;0),1,0)</f>
        <v/>
      </c>
    </row>
    <row r="1011">
      <c r="C1011" s="50" t="inlineStr">
        <is>
          <t>Знак суммы не важен: тип решает, трата это или поступление (возврат — «Доход»). Трата по кредитке показывается с минусом. Плановую трату, отмеченную «Оплачено» в «Журнале», сюда не вносите.</t>
        </is>
      </c>
    </row>
  </sheetData>
  <autoFilter ref="B9:K1009"/>
  <mergeCells count="11">
    <mergeCell ref="C6:D6"/>
    <mergeCell ref="D7:E7"/>
    <mergeCell ref="C1011:K1011"/>
    <mergeCell ref="I5:K5"/>
    <mergeCell ref="C5:D5"/>
    <mergeCell ref="G5:H5"/>
    <mergeCell ref="F7:K7"/>
    <mergeCell ref="G6:H6"/>
    <mergeCell ref="B2:K2"/>
    <mergeCell ref="B3:K3"/>
    <mergeCell ref="I6:K6"/>
  </mergeCells>
  <conditionalFormatting sqref="C10:K1009">
    <cfRule type="expression" priority="1" dxfId="0">
      <formula>$D10="Перевод"</formula>
    </cfRule>
  </conditionalFormatting>
  <conditionalFormatting sqref="G10:G1009">
    <cfRule type="expression" priority="2" dxfId="1">
      <formula>$R10=1</formula>
    </cfRule>
    <cfRule type="expression" priority="3" dxfId="2">
      <formula>$D10="Доход"</formula>
    </cfRule>
  </conditionalFormatting>
  <conditionalFormatting sqref="H10:H1009">
    <cfRule type="expression" priority="4" dxfId="3">
      <formula>AND($G10&lt;&gt;"",$H10="")</formula>
    </cfRule>
  </conditionalFormatting>
  <conditionalFormatting sqref="I10:I1009">
    <cfRule type="expression" priority="5" dxfId="3">
      <formula>AND($D10="Перевод",$I10="")</formula>
    </cfRule>
  </conditionalFormatting>
  <conditionalFormatting sqref="K10:K1009">
    <cfRule type="expression" priority="6" dxfId="4">
      <formula>$K10&lt;&gt;""</formula>
    </cfRule>
  </conditionalFormatting>
  <dataValidations count="5">
    <dataValidation sqref="D7" showDropDown="0" showInputMessage="0" showErrorMessage="0" allowBlank="1" type="list">
      <formula1>Настройки!$X$6:$X$17</formula1>
    </dataValidation>
    <dataValidation sqref="C10:C1009" showDropDown="0" showInputMessage="0" showErrorMessage="0" allowBlank="1" type="list">
      <formula1>Даты_месяца</formula1>
    </dataValidation>
    <dataValidation sqref="D10:D1009" showDropDown="0" showInputMessage="0" showErrorMessage="0" allowBlank="1" type="list">
      <formula1>"Расход,Доход,Перевод"</formula1>
    </dataValidation>
    <dataValidation sqref="E10:E1009" showDropDown="0" showInputMessage="0" showErrorMessage="0" allowBlank="1" type="list">
      <formula1>IF($D10="Доход",Доходы_список,Расходы_список)</formula1>
    </dataValidation>
    <dataValidation sqref="H10:I1009" showDropDown="0" showInputMessage="0" showErrorMessage="0" allowBlank="1" type="list">
      <formula1>Счета_список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46E5"/>
    <outlinePr summaryBelow="1" summaryRight="1"/>
    <pageSetUpPr/>
  </sheetPr>
  <dimension ref="B2:Y51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2.5" customWidth="1" min="11" max="11"/>
    <col hidden="1" width="13" customWidth="1" min="24" max="24"/>
    <col hidden="1" width="13" customWidth="1" min="25" max="25"/>
  </cols>
  <sheetData>
    <row r="1" ht="6" customHeight="1"/>
    <row r="2" ht="34" customHeight="1">
      <c r="B2" s="1" t="inlineStr">
        <is>
          <t>Счета</t>
        </is>
      </c>
    </row>
    <row r="3" ht="20" customHeight="1">
      <c r="B3" s="3" t="inlineStr">
        <is>
          <t>Сколько денег на каждой карте, в наличных и сколько долга по кредитке</t>
        </is>
      </c>
    </row>
    <row r="4">
      <c r="B4" s="17" t="inlineStr">
        <is>
          <t>Остатки на дату</t>
        </is>
      </c>
      <c r="C4" s="213">
        <f>Настройки!$F$8</f>
        <v/>
      </c>
      <c r="D4" s="50" t="inlineStr">
        <is>
          <t>с этой даты в остатки идут все операции, отметки и покупки</t>
        </is>
      </c>
      <c r="Y4">
        <f>TODAY()</f>
        <v/>
      </c>
    </row>
    <row r="5" ht="26" customHeight="1">
      <c r="C5" s="214" t="inlineStr">
        <is>
          <t>На картах</t>
        </is>
      </c>
      <c r="D5" s="215" t="n"/>
      <c r="E5" s="32" t="inlineStr">
        <is>
          <t>Наличные</t>
        </is>
      </c>
      <c r="F5" s="216" t="n"/>
      <c r="G5" s="31" t="inlineStr">
        <is>
          <t>Долг по кредитке</t>
        </is>
      </c>
      <c r="H5" s="199" t="n"/>
      <c r="I5" s="217" t="inlineStr">
        <is>
          <t>Всего (за вычетом долга)</t>
        </is>
      </c>
      <c r="J5" s="218" t="n"/>
    </row>
    <row r="6" ht="30" customHeight="1">
      <c r="C6" s="219">
        <f>SUMIFS($H$10:$H$21,$C$10:$C$21,"Дебетовая")+SUMIFS($H$10:$H$21,$C$10:$C$21,"Сберегательная")</f>
        <v/>
      </c>
      <c r="D6" s="220" t="n"/>
      <c r="E6" s="221">
        <f>SUMIFS($H$10:$H$21,$C$10:$C$21,"Наличные")</f>
        <v/>
      </c>
      <c r="F6" s="222" t="n"/>
      <c r="G6" s="223">
        <f>SUM($I$10:$I$21)</f>
        <v/>
      </c>
      <c r="H6" s="208" t="n"/>
      <c r="I6" s="224">
        <f>SUM($H$10:$H$21)</f>
        <v/>
      </c>
      <c r="J6" s="225" t="n"/>
    </row>
    <row r="9" ht="32" customHeight="1">
      <c r="B9" s="13" t="inlineStr">
        <is>
          <t>Счёт</t>
        </is>
      </c>
      <c r="C9" s="13" t="inlineStr">
        <is>
          <t>Тип</t>
        </is>
      </c>
      <c r="D9" s="13" t="inlineStr">
        <is>
          <t>На начало</t>
        </is>
      </c>
      <c r="E9" s="13" t="inlineStr">
        <is>
          <t>Поступления</t>
        </is>
      </c>
      <c r="F9" s="13" t="inlineStr">
        <is>
          <t>Траты</t>
        </is>
      </c>
      <c r="G9" s="13" t="inlineStr">
        <is>
          <t>Переводы</t>
        </is>
      </c>
      <c r="H9" s="13" t="inlineStr">
        <is>
          <t>Сейчас</t>
        </is>
      </c>
      <c r="I9" s="13" t="inlineStr">
        <is>
          <t>Долг</t>
        </is>
      </c>
    </row>
    <row r="10" ht="21" customHeight="1">
      <c r="B10" s="17">
        <f>IF(Настройки!$N$6="","",Настройки!$N$6)</f>
        <v/>
      </c>
      <c r="C10" s="55" t="inlineStr">
        <is>
          <t>Дебетовая</t>
        </is>
      </c>
      <c r="D10" s="226" t="n">
        <v>1000</v>
      </c>
      <c r="E10" s="227">
        <f>IF($B10="","",SUMIFS(Операции!$Q$10:$Q$1009,Операции!$D$10:$D$1009,"Доход",Операции!$H$10:$H$1009,$B10,Операции!$C$10:$C$1009,"&gt;="&amp;$C$4)+SUMIFS(Журнал!$P$10:$P$1509,Журнал!$D$10:$D$1509,"Доход",Журнал!$J$10:$J$1509,$B10,Журнал!$R$10:$R$1509,"&gt;="&amp;DATE(YEAR($C$4),MONTH($C$4),1))+SUMIFS(Постоянные!$AC$8:$AC$367,Постоянные!$Z$8:$Z$367,"Доход",Постоянные!$AE$8:$AE$367,$B10,Постоянные!$Y$8:$Y$367,"&gt;="&amp;$C$4))</f>
        <v/>
      </c>
      <c r="F10" s="73">
        <f>IF($B10="","",SUMIFS(Операции!$Q$10:$Q$1009,Операции!$D$10:$D$1009,"Расход",Операции!$H$10:$H$1009,$B10,Операции!$C$10:$C$1009,"&gt;="&amp;$C$4)+SUMIFS(Журнал!$P$10:$P$1509,Журнал!$D$10:$D$1509,"&lt;&gt;Доход",Журнал!$J$10:$J$1509,$B10,Журнал!$R$10:$R$1509,"&gt;="&amp;DATE(YEAR($C$4),MONTH($C$4),1))+SUMIFS(Постоянные!$AC$8:$AC$367,Постоянные!$Z$8:$Z$367,"Расход",Постоянные!$AE$8:$AE$367,$B10,Постоянные!$Y$8:$Y$367,"&gt;="&amp;$C$4)+SUMIFS(Покупки!$S$7:$S$18,Покупки!$P$7:$P$18,$B10)-SUMIFS(Покупки!$S$7:$S$18,Покупки!$P$7:$P$18,$B10,Покупки!$G$7:$G$18,"&lt;"&amp;$C$4))</f>
        <v/>
      </c>
      <c r="G10" s="228">
        <f>IF($B10="","",SUMIFS(Операции!$Q$10:$Q$1009,Операции!$D$10:$D$1009,"Перевод",Операции!$I$10:$I$1009,$B10,Операции!$C$10:$C$1009,"&gt;="&amp;$C$4)-SUMIFS(Операции!$Q$10:$Q$1009,Операции!$D$10:$D$1009,"Перевод",Операции!$H$10:$H$1009,$B10,Операции!$C$10:$C$1009,"&gt;="&amp;$C$4)+IF($B10=$C$32,SUM($Y$39:$Y$50),0)-IF($B10=$C$34,SUM($Y$39:$Y$50),0))</f>
        <v/>
      </c>
      <c r="H10" s="229">
        <f>IF($B10="","",N($D10)+$E10-$F10+$G10)</f>
        <v/>
      </c>
      <c r="I10" s="230">
        <f>IF(AND($C10="Кредитная",N($H10)&lt;0),$H10,"")</f>
        <v/>
      </c>
    </row>
    <row r="11" ht="21" customHeight="1">
      <c r="B11" s="17">
        <f>IF(Настройки!$N$7="","",Настройки!$N$7)</f>
        <v/>
      </c>
      <c r="C11" s="55" t="inlineStr">
        <is>
          <t>Наличные</t>
        </is>
      </c>
      <c r="D11" s="226" t="n">
        <v>0</v>
      </c>
      <c r="E11" s="227">
        <f>IF($B11="","",SUMIFS(Операции!$Q$10:$Q$1009,Операции!$D$10:$D$1009,"Доход",Операции!$H$10:$H$1009,$B11,Операции!$C$10:$C$1009,"&gt;="&amp;$C$4)+SUMIFS(Журнал!$P$10:$P$1509,Журнал!$D$10:$D$1509,"Доход",Журнал!$J$10:$J$1509,$B11,Журнал!$R$10:$R$1509,"&gt;="&amp;DATE(YEAR($C$4),MONTH($C$4),1))+SUMIFS(Постоянные!$AC$8:$AC$367,Постоянные!$Z$8:$Z$367,"Доход",Постоянные!$AE$8:$AE$367,$B11,Постоянные!$Y$8:$Y$367,"&gt;="&amp;$C$4))</f>
        <v/>
      </c>
      <c r="F11" s="73">
        <f>IF($B11="","",SUMIFS(Операции!$Q$10:$Q$1009,Операции!$D$10:$D$1009,"Расход",Операции!$H$10:$H$1009,$B11,Операции!$C$10:$C$1009,"&gt;="&amp;$C$4)+SUMIFS(Журнал!$P$10:$P$1509,Журнал!$D$10:$D$1509,"&lt;&gt;Доход",Журнал!$J$10:$J$1509,$B11,Журнал!$R$10:$R$1509,"&gt;="&amp;DATE(YEAR($C$4),MONTH($C$4),1))+SUMIFS(Постоянные!$AC$8:$AC$367,Постоянные!$Z$8:$Z$367,"Расход",Постоянные!$AE$8:$AE$367,$B11,Постоянные!$Y$8:$Y$367,"&gt;="&amp;$C$4)+SUMIFS(Покупки!$S$7:$S$18,Покупки!$P$7:$P$18,$B11)-SUMIFS(Покупки!$S$7:$S$18,Покупки!$P$7:$P$18,$B11,Покупки!$G$7:$G$18,"&lt;"&amp;$C$4))</f>
        <v/>
      </c>
      <c r="G11" s="228">
        <f>IF($B11="","",SUMIFS(Операции!$Q$10:$Q$1009,Операции!$D$10:$D$1009,"Перевод",Операции!$I$10:$I$1009,$B11,Операции!$C$10:$C$1009,"&gt;="&amp;$C$4)-SUMIFS(Операции!$Q$10:$Q$1009,Операции!$D$10:$D$1009,"Перевод",Операции!$H$10:$H$1009,$B11,Операции!$C$10:$C$1009,"&gt;="&amp;$C$4)+IF($B11=$C$32,SUM($Y$39:$Y$50),0)-IF($B11=$C$34,SUM($Y$39:$Y$50),0))</f>
        <v/>
      </c>
      <c r="H11" s="229">
        <f>IF($B11="","",N($D11)+$E11-$F11+$G11)</f>
        <v/>
      </c>
      <c r="I11" s="230">
        <f>IF(AND($C11="Кредитная",N($H11)&lt;0),$H11,"")</f>
        <v/>
      </c>
    </row>
    <row r="12" ht="21" customHeight="1">
      <c r="B12" s="17">
        <f>IF(Настройки!$N$8="","",Настройки!$N$8)</f>
        <v/>
      </c>
      <c r="C12" s="55" t="inlineStr">
        <is>
          <t>Кредитная</t>
        </is>
      </c>
      <c r="D12" s="226" t="n">
        <v>0</v>
      </c>
      <c r="E12" s="227">
        <f>IF($B12="","",SUMIFS(Операции!$Q$10:$Q$1009,Операции!$D$10:$D$1009,"Доход",Операции!$H$10:$H$1009,$B12,Операции!$C$10:$C$1009,"&gt;="&amp;$C$4)+SUMIFS(Журнал!$P$10:$P$1509,Журнал!$D$10:$D$1509,"Доход",Журнал!$J$10:$J$1509,$B12,Журнал!$R$10:$R$1509,"&gt;="&amp;DATE(YEAR($C$4),MONTH($C$4),1))+SUMIFS(Постоянные!$AC$8:$AC$367,Постоянные!$Z$8:$Z$367,"Доход",Постоянные!$AE$8:$AE$367,$B12,Постоянные!$Y$8:$Y$367,"&gt;="&amp;$C$4))</f>
        <v/>
      </c>
      <c r="F12" s="73">
        <f>IF($B12="","",SUMIFS(Операции!$Q$10:$Q$1009,Операции!$D$10:$D$1009,"Расход",Операции!$H$10:$H$1009,$B12,Операции!$C$10:$C$1009,"&gt;="&amp;$C$4)+SUMIFS(Журнал!$P$10:$P$1509,Журнал!$D$10:$D$1509,"&lt;&gt;Доход",Журнал!$J$10:$J$1509,$B12,Журнал!$R$10:$R$1509,"&gt;="&amp;DATE(YEAR($C$4),MONTH($C$4),1))+SUMIFS(Постоянные!$AC$8:$AC$367,Постоянные!$Z$8:$Z$367,"Расход",Постоянные!$AE$8:$AE$367,$B12,Постоянные!$Y$8:$Y$367,"&gt;="&amp;$C$4)+SUMIFS(Покупки!$S$7:$S$18,Покупки!$P$7:$P$18,$B12)-SUMIFS(Покупки!$S$7:$S$18,Покупки!$P$7:$P$18,$B12,Покупки!$G$7:$G$18,"&lt;"&amp;$C$4))</f>
        <v/>
      </c>
      <c r="G12" s="228">
        <f>IF($B12="","",SUMIFS(Операции!$Q$10:$Q$1009,Операции!$D$10:$D$1009,"Перевод",Операции!$I$10:$I$1009,$B12,Операции!$C$10:$C$1009,"&gt;="&amp;$C$4)-SUMIFS(Операции!$Q$10:$Q$1009,Операции!$D$10:$D$1009,"Перевод",Операции!$H$10:$H$1009,$B12,Операции!$C$10:$C$1009,"&gt;="&amp;$C$4)+IF($B12=$C$32,SUM($Y$39:$Y$50),0)-IF($B12=$C$34,SUM($Y$39:$Y$50),0))</f>
        <v/>
      </c>
      <c r="H12" s="229">
        <f>IF($B12="","",N($D12)+$E12-$F12+$G12)</f>
        <v/>
      </c>
      <c r="I12" s="230">
        <f>IF(AND($C12="Кредитная",N($H12)&lt;0),$H12,"")</f>
        <v/>
      </c>
    </row>
    <row r="13" ht="21" customHeight="1">
      <c r="B13" s="17">
        <f>IF(Настройки!$N$9="","",Настройки!$N$9)</f>
        <v/>
      </c>
      <c r="C13" s="55" t="n"/>
      <c r="D13" s="226" t="n"/>
      <c r="E13" s="227">
        <f>IF($B13="","",SUMIFS(Операции!$Q$10:$Q$1009,Операции!$D$10:$D$1009,"Доход",Операции!$H$10:$H$1009,$B13,Операции!$C$10:$C$1009,"&gt;="&amp;$C$4)+SUMIFS(Журнал!$P$10:$P$1509,Журнал!$D$10:$D$1509,"Доход",Журнал!$J$10:$J$1509,$B13,Журнал!$R$10:$R$1509,"&gt;="&amp;DATE(YEAR($C$4),MONTH($C$4),1))+SUMIFS(Постоянные!$AC$8:$AC$367,Постоянные!$Z$8:$Z$367,"Доход",Постоянные!$AE$8:$AE$367,$B13,Постоянные!$Y$8:$Y$367,"&gt;="&amp;$C$4))</f>
        <v/>
      </c>
      <c r="F13" s="73">
        <f>IF($B13="","",SUMIFS(Операции!$Q$10:$Q$1009,Операции!$D$10:$D$1009,"Расход",Операции!$H$10:$H$1009,$B13,Операции!$C$10:$C$1009,"&gt;="&amp;$C$4)+SUMIFS(Журнал!$P$10:$P$1509,Журнал!$D$10:$D$1509,"&lt;&gt;Доход",Журнал!$J$10:$J$1509,$B13,Журнал!$R$10:$R$1509,"&gt;="&amp;DATE(YEAR($C$4),MONTH($C$4),1))+SUMIFS(Постоянные!$AC$8:$AC$367,Постоянные!$Z$8:$Z$367,"Расход",Постоянные!$AE$8:$AE$367,$B13,Постоянные!$Y$8:$Y$367,"&gt;="&amp;$C$4)+SUMIFS(Покупки!$S$7:$S$18,Покупки!$P$7:$P$18,$B13)-SUMIFS(Покупки!$S$7:$S$18,Покупки!$P$7:$P$18,$B13,Покупки!$G$7:$G$18,"&lt;"&amp;$C$4))</f>
        <v/>
      </c>
      <c r="G13" s="228">
        <f>IF($B13="","",SUMIFS(Операции!$Q$10:$Q$1009,Операции!$D$10:$D$1009,"Перевод",Операции!$I$10:$I$1009,$B13,Операции!$C$10:$C$1009,"&gt;="&amp;$C$4)-SUMIFS(Операции!$Q$10:$Q$1009,Операции!$D$10:$D$1009,"Перевод",Операции!$H$10:$H$1009,$B13,Операции!$C$10:$C$1009,"&gt;="&amp;$C$4)+IF($B13=$C$32,SUM($Y$39:$Y$50),0)-IF($B13=$C$34,SUM($Y$39:$Y$50),0))</f>
        <v/>
      </c>
      <c r="H13" s="229">
        <f>IF($B13="","",N($D13)+$E13-$F13+$G13)</f>
        <v/>
      </c>
      <c r="I13" s="230">
        <f>IF(AND($C13="Кредитная",N($H13)&lt;0),$H13,"")</f>
        <v/>
      </c>
    </row>
    <row r="14" ht="21" customHeight="1">
      <c r="B14" s="17">
        <f>IF(Настройки!$N$10="","",Настройки!$N$10)</f>
        <v/>
      </c>
      <c r="C14" s="55" t="n"/>
      <c r="D14" s="226" t="n"/>
      <c r="E14" s="227">
        <f>IF($B14="","",SUMIFS(Операции!$Q$10:$Q$1009,Операции!$D$10:$D$1009,"Доход",Операции!$H$10:$H$1009,$B14,Операции!$C$10:$C$1009,"&gt;="&amp;$C$4)+SUMIFS(Журнал!$P$10:$P$1509,Журнал!$D$10:$D$1509,"Доход",Журнал!$J$10:$J$1509,$B14,Журнал!$R$10:$R$1509,"&gt;="&amp;DATE(YEAR($C$4),MONTH($C$4),1))+SUMIFS(Постоянные!$AC$8:$AC$367,Постоянные!$Z$8:$Z$367,"Доход",Постоянные!$AE$8:$AE$367,$B14,Постоянные!$Y$8:$Y$367,"&gt;="&amp;$C$4))</f>
        <v/>
      </c>
      <c r="F14" s="73">
        <f>IF($B14="","",SUMIFS(Операции!$Q$10:$Q$1009,Операции!$D$10:$D$1009,"Расход",Операции!$H$10:$H$1009,$B14,Операции!$C$10:$C$1009,"&gt;="&amp;$C$4)+SUMIFS(Журнал!$P$10:$P$1509,Журнал!$D$10:$D$1509,"&lt;&gt;Доход",Журнал!$J$10:$J$1509,$B14,Журнал!$R$10:$R$1509,"&gt;="&amp;DATE(YEAR($C$4),MONTH($C$4),1))+SUMIFS(Постоянные!$AC$8:$AC$367,Постоянные!$Z$8:$Z$367,"Расход",Постоянные!$AE$8:$AE$367,$B14,Постоянные!$Y$8:$Y$367,"&gt;="&amp;$C$4)+SUMIFS(Покупки!$S$7:$S$18,Покупки!$P$7:$P$18,$B14)-SUMIFS(Покупки!$S$7:$S$18,Покупки!$P$7:$P$18,$B14,Покупки!$G$7:$G$18,"&lt;"&amp;$C$4))</f>
        <v/>
      </c>
      <c r="G14" s="228">
        <f>IF($B14="","",SUMIFS(Операции!$Q$10:$Q$1009,Операции!$D$10:$D$1009,"Перевод",Операции!$I$10:$I$1009,$B14,Операции!$C$10:$C$1009,"&gt;="&amp;$C$4)-SUMIFS(Операции!$Q$10:$Q$1009,Операции!$D$10:$D$1009,"Перевод",Операции!$H$10:$H$1009,$B14,Операции!$C$10:$C$1009,"&gt;="&amp;$C$4)+IF($B14=$C$32,SUM($Y$39:$Y$50),0)-IF($B14=$C$34,SUM($Y$39:$Y$50),0))</f>
        <v/>
      </c>
      <c r="H14" s="229">
        <f>IF($B14="","",N($D14)+$E14-$F14+$G14)</f>
        <v/>
      </c>
      <c r="I14" s="230">
        <f>IF(AND($C14="Кредитная",N($H14)&lt;0),$H14,"")</f>
        <v/>
      </c>
    </row>
    <row r="15" ht="21" customHeight="1">
      <c r="B15" s="17">
        <f>IF(Настройки!$N$11="","",Настройки!$N$11)</f>
        <v/>
      </c>
      <c r="C15" s="55" t="n"/>
      <c r="D15" s="226" t="n"/>
      <c r="E15" s="227">
        <f>IF($B15="","",SUMIFS(Операции!$Q$10:$Q$1009,Операции!$D$10:$D$1009,"Доход",Операции!$H$10:$H$1009,$B15,Операции!$C$10:$C$1009,"&gt;="&amp;$C$4)+SUMIFS(Журнал!$P$10:$P$1509,Журнал!$D$10:$D$1509,"Доход",Журнал!$J$10:$J$1509,$B15,Журнал!$R$10:$R$1509,"&gt;="&amp;DATE(YEAR($C$4),MONTH($C$4),1))+SUMIFS(Постоянные!$AC$8:$AC$367,Постоянные!$Z$8:$Z$367,"Доход",Постоянные!$AE$8:$AE$367,$B15,Постоянные!$Y$8:$Y$367,"&gt;="&amp;$C$4))</f>
        <v/>
      </c>
      <c r="F15" s="73">
        <f>IF($B15="","",SUMIFS(Операции!$Q$10:$Q$1009,Операции!$D$10:$D$1009,"Расход",Операции!$H$10:$H$1009,$B15,Операции!$C$10:$C$1009,"&gt;="&amp;$C$4)+SUMIFS(Журнал!$P$10:$P$1509,Журнал!$D$10:$D$1509,"&lt;&gt;Доход",Журнал!$J$10:$J$1509,$B15,Журнал!$R$10:$R$1509,"&gt;="&amp;DATE(YEAR($C$4),MONTH($C$4),1))+SUMIFS(Постоянные!$AC$8:$AC$367,Постоянные!$Z$8:$Z$367,"Расход",Постоянные!$AE$8:$AE$367,$B15,Постоянные!$Y$8:$Y$367,"&gt;="&amp;$C$4)+SUMIFS(Покупки!$S$7:$S$18,Покупки!$P$7:$P$18,$B15)-SUMIFS(Покупки!$S$7:$S$18,Покупки!$P$7:$P$18,$B15,Покупки!$G$7:$G$18,"&lt;"&amp;$C$4))</f>
        <v/>
      </c>
      <c r="G15" s="228">
        <f>IF($B15="","",SUMIFS(Операции!$Q$10:$Q$1009,Операции!$D$10:$D$1009,"Перевод",Операции!$I$10:$I$1009,$B15,Операции!$C$10:$C$1009,"&gt;="&amp;$C$4)-SUMIFS(Операции!$Q$10:$Q$1009,Операции!$D$10:$D$1009,"Перевод",Операции!$H$10:$H$1009,$B15,Операции!$C$10:$C$1009,"&gt;="&amp;$C$4)+IF($B15=$C$32,SUM($Y$39:$Y$50),0)-IF($B15=$C$34,SUM($Y$39:$Y$50),0))</f>
        <v/>
      </c>
      <c r="H15" s="229">
        <f>IF($B15="","",N($D15)+$E15-$F15+$G15)</f>
        <v/>
      </c>
      <c r="I15" s="230">
        <f>IF(AND($C15="Кредитная",N($H15)&lt;0),$H15,"")</f>
        <v/>
      </c>
    </row>
    <row r="16" ht="21" customHeight="1">
      <c r="B16" s="17">
        <f>IF(Настройки!$N$12="","",Настройки!$N$12)</f>
        <v/>
      </c>
      <c r="C16" s="55" t="n"/>
      <c r="D16" s="226" t="n"/>
      <c r="E16" s="227">
        <f>IF($B16="","",SUMIFS(Операции!$Q$10:$Q$1009,Операции!$D$10:$D$1009,"Доход",Операции!$H$10:$H$1009,$B16,Операции!$C$10:$C$1009,"&gt;="&amp;$C$4)+SUMIFS(Журнал!$P$10:$P$1509,Журнал!$D$10:$D$1509,"Доход",Журнал!$J$10:$J$1509,$B16,Журнал!$R$10:$R$1509,"&gt;="&amp;DATE(YEAR($C$4),MONTH($C$4),1))+SUMIFS(Постоянные!$AC$8:$AC$367,Постоянные!$Z$8:$Z$367,"Доход",Постоянные!$AE$8:$AE$367,$B16,Постоянные!$Y$8:$Y$367,"&gt;="&amp;$C$4))</f>
        <v/>
      </c>
      <c r="F16" s="73">
        <f>IF($B16="","",SUMIFS(Операции!$Q$10:$Q$1009,Операции!$D$10:$D$1009,"Расход",Операции!$H$10:$H$1009,$B16,Операции!$C$10:$C$1009,"&gt;="&amp;$C$4)+SUMIFS(Журнал!$P$10:$P$1509,Журнал!$D$10:$D$1509,"&lt;&gt;Доход",Журнал!$J$10:$J$1509,$B16,Журнал!$R$10:$R$1509,"&gt;="&amp;DATE(YEAR($C$4),MONTH($C$4),1))+SUMIFS(Постоянные!$AC$8:$AC$367,Постоянные!$Z$8:$Z$367,"Расход",Постоянные!$AE$8:$AE$367,$B16,Постоянные!$Y$8:$Y$367,"&gt;="&amp;$C$4)+SUMIFS(Покупки!$S$7:$S$18,Покупки!$P$7:$P$18,$B16)-SUMIFS(Покупки!$S$7:$S$18,Покупки!$P$7:$P$18,$B16,Покупки!$G$7:$G$18,"&lt;"&amp;$C$4))</f>
        <v/>
      </c>
      <c r="G16" s="228">
        <f>IF($B16="","",SUMIFS(Операции!$Q$10:$Q$1009,Операции!$D$10:$D$1009,"Перевод",Операции!$I$10:$I$1009,$B16,Операции!$C$10:$C$1009,"&gt;="&amp;$C$4)-SUMIFS(Операции!$Q$10:$Q$1009,Операции!$D$10:$D$1009,"Перевод",Операции!$H$10:$H$1009,$B16,Операции!$C$10:$C$1009,"&gt;="&amp;$C$4)+IF($B16=$C$32,SUM($Y$39:$Y$50),0)-IF($B16=$C$34,SUM($Y$39:$Y$50),0))</f>
        <v/>
      </c>
      <c r="H16" s="229">
        <f>IF($B16="","",N($D16)+$E16-$F16+$G16)</f>
        <v/>
      </c>
      <c r="I16" s="230">
        <f>IF(AND($C16="Кредитная",N($H16)&lt;0),$H16,"")</f>
        <v/>
      </c>
    </row>
    <row r="17" ht="21" customHeight="1">
      <c r="B17" s="17">
        <f>IF(Настройки!$N$13="","",Настройки!$N$13)</f>
        <v/>
      </c>
      <c r="C17" s="55" t="n"/>
      <c r="D17" s="226" t="n"/>
      <c r="E17" s="227">
        <f>IF($B17="","",SUMIFS(Операции!$Q$10:$Q$1009,Операции!$D$10:$D$1009,"Доход",Операции!$H$10:$H$1009,$B17,Операции!$C$10:$C$1009,"&gt;="&amp;$C$4)+SUMIFS(Журнал!$P$10:$P$1509,Журнал!$D$10:$D$1509,"Доход",Журнал!$J$10:$J$1509,$B17,Журнал!$R$10:$R$1509,"&gt;="&amp;DATE(YEAR($C$4),MONTH($C$4),1))+SUMIFS(Постоянные!$AC$8:$AC$367,Постоянные!$Z$8:$Z$367,"Доход",Постоянные!$AE$8:$AE$367,$B17,Постоянные!$Y$8:$Y$367,"&gt;="&amp;$C$4))</f>
        <v/>
      </c>
      <c r="F17" s="73">
        <f>IF($B17="","",SUMIFS(Операции!$Q$10:$Q$1009,Операции!$D$10:$D$1009,"Расход",Операции!$H$10:$H$1009,$B17,Операции!$C$10:$C$1009,"&gt;="&amp;$C$4)+SUMIFS(Журнал!$P$10:$P$1509,Журнал!$D$10:$D$1509,"&lt;&gt;Доход",Журнал!$J$10:$J$1509,$B17,Журнал!$R$10:$R$1509,"&gt;="&amp;DATE(YEAR($C$4),MONTH($C$4),1))+SUMIFS(Постоянные!$AC$8:$AC$367,Постоянные!$Z$8:$Z$367,"Расход",Постоянные!$AE$8:$AE$367,$B17,Постоянные!$Y$8:$Y$367,"&gt;="&amp;$C$4)+SUMIFS(Покупки!$S$7:$S$18,Покупки!$P$7:$P$18,$B17)-SUMIFS(Покупки!$S$7:$S$18,Покупки!$P$7:$P$18,$B17,Покупки!$G$7:$G$18,"&lt;"&amp;$C$4))</f>
        <v/>
      </c>
      <c r="G17" s="228">
        <f>IF($B17="","",SUMIFS(Операции!$Q$10:$Q$1009,Операции!$D$10:$D$1009,"Перевод",Операции!$I$10:$I$1009,$B17,Операции!$C$10:$C$1009,"&gt;="&amp;$C$4)-SUMIFS(Операции!$Q$10:$Q$1009,Операции!$D$10:$D$1009,"Перевод",Операции!$H$10:$H$1009,$B17,Операции!$C$10:$C$1009,"&gt;="&amp;$C$4)+IF($B17=$C$32,SUM($Y$39:$Y$50),0)-IF($B17=$C$34,SUM($Y$39:$Y$50),0))</f>
        <v/>
      </c>
      <c r="H17" s="229">
        <f>IF($B17="","",N($D17)+$E17-$F17+$G17)</f>
        <v/>
      </c>
      <c r="I17" s="230">
        <f>IF(AND($C17="Кредитная",N($H17)&lt;0),$H17,"")</f>
        <v/>
      </c>
    </row>
    <row r="18" ht="21" customHeight="1">
      <c r="B18" s="17">
        <f>IF(Настройки!$N$14="","",Настройки!$N$14)</f>
        <v/>
      </c>
      <c r="C18" s="55" t="n"/>
      <c r="D18" s="226" t="n"/>
      <c r="E18" s="227">
        <f>IF($B18="","",SUMIFS(Операции!$Q$10:$Q$1009,Операции!$D$10:$D$1009,"Доход",Операции!$H$10:$H$1009,$B18,Операции!$C$10:$C$1009,"&gt;="&amp;$C$4)+SUMIFS(Журнал!$P$10:$P$1509,Журнал!$D$10:$D$1509,"Доход",Журнал!$J$10:$J$1509,$B18,Журнал!$R$10:$R$1509,"&gt;="&amp;DATE(YEAR($C$4),MONTH($C$4),1))+SUMIFS(Постоянные!$AC$8:$AC$367,Постоянные!$Z$8:$Z$367,"Доход",Постоянные!$AE$8:$AE$367,$B18,Постоянные!$Y$8:$Y$367,"&gt;="&amp;$C$4))</f>
        <v/>
      </c>
      <c r="F18" s="73">
        <f>IF($B18="","",SUMIFS(Операции!$Q$10:$Q$1009,Операции!$D$10:$D$1009,"Расход",Операции!$H$10:$H$1009,$B18,Операции!$C$10:$C$1009,"&gt;="&amp;$C$4)+SUMIFS(Журнал!$P$10:$P$1509,Журнал!$D$10:$D$1509,"&lt;&gt;Доход",Журнал!$J$10:$J$1509,$B18,Журнал!$R$10:$R$1509,"&gt;="&amp;DATE(YEAR($C$4),MONTH($C$4),1))+SUMIFS(Постоянные!$AC$8:$AC$367,Постоянные!$Z$8:$Z$367,"Расход",Постоянные!$AE$8:$AE$367,$B18,Постоянные!$Y$8:$Y$367,"&gt;="&amp;$C$4)+SUMIFS(Покупки!$S$7:$S$18,Покупки!$P$7:$P$18,$B18)-SUMIFS(Покупки!$S$7:$S$18,Покупки!$P$7:$P$18,$B18,Покупки!$G$7:$G$18,"&lt;"&amp;$C$4))</f>
        <v/>
      </c>
      <c r="G18" s="228">
        <f>IF($B18="","",SUMIFS(Операции!$Q$10:$Q$1009,Операции!$D$10:$D$1009,"Перевод",Операции!$I$10:$I$1009,$B18,Операции!$C$10:$C$1009,"&gt;="&amp;$C$4)-SUMIFS(Операции!$Q$10:$Q$1009,Операции!$D$10:$D$1009,"Перевод",Операции!$H$10:$H$1009,$B18,Операции!$C$10:$C$1009,"&gt;="&amp;$C$4)+IF($B18=$C$32,SUM($Y$39:$Y$50),0)-IF($B18=$C$34,SUM($Y$39:$Y$50),0))</f>
        <v/>
      </c>
      <c r="H18" s="229">
        <f>IF($B18="","",N($D18)+$E18-$F18+$G18)</f>
        <v/>
      </c>
      <c r="I18" s="230">
        <f>IF(AND($C18="Кредитная",N($H18)&lt;0),$H18,"")</f>
        <v/>
      </c>
    </row>
    <row r="19" ht="21" customHeight="1">
      <c r="B19" s="17">
        <f>IF(Настройки!$N$15="","",Настройки!$N$15)</f>
        <v/>
      </c>
      <c r="C19" s="55" t="n"/>
      <c r="D19" s="226" t="n"/>
      <c r="E19" s="227">
        <f>IF($B19="","",SUMIFS(Операции!$Q$10:$Q$1009,Операции!$D$10:$D$1009,"Доход",Операции!$H$10:$H$1009,$B19,Операции!$C$10:$C$1009,"&gt;="&amp;$C$4)+SUMIFS(Журнал!$P$10:$P$1509,Журнал!$D$10:$D$1509,"Доход",Журнал!$J$10:$J$1509,$B19,Журнал!$R$10:$R$1509,"&gt;="&amp;DATE(YEAR($C$4),MONTH($C$4),1))+SUMIFS(Постоянные!$AC$8:$AC$367,Постоянные!$Z$8:$Z$367,"Доход",Постоянные!$AE$8:$AE$367,$B19,Постоянные!$Y$8:$Y$367,"&gt;="&amp;$C$4))</f>
        <v/>
      </c>
      <c r="F19" s="73">
        <f>IF($B19="","",SUMIFS(Операции!$Q$10:$Q$1009,Операции!$D$10:$D$1009,"Расход",Операции!$H$10:$H$1009,$B19,Операции!$C$10:$C$1009,"&gt;="&amp;$C$4)+SUMIFS(Журнал!$P$10:$P$1509,Журнал!$D$10:$D$1509,"&lt;&gt;Доход",Журнал!$J$10:$J$1509,$B19,Журнал!$R$10:$R$1509,"&gt;="&amp;DATE(YEAR($C$4),MONTH($C$4),1))+SUMIFS(Постоянные!$AC$8:$AC$367,Постоянные!$Z$8:$Z$367,"Расход",Постоянные!$AE$8:$AE$367,$B19,Постоянные!$Y$8:$Y$367,"&gt;="&amp;$C$4)+SUMIFS(Покупки!$S$7:$S$18,Покупки!$P$7:$P$18,$B19)-SUMIFS(Покупки!$S$7:$S$18,Покупки!$P$7:$P$18,$B19,Покупки!$G$7:$G$18,"&lt;"&amp;$C$4))</f>
        <v/>
      </c>
      <c r="G19" s="228">
        <f>IF($B19="","",SUMIFS(Операции!$Q$10:$Q$1009,Операции!$D$10:$D$1009,"Перевод",Операции!$I$10:$I$1009,$B19,Операции!$C$10:$C$1009,"&gt;="&amp;$C$4)-SUMIFS(Операции!$Q$10:$Q$1009,Операции!$D$10:$D$1009,"Перевод",Операции!$H$10:$H$1009,$B19,Операции!$C$10:$C$1009,"&gt;="&amp;$C$4)+IF($B19=$C$32,SUM($Y$39:$Y$50),0)-IF($B19=$C$34,SUM($Y$39:$Y$50),0))</f>
        <v/>
      </c>
      <c r="H19" s="229">
        <f>IF($B19="","",N($D19)+$E19-$F19+$G19)</f>
        <v/>
      </c>
      <c r="I19" s="230">
        <f>IF(AND($C19="Кредитная",N($H19)&lt;0),$H19,"")</f>
        <v/>
      </c>
    </row>
    <row r="20" ht="21" customHeight="1">
      <c r="B20" s="17">
        <f>IF(Настройки!$N$16="","",Настройки!$N$16)</f>
        <v/>
      </c>
      <c r="C20" s="55" t="n"/>
      <c r="D20" s="226" t="n"/>
      <c r="E20" s="227">
        <f>IF($B20="","",SUMIFS(Операции!$Q$10:$Q$1009,Операции!$D$10:$D$1009,"Доход",Операции!$H$10:$H$1009,$B20,Операции!$C$10:$C$1009,"&gt;="&amp;$C$4)+SUMIFS(Журнал!$P$10:$P$1509,Журнал!$D$10:$D$1509,"Доход",Журнал!$J$10:$J$1509,$B20,Журнал!$R$10:$R$1509,"&gt;="&amp;DATE(YEAR($C$4),MONTH($C$4),1))+SUMIFS(Постоянные!$AC$8:$AC$367,Постоянные!$Z$8:$Z$367,"Доход",Постоянные!$AE$8:$AE$367,$B20,Постоянные!$Y$8:$Y$367,"&gt;="&amp;$C$4))</f>
        <v/>
      </c>
      <c r="F20" s="73">
        <f>IF($B20="","",SUMIFS(Операции!$Q$10:$Q$1009,Операции!$D$10:$D$1009,"Расход",Операции!$H$10:$H$1009,$B20,Операции!$C$10:$C$1009,"&gt;="&amp;$C$4)+SUMIFS(Журнал!$P$10:$P$1509,Журнал!$D$10:$D$1509,"&lt;&gt;Доход",Журнал!$J$10:$J$1509,$B20,Журнал!$R$10:$R$1509,"&gt;="&amp;DATE(YEAR($C$4),MONTH($C$4),1))+SUMIFS(Постоянные!$AC$8:$AC$367,Постоянные!$Z$8:$Z$367,"Расход",Постоянные!$AE$8:$AE$367,$B20,Постоянные!$Y$8:$Y$367,"&gt;="&amp;$C$4)+SUMIFS(Покупки!$S$7:$S$18,Покупки!$P$7:$P$18,$B20)-SUMIFS(Покупки!$S$7:$S$18,Покупки!$P$7:$P$18,$B20,Покупки!$G$7:$G$18,"&lt;"&amp;$C$4))</f>
        <v/>
      </c>
      <c r="G20" s="228">
        <f>IF($B20="","",SUMIFS(Операции!$Q$10:$Q$1009,Операции!$D$10:$D$1009,"Перевод",Операции!$I$10:$I$1009,$B20,Операции!$C$10:$C$1009,"&gt;="&amp;$C$4)-SUMIFS(Операции!$Q$10:$Q$1009,Операции!$D$10:$D$1009,"Перевод",Операции!$H$10:$H$1009,$B20,Операции!$C$10:$C$1009,"&gt;="&amp;$C$4)+IF($B20=$C$32,SUM($Y$39:$Y$50),0)-IF($B20=$C$34,SUM($Y$39:$Y$50),0))</f>
        <v/>
      </c>
      <c r="H20" s="229">
        <f>IF($B20="","",N($D20)+$E20-$F20+$G20)</f>
        <v/>
      </c>
      <c r="I20" s="230">
        <f>IF(AND($C20="Кредитная",N($H20)&lt;0),$H20,"")</f>
        <v/>
      </c>
    </row>
    <row r="21" ht="21" customHeight="1">
      <c r="B21" s="17">
        <f>IF(Настройки!$N$17="","",Настройки!$N$17)</f>
        <v/>
      </c>
      <c r="C21" s="55" t="n"/>
      <c r="D21" s="226" t="n"/>
      <c r="E21" s="227">
        <f>IF($B21="","",SUMIFS(Операции!$Q$10:$Q$1009,Операции!$D$10:$D$1009,"Доход",Операции!$H$10:$H$1009,$B21,Операции!$C$10:$C$1009,"&gt;="&amp;$C$4)+SUMIFS(Журнал!$P$10:$P$1509,Журнал!$D$10:$D$1509,"Доход",Журнал!$J$10:$J$1509,$B21,Журнал!$R$10:$R$1509,"&gt;="&amp;DATE(YEAR($C$4),MONTH($C$4),1))+SUMIFS(Постоянные!$AC$8:$AC$367,Постоянные!$Z$8:$Z$367,"Доход",Постоянные!$AE$8:$AE$367,$B21,Постоянные!$Y$8:$Y$367,"&gt;="&amp;$C$4))</f>
        <v/>
      </c>
      <c r="F21" s="73">
        <f>IF($B21="","",SUMIFS(Операции!$Q$10:$Q$1009,Операции!$D$10:$D$1009,"Расход",Операции!$H$10:$H$1009,$B21,Операции!$C$10:$C$1009,"&gt;="&amp;$C$4)+SUMIFS(Журнал!$P$10:$P$1509,Журнал!$D$10:$D$1509,"&lt;&gt;Доход",Журнал!$J$10:$J$1509,$B21,Журнал!$R$10:$R$1509,"&gt;="&amp;DATE(YEAR($C$4),MONTH($C$4),1))+SUMIFS(Постоянные!$AC$8:$AC$367,Постоянные!$Z$8:$Z$367,"Расход",Постоянные!$AE$8:$AE$367,$B21,Постоянные!$Y$8:$Y$367,"&gt;="&amp;$C$4)+SUMIFS(Покупки!$S$7:$S$18,Покупки!$P$7:$P$18,$B21)-SUMIFS(Покупки!$S$7:$S$18,Покупки!$P$7:$P$18,$B21,Покупки!$G$7:$G$18,"&lt;"&amp;$C$4))</f>
        <v/>
      </c>
      <c r="G21" s="228">
        <f>IF($B21="","",SUMIFS(Операции!$Q$10:$Q$1009,Операции!$D$10:$D$1009,"Перевод",Операции!$I$10:$I$1009,$B21,Операции!$C$10:$C$1009,"&gt;="&amp;$C$4)-SUMIFS(Операции!$Q$10:$Q$1009,Операции!$D$10:$D$1009,"Перевод",Операции!$H$10:$H$1009,$B21,Операции!$C$10:$C$1009,"&gt;="&amp;$C$4)+IF($B21=$C$32,SUM($Y$39:$Y$50),0)-IF($B21=$C$34,SUM($Y$39:$Y$50),0))</f>
        <v/>
      </c>
      <c r="H21" s="229">
        <f>IF($B21="","",N($D21)+$E21-$F21+$G21)</f>
        <v/>
      </c>
      <c r="I21" s="230">
        <f>IF(AND($C21="Кредитная",N($H21)&lt;0),$H21,"")</f>
        <v/>
      </c>
    </row>
    <row r="22">
      <c r="B22" s="77" t="inlineStr">
        <is>
          <t>ИТОГО</t>
        </is>
      </c>
      <c r="C22" s="78" t="n"/>
      <c r="D22" s="231">
        <f>SUM(D10:D21)</f>
        <v/>
      </c>
      <c r="E22" s="231">
        <f>SUM(E10:E21)</f>
        <v/>
      </c>
      <c r="F22" s="231">
        <f>SUM(F10:F21)</f>
        <v/>
      </c>
      <c r="G22" s="231">
        <f>SUM(G10:G21)</f>
        <v/>
      </c>
      <c r="H22" s="231">
        <f>SUM(H10:H21)</f>
        <v/>
      </c>
      <c r="I22" s="231">
        <f>SUM(I10:I21)</f>
        <v/>
      </c>
    </row>
    <row r="24">
      <c r="B24" s="8" t="inlineStr">
        <is>
          <t>Проверка: всё ли попадает в остатки</t>
        </is>
      </c>
    </row>
    <row r="25">
      <c r="B25" s="80" t="inlineStr">
        <is>
          <t>Оплачено без счёта — строк</t>
        </is>
      </c>
      <c r="C25" s="232" t="n"/>
      <c r="D25" s="82">
        <f>COUNTIFS(Журнал!$P$10:$P$1509,"&lt;&gt;0",Журнал!$J$10:$J$1509,"")+COUNTIFS(Операции!$G$10:$G$1009,"&lt;&gt;",Операции!$H$10:$H$1009,"")+COUNTIFS(Постоянные!$AC$8:$AC$367,"&lt;&gt;0",Постоянные!$AE$8:$AE$367,"")+COUNTIFS(Покупки!$S$7:$S$18,"&lt;&gt;0",Покупки!$P$7:$P$18,"")</f>
        <v/>
      </c>
    </row>
    <row r="26">
      <c r="B26" s="80" t="inlineStr">
        <is>
          <t>…на сумму</t>
        </is>
      </c>
      <c r="C26" s="232" t="n"/>
      <c r="D26" s="233">
        <f>SUMIFS(Журнал!$P$10:$P$1509,Журнал!$J$10:$J$1509,"")+SUMIFS(Операции!$Q$10:$Q$1009,Операции!$H$10:$H$1009,"")+SUMIFS(Постоянные!$AC$8:$AC$367,Постоянные!$AE$8:$AE$367,"")+SUMIFS(Покупки!$S$7:$S$18,Покупки!$P$7:$P$18,"")</f>
        <v/>
      </c>
    </row>
    <row r="27">
      <c r="B27" s="80" t="inlineStr">
        <is>
          <t>Переводов без «на счёт»</t>
        </is>
      </c>
      <c r="C27" s="232" t="n"/>
      <c r="D27" s="82">
        <f>COUNTIFS(Операции!$D$10:$D$1009,"Перевод",Операции!$I$10:$I$1009,"")</f>
        <v/>
      </c>
    </row>
    <row r="29" ht="44" customHeight="1">
      <c r="B29" s="27" t="inlineStr">
        <is>
          <t>Долг по кредитке — со знаком минус (например −350). Снятие наличных и перевод между картами — в «Операциях», тип «Перевод»; погашение кредитки считается само (таблица ниже). Остаток «Сейчас» учитывает всё, что отмечено оплаченным, в том числе отметки на будущие даты.</t>
        </is>
      </c>
    </row>
    <row r="31" ht="24" customHeight="1">
      <c r="B31" s="8" t="inlineStr">
        <is>
          <t>Кредитная карта: выписки и погашения</t>
        </is>
      </c>
    </row>
    <row r="32">
      <c r="B32" s="80" t="inlineStr">
        <is>
          <t>Кредитная карта</t>
        </is>
      </c>
      <c r="C32" s="84">
        <f>IFERROR(INDEX($B$10:$B$21,MATCH("Кредитная",$C$10:$C$21,0)),"")</f>
        <v/>
      </c>
      <c r="D32" s="234" t="n"/>
      <c r="E32" s="232" t="n"/>
    </row>
    <row r="33">
      <c r="B33" s="80" t="inlineStr">
        <is>
          <t>Гасится автоматически</t>
        </is>
      </c>
      <c r="C33" s="85" t="inlineStr">
        <is>
          <t>Да</t>
        </is>
      </c>
      <c r="D33" s="81" t="n"/>
      <c r="E33" s="81" t="n"/>
    </row>
    <row r="34">
      <c r="B34" s="80" t="inlineStr">
        <is>
          <t>Со счёта</t>
        </is>
      </c>
      <c r="C34" s="56">
        <f>Настройки!$N$6</f>
        <v/>
      </c>
      <c r="D34" s="234" t="n"/>
      <c r="E34" s="232" t="n"/>
    </row>
    <row r="35">
      <c r="B35" s="80" t="inlineStr">
        <is>
          <t>Выписка закрывается (число)</t>
        </is>
      </c>
      <c r="C35" s="87" t="n">
        <v>4</v>
      </c>
      <c r="D35" s="81" t="n"/>
      <c r="E35" s="81" t="n"/>
    </row>
    <row r="36">
      <c r="B36" s="80" t="inlineStr">
        <is>
          <t>Долг списывается (число)</t>
        </is>
      </c>
      <c r="C36" s="87" t="n">
        <v>10</v>
      </c>
      <c r="D36" s="81" t="n"/>
      <c r="E36" s="81" t="n"/>
    </row>
    <row r="37">
      <c r="B37" s="17" t="inlineStr">
        <is>
          <t>Ближайшее списание</t>
        </is>
      </c>
      <c r="C37" s="235">
        <f>IF((COUNTIF($H$39:$H$50,"&lt;"&amp;$Y$4)+1)&gt;12,"—",INDEX($H$39:$H$50,(COUNTIF($H$39:$H$50,"&lt;"&amp;$Y$4)+1)))</f>
        <v/>
      </c>
      <c r="D37" s="236">
        <f>IF((COUNTIF($H$39:$H$50,"&lt;"&amp;$Y$4)+1)&gt;12,0,INDEX($I$39:$I$50,(COUNTIF($H$39:$H$50,"&lt;"&amp;$Y$4)+1)))</f>
        <v/>
      </c>
      <c r="E37" s="90">
        <f>IF($C$33="Да","спишется со счёта «"&amp;$C$34&amp;"»","гасите вручную: «Операции», «Перевод»")</f>
        <v/>
      </c>
      <c r="F37" s="234" t="n"/>
      <c r="G37" s="234" t="n"/>
      <c r="H37" s="234" t="n"/>
      <c r="I37" s="232" t="n"/>
    </row>
    <row r="38" ht="32" customHeight="1">
      <c r="B38" s="13" t="inlineStr">
        <is>
          <t>Выписка на</t>
        </is>
      </c>
      <c r="C38" s="13" t="inlineStr">
        <is>
          <t>Долг с прошлой выписки</t>
        </is>
      </c>
      <c r="D38" s="13" t="inlineStr">
        <is>
          <t>Погашено</t>
        </is>
      </c>
      <c r="E38" s="13" t="inlineStr">
        <is>
          <t>Покупки</t>
        </is>
      </c>
      <c r="F38" s="13" t="inlineStr">
        <is>
          <t>Возвраты и переводы</t>
        </is>
      </c>
      <c r="G38" s="13" t="inlineStr">
        <is>
          <t>Долг по выписке</t>
        </is>
      </c>
      <c r="H38" s="13" t="inlineStr">
        <is>
          <t>Спишется</t>
        </is>
      </c>
      <c r="I38" s="13" t="inlineStr">
        <is>
          <t>Сумма списания</t>
        </is>
      </c>
    </row>
    <row r="39" ht="20" customHeight="1">
      <c r="B39" s="237">
        <f>DATE(Настройки!$C$8,Настройки!$D$9+0,MAX(1,MIN(28,N($C$35))))</f>
        <v/>
      </c>
      <c r="C39" s="228">
        <f>IF($C$32="",0,MIN(0,SUMIFS($D$10:$D$21,$B$10:$B$21,$C$32)))</f>
        <v/>
      </c>
      <c r="D39" s="92">
        <f>0</f>
        <v/>
      </c>
      <c r="E39" s="228">
        <f>IF($C$32="",0,-(SUMIFS(Операции!$Q$10:$Q$1009,Операции!$D$10:$D$1009,"Расход",Операции!$H$10:$H$1009,$C$32,Операции!$C$10:$C$1009,"&gt;="&amp;$X39,Операции!$C$10:$C$1009,"&lt;="&amp;$B39)+SUMIFS(Журнал!$P$10:$P$1509,Журнал!$D$10:$D$1509,"&lt;&gt;Доход",Журнал!$J$10:$J$1509,$C$32,Журнал!$C$10:$C$1509,"&gt;="&amp;$X39,Журнал!$C$10:$C$1509,"&lt;="&amp;$B39)+SUMIFS(Постоянные!$AC$8:$AC$367,Постоянные!$Z$8:$Z$367,"Расход",Постоянные!$AE$8:$AE$367,$C$32,Постоянные!$Y$8:$Y$367,"&gt;="&amp;$X39,Постоянные!$Y$8:$Y$367,"&lt;="&amp;$B39)+SUMIFS(Покупки!$S$7:$S$18,Покупки!$P$7:$P$18,$C$32,Покупки!$G$7:$G$18,"&gt;="&amp;$X39,Покупки!$G$7:$G$18,"&lt;="&amp;$B39)))</f>
        <v/>
      </c>
      <c r="F39" s="93">
        <f>IF($C$32="",0,SUMIFS(Операции!$Q$10:$Q$1009,Операции!$D$10:$D$1009,"Доход",Операции!$H$10:$H$1009,$C$32,Операции!$C$10:$C$1009,"&gt;="&amp;$X39,Операции!$C$10:$C$1009,"&lt;="&amp;$B39)+SUMIFS(Журнал!$P$10:$P$1509,Журнал!$D$10:$D$1509,"Доход",Журнал!$J$10:$J$1509,$C$32,Журнал!$C$10:$C$1509,"&gt;="&amp;$X39,Журнал!$C$10:$C$1509,"&lt;="&amp;$B39)+SUMIFS(Постоянные!$AC$8:$AC$367,Постоянные!$Z$8:$Z$367,"Доход",Постоянные!$AE$8:$AE$367,$C$32,Постоянные!$Y$8:$Y$367,"&gt;="&amp;$X39,Постоянные!$Y$8:$Y$367,"&lt;="&amp;$B39)+SUMIFS(Операции!$Q$10:$Q$1009,Операции!$D$10:$D$1009,"Перевод",Операции!$I$10:$I$1009,$C$32,Операции!$C$10:$C$1009,"&gt;="&amp;$X39,Операции!$C$10:$C$1009,"&lt;="&amp;$B39)-SUMIFS(Операции!$Q$10:$Q$1009,Операции!$D$10:$D$1009,"Перевод",Операции!$H$10:$H$1009,$C$32,Операции!$C$10:$C$1009,"&gt;="&amp;$X39,Операции!$C$10:$C$1009,"&lt;="&amp;$B39))</f>
        <v/>
      </c>
      <c r="G39" s="238">
        <f>C39+D39+E39+F39</f>
        <v/>
      </c>
      <c r="H39" s="239">
        <f>DATE(YEAR(B39),MONTH(B39),MAX(1,MIN(28,N($C$36))))</f>
        <v/>
      </c>
      <c r="I39" s="96">
        <f>IF($C$33="Да",-MIN(0,G39),0)</f>
        <v/>
      </c>
      <c r="X39" s="212">
        <f>$C$4</f>
        <v/>
      </c>
      <c r="Y39">
        <f>IF(AND(H39&lt;=$Y$4,H39&gt;=$C$4),I39,0)</f>
        <v/>
      </c>
    </row>
    <row r="40" ht="20" customHeight="1">
      <c r="B40" s="237">
        <f>DATE(Настройки!$C$8,Настройки!$D$9+1,MAX(1,MIN(28,N($C$35))))</f>
        <v/>
      </c>
      <c r="C40" s="228">
        <f>G39</f>
        <v/>
      </c>
      <c r="D40" s="92">
        <f>I39</f>
        <v/>
      </c>
      <c r="E40" s="228">
        <f>IF($C$32="",0,-(SUMIFS(Операции!$Q$10:$Q$1009,Операции!$D$10:$D$1009,"Расход",Операции!$H$10:$H$1009,$C$32,Операции!$C$10:$C$1009,"&gt;="&amp;$X40,Операции!$C$10:$C$1009,"&lt;="&amp;$B40)+SUMIFS(Журнал!$P$10:$P$1509,Журнал!$D$10:$D$1509,"&lt;&gt;Доход",Журнал!$J$10:$J$1509,$C$32,Журнал!$C$10:$C$1509,"&gt;="&amp;$X40,Журнал!$C$10:$C$1509,"&lt;="&amp;$B40)+SUMIFS(Постоянные!$AC$8:$AC$367,Постоянные!$Z$8:$Z$367,"Расход",Постоянные!$AE$8:$AE$367,$C$32,Постоянные!$Y$8:$Y$367,"&gt;="&amp;$X40,Постоянные!$Y$8:$Y$367,"&lt;="&amp;$B40)+SUMIFS(Покупки!$S$7:$S$18,Покупки!$P$7:$P$18,$C$32,Покупки!$G$7:$G$18,"&gt;="&amp;$X40,Покупки!$G$7:$G$18,"&lt;="&amp;$B40)))</f>
        <v/>
      </c>
      <c r="F40" s="93">
        <f>IF($C$32="",0,SUMIFS(Операции!$Q$10:$Q$1009,Операции!$D$10:$D$1009,"Доход",Операции!$H$10:$H$1009,$C$32,Операции!$C$10:$C$1009,"&gt;="&amp;$X40,Операции!$C$10:$C$1009,"&lt;="&amp;$B40)+SUMIFS(Журнал!$P$10:$P$1509,Журнал!$D$10:$D$1509,"Доход",Журнал!$J$10:$J$1509,$C$32,Журнал!$C$10:$C$1509,"&gt;="&amp;$X40,Журнал!$C$10:$C$1509,"&lt;="&amp;$B40)+SUMIFS(Постоянные!$AC$8:$AC$367,Постоянные!$Z$8:$Z$367,"Доход",Постоянные!$AE$8:$AE$367,$C$32,Постоянные!$Y$8:$Y$367,"&gt;="&amp;$X40,Постоянные!$Y$8:$Y$367,"&lt;="&amp;$B40)+SUMIFS(Операции!$Q$10:$Q$1009,Операции!$D$10:$D$1009,"Перевод",Операции!$I$10:$I$1009,$C$32,Операции!$C$10:$C$1009,"&gt;="&amp;$X40,Операции!$C$10:$C$1009,"&lt;="&amp;$B40)-SUMIFS(Операции!$Q$10:$Q$1009,Операции!$D$10:$D$1009,"Перевод",Операции!$H$10:$H$1009,$C$32,Операции!$C$10:$C$1009,"&gt;="&amp;$X40,Операции!$C$10:$C$1009,"&lt;="&amp;$B40))</f>
        <v/>
      </c>
      <c r="G40" s="238">
        <f>C40+D40+E40+F40</f>
        <v/>
      </c>
      <c r="H40" s="239">
        <f>DATE(YEAR(B40),MONTH(B40),MAX(1,MIN(28,N($C$36))))</f>
        <v/>
      </c>
      <c r="I40" s="96">
        <f>IF($C$33="Да",-MIN(0,G40),0)</f>
        <v/>
      </c>
      <c r="X40" s="212">
        <f>B39+1</f>
        <v/>
      </c>
      <c r="Y40">
        <f>IF(AND(H40&lt;=$Y$4,H40&gt;=$C$4),I40,0)</f>
        <v/>
      </c>
    </row>
    <row r="41" ht="20" customHeight="1">
      <c r="B41" s="237">
        <f>DATE(Настройки!$C$8,Настройки!$D$9+2,MAX(1,MIN(28,N($C$35))))</f>
        <v/>
      </c>
      <c r="C41" s="228">
        <f>G40</f>
        <v/>
      </c>
      <c r="D41" s="92">
        <f>I40</f>
        <v/>
      </c>
      <c r="E41" s="228">
        <f>IF($C$32="",0,-(SUMIFS(Операции!$Q$10:$Q$1009,Операции!$D$10:$D$1009,"Расход",Операции!$H$10:$H$1009,$C$32,Операции!$C$10:$C$1009,"&gt;="&amp;$X41,Операции!$C$10:$C$1009,"&lt;="&amp;$B41)+SUMIFS(Журнал!$P$10:$P$1509,Журнал!$D$10:$D$1509,"&lt;&gt;Доход",Журнал!$J$10:$J$1509,$C$32,Журнал!$C$10:$C$1509,"&gt;="&amp;$X41,Журнал!$C$10:$C$1509,"&lt;="&amp;$B41)+SUMIFS(Постоянные!$AC$8:$AC$367,Постоянные!$Z$8:$Z$367,"Расход",Постоянные!$AE$8:$AE$367,$C$32,Постоянные!$Y$8:$Y$367,"&gt;="&amp;$X41,Постоянные!$Y$8:$Y$367,"&lt;="&amp;$B41)+SUMIFS(Покупки!$S$7:$S$18,Покупки!$P$7:$P$18,$C$32,Покупки!$G$7:$G$18,"&gt;="&amp;$X41,Покупки!$G$7:$G$18,"&lt;="&amp;$B41)))</f>
        <v/>
      </c>
      <c r="F41" s="93">
        <f>IF($C$32="",0,SUMIFS(Операции!$Q$10:$Q$1009,Операции!$D$10:$D$1009,"Доход",Операции!$H$10:$H$1009,$C$32,Операции!$C$10:$C$1009,"&gt;="&amp;$X41,Операции!$C$10:$C$1009,"&lt;="&amp;$B41)+SUMIFS(Журнал!$P$10:$P$1509,Журнал!$D$10:$D$1509,"Доход",Журнал!$J$10:$J$1509,$C$32,Журнал!$C$10:$C$1509,"&gt;="&amp;$X41,Журнал!$C$10:$C$1509,"&lt;="&amp;$B41)+SUMIFS(Постоянные!$AC$8:$AC$367,Постоянные!$Z$8:$Z$367,"Доход",Постоянные!$AE$8:$AE$367,$C$32,Постоянные!$Y$8:$Y$367,"&gt;="&amp;$X41,Постоянные!$Y$8:$Y$367,"&lt;="&amp;$B41)+SUMIFS(Операции!$Q$10:$Q$1009,Операции!$D$10:$D$1009,"Перевод",Операции!$I$10:$I$1009,$C$32,Операции!$C$10:$C$1009,"&gt;="&amp;$X41,Операции!$C$10:$C$1009,"&lt;="&amp;$B41)-SUMIFS(Операции!$Q$10:$Q$1009,Операции!$D$10:$D$1009,"Перевод",Операции!$H$10:$H$1009,$C$32,Операции!$C$10:$C$1009,"&gt;="&amp;$X41,Операции!$C$10:$C$1009,"&lt;="&amp;$B41))</f>
        <v/>
      </c>
      <c r="G41" s="238">
        <f>C41+D41+E41+F41</f>
        <v/>
      </c>
      <c r="H41" s="239">
        <f>DATE(YEAR(B41),MONTH(B41),MAX(1,MIN(28,N($C$36))))</f>
        <v/>
      </c>
      <c r="I41" s="96">
        <f>IF($C$33="Да",-MIN(0,G41),0)</f>
        <v/>
      </c>
      <c r="X41" s="212">
        <f>B40+1</f>
        <v/>
      </c>
      <c r="Y41">
        <f>IF(AND(H41&lt;=$Y$4,H41&gt;=$C$4),I41,0)</f>
        <v/>
      </c>
    </row>
    <row r="42" ht="20" customHeight="1">
      <c r="B42" s="237">
        <f>DATE(Настройки!$C$8,Настройки!$D$9+3,MAX(1,MIN(28,N($C$35))))</f>
        <v/>
      </c>
      <c r="C42" s="228">
        <f>G41</f>
        <v/>
      </c>
      <c r="D42" s="92">
        <f>I41</f>
        <v/>
      </c>
      <c r="E42" s="228">
        <f>IF($C$32="",0,-(SUMIFS(Операции!$Q$10:$Q$1009,Операции!$D$10:$D$1009,"Расход",Операции!$H$10:$H$1009,$C$32,Операции!$C$10:$C$1009,"&gt;="&amp;$X42,Операции!$C$10:$C$1009,"&lt;="&amp;$B42)+SUMIFS(Журнал!$P$10:$P$1509,Журнал!$D$10:$D$1509,"&lt;&gt;Доход",Журнал!$J$10:$J$1509,$C$32,Журнал!$C$10:$C$1509,"&gt;="&amp;$X42,Журнал!$C$10:$C$1509,"&lt;="&amp;$B42)+SUMIFS(Постоянные!$AC$8:$AC$367,Постоянные!$Z$8:$Z$367,"Расход",Постоянные!$AE$8:$AE$367,$C$32,Постоянные!$Y$8:$Y$367,"&gt;="&amp;$X42,Постоянные!$Y$8:$Y$367,"&lt;="&amp;$B42)+SUMIFS(Покупки!$S$7:$S$18,Покупки!$P$7:$P$18,$C$32,Покупки!$G$7:$G$18,"&gt;="&amp;$X42,Покупки!$G$7:$G$18,"&lt;="&amp;$B42)))</f>
        <v/>
      </c>
      <c r="F42" s="93">
        <f>IF($C$32="",0,SUMIFS(Операции!$Q$10:$Q$1009,Операции!$D$10:$D$1009,"Доход",Операции!$H$10:$H$1009,$C$32,Операции!$C$10:$C$1009,"&gt;="&amp;$X42,Операции!$C$10:$C$1009,"&lt;="&amp;$B42)+SUMIFS(Журнал!$P$10:$P$1509,Журнал!$D$10:$D$1509,"Доход",Журнал!$J$10:$J$1509,$C$32,Журнал!$C$10:$C$1509,"&gt;="&amp;$X42,Журнал!$C$10:$C$1509,"&lt;="&amp;$B42)+SUMIFS(Постоянные!$AC$8:$AC$367,Постоянные!$Z$8:$Z$367,"Доход",Постоянные!$AE$8:$AE$367,$C$32,Постоянные!$Y$8:$Y$367,"&gt;="&amp;$X42,Постоянные!$Y$8:$Y$367,"&lt;="&amp;$B42)+SUMIFS(Операции!$Q$10:$Q$1009,Операции!$D$10:$D$1009,"Перевод",Операции!$I$10:$I$1009,$C$32,Операции!$C$10:$C$1009,"&gt;="&amp;$X42,Операции!$C$10:$C$1009,"&lt;="&amp;$B42)-SUMIFS(Операции!$Q$10:$Q$1009,Операции!$D$10:$D$1009,"Перевод",Операции!$H$10:$H$1009,$C$32,Операции!$C$10:$C$1009,"&gt;="&amp;$X42,Операции!$C$10:$C$1009,"&lt;="&amp;$B42))</f>
        <v/>
      </c>
      <c r="G42" s="238">
        <f>C42+D42+E42+F42</f>
        <v/>
      </c>
      <c r="H42" s="239">
        <f>DATE(YEAR(B42),MONTH(B42),MAX(1,MIN(28,N($C$36))))</f>
        <v/>
      </c>
      <c r="I42" s="96">
        <f>IF($C$33="Да",-MIN(0,G42),0)</f>
        <v/>
      </c>
      <c r="X42" s="212">
        <f>B41+1</f>
        <v/>
      </c>
      <c r="Y42">
        <f>IF(AND(H42&lt;=$Y$4,H42&gt;=$C$4),I42,0)</f>
        <v/>
      </c>
    </row>
    <row r="43" ht="20" customHeight="1">
      <c r="B43" s="237">
        <f>DATE(Настройки!$C$8,Настройки!$D$9+4,MAX(1,MIN(28,N($C$35))))</f>
        <v/>
      </c>
      <c r="C43" s="228">
        <f>G42</f>
        <v/>
      </c>
      <c r="D43" s="92">
        <f>I42</f>
        <v/>
      </c>
      <c r="E43" s="228">
        <f>IF($C$32="",0,-(SUMIFS(Операции!$Q$10:$Q$1009,Операции!$D$10:$D$1009,"Расход",Операции!$H$10:$H$1009,$C$32,Операции!$C$10:$C$1009,"&gt;="&amp;$X43,Операции!$C$10:$C$1009,"&lt;="&amp;$B43)+SUMIFS(Журнал!$P$10:$P$1509,Журнал!$D$10:$D$1509,"&lt;&gt;Доход",Журнал!$J$10:$J$1509,$C$32,Журнал!$C$10:$C$1509,"&gt;="&amp;$X43,Журнал!$C$10:$C$1509,"&lt;="&amp;$B43)+SUMIFS(Постоянные!$AC$8:$AC$367,Постоянные!$Z$8:$Z$367,"Расход",Постоянные!$AE$8:$AE$367,$C$32,Постоянные!$Y$8:$Y$367,"&gt;="&amp;$X43,Постоянные!$Y$8:$Y$367,"&lt;="&amp;$B43)+SUMIFS(Покупки!$S$7:$S$18,Покупки!$P$7:$P$18,$C$32,Покупки!$G$7:$G$18,"&gt;="&amp;$X43,Покупки!$G$7:$G$18,"&lt;="&amp;$B43)))</f>
        <v/>
      </c>
      <c r="F43" s="93">
        <f>IF($C$32="",0,SUMIFS(Операции!$Q$10:$Q$1009,Операции!$D$10:$D$1009,"Доход",Операции!$H$10:$H$1009,$C$32,Операции!$C$10:$C$1009,"&gt;="&amp;$X43,Операции!$C$10:$C$1009,"&lt;="&amp;$B43)+SUMIFS(Журнал!$P$10:$P$1509,Журнал!$D$10:$D$1509,"Доход",Журнал!$J$10:$J$1509,$C$32,Журнал!$C$10:$C$1509,"&gt;="&amp;$X43,Журнал!$C$10:$C$1509,"&lt;="&amp;$B43)+SUMIFS(Постоянные!$AC$8:$AC$367,Постоянные!$Z$8:$Z$367,"Доход",Постоянные!$AE$8:$AE$367,$C$32,Постоянные!$Y$8:$Y$367,"&gt;="&amp;$X43,Постоянные!$Y$8:$Y$367,"&lt;="&amp;$B43)+SUMIFS(Операции!$Q$10:$Q$1009,Операции!$D$10:$D$1009,"Перевод",Операции!$I$10:$I$1009,$C$32,Операции!$C$10:$C$1009,"&gt;="&amp;$X43,Операции!$C$10:$C$1009,"&lt;="&amp;$B43)-SUMIFS(Операции!$Q$10:$Q$1009,Операции!$D$10:$D$1009,"Перевод",Операции!$H$10:$H$1009,$C$32,Операции!$C$10:$C$1009,"&gt;="&amp;$X43,Операции!$C$10:$C$1009,"&lt;="&amp;$B43))</f>
        <v/>
      </c>
      <c r="G43" s="238">
        <f>C43+D43+E43+F43</f>
        <v/>
      </c>
      <c r="H43" s="239">
        <f>DATE(YEAR(B43),MONTH(B43),MAX(1,MIN(28,N($C$36))))</f>
        <v/>
      </c>
      <c r="I43" s="96">
        <f>IF($C$33="Да",-MIN(0,G43),0)</f>
        <v/>
      </c>
      <c r="X43" s="212">
        <f>B42+1</f>
        <v/>
      </c>
      <c r="Y43">
        <f>IF(AND(H43&lt;=$Y$4,H43&gt;=$C$4),I43,0)</f>
        <v/>
      </c>
    </row>
    <row r="44" ht="20" customHeight="1">
      <c r="B44" s="237">
        <f>DATE(Настройки!$C$8,Настройки!$D$9+5,MAX(1,MIN(28,N($C$35))))</f>
        <v/>
      </c>
      <c r="C44" s="228">
        <f>G43</f>
        <v/>
      </c>
      <c r="D44" s="92">
        <f>I43</f>
        <v/>
      </c>
      <c r="E44" s="228">
        <f>IF($C$32="",0,-(SUMIFS(Операции!$Q$10:$Q$1009,Операции!$D$10:$D$1009,"Расход",Операции!$H$10:$H$1009,$C$32,Операции!$C$10:$C$1009,"&gt;="&amp;$X44,Операции!$C$10:$C$1009,"&lt;="&amp;$B44)+SUMIFS(Журнал!$P$10:$P$1509,Журнал!$D$10:$D$1509,"&lt;&gt;Доход",Журнал!$J$10:$J$1509,$C$32,Журнал!$C$10:$C$1509,"&gt;="&amp;$X44,Журнал!$C$10:$C$1509,"&lt;="&amp;$B44)+SUMIFS(Постоянные!$AC$8:$AC$367,Постоянные!$Z$8:$Z$367,"Расход",Постоянные!$AE$8:$AE$367,$C$32,Постоянные!$Y$8:$Y$367,"&gt;="&amp;$X44,Постоянные!$Y$8:$Y$367,"&lt;="&amp;$B44)+SUMIFS(Покупки!$S$7:$S$18,Покупки!$P$7:$P$18,$C$32,Покупки!$G$7:$G$18,"&gt;="&amp;$X44,Покупки!$G$7:$G$18,"&lt;="&amp;$B44)))</f>
        <v/>
      </c>
      <c r="F44" s="93">
        <f>IF($C$32="",0,SUMIFS(Операции!$Q$10:$Q$1009,Операции!$D$10:$D$1009,"Доход",Операции!$H$10:$H$1009,$C$32,Операции!$C$10:$C$1009,"&gt;="&amp;$X44,Операции!$C$10:$C$1009,"&lt;="&amp;$B44)+SUMIFS(Журнал!$P$10:$P$1509,Журнал!$D$10:$D$1509,"Доход",Журнал!$J$10:$J$1509,$C$32,Журнал!$C$10:$C$1509,"&gt;="&amp;$X44,Журнал!$C$10:$C$1509,"&lt;="&amp;$B44)+SUMIFS(Постоянные!$AC$8:$AC$367,Постоянные!$Z$8:$Z$367,"Доход",Постоянные!$AE$8:$AE$367,$C$32,Постоянные!$Y$8:$Y$367,"&gt;="&amp;$X44,Постоянные!$Y$8:$Y$367,"&lt;="&amp;$B44)+SUMIFS(Операции!$Q$10:$Q$1009,Операции!$D$10:$D$1009,"Перевод",Операции!$I$10:$I$1009,$C$32,Операции!$C$10:$C$1009,"&gt;="&amp;$X44,Операции!$C$10:$C$1009,"&lt;="&amp;$B44)-SUMIFS(Операции!$Q$10:$Q$1009,Операции!$D$10:$D$1009,"Перевод",Операции!$H$10:$H$1009,$C$32,Операции!$C$10:$C$1009,"&gt;="&amp;$X44,Операции!$C$10:$C$1009,"&lt;="&amp;$B44))</f>
        <v/>
      </c>
      <c r="G44" s="238">
        <f>C44+D44+E44+F44</f>
        <v/>
      </c>
      <c r="H44" s="239">
        <f>DATE(YEAR(B44),MONTH(B44),MAX(1,MIN(28,N($C$36))))</f>
        <v/>
      </c>
      <c r="I44" s="96">
        <f>IF($C$33="Да",-MIN(0,G44),0)</f>
        <v/>
      </c>
      <c r="X44" s="212">
        <f>B43+1</f>
        <v/>
      </c>
      <c r="Y44">
        <f>IF(AND(H44&lt;=$Y$4,H44&gt;=$C$4),I44,0)</f>
        <v/>
      </c>
    </row>
    <row r="45" ht="20" customHeight="1">
      <c r="B45" s="237">
        <f>DATE(Настройки!$C$8,Настройки!$D$9+6,MAX(1,MIN(28,N($C$35))))</f>
        <v/>
      </c>
      <c r="C45" s="228">
        <f>G44</f>
        <v/>
      </c>
      <c r="D45" s="92">
        <f>I44</f>
        <v/>
      </c>
      <c r="E45" s="228">
        <f>IF($C$32="",0,-(SUMIFS(Операции!$Q$10:$Q$1009,Операции!$D$10:$D$1009,"Расход",Операции!$H$10:$H$1009,$C$32,Операции!$C$10:$C$1009,"&gt;="&amp;$X45,Операции!$C$10:$C$1009,"&lt;="&amp;$B45)+SUMIFS(Журнал!$P$10:$P$1509,Журнал!$D$10:$D$1509,"&lt;&gt;Доход",Журнал!$J$10:$J$1509,$C$32,Журнал!$C$10:$C$1509,"&gt;="&amp;$X45,Журнал!$C$10:$C$1509,"&lt;="&amp;$B45)+SUMIFS(Постоянные!$AC$8:$AC$367,Постоянные!$Z$8:$Z$367,"Расход",Постоянные!$AE$8:$AE$367,$C$32,Постоянные!$Y$8:$Y$367,"&gt;="&amp;$X45,Постоянные!$Y$8:$Y$367,"&lt;="&amp;$B45)+SUMIFS(Покупки!$S$7:$S$18,Покупки!$P$7:$P$18,$C$32,Покупки!$G$7:$G$18,"&gt;="&amp;$X45,Покупки!$G$7:$G$18,"&lt;="&amp;$B45)))</f>
        <v/>
      </c>
      <c r="F45" s="93">
        <f>IF($C$32="",0,SUMIFS(Операции!$Q$10:$Q$1009,Операции!$D$10:$D$1009,"Доход",Операции!$H$10:$H$1009,$C$32,Операции!$C$10:$C$1009,"&gt;="&amp;$X45,Операции!$C$10:$C$1009,"&lt;="&amp;$B45)+SUMIFS(Журнал!$P$10:$P$1509,Журнал!$D$10:$D$1509,"Доход",Журнал!$J$10:$J$1509,$C$32,Журнал!$C$10:$C$1509,"&gt;="&amp;$X45,Журнал!$C$10:$C$1509,"&lt;="&amp;$B45)+SUMIFS(Постоянные!$AC$8:$AC$367,Постоянные!$Z$8:$Z$367,"Доход",Постоянные!$AE$8:$AE$367,$C$32,Постоянные!$Y$8:$Y$367,"&gt;="&amp;$X45,Постоянные!$Y$8:$Y$367,"&lt;="&amp;$B45)+SUMIFS(Операции!$Q$10:$Q$1009,Операции!$D$10:$D$1009,"Перевод",Операции!$I$10:$I$1009,$C$32,Операции!$C$10:$C$1009,"&gt;="&amp;$X45,Операции!$C$10:$C$1009,"&lt;="&amp;$B45)-SUMIFS(Операции!$Q$10:$Q$1009,Операции!$D$10:$D$1009,"Перевод",Операции!$H$10:$H$1009,$C$32,Операции!$C$10:$C$1009,"&gt;="&amp;$X45,Операции!$C$10:$C$1009,"&lt;="&amp;$B45))</f>
        <v/>
      </c>
      <c r="G45" s="238">
        <f>C45+D45+E45+F45</f>
        <v/>
      </c>
      <c r="H45" s="239">
        <f>DATE(YEAR(B45),MONTH(B45),MAX(1,MIN(28,N($C$36))))</f>
        <v/>
      </c>
      <c r="I45" s="96">
        <f>IF($C$33="Да",-MIN(0,G45),0)</f>
        <v/>
      </c>
      <c r="X45" s="212">
        <f>B44+1</f>
        <v/>
      </c>
      <c r="Y45">
        <f>IF(AND(H45&lt;=$Y$4,H45&gt;=$C$4),I45,0)</f>
        <v/>
      </c>
    </row>
    <row r="46" ht="20" customHeight="1">
      <c r="B46" s="237">
        <f>DATE(Настройки!$C$8,Настройки!$D$9+7,MAX(1,MIN(28,N($C$35))))</f>
        <v/>
      </c>
      <c r="C46" s="228">
        <f>G45</f>
        <v/>
      </c>
      <c r="D46" s="92">
        <f>I45</f>
        <v/>
      </c>
      <c r="E46" s="228">
        <f>IF($C$32="",0,-(SUMIFS(Операции!$Q$10:$Q$1009,Операции!$D$10:$D$1009,"Расход",Операции!$H$10:$H$1009,$C$32,Операции!$C$10:$C$1009,"&gt;="&amp;$X46,Операции!$C$10:$C$1009,"&lt;="&amp;$B46)+SUMIFS(Журнал!$P$10:$P$1509,Журнал!$D$10:$D$1509,"&lt;&gt;Доход",Журнал!$J$10:$J$1509,$C$32,Журнал!$C$10:$C$1509,"&gt;="&amp;$X46,Журнал!$C$10:$C$1509,"&lt;="&amp;$B46)+SUMIFS(Постоянные!$AC$8:$AC$367,Постоянные!$Z$8:$Z$367,"Расход",Постоянные!$AE$8:$AE$367,$C$32,Постоянные!$Y$8:$Y$367,"&gt;="&amp;$X46,Постоянные!$Y$8:$Y$367,"&lt;="&amp;$B46)+SUMIFS(Покупки!$S$7:$S$18,Покупки!$P$7:$P$18,$C$32,Покупки!$G$7:$G$18,"&gt;="&amp;$X46,Покупки!$G$7:$G$18,"&lt;="&amp;$B46)))</f>
        <v/>
      </c>
      <c r="F46" s="93">
        <f>IF($C$32="",0,SUMIFS(Операции!$Q$10:$Q$1009,Операции!$D$10:$D$1009,"Доход",Операции!$H$10:$H$1009,$C$32,Операции!$C$10:$C$1009,"&gt;="&amp;$X46,Операции!$C$10:$C$1009,"&lt;="&amp;$B46)+SUMIFS(Журнал!$P$10:$P$1509,Журнал!$D$10:$D$1509,"Доход",Журнал!$J$10:$J$1509,$C$32,Журнал!$C$10:$C$1509,"&gt;="&amp;$X46,Журнал!$C$10:$C$1509,"&lt;="&amp;$B46)+SUMIFS(Постоянные!$AC$8:$AC$367,Постоянные!$Z$8:$Z$367,"Доход",Постоянные!$AE$8:$AE$367,$C$32,Постоянные!$Y$8:$Y$367,"&gt;="&amp;$X46,Постоянные!$Y$8:$Y$367,"&lt;="&amp;$B46)+SUMIFS(Операции!$Q$10:$Q$1009,Операции!$D$10:$D$1009,"Перевод",Операции!$I$10:$I$1009,$C$32,Операции!$C$10:$C$1009,"&gt;="&amp;$X46,Операции!$C$10:$C$1009,"&lt;="&amp;$B46)-SUMIFS(Операции!$Q$10:$Q$1009,Операции!$D$10:$D$1009,"Перевод",Операции!$H$10:$H$1009,$C$32,Операции!$C$10:$C$1009,"&gt;="&amp;$X46,Операции!$C$10:$C$1009,"&lt;="&amp;$B46))</f>
        <v/>
      </c>
      <c r="G46" s="238">
        <f>C46+D46+E46+F46</f>
        <v/>
      </c>
      <c r="H46" s="239">
        <f>DATE(YEAR(B46),MONTH(B46),MAX(1,MIN(28,N($C$36))))</f>
        <v/>
      </c>
      <c r="I46" s="96">
        <f>IF($C$33="Да",-MIN(0,G46),0)</f>
        <v/>
      </c>
      <c r="X46" s="212">
        <f>B45+1</f>
        <v/>
      </c>
      <c r="Y46">
        <f>IF(AND(H46&lt;=$Y$4,H46&gt;=$C$4),I46,0)</f>
        <v/>
      </c>
    </row>
    <row r="47" ht="20" customHeight="1">
      <c r="B47" s="237">
        <f>DATE(Настройки!$C$8,Настройки!$D$9+8,MAX(1,MIN(28,N($C$35))))</f>
        <v/>
      </c>
      <c r="C47" s="228">
        <f>G46</f>
        <v/>
      </c>
      <c r="D47" s="92">
        <f>I46</f>
        <v/>
      </c>
      <c r="E47" s="228">
        <f>IF($C$32="",0,-(SUMIFS(Операции!$Q$10:$Q$1009,Операции!$D$10:$D$1009,"Расход",Операции!$H$10:$H$1009,$C$32,Операции!$C$10:$C$1009,"&gt;="&amp;$X47,Операции!$C$10:$C$1009,"&lt;="&amp;$B47)+SUMIFS(Журнал!$P$10:$P$1509,Журнал!$D$10:$D$1509,"&lt;&gt;Доход",Журнал!$J$10:$J$1509,$C$32,Журнал!$C$10:$C$1509,"&gt;="&amp;$X47,Журнал!$C$10:$C$1509,"&lt;="&amp;$B47)+SUMIFS(Постоянные!$AC$8:$AC$367,Постоянные!$Z$8:$Z$367,"Расход",Постоянные!$AE$8:$AE$367,$C$32,Постоянные!$Y$8:$Y$367,"&gt;="&amp;$X47,Постоянные!$Y$8:$Y$367,"&lt;="&amp;$B47)+SUMIFS(Покупки!$S$7:$S$18,Покупки!$P$7:$P$18,$C$32,Покупки!$G$7:$G$18,"&gt;="&amp;$X47,Покупки!$G$7:$G$18,"&lt;="&amp;$B47)))</f>
        <v/>
      </c>
      <c r="F47" s="93">
        <f>IF($C$32="",0,SUMIFS(Операции!$Q$10:$Q$1009,Операции!$D$10:$D$1009,"Доход",Операции!$H$10:$H$1009,$C$32,Операции!$C$10:$C$1009,"&gt;="&amp;$X47,Операции!$C$10:$C$1009,"&lt;="&amp;$B47)+SUMIFS(Журнал!$P$10:$P$1509,Журнал!$D$10:$D$1509,"Доход",Журнал!$J$10:$J$1509,$C$32,Журнал!$C$10:$C$1509,"&gt;="&amp;$X47,Журнал!$C$10:$C$1509,"&lt;="&amp;$B47)+SUMIFS(Постоянные!$AC$8:$AC$367,Постоянные!$Z$8:$Z$367,"Доход",Постоянные!$AE$8:$AE$367,$C$32,Постоянные!$Y$8:$Y$367,"&gt;="&amp;$X47,Постоянные!$Y$8:$Y$367,"&lt;="&amp;$B47)+SUMIFS(Операции!$Q$10:$Q$1009,Операции!$D$10:$D$1009,"Перевод",Операции!$I$10:$I$1009,$C$32,Операции!$C$10:$C$1009,"&gt;="&amp;$X47,Операции!$C$10:$C$1009,"&lt;="&amp;$B47)-SUMIFS(Операции!$Q$10:$Q$1009,Операции!$D$10:$D$1009,"Перевод",Операции!$H$10:$H$1009,$C$32,Операции!$C$10:$C$1009,"&gt;="&amp;$X47,Операции!$C$10:$C$1009,"&lt;="&amp;$B47))</f>
        <v/>
      </c>
      <c r="G47" s="238">
        <f>C47+D47+E47+F47</f>
        <v/>
      </c>
      <c r="H47" s="239">
        <f>DATE(YEAR(B47),MONTH(B47),MAX(1,MIN(28,N($C$36))))</f>
        <v/>
      </c>
      <c r="I47" s="96">
        <f>IF($C$33="Да",-MIN(0,G47),0)</f>
        <v/>
      </c>
      <c r="X47" s="212">
        <f>B46+1</f>
        <v/>
      </c>
      <c r="Y47">
        <f>IF(AND(H47&lt;=$Y$4,H47&gt;=$C$4),I47,0)</f>
        <v/>
      </c>
    </row>
    <row r="48" ht="20" customHeight="1">
      <c r="B48" s="237">
        <f>DATE(Настройки!$C$8,Настройки!$D$9+9,MAX(1,MIN(28,N($C$35))))</f>
        <v/>
      </c>
      <c r="C48" s="228">
        <f>G47</f>
        <v/>
      </c>
      <c r="D48" s="92">
        <f>I47</f>
        <v/>
      </c>
      <c r="E48" s="228">
        <f>IF($C$32="",0,-(SUMIFS(Операции!$Q$10:$Q$1009,Операции!$D$10:$D$1009,"Расход",Операции!$H$10:$H$1009,$C$32,Операции!$C$10:$C$1009,"&gt;="&amp;$X48,Операции!$C$10:$C$1009,"&lt;="&amp;$B48)+SUMIFS(Журнал!$P$10:$P$1509,Журнал!$D$10:$D$1509,"&lt;&gt;Доход",Журнал!$J$10:$J$1509,$C$32,Журнал!$C$10:$C$1509,"&gt;="&amp;$X48,Журнал!$C$10:$C$1509,"&lt;="&amp;$B48)+SUMIFS(Постоянные!$AC$8:$AC$367,Постоянные!$Z$8:$Z$367,"Расход",Постоянные!$AE$8:$AE$367,$C$32,Постоянные!$Y$8:$Y$367,"&gt;="&amp;$X48,Постоянные!$Y$8:$Y$367,"&lt;="&amp;$B48)+SUMIFS(Покупки!$S$7:$S$18,Покупки!$P$7:$P$18,$C$32,Покупки!$G$7:$G$18,"&gt;="&amp;$X48,Покупки!$G$7:$G$18,"&lt;="&amp;$B48)))</f>
        <v/>
      </c>
      <c r="F48" s="93">
        <f>IF($C$32="",0,SUMIFS(Операции!$Q$10:$Q$1009,Операции!$D$10:$D$1009,"Доход",Операции!$H$10:$H$1009,$C$32,Операции!$C$10:$C$1009,"&gt;="&amp;$X48,Операции!$C$10:$C$1009,"&lt;="&amp;$B48)+SUMIFS(Журнал!$P$10:$P$1509,Журнал!$D$10:$D$1509,"Доход",Журнал!$J$10:$J$1509,$C$32,Журнал!$C$10:$C$1509,"&gt;="&amp;$X48,Журнал!$C$10:$C$1509,"&lt;="&amp;$B48)+SUMIFS(Постоянные!$AC$8:$AC$367,Постоянные!$Z$8:$Z$367,"Доход",Постоянные!$AE$8:$AE$367,$C$32,Постоянные!$Y$8:$Y$367,"&gt;="&amp;$X48,Постоянные!$Y$8:$Y$367,"&lt;="&amp;$B48)+SUMIFS(Операции!$Q$10:$Q$1009,Операции!$D$10:$D$1009,"Перевод",Операции!$I$10:$I$1009,$C$32,Операции!$C$10:$C$1009,"&gt;="&amp;$X48,Операции!$C$10:$C$1009,"&lt;="&amp;$B48)-SUMIFS(Операции!$Q$10:$Q$1009,Операции!$D$10:$D$1009,"Перевод",Операции!$H$10:$H$1009,$C$32,Операции!$C$10:$C$1009,"&gt;="&amp;$X48,Операции!$C$10:$C$1009,"&lt;="&amp;$B48))</f>
        <v/>
      </c>
      <c r="G48" s="238">
        <f>C48+D48+E48+F48</f>
        <v/>
      </c>
      <c r="H48" s="239">
        <f>DATE(YEAR(B48),MONTH(B48),MAX(1,MIN(28,N($C$36))))</f>
        <v/>
      </c>
      <c r="I48" s="96">
        <f>IF($C$33="Да",-MIN(0,G48),0)</f>
        <v/>
      </c>
      <c r="X48" s="212">
        <f>B47+1</f>
        <v/>
      </c>
      <c r="Y48">
        <f>IF(AND(H48&lt;=$Y$4,H48&gt;=$C$4),I48,0)</f>
        <v/>
      </c>
    </row>
    <row r="49" ht="20" customHeight="1">
      <c r="B49" s="237">
        <f>DATE(Настройки!$C$8,Настройки!$D$9+10,MAX(1,MIN(28,N($C$35))))</f>
        <v/>
      </c>
      <c r="C49" s="228">
        <f>G48</f>
        <v/>
      </c>
      <c r="D49" s="92">
        <f>I48</f>
        <v/>
      </c>
      <c r="E49" s="228">
        <f>IF($C$32="",0,-(SUMIFS(Операции!$Q$10:$Q$1009,Операции!$D$10:$D$1009,"Расход",Операции!$H$10:$H$1009,$C$32,Операции!$C$10:$C$1009,"&gt;="&amp;$X49,Операции!$C$10:$C$1009,"&lt;="&amp;$B49)+SUMIFS(Журнал!$P$10:$P$1509,Журнал!$D$10:$D$1509,"&lt;&gt;Доход",Журнал!$J$10:$J$1509,$C$32,Журнал!$C$10:$C$1509,"&gt;="&amp;$X49,Журнал!$C$10:$C$1509,"&lt;="&amp;$B49)+SUMIFS(Постоянные!$AC$8:$AC$367,Постоянные!$Z$8:$Z$367,"Расход",Постоянные!$AE$8:$AE$367,$C$32,Постоянные!$Y$8:$Y$367,"&gt;="&amp;$X49,Постоянные!$Y$8:$Y$367,"&lt;="&amp;$B49)+SUMIFS(Покупки!$S$7:$S$18,Покупки!$P$7:$P$18,$C$32,Покупки!$G$7:$G$18,"&gt;="&amp;$X49,Покупки!$G$7:$G$18,"&lt;="&amp;$B49)))</f>
        <v/>
      </c>
      <c r="F49" s="93">
        <f>IF($C$32="",0,SUMIFS(Операции!$Q$10:$Q$1009,Операции!$D$10:$D$1009,"Доход",Операции!$H$10:$H$1009,$C$32,Операции!$C$10:$C$1009,"&gt;="&amp;$X49,Операции!$C$10:$C$1009,"&lt;="&amp;$B49)+SUMIFS(Журнал!$P$10:$P$1509,Журнал!$D$10:$D$1509,"Доход",Журнал!$J$10:$J$1509,$C$32,Журнал!$C$10:$C$1509,"&gt;="&amp;$X49,Журнал!$C$10:$C$1509,"&lt;="&amp;$B49)+SUMIFS(Постоянные!$AC$8:$AC$367,Постоянные!$Z$8:$Z$367,"Доход",Постоянные!$AE$8:$AE$367,$C$32,Постоянные!$Y$8:$Y$367,"&gt;="&amp;$X49,Постоянные!$Y$8:$Y$367,"&lt;="&amp;$B49)+SUMIFS(Операции!$Q$10:$Q$1009,Операции!$D$10:$D$1009,"Перевод",Операции!$I$10:$I$1009,$C$32,Операции!$C$10:$C$1009,"&gt;="&amp;$X49,Операции!$C$10:$C$1009,"&lt;="&amp;$B49)-SUMIFS(Операции!$Q$10:$Q$1009,Операции!$D$10:$D$1009,"Перевод",Операции!$H$10:$H$1009,$C$32,Операции!$C$10:$C$1009,"&gt;="&amp;$X49,Операции!$C$10:$C$1009,"&lt;="&amp;$B49))</f>
        <v/>
      </c>
      <c r="G49" s="238">
        <f>C49+D49+E49+F49</f>
        <v/>
      </c>
      <c r="H49" s="239">
        <f>DATE(YEAR(B49),MONTH(B49),MAX(1,MIN(28,N($C$36))))</f>
        <v/>
      </c>
      <c r="I49" s="96">
        <f>IF($C$33="Да",-MIN(0,G49),0)</f>
        <v/>
      </c>
      <c r="X49" s="212">
        <f>B48+1</f>
        <v/>
      </c>
      <c r="Y49">
        <f>IF(AND(H49&lt;=$Y$4,H49&gt;=$C$4),I49,0)</f>
        <v/>
      </c>
    </row>
    <row r="50" ht="20" customHeight="1">
      <c r="B50" s="237">
        <f>DATE(Настройки!$C$8,Настройки!$D$9+11,MAX(1,MIN(28,N($C$35))))</f>
        <v/>
      </c>
      <c r="C50" s="228">
        <f>G49</f>
        <v/>
      </c>
      <c r="D50" s="92">
        <f>I49</f>
        <v/>
      </c>
      <c r="E50" s="228">
        <f>IF($C$32="",0,-(SUMIFS(Операции!$Q$10:$Q$1009,Операции!$D$10:$D$1009,"Расход",Операции!$H$10:$H$1009,$C$32,Операции!$C$10:$C$1009,"&gt;="&amp;$X50,Операции!$C$10:$C$1009,"&lt;="&amp;$B50)+SUMIFS(Журнал!$P$10:$P$1509,Журнал!$D$10:$D$1509,"&lt;&gt;Доход",Журнал!$J$10:$J$1509,$C$32,Журнал!$C$10:$C$1509,"&gt;="&amp;$X50,Журнал!$C$10:$C$1509,"&lt;="&amp;$B50)+SUMIFS(Постоянные!$AC$8:$AC$367,Постоянные!$Z$8:$Z$367,"Расход",Постоянные!$AE$8:$AE$367,$C$32,Постоянные!$Y$8:$Y$367,"&gt;="&amp;$X50,Постоянные!$Y$8:$Y$367,"&lt;="&amp;$B50)+SUMIFS(Покупки!$S$7:$S$18,Покупки!$P$7:$P$18,$C$32,Покупки!$G$7:$G$18,"&gt;="&amp;$X50,Покупки!$G$7:$G$18,"&lt;="&amp;$B50)))</f>
        <v/>
      </c>
      <c r="F50" s="93">
        <f>IF($C$32="",0,SUMIFS(Операции!$Q$10:$Q$1009,Операции!$D$10:$D$1009,"Доход",Операции!$H$10:$H$1009,$C$32,Операции!$C$10:$C$1009,"&gt;="&amp;$X50,Операции!$C$10:$C$1009,"&lt;="&amp;$B50)+SUMIFS(Журнал!$P$10:$P$1509,Журнал!$D$10:$D$1509,"Доход",Журнал!$J$10:$J$1509,$C$32,Журнал!$C$10:$C$1509,"&gt;="&amp;$X50,Журнал!$C$10:$C$1509,"&lt;="&amp;$B50)+SUMIFS(Постоянные!$AC$8:$AC$367,Постоянные!$Z$8:$Z$367,"Доход",Постоянные!$AE$8:$AE$367,$C$32,Постоянные!$Y$8:$Y$367,"&gt;="&amp;$X50,Постоянные!$Y$8:$Y$367,"&lt;="&amp;$B50)+SUMIFS(Операции!$Q$10:$Q$1009,Операции!$D$10:$D$1009,"Перевод",Операции!$I$10:$I$1009,$C$32,Операции!$C$10:$C$1009,"&gt;="&amp;$X50,Операции!$C$10:$C$1009,"&lt;="&amp;$B50)-SUMIFS(Операции!$Q$10:$Q$1009,Операции!$D$10:$D$1009,"Перевод",Операции!$H$10:$H$1009,$C$32,Операции!$C$10:$C$1009,"&gt;="&amp;$X50,Операции!$C$10:$C$1009,"&lt;="&amp;$B50))</f>
        <v/>
      </c>
      <c r="G50" s="238">
        <f>C50+D50+E50+F50</f>
        <v/>
      </c>
      <c r="H50" s="239">
        <f>DATE(YEAR(B50),MONTH(B50),MAX(1,MIN(28,N($C$36))))</f>
        <v/>
      </c>
      <c r="I50" s="96">
        <f>IF($C$33="Да",-MIN(0,G50),0)</f>
        <v/>
      </c>
      <c r="X50" s="212">
        <f>B49+1</f>
        <v/>
      </c>
      <c r="Y50">
        <f>IF(AND(H50&lt;=$Y$4,H50&gt;=$C$4),I50,0)</f>
        <v/>
      </c>
    </row>
    <row r="51" ht="32" customHeight="1">
      <c r="B51" s="27" t="inlineStr">
        <is>
          <t>Покупки с 5-го по 4-е число попадают в выписку на 4-е; её долг переносится и списывается в указанное число со счёта погашения. При автоматическом погашении списание вручную не вносите — оно посчитается дважды.</t>
        </is>
      </c>
    </row>
  </sheetData>
  <mergeCells count="21">
    <mergeCell ref="D4:J4"/>
    <mergeCell ref="C6:D6"/>
    <mergeCell ref="I6:J6"/>
    <mergeCell ref="B25:C25"/>
    <mergeCell ref="C5:D5"/>
    <mergeCell ref="E5:F5"/>
    <mergeCell ref="B31:I31"/>
    <mergeCell ref="B27:C27"/>
    <mergeCell ref="B29:J29"/>
    <mergeCell ref="G6:H6"/>
    <mergeCell ref="B24:D24"/>
    <mergeCell ref="C32:E32"/>
    <mergeCell ref="E6:F6"/>
    <mergeCell ref="B51:J51"/>
    <mergeCell ref="G5:H5"/>
    <mergeCell ref="I5:J5"/>
    <mergeCell ref="C34:E34"/>
    <mergeCell ref="B3:J3"/>
    <mergeCell ref="E37:I37"/>
    <mergeCell ref="B26:C26"/>
    <mergeCell ref="B2:J2"/>
  </mergeCells>
  <conditionalFormatting sqref="H10:H21">
    <cfRule type="cellIs" priority="1" operator="lessThan" dxfId="5">
      <formula>0</formula>
    </cfRule>
  </conditionalFormatting>
  <conditionalFormatting sqref="D25:D27">
    <cfRule type="cellIs" priority="2" operator="notEqual" dxfId="3">
      <formula>0</formula>
    </cfRule>
  </conditionalFormatting>
  <conditionalFormatting sqref="B39:I50">
    <cfRule type="expression" priority="3" dxfId="4">
      <formula>AND($X39&lt;=$Y$4,$B39&gt;=$Y$4)</formula>
    </cfRule>
  </conditionalFormatting>
  <dataValidations count="3">
    <dataValidation sqref="C10:C21" showDropDown="0" showInputMessage="0" showErrorMessage="0" allowBlank="1" type="list">
      <formula1>"Дебетовая,Наличные,Кредитная,Сберегательная"</formula1>
    </dataValidation>
    <dataValidation sqref="C33" showDropDown="0" showInputMessage="0" showErrorMessage="0" allowBlank="1" type="list">
      <formula1>"Да,Нет"</formula1>
    </dataValidation>
    <dataValidation sqref="C34" showDropDown="0" showInputMessage="0" showErrorMessage="0" allowBlank="1" type="list">
      <formula1>Счета_список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2870B"/>
    <outlinePr summaryBelow="1" summaryRight="1"/>
    <pageSetUpPr/>
  </sheetPr>
  <dimension ref="B2:U1511"/>
  <sheetViews>
    <sheetView showGridLines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2" customWidth="1" min="3" max="3"/>
    <col width="10" customWidth="1" min="4" max="4"/>
    <col width="20" customWidth="1" min="5" max="5"/>
    <col width="30" customWidth="1" min="6" max="6"/>
    <col width="15" customWidth="1" min="7" max="7"/>
    <col width="15" customWidth="1" min="8" max="8"/>
    <col width="16" customWidth="1" min="9" max="9"/>
    <col width="20" customWidth="1" min="10" max="10"/>
    <col width="16" customWidth="1" min="11" max="11"/>
    <col width="10" customWidth="1" min="12" max="12"/>
    <col width="15" customWidth="1" min="13" max="13"/>
    <col width="20" customWidth="1" min="14" max="14"/>
    <col width="2.5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6" customHeight="1"/>
    <row r="2" ht="34" customHeight="1">
      <c r="B2" s="1" t="inlineStr">
        <is>
          <t>Журнал</t>
        </is>
      </c>
    </row>
    <row r="3" ht="20" customHeight="1">
      <c r="B3" s="3" t="inlineStr">
        <is>
          <t>Запланированные траты и поступления. Заплатила — «Оплачено» и счёт; ежедневные траты — в «Операциях»</t>
        </is>
      </c>
    </row>
    <row r="5" ht="26" customHeight="1">
      <c r="B5" s="28" t="inlineStr">
        <is>
          <t>Сводка:</t>
        </is>
      </c>
      <c r="C5" s="197" t="inlineStr">
        <is>
          <t>К оплате (запланировано)</t>
        </is>
      </c>
      <c r="D5" s="198" t="n"/>
      <c r="E5" s="31" t="inlineStr">
        <is>
          <t>Потрачено (факт)</t>
        </is>
      </c>
      <c r="F5" s="32" t="inlineStr">
        <is>
          <t>Получено (факт)</t>
        </is>
      </c>
      <c r="G5" s="31" t="inlineStr">
        <is>
          <t>Просрочено</t>
        </is>
      </c>
      <c r="H5" s="199" t="n"/>
      <c r="I5" s="217" t="inlineStr">
        <is>
          <t>Ближайший платёж</t>
        </is>
      </c>
      <c r="J5" s="218" t="n"/>
      <c r="K5" s="217" t="inlineStr">
        <is>
          <t>…на сумму</t>
        </is>
      </c>
      <c r="L5" s="218" t="n"/>
      <c r="M5" s="200" t="inlineStr">
        <is>
          <t>Возможных дублей</t>
        </is>
      </c>
      <c r="N5" s="202" t="n"/>
    </row>
    <row r="6" ht="30" customHeight="1">
      <c r="C6" s="203">
        <f>SUMIFS($Q$10:$Q$1509,$D$10:$D$1509,"&lt;&gt;Доход",$I$10:$I$1509,"&lt;&gt;Оплачено",$I$10:$I$1509,"&lt;&gt;Отменено",$H$10:$H$1509,"")</f>
        <v/>
      </c>
      <c r="D6" s="204" t="n"/>
      <c r="E6" s="205">
        <f>SUMIFS($P$10:$P$1509,$D$10:$D$1509,"&lt;&gt;Доход")</f>
        <v/>
      </c>
      <c r="F6" s="206">
        <f>SUMIFS($P$10:$P$1509,$D$10:$D$1509,"Доход")</f>
        <v/>
      </c>
      <c r="G6" s="205">
        <f>SUMIFS($Q$10:$Q$1509,$C$10:$C$1509,"&lt;"&amp;TODAY(),$C$10:$C$1509,"&gt;0",$D$10:$D$1509,"&lt;&gt;Доход",$I$10:$I$1509,"&lt;&gt;Оплачено",$I$10:$I$1509,"&lt;&gt;Отменено",$H$10:$H$1509,"")</f>
        <v/>
      </c>
      <c r="H6" s="208" t="n"/>
      <c r="I6" s="240">
        <f>IF(COUNT($T$10:$T$1509)=0,"—",MIN($T$10:$T$1509))</f>
        <v/>
      </c>
      <c r="J6" s="225" t="n"/>
      <c r="K6" s="241">
        <f>IF(COUNT($T$10:$T$1509)=0,0,SUMIFS($Q$10:$Q$1509,$T$10:$T$1509,MIN($T$10:$T$1509)))</f>
        <v/>
      </c>
      <c r="L6" s="225" t="n"/>
      <c r="M6" s="209">
        <f>COUNTIF($N$10:$N$1509,"?*")</f>
        <v/>
      </c>
      <c r="N6" s="211" t="n"/>
    </row>
    <row r="9" ht="34" customHeight="1">
      <c r="B9" s="52" t="inlineStr">
        <is>
          <t>№</t>
        </is>
      </c>
      <c r="C9" s="52" t="inlineStr">
        <is>
          <t>Дата</t>
        </is>
      </c>
      <c r="D9" s="52" t="inlineStr">
        <is>
          <t>Тип</t>
        </is>
      </c>
      <c r="E9" s="52" t="inlineStr">
        <is>
          <t>Категория</t>
        </is>
      </c>
      <c r="F9" s="52" t="inlineStr">
        <is>
          <t>Что</t>
        </is>
      </c>
      <c r="G9" s="52" t="inlineStr">
        <is>
          <t>Сумма
план</t>
        </is>
      </c>
      <c r="H9" s="52" t="inlineStr">
        <is>
          <t>Сумма
факт</t>
        </is>
      </c>
      <c r="I9" s="52" t="inlineStr">
        <is>
          <t>Статус</t>
        </is>
      </c>
      <c r="J9" s="52" t="inlineStr">
        <is>
          <t>Счёт</t>
        </is>
      </c>
      <c r="K9" s="52" t="inlineStr">
        <is>
          <t>Приоритет</t>
        </is>
      </c>
      <c r="L9" s="52" t="inlineStr">
        <is>
          <t>Дней
до</t>
        </is>
      </c>
      <c r="M9" s="52" t="inlineStr">
        <is>
          <t>Месяц
учёта</t>
        </is>
      </c>
      <c r="N9" s="52" t="inlineStr">
        <is>
          <t>Возможный
дубль</t>
        </is>
      </c>
    </row>
    <row r="10" ht="19" customHeight="1">
      <c r="B10" s="53">
        <f>IF(AND($C10="",$F10=""),"",ROW()-9)</f>
        <v/>
      </c>
      <c r="C10" s="213" t="n">
        <v>46300</v>
      </c>
      <c r="D10" s="55" t="inlineStr">
        <is>
          <t>Расход</t>
        </is>
      </c>
      <c r="E10" s="55" t="inlineStr">
        <is>
          <t>Продукты</t>
        </is>
      </c>
      <c r="F10" s="56" t="inlineStr">
        <is>
          <t>Еда</t>
        </is>
      </c>
      <c r="G10" s="196" t="n">
        <v>100</v>
      </c>
      <c r="H10" s="196" t="n"/>
      <c r="I10" s="55" t="n"/>
      <c r="J10" s="55" t="inlineStr">
        <is>
          <t>Карта</t>
        </is>
      </c>
      <c r="K10" s="55" t="n"/>
      <c r="L10" s="100">
        <f>IF(OR($C10="",$I10="Оплачено",$I10="Отменено",$H10&lt;&gt;""),"",$C10-TODAY())</f>
        <v/>
      </c>
      <c r="M10" s="101">
        <f>IF($C10="","",INDEX(Настройки!$V$6:$V$17,MONTH($C10))&amp;" "&amp;YEAR($C10))</f>
        <v/>
      </c>
      <c r="N10" s="57">
        <f>IF($F10="","",IF(COUNTIF(Постоянные!$C$8:$C$37,$F10)&gt;0,"есть в Постоянных",IF(COUNTIF(Покупки!$C$7:$C$18,$F10)&gt;0,"есть в Покупках","")))</f>
        <v/>
      </c>
      <c r="P10">
        <f>IF($H10&lt;&gt;"",$H10,IF($I10="Оплачено",N($G10),0))</f>
        <v/>
      </c>
      <c r="Q10">
        <f>IF($I10="Отменено",0,IF($G10&lt;&gt;"",$G10,N($H10)))</f>
        <v/>
      </c>
      <c r="R10">
        <f>IF($C10="","",IFERROR(DATE(Настройки!$C$8,Настройки!$D$9+MATCH($M10,Настройки!$X$6:$X$17,0)-1,1),DATE(YEAR($C10),MONTH($C10),1)))</f>
        <v/>
      </c>
      <c r="S10">
        <f>IF(OR($I10="Оплачено",$H10&lt;&gt;""),$P10,$Q10)</f>
        <v/>
      </c>
      <c r="T10">
        <f>IF(OR($C10="",$D10="Доход",$I10="Оплачено",$I10="Отменено",$H10&lt;&gt;"",$C10&lt;TODAY()),"",$C10)</f>
        <v/>
      </c>
      <c r="U10">
        <f>IF(AND($D10&lt;&gt;"Доход",COUNTIFS(Счета!$B$10:$B$21,$J10,Счета!$C$10:$C$21,"Кредитная")&gt;0),1,0)</f>
        <v/>
      </c>
    </row>
    <row r="11" ht="19" customHeight="1">
      <c r="B11" s="53">
        <f>IF(AND($C11="",$F11=""),"",ROW()-9)</f>
        <v/>
      </c>
      <c r="C11" s="213" t="n">
        <v>46301</v>
      </c>
      <c r="D11" s="55" t="inlineStr">
        <is>
          <t>Расход</t>
        </is>
      </c>
      <c r="E11" s="55" t="inlineStr">
        <is>
          <t>Продукты</t>
        </is>
      </c>
      <c r="F11" s="56" t="inlineStr">
        <is>
          <t>Кафе</t>
        </is>
      </c>
      <c r="G11" s="196" t="n">
        <v>100</v>
      </c>
      <c r="H11" s="196" t="n"/>
      <c r="I11" s="55" t="inlineStr">
        <is>
          <t>Оплачено</t>
        </is>
      </c>
      <c r="J11" s="55" t="inlineStr">
        <is>
          <t>Карта</t>
        </is>
      </c>
      <c r="K11" s="55" t="n"/>
      <c r="L11" s="100">
        <f>IF(OR($C11="",$I11="Оплачено",$I11="Отменено",$H11&lt;&gt;""),"",$C11-TODAY())</f>
        <v/>
      </c>
      <c r="M11" s="101">
        <f>IF($C11="","",INDEX(Настройки!$V$6:$V$17,MONTH($C11))&amp;" "&amp;YEAR($C11))</f>
        <v/>
      </c>
      <c r="N11" s="57">
        <f>IF($F11="","",IF(COUNTIF(Постоянные!$C$8:$C$37,$F11)&gt;0,"есть в Постоянных",IF(COUNTIF(Покупки!$C$7:$C$18,$F11)&gt;0,"есть в Покупках","")))</f>
        <v/>
      </c>
      <c r="P11">
        <f>IF($H11&lt;&gt;"",$H11,IF($I11="Оплачено",N($G11),0))</f>
        <v/>
      </c>
      <c r="Q11">
        <f>IF($I11="Отменено",0,IF($G11&lt;&gt;"",$G11,N($H11)))</f>
        <v/>
      </c>
      <c r="R11">
        <f>IF($C11="","",IFERROR(DATE(Настройки!$C$8,Настройки!$D$9+MATCH($M11,Настройки!$X$6:$X$17,0)-1,1),DATE(YEAR($C11),MONTH($C11),1)))</f>
        <v/>
      </c>
      <c r="S11">
        <f>IF(OR($I11="Оплачено",$H11&lt;&gt;""),$P11,$Q11)</f>
        <v/>
      </c>
      <c r="T11">
        <f>IF(OR($C11="",$D11="Доход",$I11="Оплачено",$I11="Отменено",$H11&lt;&gt;"",$C11&lt;TODAY()),"",$C11)</f>
        <v/>
      </c>
      <c r="U11">
        <f>IF(AND($D11&lt;&gt;"Доход",COUNTIFS(Счета!$B$10:$B$21,$J11,Счета!$C$10:$C$21,"Кредитная")&gt;0),1,0)</f>
        <v/>
      </c>
    </row>
    <row r="12" ht="19" customHeight="1">
      <c r="B12" s="53">
        <f>IF(AND($C12="",$F12=""),"",ROW()-9)</f>
        <v/>
      </c>
      <c r="C12" s="213" t="n">
        <v>46302</v>
      </c>
      <c r="D12" s="55" t="inlineStr">
        <is>
          <t>Расход</t>
        </is>
      </c>
      <c r="E12" s="55" t="inlineStr">
        <is>
          <t>Транспорт</t>
        </is>
      </c>
      <c r="F12" s="56" t="inlineStr">
        <is>
          <t>Такси</t>
        </is>
      </c>
      <c r="G12" s="196" t="n">
        <v>100</v>
      </c>
      <c r="H12" s="196" t="n">
        <v>90</v>
      </c>
      <c r="I12" s="55" t="inlineStr">
        <is>
          <t>Оплачено</t>
        </is>
      </c>
      <c r="J12" s="55" t="inlineStr">
        <is>
          <t>Карта</t>
        </is>
      </c>
      <c r="K12" s="55" t="n"/>
      <c r="L12" s="100">
        <f>IF(OR($C12="",$I12="Оплачено",$I12="Отменено",$H12&lt;&gt;""),"",$C12-TODAY())</f>
        <v/>
      </c>
      <c r="M12" s="101">
        <f>IF($C12="","",INDEX(Настройки!$V$6:$V$17,MONTH($C12))&amp;" "&amp;YEAR($C12))</f>
        <v/>
      </c>
      <c r="N12" s="57">
        <f>IF($F12="","",IF(COUNTIF(Постоянные!$C$8:$C$37,$F12)&gt;0,"есть в Постоянных",IF(COUNTIF(Покупки!$C$7:$C$18,$F12)&gt;0,"есть в Покупках","")))</f>
        <v/>
      </c>
      <c r="P12">
        <f>IF($H12&lt;&gt;"",$H12,IF($I12="Оплачено",N($G12),0))</f>
        <v/>
      </c>
      <c r="Q12">
        <f>IF($I12="Отменено",0,IF($G12&lt;&gt;"",$G12,N($H12)))</f>
        <v/>
      </c>
      <c r="R12">
        <f>IF($C12="","",IFERROR(DATE(Настройки!$C$8,Настройки!$D$9+MATCH($M12,Настройки!$X$6:$X$17,0)-1,1),DATE(YEAR($C12),MONTH($C12),1)))</f>
        <v/>
      </c>
      <c r="S12">
        <f>IF(OR($I12="Оплачено",$H12&lt;&gt;""),$P12,$Q12)</f>
        <v/>
      </c>
      <c r="T12">
        <f>IF(OR($C12="",$D12="Доход",$I12="Оплачено",$I12="Отменено",$H12&lt;&gt;"",$C12&lt;TODAY()),"",$C12)</f>
        <v/>
      </c>
      <c r="U12">
        <f>IF(AND($D12&lt;&gt;"Доход",COUNTIFS(Счета!$B$10:$B$21,$J12,Счета!$C$10:$C$21,"Кредитная")&gt;0),1,0)</f>
        <v/>
      </c>
    </row>
    <row r="13" ht="19" customHeight="1">
      <c r="B13" s="53">
        <f>IF(AND($C13="",$F13=""),"",ROW()-9)</f>
        <v/>
      </c>
      <c r="C13" s="213" t="n">
        <v>46303</v>
      </c>
      <c r="D13" s="55" t="inlineStr">
        <is>
          <t>Расход</t>
        </is>
      </c>
      <c r="E13" s="55" t="inlineStr">
        <is>
          <t>Транспорт</t>
        </is>
      </c>
      <c r="F13" s="56" t="inlineStr">
        <is>
          <t>Отмена</t>
        </is>
      </c>
      <c r="G13" s="196" t="n">
        <v>100</v>
      </c>
      <c r="H13" s="196" t="n"/>
      <c r="I13" s="55" t="inlineStr">
        <is>
          <t>Отменено</t>
        </is>
      </c>
      <c r="J13" s="55" t="inlineStr">
        <is>
          <t>Карта</t>
        </is>
      </c>
      <c r="K13" s="55" t="n"/>
      <c r="L13" s="100">
        <f>IF(OR($C13="",$I13="Оплачено",$I13="Отменено",$H13&lt;&gt;""),"",$C13-TODAY())</f>
        <v/>
      </c>
      <c r="M13" s="101">
        <f>IF($C13="","",INDEX(Настройки!$V$6:$V$17,MONTH($C13))&amp;" "&amp;YEAR($C13))</f>
        <v/>
      </c>
      <c r="N13" s="57">
        <f>IF($F13="","",IF(COUNTIF(Постоянные!$C$8:$C$37,$F13)&gt;0,"есть в Постоянных",IF(COUNTIF(Покупки!$C$7:$C$18,$F13)&gt;0,"есть в Покупках","")))</f>
        <v/>
      </c>
      <c r="P13">
        <f>IF($H13&lt;&gt;"",$H13,IF($I13="Оплачено",N($G13),0))</f>
        <v/>
      </c>
      <c r="Q13">
        <f>IF($I13="Отменено",0,IF($G13&lt;&gt;"",$G13,N($H13)))</f>
        <v/>
      </c>
      <c r="R13">
        <f>IF($C13="","",IFERROR(DATE(Настройки!$C$8,Настройки!$D$9+MATCH($M13,Настройки!$X$6:$X$17,0)-1,1),DATE(YEAR($C13),MONTH($C13),1)))</f>
        <v/>
      </c>
      <c r="S13">
        <f>IF(OR($I13="Оплачено",$H13&lt;&gt;""),$P13,$Q13)</f>
        <v/>
      </c>
      <c r="T13">
        <f>IF(OR($C13="",$D13="Доход",$I13="Оплачено",$I13="Отменено",$H13&lt;&gt;"",$C13&lt;TODAY()),"",$C13)</f>
        <v/>
      </c>
      <c r="U13">
        <f>IF(AND($D13&lt;&gt;"Доход",COUNTIFS(Счета!$B$10:$B$21,$J13,Счета!$C$10:$C$21,"Кредитная")&gt;0),1,0)</f>
        <v/>
      </c>
    </row>
    <row r="14" ht="19" customHeight="1">
      <c r="B14" s="53">
        <f>IF(AND($C14="",$F14=""),"",ROW()-9)</f>
        <v/>
      </c>
      <c r="C14" s="213" t="n">
        <v>46304</v>
      </c>
      <c r="D14" s="55" t="inlineStr">
        <is>
          <t>Расход</t>
        </is>
      </c>
      <c r="E14" s="55" t="inlineStr">
        <is>
          <t>Транспорт</t>
        </is>
      </c>
      <c r="F14" s="56" t="inlineStr">
        <is>
          <t>Штраф</t>
        </is>
      </c>
      <c r="G14" s="196" t="n">
        <v>100</v>
      </c>
      <c r="H14" s="196" t="n">
        <v>15</v>
      </c>
      <c r="I14" s="55" t="inlineStr">
        <is>
          <t>Отменено</t>
        </is>
      </c>
      <c r="J14" s="55" t="inlineStr">
        <is>
          <t>Карта</t>
        </is>
      </c>
      <c r="K14" s="55" t="n"/>
      <c r="L14" s="100">
        <f>IF(OR($C14="",$I14="Оплачено",$I14="Отменено",$H14&lt;&gt;""),"",$C14-TODAY())</f>
        <v/>
      </c>
      <c r="M14" s="101">
        <f>IF($C14="","",INDEX(Настройки!$V$6:$V$17,MONTH($C14))&amp;" "&amp;YEAR($C14))</f>
        <v/>
      </c>
      <c r="N14" s="57">
        <f>IF($F14="","",IF(COUNTIF(Постоянные!$C$8:$C$37,$F14)&gt;0,"есть в Постоянных",IF(COUNTIF(Покупки!$C$7:$C$18,$F14)&gt;0,"есть в Покупках","")))</f>
        <v/>
      </c>
      <c r="P14">
        <f>IF($H14&lt;&gt;"",$H14,IF($I14="Оплачено",N($G14),0))</f>
        <v/>
      </c>
      <c r="Q14">
        <f>IF($I14="Отменено",0,IF($G14&lt;&gt;"",$G14,N($H14)))</f>
        <v/>
      </c>
      <c r="R14">
        <f>IF($C14="","",IFERROR(DATE(Настройки!$C$8,Настройки!$D$9+MATCH($M14,Настройки!$X$6:$X$17,0)-1,1),DATE(YEAR($C14),MONTH($C14),1)))</f>
        <v/>
      </c>
      <c r="S14">
        <f>IF(OR($I14="Оплачено",$H14&lt;&gt;""),$P14,$Q14)</f>
        <v/>
      </c>
      <c r="T14">
        <f>IF(OR($C14="",$D14="Доход",$I14="Оплачено",$I14="Отменено",$H14&lt;&gt;"",$C14&lt;TODAY()),"",$C14)</f>
        <v/>
      </c>
      <c r="U14">
        <f>IF(AND($D14&lt;&gt;"Доход",COUNTIFS(Счета!$B$10:$B$21,$J14,Счета!$C$10:$C$21,"Кредитная")&gt;0),1,0)</f>
        <v/>
      </c>
    </row>
    <row r="15" ht="19" customHeight="1">
      <c r="B15" s="53">
        <f>IF(AND($C15="",$F15=""),"",ROW()-9)</f>
        <v/>
      </c>
      <c r="C15" s="213" t="n">
        <v>46305</v>
      </c>
      <c r="D15" s="55" t="inlineStr">
        <is>
          <t>Расход</t>
        </is>
      </c>
      <c r="E15" s="55" t="inlineStr">
        <is>
          <t>Продукты</t>
        </is>
      </c>
      <c r="F15" s="56" t="inlineStr">
        <is>
          <t>Возврат</t>
        </is>
      </c>
      <c r="G15" s="196" t="n"/>
      <c r="H15" s="196" t="n">
        <v>-20</v>
      </c>
      <c r="I15" s="55" t="inlineStr">
        <is>
          <t>Оплачено</t>
        </is>
      </c>
      <c r="J15" s="55" t="inlineStr">
        <is>
          <t>Карта</t>
        </is>
      </c>
      <c r="K15" s="55" t="n"/>
      <c r="L15" s="100">
        <f>IF(OR($C15="",$I15="Оплачено",$I15="Отменено",$H15&lt;&gt;""),"",$C15-TODAY())</f>
        <v/>
      </c>
      <c r="M15" s="101">
        <f>IF($C15="","",INDEX(Настройки!$V$6:$V$17,MONTH($C15))&amp;" "&amp;YEAR($C15))</f>
        <v/>
      </c>
      <c r="N15" s="57">
        <f>IF($F15="","",IF(COUNTIF(Постоянные!$C$8:$C$37,$F15)&gt;0,"есть в Постоянных",IF(COUNTIF(Покупки!$C$7:$C$18,$F15)&gt;0,"есть в Покупках","")))</f>
        <v/>
      </c>
      <c r="P15">
        <f>IF($H15&lt;&gt;"",$H15,IF($I15="Оплачено",N($G15),0))</f>
        <v/>
      </c>
      <c r="Q15">
        <f>IF($I15="Отменено",0,IF($G15&lt;&gt;"",$G15,N($H15)))</f>
        <v/>
      </c>
      <c r="R15">
        <f>IF($C15="","",IFERROR(DATE(Настройки!$C$8,Настройки!$D$9+MATCH($M15,Настройки!$X$6:$X$17,0)-1,1),DATE(YEAR($C15),MONTH($C15),1)))</f>
        <v/>
      </c>
      <c r="S15">
        <f>IF(OR($I15="Оплачено",$H15&lt;&gt;""),$P15,$Q15)</f>
        <v/>
      </c>
      <c r="T15">
        <f>IF(OR($C15="",$D15="Доход",$I15="Оплачено",$I15="Отменено",$H15&lt;&gt;"",$C15&lt;TODAY()),"",$C15)</f>
        <v/>
      </c>
      <c r="U15">
        <f>IF(AND($D15&lt;&gt;"Доход",COUNTIFS(Счета!$B$10:$B$21,$J15,Счета!$C$10:$C$21,"Кредитная")&gt;0),1,0)</f>
        <v/>
      </c>
    </row>
    <row r="16" ht="19" customHeight="1">
      <c r="B16" s="53">
        <f>IF(AND($C16="",$F16=""),"",ROW()-9)</f>
        <v/>
      </c>
      <c r="C16" s="213" t="n">
        <v>46296</v>
      </c>
      <c r="D16" s="55" t="inlineStr">
        <is>
          <t>Доход</t>
        </is>
      </c>
      <c r="E16" s="55" t="inlineStr">
        <is>
          <t>Зарплата</t>
        </is>
      </c>
      <c r="F16" s="56" t="inlineStr">
        <is>
          <t>ЗП</t>
        </is>
      </c>
      <c r="G16" s="196" t="n">
        <v>3000</v>
      </c>
      <c r="H16" s="196" t="n"/>
      <c r="I16" s="55" t="inlineStr">
        <is>
          <t>Оплачено</t>
        </is>
      </c>
      <c r="J16" s="55" t="inlineStr">
        <is>
          <t>Карта</t>
        </is>
      </c>
      <c r="K16" s="55" t="n"/>
      <c r="L16" s="100">
        <f>IF(OR($C16="",$I16="Оплачено",$I16="Отменено",$H16&lt;&gt;""),"",$C16-TODAY())</f>
        <v/>
      </c>
      <c r="M16" s="101">
        <f>IF($C16="","",INDEX(Настройки!$V$6:$V$17,MONTH($C16))&amp;" "&amp;YEAR($C16))</f>
        <v/>
      </c>
      <c r="N16" s="57">
        <f>IF($F16="","",IF(COUNTIF(Постоянные!$C$8:$C$37,$F16)&gt;0,"есть в Постоянных",IF(COUNTIF(Покупки!$C$7:$C$18,$F16)&gt;0,"есть в Покупках","")))</f>
        <v/>
      </c>
      <c r="P16">
        <f>IF($H16&lt;&gt;"",$H16,IF($I16="Оплачено",N($G16),0))</f>
        <v/>
      </c>
      <c r="Q16">
        <f>IF($I16="Отменено",0,IF($G16&lt;&gt;"",$G16,N($H16)))</f>
        <v/>
      </c>
      <c r="R16">
        <f>IF($C16="","",IFERROR(DATE(Настройки!$C$8,Настройки!$D$9+MATCH($M16,Настройки!$X$6:$X$17,0)-1,1),DATE(YEAR($C16),MONTH($C16),1)))</f>
        <v/>
      </c>
      <c r="S16">
        <f>IF(OR($I16="Оплачено",$H16&lt;&gt;""),$P16,$Q16)</f>
        <v/>
      </c>
      <c r="T16">
        <f>IF(OR($C16="",$D16="Доход",$I16="Оплачено",$I16="Отменено",$H16&lt;&gt;"",$C16&lt;TODAY()),"",$C16)</f>
        <v/>
      </c>
      <c r="U16">
        <f>IF(AND($D16&lt;&gt;"Доход",COUNTIFS(Счета!$B$10:$B$21,$J16,Счета!$C$10:$C$21,"Кредитная")&gt;0),1,0)</f>
        <v/>
      </c>
    </row>
    <row r="17" ht="19" customHeight="1">
      <c r="B17" s="53">
        <f>IF(AND($C17="",$F17=""),"",ROW()-9)</f>
        <v/>
      </c>
      <c r="C17" s="213" t="n">
        <v>46341</v>
      </c>
      <c r="D17" s="55" t="inlineStr">
        <is>
          <t>Расход</t>
        </is>
      </c>
      <c r="E17" s="55" t="inlineStr">
        <is>
          <t>Продукты</t>
        </is>
      </c>
      <c r="F17" s="56" t="inlineStr">
        <is>
          <t>Ноябрь</t>
        </is>
      </c>
      <c r="G17" s="196" t="n">
        <v>50</v>
      </c>
      <c r="H17" s="196" t="n">
        <v>50</v>
      </c>
      <c r="I17" s="55" t="inlineStr">
        <is>
          <t>Оплачено</t>
        </is>
      </c>
      <c r="J17" s="55" t="inlineStr">
        <is>
          <t>Карта</t>
        </is>
      </c>
      <c r="K17" s="55" t="n"/>
      <c r="L17" s="100">
        <f>IF(OR($C17="",$I17="Оплачено",$I17="Отменено",$H17&lt;&gt;""),"",$C17-TODAY())</f>
        <v/>
      </c>
      <c r="M17" s="101">
        <f>IF($C17="","",INDEX(Настройки!$V$6:$V$17,MONTH($C17))&amp;" "&amp;YEAR($C17))</f>
        <v/>
      </c>
      <c r="N17" s="57">
        <f>IF($F17="","",IF(COUNTIF(Постоянные!$C$8:$C$37,$F17)&gt;0,"есть в Постоянных",IF(COUNTIF(Покупки!$C$7:$C$18,$F17)&gt;0,"есть в Покупках","")))</f>
        <v/>
      </c>
      <c r="P17">
        <f>IF($H17&lt;&gt;"",$H17,IF($I17="Оплачено",N($G17),0))</f>
        <v/>
      </c>
      <c r="Q17">
        <f>IF($I17="Отменено",0,IF($G17&lt;&gt;"",$G17,N($H17)))</f>
        <v/>
      </c>
      <c r="R17">
        <f>IF($C17="","",IFERROR(DATE(Настройки!$C$8,Настройки!$D$9+MATCH($M17,Настройки!$X$6:$X$17,0)-1,1),DATE(YEAR($C17),MONTH($C17),1)))</f>
        <v/>
      </c>
      <c r="S17">
        <f>IF(OR($I17="Оплачено",$H17&lt;&gt;""),$P17,$Q17)</f>
        <v/>
      </c>
      <c r="T17">
        <f>IF(OR($C17="",$D17="Доход",$I17="Оплачено",$I17="Отменено",$H17&lt;&gt;"",$C17&lt;TODAY()),"",$C17)</f>
        <v/>
      </c>
      <c r="U17">
        <f>IF(AND($D17&lt;&gt;"Доход",COUNTIFS(Счета!$B$10:$B$21,$J17,Счета!$C$10:$C$21,"Кредитная")&gt;0),1,0)</f>
        <v/>
      </c>
    </row>
    <row r="18" ht="19" customHeight="1">
      <c r="B18" s="53">
        <f>IF(AND($C18="",$F18=""),"",ROW()-9)</f>
        <v/>
      </c>
      <c r="C18" s="213" t="n">
        <v>46315</v>
      </c>
      <c r="D18" s="55" t="inlineStr">
        <is>
          <t>Расход</t>
        </is>
      </c>
      <c r="E18" s="55" t="inlineStr">
        <is>
          <t>Жильё</t>
        </is>
      </c>
      <c r="F18" s="56" t="inlineStr">
        <is>
          <t>Аренда</t>
        </is>
      </c>
      <c r="G18" s="196" t="n"/>
      <c r="H18" s="196" t="n"/>
      <c r="I18" s="55" t="n"/>
      <c r="J18" s="55" t="inlineStr">
        <is>
          <t>Карта</t>
        </is>
      </c>
      <c r="K18" s="55" t="n"/>
      <c r="L18" s="100">
        <f>IF(OR($C18="",$I18="Оплачено",$I18="Отменено",$H18&lt;&gt;""),"",$C18-TODAY())</f>
        <v/>
      </c>
      <c r="M18" s="101">
        <f>IF($C18="","",INDEX(Настройки!$V$6:$V$17,MONTH($C18))&amp;" "&amp;YEAR($C18))</f>
        <v/>
      </c>
      <c r="N18" s="57">
        <f>IF($F18="","",IF(COUNTIF(Постоянные!$C$8:$C$37,$F18)&gt;0,"есть в Постоянных",IF(COUNTIF(Покупки!$C$7:$C$18,$F18)&gt;0,"есть в Покупках","")))</f>
        <v/>
      </c>
      <c r="P18">
        <f>IF($H18&lt;&gt;"",$H18,IF($I18="Оплачено",N($G18),0))</f>
        <v/>
      </c>
      <c r="Q18">
        <f>IF($I18="Отменено",0,IF($G18&lt;&gt;"",$G18,N($H18)))</f>
        <v/>
      </c>
      <c r="R18">
        <f>IF($C18="","",IFERROR(DATE(Настройки!$C$8,Настройки!$D$9+MATCH($M18,Настройки!$X$6:$X$17,0)-1,1),DATE(YEAR($C18),MONTH($C18),1)))</f>
        <v/>
      </c>
      <c r="S18">
        <f>IF(OR($I18="Оплачено",$H18&lt;&gt;""),$P18,$Q18)</f>
        <v/>
      </c>
      <c r="T18">
        <f>IF(OR($C18="",$D18="Доход",$I18="Оплачено",$I18="Отменено",$H18&lt;&gt;"",$C18&lt;TODAY()),"",$C18)</f>
        <v/>
      </c>
      <c r="U18">
        <f>IF(AND($D18&lt;&gt;"Доход",COUNTIFS(Счета!$B$10:$B$21,$J18,Счета!$C$10:$C$21,"Кредитная")&gt;0),1,0)</f>
        <v/>
      </c>
    </row>
    <row r="19" ht="19" customHeight="1">
      <c r="B19" s="53">
        <f>IF(AND($C19="",$F19=""),"",ROW()-9)</f>
        <v/>
      </c>
      <c r="C19" s="213" t="n">
        <v>46270</v>
      </c>
      <c r="D19" s="55" t="inlineStr">
        <is>
          <t>Расход</t>
        </is>
      </c>
      <c r="E19" s="55" t="inlineStr">
        <is>
          <t>Продукты</t>
        </is>
      </c>
      <c r="F19" s="56" t="inlineStr">
        <is>
          <t>Сентябрь</t>
        </is>
      </c>
      <c r="G19" s="196" t="n">
        <v>10</v>
      </c>
      <c r="H19" s="196" t="n"/>
      <c r="I19" s="55" t="n"/>
      <c r="J19" s="55" t="inlineStr">
        <is>
          <t>Карта</t>
        </is>
      </c>
      <c r="K19" s="55" t="n"/>
      <c r="L19" s="100">
        <f>IF(OR($C19="",$I19="Оплачено",$I19="Отменено",$H19&lt;&gt;""),"",$C19-TODAY())</f>
        <v/>
      </c>
      <c r="M19" s="101">
        <f>IF($C19="","",INDEX(Настройки!$V$6:$V$17,MONTH($C19))&amp;" "&amp;YEAR($C19))</f>
        <v/>
      </c>
      <c r="N19" s="57">
        <f>IF($F19="","",IF(COUNTIF(Постоянные!$C$8:$C$37,$F19)&gt;0,"есть в Постоянных",IF(COUNTIF(Покупки!$C$7:$C$18,$F19)&gt;0,"есть в Покупках","")))</f>
        <v/>
      </c>
      <c r="P19">
        <f>IF($H19&lt;&gt;"",$H19,IF($I19="Оплачено",N($G19),0))</f>
        <v/>
      </c>
      <c r="Q19">
        <f>IF($I19="Отменено",0,IF($G19&lt;&gt;"",$G19,N($H19)))</f>
        <v/>
      </c>
      <c r="R19">
        <f>IF($C19="","",IFERROR(DATE(Настройки!$C$8,Настройки!$D$9+MATCH($M19,Настройки!$X$6:$X$17,0)-1,1),DATE(YEAR($C19),MONTH($C19),1)))</f>
        <v/>
      </c>
      <c r="S19">
        <f>IF(OR($I19="Оплачено",$H19&lt;&gt;""),$P19,$Q19)</f>
        <v/>
      </c>
      <c r="T19">
        <f>IF(OR($C19="",$D19="Доход",$I19="Оплачено",$I19="Отменено",$H19&lt;&gt;"",$C19&lt;TODAY()),"",$C19)</f>
        <v/>
      </c>
      <c r="U19">
        <f>IF(AND($D19&lt;&gt;"Доход",COUNTIFS(Счета!$B$10:$B$21,$J19,Счета!$C$10:$C$21,"Кредитная")&gt;0),1,0)</f>
        <v/>
      </c>
    </row>
    <row r="20" ht="19" customHeight="1">
      <c r="B20" s="53">
        <f>IF(AND($C20="",$F20=""),"",ROW()-9)</f>
        <v/>
      </c>
      <c r="C20" s="213" t="n"/>
      <c r="D20" s="55" t="n"/>
      <c r="E20" s="55" t="n"/>
      <c r="F20" s="56" t="n"/>
      <c r="G20" s="196" t="n"/>
      <c r="H20" s="196" t="n"/>
      <c r="I20" s="55" t="n"/>
      <c r="J20" s="55" t="n"/>
      <c r="K20" s="55" t="n"/>
      <c r="L20" s="100">
        <f>IF(OR($C20="",$I20="Оплачено",$I20="Отменено",$H20&lt;&gt;""),"",$C20-TODAY())</f>
        <v/>
      </c>
      <c r="M20" s="101">
        <f>IF($C20="","",INDEX(Настройки!$V$6:$V$17,MONTH($C20))&amp;" "&amp;YEAR($C20))</f>
        <v/>
      </c>
      <c r="N20" s="57">
        <f>IF($F20="","",IF(COUNTIF(Постоянные!$C$8:$C$37,$F20)&gt;0,"есть в Постоянных",IF(COUNTIF(Покупки!$C$7:$C$18,$F20)&gt;0,"есть в Покупках","")))</f>
        <v/>
      </c>
      <c r="P20">
        <f>IF($H20&lt;&gt;"",$H20,IF($I20="Оплачено",N($G20),0))</f>
        <v/>
      </c>
      <c r="Q20">
        <f>IF($I20="Отменено",0,IF($G20&lt;&gt;"",$G20,N($H20)))</f>
        <v/>
      </c>
      <c r="R20">
        <f>IF($C20="","",IFERROR(DATE(Настройки!$C$8,Настройки!$D$9+MATCH($M20,Настройки!$X$6:$X$17,0)-1,1),DATE(YEAR($C20),MONTH($C20),1)))</f>
        <v/>
      </c>
      <c r="S20">
        <f>IF(OR($I20="Оплачено",$H20&lt;&gt;""),$P20,$Q20)</f>
        <v/>
      </c>
      <c r="T20">
        <f>IF(OR($C20="",$D20="Доход",$I20="Оплачено",$I20="Отменено",$H20&lt;&gt;"",$C20&lt;TODAY()),"",$C20)</f>
        <v/>
      </c>
      <c r="U20">
        <f>IF(AND($D20&lt;&gt;"Доход",COUNTIFS(Счета!$B$10:$B$21,$J20,Счета!$C$10:$C$21,"Кредитная")&gt;0),1,0)</f>
        <v/>
      </c>
    </row>
    <row r="21" ht="19" customHeight="1">
      <c r="B21" s="53">
        <f>IF(AND($C21="",$F21=""),"",ROW()-9)</f>
        <v/>
      </c>
      <c r="C21" s="213" t="n"/>
      <c r="D21" s="55" t="n"/>
      <c r="E21" s="55" t="n"/>
      <c r="F21" s="56" t="n"/>
      <c r="G21" s="196" t="n"/>
      <c r="H21" s="196" t="n"/>
      <c r="I21" s="55" t="n"/>
      <c r="J21" s="55" t="n"/>
      <c r="K21" s="55" t="n"/>
      <c r="L21" s="100">
        <f>IF(OR($C21="",$I21="Оплачено",$I21="Отменено",$H21&lt;&gt;""),"",$C21-TODAY())</f>
        <v/>
      </c>
      <c r="M21" s="101">
        <f>IF($C21="","",INDEX(Настройки!$V$6:$V$17,MONTH($C21))&amp;" "&amp;YEAR($C21))</f>
        <v/>
      </c>
      <c r="N21" s="57">
        <f>IF($F21="","",IF(COUNTIF(Постоянные!$C$8:$C$37,$F21)&gt;0,"есть в Постоянных",IF(COUNTIF(Покупки!$C$7:$C$18,$F21)&gt;0,"есть в Покупках","")))</f>
        <v/>
      </c>
      <c r="P21">
        <f>IF($H21&lt;&gt;"",$H21,IF($I21="Оплачено",N($G21),0))</f>
        <v/>
      </c>
      <c r="Q21">
        <f>IF($I21="Отменено",0,IF($G21&lt;&gt;"",$G21,N($H21)))</f>
        <v/>
      </c>
      <c r="R21">
        <f>IF($C21="","",IFERROR(DATE(Настройки!$C$8,Настройки!$D$9+MATCH($M21,Настройки!$X$6:$X$17,0)-1,1),DATE(YEAR($C21),MONTH($C21),1)))</f>
        <v/>
      </c>
      <c r="S21">
        <f>IF(OR($I21="Оплачено",$H21&lt;&gt;""),$P21,$Q21)</f>
        <v/>
      </c>
      <c r="T21">
        <f>IF(OR($C21="",$D21="Доход",$I21="Оплачено",$I21="Отменено",$H21&lt;&gt;"",$C21&lt;TODAY()),"",$C21)</f>
        <v/>
      </c>
      <c r="U21">
        <f>IF(AND($D21&lt;&gt;"Доход",COUNTIFS(Счета!$B$10:$B$21,$J21,Счета!$C$10:$C$21,"Кредитная")&gt;0),1,0)</f>
        <v/>
      </c>
    </row>
    <row r="22" ht="19" customHeight="1">
      <c r="B22" s="53">
        <f>IF(AND($C22="",$F22=""),"",ROW()-9)</f>
        <v/>
      </c>
      <c r="C22" s="213" t="n"/>
      <c r="D22" s="55" t="n"/>
      <c r="E22" s="55" t="n"/>
      <c r="F22" s="56" t="n"/>
      <c r="G22" s="196" t="n"/>
      <c r="H22" s="196" t="n"/>
      <c r="I22" s="55" t="n"/>
      <c r="J22" s="55" t="n"/>
      <c r="K22" s="55" t="n"/>
      <c r="L22" s="100">
        <f>IF(OR($C22="",$I22="Оплачено",$I22="Отменено",$H22&lt;&gt;""),"",$C22-TODAY())</f>
        <v/>
      </c>
      <c r="M22" s="101">
        <f>IF($C22="","",INDEX(Настройки!$V$6:$V$17,MONTH($C22))&amp;" "&amp;YEAR($C22))</f>
        <v/>
      </c>
      <c r="N22" s="57">
        <f>IF($F22="","",IF(COUNTIF(Постоянные!$C$8:$C$37,$F22)&gt;0,"есть в Постоянных",IF(COUNTIF(Покупки!$C$7:$C$18,$F22)&gt;0,"есть в Покупках","")))</f>
        <v/>
      </c>
      <c r="P22">
        <f>IF($H22&lt;&gt;"",$H22,IF($I22="Оплачено",N($G22),0))</f>
        <v/>
      </c>
      <c r="Q22">
        <f>IF($I22="Отменено",0,IF($G22&lt;&gt;"",$G22,N($H22)))</f>
        <v/>
      </c>
      <c r="R22">
        <f>IF($C22="","",IFERROR(DATE(Настройки!$C$8,Настройки!$D$9+MATCH($M22,Настройки!$X$6:$X$17,0)-1,1),DATE(YEAR($C22),MONTH($C22),1)))</f>
        <v/>
      </c>
      <c r="S22">
        <f>IF(OR($I22="Оплачено",$H22&lt;&gt;""),$P22,$Q22)</f>
        <v/>
      </c>
      <c r="T22">
        <f>IF(OR($C22="",$D22="Доход",$I22="Оплачено",$I22="Отменено",$H22&lt;&gt;"",$C22&lt;TODAY()),"",$C22)</f>
        <v/>
      </c>
      <c r="U22">
        <f>IF(AND($D22&lt;&gt;"Доход",COUNTIFS(Счета!$B$10:$B$21,$J22,Счета!$C$10:$C$21,"Кредитная")&gt;0),1,0)</f>
        <v/>
      </c>
    </row>
    <row r="23" ht="19" customHeight="1">
      <c r="B23" s="53">
        <f>IF(AND($C23="",$F23=""),"",ROW()-9)</f>
        <v/>
      </c>
      <c r="C23" s="213" t="n"/>
      <c r="D23" s="55" t="n"/>
      <c r="E23" s="55" t="n"/>
      <c r="F23" s="56" t="n"/>
      <c r="G23" s="196" t="n"/>
      <c r="H23" s="196" t="n"/>
      <c r="I23" s="55" t="n"/>
      <c r="J23" s="55" t="n"/>
      <c r="K23" s="55" t="n"/>
      <c r="L23" s="100">
        <f>IF(OR($C23="",$I23="Оплачено",$I23="Отменено",$H23&lt;&gt;""),"",$C23-TODAY())</f>
        <v/>
      </c>
      <c r="M23" s="101">
        <f>IF($C23="","",INDEX(Настройки!$V$6:$V$17,MONTH($C23))&amp;" "&amp;YEAR($C23))</f>
        <v/>
      </c>
      <c r="N23" s="57">
        <f>IF($F23="","",IF(COUNTIF(Постоянные!$C$8:$C$37,$F23)&gt;0,"есть в Постоянных",IF(COUNTIF(Покупки!$C$7:$C$18,$F23)&gt;0,"есть в Покупках","")))</f>
        <v/>
      </c>
      <c r="P23">
        <f>IF($H23&lt;&gt;"",$H23,IF($I23="Оплачено",N($G23),0))</f>
        <v/>
      </c>
      <c r="Q23">
        <f>IF($I23="Отменено",0,IF($G23&lt;&gt;"",$G23,N($H23)))</f>
        <v/>
      </c>
      <c r="R23">
        <f>IF($C23="","",IFERROR(DATE(Настройки!$C$8,Настройки!$D$9+MATCH($M23,Настройки!$X$6:$X$17,0)-1,1),DATE(YEAR($C23),MONTH($C23),1)))</f>
        <v/>
      </c>
      <c r="S23">
        <f>IF(OR($I23="Оплачено",$H23&lt;&gt;""),$P23,$Q23)</f>
        <v/>
      </c>
      <c r="T23">
        <f>IF(OR($C23="",$D23="Доход",$I23="Оплачено",$I23="Отменено",$H23&lt;&gt;"",$C23&lt;TODAY()),"",$C23)</f>
        <v/>
      </c>
      <c r="U23">
        <f>IF(AND($D23&lt;&gt;"Доход",COUNTIFS(Счета!$B$10:$B$21,$J23,Счета!$C$10:$C$21,"Кредитная")&gt;0),1,0)</f>
        <v/>
      </c>
    </row>
    <row r="24" ht="19" customHeight="1">
      <c r="B24" s="53">
        <f>IF(AND($C24="",$F24=""),"",ROW()-9)</f>
        <v/>
      </c>
      <c r="C24" s="213" t="n"/>
      <c r="D24" s="55" t="n"/>
      <c r="E24" s="55" t="n"/>
      <c r="F24" s="56" t="n"/>
      <c r="G24" s="196" t="n"/>
      <c r="H24" s="196" t="n"/>
      <c r="I24" s="55" t="n"/>
      <c r="J24" s="55" t="n"/>
      <c r="K24" s="55" t="n"/>
      <c r="L24" s="100">
        <f>IF(OR($C24="",$I24="Оплачено",$I24="Отменено",$H24&lt;&gt;""),"",$C24-TODAY())</f>
        <v/>
      </c>
      <c r="M24" s="101">
        <f>IF($C24="","",INDEX(Настройки!$V$6:$V$17,MONTH($C24))&amp;" "&amp;YEAR($C24))</f>
        <v/>
      </c>
      <c r="N24" s="57">
        <f>IF($F24="","",IF(COUNTIF(Постоянные!$C$8:$C$37,$F24)&gt;0,"есть в Постоянных",IF(COUNTIF(Покупки!$C$7:$C$18,$F24)&gt;0,"есть в Покупках","")))</f>
        <v/>
      </c>
      <c r="P24">
        <f>IF($H24&lt;&gt;"",$H24,IF($I24="Оплачено",N($G24),0))</f>
        <v/>
      </c>
      <c r="Q24">
        <f>IF($I24="Отменено",0,IF($G24&lt;&gt;"",$G24,N($H24)))</f>
        <v/>
      </c>
      <c r="R24">
        <f>IF($C24="","",IFERROR(DATE(Настройки!$C$8,Настройки!$D$9+MATCH($M24,Настройки!$X$6:$X$17,0)-1,1),DATE(YEAR($C24),MONTH($C24),1)))</f>
        <v/>
      </c>
      <c r="S24">
        <f>IF(OR($I24="Оплачено",$H24&lt;&gt;""),$P24,$Q24)</f>
        <v/>
      </c>
      <c r="T24">
        <f>IF(OR($C24="",$D24="Доход",$I24="Оплачено",$I24="Отменено",$H24&lt;&gt;"",$C24&lt;TODAY()),"",$C24)</f>
        <v/>
      </c>
      <c r="U24">
        <f>IF(AND($D24&lt;&gt;"Доход",COUNTIFS(Счета!$B$10:$B$21,$J24,Счета!$C$10:$C$21,"Кредитная")&gt;0),1,0)</f>
        <v/>
      </c>
    </row>
    <row r="25" ht="19" customHeight="1">
      <c r="B25" s="53">
        <f>IF(AND($C25="",$F25=""),"",ROW()-9)</f>
        <v/>
      </c>
      <c r="C25" s="213" t="n"/>
      <c r="D25" s="55" t="n"/>
      <c r="E25" s="55" t="n"/>
      <c r="F25" s="56" t="n"/>
      <c r="G25" s="196" t="n"/>
      <c r="H25" s="196" t="n"/>
      <c r="I25" s="55" t="n"/>
      <c r="J25" s="55" t="n"/>
      <c r="K25" s="55" t="n"/>
      <c r="L25" s="100">
        <f>IF(OR($C25="",$I25="Оплачено",$I25="Отменено",$H25&lt;&gt;""),"",$C25-TODAY())</f>
        <v/>
      </c>
      <c r="M25" s="101">
        <f>IF($C25="","",INDEX(Настройки!$V$6:$V$17,MONTH($C25))&amp;" "&amp;YEAR($C25))</f>
        <v/>
      </c>
      <c r="N25" s="57">
        <f>IF($F25="","",IF(COUNTIF(Постоянные!$C$8:$C$37,$F25)&gt;0,"есть в Постоянных",IF(COUNTIF(Покупки!$C$7:$C$18,$F25)&gt;0,"есть в Покупках","")))</f>
        <v/>
      </c>
      <c r="P25">
        <f>IF($H25&lt;&gt;"",$H25,IF($I25="Оплачено",N($G25),0))</f>
        <v/>
      </c>
      <c r="Q25">
        <f>IF($I25="Отменено",0,IF($G25&lt;&gt;"",$G25,N($H25)))</f>
        <v/>
      </c>
      <c r="R25">
        <f>IF($C25="","",IFERROR(DATE(Настройки!$C$8,Настройки!$D$9+MATCH($M25,Настройки!$X$6:$X$17,0)-1,1),DATE(YEAR($C25),MONTH($C25),1)))</f>
        <v/>
      </c>
      <c r="S25">
        <f>IF(OR($I25="Оплачено",$H25&lt;&gt;""),$P25,$Q25)</f>
        <v/>
      </c>
      <c r="T25">
        <f>IF(OR($C25="",$D25="Доход",$I25="Оплачено",$I25="Отменено",$H25&lt;&gt;"",$C25&lt;TODAY()),"",$C25)</f>
        <v/>
      </c>
      <c r="U25">
        <f>IF(AND($D25&lt;&gt;"Доход",COUNTIFS(Счета!$B$10:$B$21,$J25,Счета!$C$10:$C$21,"Кредитная")&gt;0),1,0)</f>
        <v/>
      </c>
    </row>
    <row r="26" ht="19" customHeight="1">
      <c r="B26" s="53">
        <f>IF(AND($C26="",$F26=""),"",ROW()-9)</f>
        <v/>
      </c>
      <c r="C26" s="213" t="n"/>
      <c r="D26" s="55" t="n"/>
      <c r="E26" s="55" t="n"/>
      <c r="F26" s="56" t="n"/>
      <c r="G26" s="196" t="n"/>
      <c r="H26" s="196" t="n"/>
      <c r="I26" s="55" t="n"/>
      <c r="J26" s="55" t="n"/>
      <c r="K26" s="55" t="n"/>
      <c r="L26" s="100">
        <f>IF(OR($C26="",$I26="Оплачено",$I26="Отменено",$H26&lt;&gt;""),"",$C26-TODAY())</f>
        <v/>
      </c>
      <c r="M26" s="101">
        <f>IF($C26="","",INDEX(Настройки!$V$6:$V$17,MONTH($C26))&amp;" "&amp;YEAR($C26))</f>
        <v/>
      </c>
      <c r="N26" s="57">
        <f>IF($F26="","",IF(COUNTIF(Постоянные!$C$8:$C$37,$F26)&gt;0,"есть в Постоянных",IF(COUNTIF(Покупки!$C$7:$C$18,$F26)&gt;0,"есть в Покупках","")))</f>
        <v/>
      </c>
      <c r="P26">
        <f>IF($H26&lt;&gt;"",$H26,IF($I26="Оплачено",N($G26),0))</f>
        <v/>
      </c>
      <c r="Q26">
        <f>IF($I26="Отменено",0,IF($G26&lt;&gt;"",$G26,N($H26)))</f>
        <v/>
      </c>
      <c r="R26">
        <f>IF($C26="","",IFERROR(DATE(Настройки!$C$8,Настройки!$D$9+MATCH($M26,Настройки!$X$6:$X$17,0)-1,1),DATE(YEAR($C26),MONTH($C26),1)))</f>
        <v/>
      </c>
      <c r="S26">
        <f>IF(OR($I26="Оплачено",$H26&lt;&gt;""),$P26,$Q26)</f>
        <v/>
      </c>
      <c r="T26">
        <f>IF(OR($C26="",$D26="Доход",$I26="Оплачено",$I26="Отменено",$H26&lt;&gt;"",$C26&lt;TODAY()),"",$C26)</f>
        <v/>
      </c>
      <c r="U26">
        <f>IF(AND($D26&lt;&gt;"Доход",COUNTIFS(Счета!$B$10:$B$21,$J26,Счета!$C$10:$C$21,"Кредитная")&gt;0),1,0)</f>
        <v/>
      </c>
    </row>
    <row r="27" ht="19" customHeight="1">
      <c r="B27" s="53">
        <f>IF(AND($C27="",$F27=""),"",ROW()-9)</f>
        <v/>
      </c>
      <c r="C27" s="213" t="n"/>
      <c r="D27" s="55" t="n"/>
      <c r="E27" s="55" t="n"/>
      <c r="F27" s="56" t="n"/>
      <c r="G27" s="196" t="n"/>
      <c r="H27" s="196" t="n"/>
      <c r="I27" s="55" t="n"/>
      <c r="J27" s="55" t="n"/>
      <c r="K27" s="55" t="n"/>
      <c r="L27" s="100">
        <f>IF(OR($C27="",$I27="Оплачено",$I27="Отменено",$H27&lt;&gt;""),"",$C27-TODAY())</f>
        <v/>
      </c>
      <c r="M27" s="101">
        <f>IF($C27="","",INDEX(Настройки!$V$6:$V$17,MONTH($C27))&amp;" "&amp;YEAR($C27))</f>
        <v/>
      </c>
      <c r="N27" s="57">
        <f>IF($F27="","",IF(COUNTIF(Постоянные!$C$8:$C$37,$F27)&gt;0,"есть в Постоянных",IF(COUNTIF(Покупки!$C$7:$C$18,$F27)&gt;0,"есть в Покупках","")))</f>
        <v/>
      </c>
      <c r="P27">
        <f>IF($H27&lt;&gt;"",$H27,IF($I27="Оплачено",N($G27),0))</f>
        <v/>
      </c>
      <c r="Q27">
        <f>IF($I27="Отменено",0,IF($G27&lt;&gt;"",$G27,N($H27)))</f>
        <v/>
      </c>
      <c r="R27">
        <f>IF($C27="","",IFERROR(DATE(Настройки!$C$8,Настройки!$D$9+MATCH($M27,Настройки!$X$6:$X$17,0)-1,1),DATE(YEAR($C27),MONTH($C27),1)))</f>
        <v/>
      </c>
      <c r="S27">
        <f>IF(OR($I27="Оплачено",$H27&lt;&gt;""),$P27,$Q27)</f>
        <v/>
      </c>
      <c r="T27">
        <f>IF(OR($C27="",$D27="Доход",$I27="Оплачено",$I27="Отменено",$H27&lt;&gt;"",$C27&lt;TODAY()),"",$C27)</f>
        <v/>
      </c>
      <c r="U27">
        <f>IF(AND($D27&lt;&gt;"Доход",COUNTIFS(Счета!$B$10:$B$21,$J27,Счета!$C$10:$C$21,"Кредитная")&gt;0),1,0)</f>
        <v/>
      </c>
    </row>
    <row r="28" ht="19" customHeight="1">
      <c r="B28" s="53">
        <f>IF(AND($C28="",$F28=""),"",ROW()-9)</f>
        <v/>
      </c>
      <c r="C28" s="213" t="n"/>
      <c r="D28" s="55" t="n"/>
      <c r="E28" s="55" t="n"/>
      <c r="F28" s="56" t="n"/>
      <c r="G28" s="196" t="n"/>
      <c r="H28" s="196" t="n"/>
      <c r="I28" s="55" t="n"/>
      <c r="J28" s="55" t="n"/>
      <c r="K28" s="55" t="n"/>
      <c r="L28" s="100">
        <f>IF(OR($C28="",$I28="Оплачено",$I28="Отменено",$H28&lt;&gt;""),"",$C28-TODAY())</f>
        <v/>
      </c>
      <c r="M28" s="101">
        <f>IF($C28="","",INDEX(Настройки!$V$6:$V$17,MONTH($C28))&amp;" "&amp;YEAR($C28))</f>
        <v/>
      </c>
      <c r="N28" s="57">
        <f>IF($F28="","",IF(COUNTIF(Постоянные!$C$8:$C$37,$F28)&gt;0,"есть в Постоянных",IF(COUNTIF(Покупки!$C$7:$C$18,$F28)&gt;0,"есть в Покупках","")))</f>
        <v/>
      </c>
      <c r="P28">
        <f>IF($H28&lt;&gt;"",$H28,IF($I28="Оплачено",N($G28),0))</f>
        <v/>
      </c>
      <c r="Q28">
        <f>IF($I28="Отменено",0,IF($G28&lt;&gt;"",$G28,N($H28)))</f>
        <v/>
      </c>
      <c r="R28">
        <f>IF($C28="","",IFERROR(DATE(Настройки!$C$8,Настройки!$D$9+MATCH($M28,Настройки!$X$6:$X$17,0)-1,1),DATE(YEAR($C28),MONTH($C28),1)))</f>
        <v/>
      </c>
      <c r="S28">
        <f>IF(OR($I28="Оплачено",$H28&lt;&gt;""),$P28,$Q28)</f>
        <v/>
      </c>
      <c r="T28">
        <f>IF(OR($C28="",$D28="Доход",$I28="Оплачено",$I28="Отменено",$H28&lt;&gt;"",$C28&lt;TODAY()),"",$C28)</f>
        <v/>
      </c>
      <c r="U28">
        <f>IF(AND($D28&lt;&gt;"Доход",COUNTIFS(Счета!$B$10:$B$21,$J28,Счета!$C$10:$C$21,"Кредитная")&gt;0),1,0)</f>
        <v/>
      </c>
    </row>
    <row r="29" ht="19" customHeight="1">
      <c r="B29" s="53">
        <f>IF(AND($C29="",$F29=""),"",ROW()-9)</f>
        <v/>
      </c>
      <c r="C29" s="213" t="n"/>
      <c r="D29" s="55" t="n"/>
      <c r="E29" s="55" t="n"/>
      <c r="F29" s="56" t="n"/>
      <c r="G29" s="196" t="n"/>
      <c r="H29" s="196" t="n"/>
      <c r="I29" s="55" t="n"/>
      <c r="J29" s="55" t="n"/>
      <c r="K29" s="55" t="n"/>
      <c r="L29" s="100">
        <f>IF(OR($C29="",$I29="Оплачено",$I29="Отменено",$H29&lt;&gt;""),"",$C29-TODAY())</f>
        <v/>
      </c>
      <c r="M29" s="101">
        <f>IF($C29="","",INDEX(Настройки!$V$6:$V$17,MONTH($C29))&amp;" "&amp;YEAR($C29))</f>
        <v/>
      </c>
      <c r="N29" s="57">
        <f>IF($F29="","",IF(COUNTIF(Постоянные!$C$8:$C$37,$F29)&gt;0,"есть в Постоянных",IF(COUNTIF(Покупки!$C$7:$C$18,$F29)&gt;0,"есть в Покупках","")))</f>
        <v/>
      </c>
      <c r="P29">
        <f>IF($H29&lt;&gt;"",$H29,IF($I29="Оплачено",N($G29),0))</f>
        <v/>
      </c>
      <c r="Q29">
        <f>IF($I29="Отменено",0,IF($G29&lt;&gt;"",$G29,N($H29)))</f>
        <v/>
      </c>
      <c r="R29">
        <f>IF($C29="","",IFERROR(DATE(Настройки!$C$8,Настройки!$D$9+MATCH($M29,Настройки!$X$6:$X$17,0)-1,1),DATE(YEAR($C29),MONTH($C29),1)))</f>
        <v/>
      </c>
      <c r="S29">
        <f>IF(OR($I29="Оплачено",$H29&lt;&gt;""),$P29,$Q29)</f>
        <v/>
      </c>
      <c r="T29">
        <f>IF(OR($C29="",$D29="Доход",$I29="Оплачено",$I29="Отменено",$H29&lt;&gt;"",$C29&lt;TODAY()),"",$C29)</f>
        <v/>
      </c>
      <c r="U29">
        <f>IF(AND($D29&lt;&gt;"Доход",COUNTIFS(Счета!$B$10:$B$21,$J29,Счета!$C$10:$C$21,"Кредитная")&gt;0),1,0)</f>
        <v/>
      </c>
    </row>
    <row r="30" ht="19" customHeight="1">
      <c r="B30" s="53">
        <f>IF(AND($C30="",$F30=""),"",ROW()-9)</f>
        <v/>
      </c>
      <c r="C30" s="213" t="n"/>
      <c r="D30" s="55" t="n"/>
      <c r="E30" s="55" t="n"/>
      <c r="F30" s="56" t="n"/>
      <c r="G30" s="196" t="n"/>
      <c r="H30" s="196" t="n"/>
      <c r="I30" s="55" t="n"/>
      <c r="J30" s="55" t="n"/>
      <c r="K30" s="55" t="n"/>
      <c r="L30" s="100">
        <f>IF(OR($C30="",$I30="Оплачено",$I30="Отменено",$H30&lt;&gt;""),"",$C30-TODAY())</f>
        <v/>
      </c>
      <c r="M30" s="101">
        <f>IF($C30="","",INDEX(Настройки!$V$6:$V$17,MONTH($C30))&amp;" "&amp;YEAR($C30))</f>
        <v/>
      </c>
      <c r="N30" s="57">
        <f>IF($F30="","",IF(COUNTIF(Постоянные!$C$8:$C$37,$F30)&gt;0,"есть в Постоянных",IF(COUNTIF(Покупки!$C$7:$C$18,$F30)&gt;0,"есть в Покупках","")))</f>
        <v/>
      </c>
      <c r="P30">
        <f>IF($H30&lt;&gt;"",$H30,IF($I30="Оплачено",N($G30),0))</f>
        <v/>
      </c>
      <c r="Q30">
        <f>IF($I30="Отменено",0,IF($G30&lt;&gt;"",$G30,N($H30)))</f>
        <v/>
      </c>
      <c r="R30">
        <f>IF($C30="","",IFERROR(DATE(Настройки!$C$8,Настройки!$D$9+MATCH($M30,Настройки!$X$6:$X$17,0)-1,1),DATE(YEAR($C30),MONTH($C30),1)))</f>
        <v/>
      </c>
      <c r="S30">
        <f>IF(OR($I30="Оплачено",$H30&lt;&gt;""),$P30,$Q30)</f>
        <v/>
      </c>
      <c r="T30">
        <f>IF(OR($C30="",$D30="Доход",$I30="Оплачено",$I30="Отменено",$H30&lt;&gt;"",$C30&lt;TODAY()),"",$C30)</f>
        <v/>
      </c>
      <c r="U30">
        <f>IF(AND($D30&lt;&gt;"Доход",COUNTIFS(Счета!$B$10:$B$21,$J30,Счета!$C$10:$C$21,"Кредитная")&gt;0),1,0)</f>
        <v/>
      </c>
    </row>
    <row r="31" ht="19" customHeight="1">
      <c r="B31" s="53">
        <f>IF(AND($C31="",$F31=""),"",ROW()-9)</f>
        <v/>
      </c>
      <c r="C31" s="213" t="n"/>
      <c r="D31" s="55" t="n"/>
      <c r="E31" s="55" t="n"/>
      <c r="F31" s="56" t="n"/>
      <c r="G31" s="196" t="n"/>
      <c r="H31" s="196" t="n"/>
      <c r="I31" s="55" t="n"/>
      <c r="J31" s="55" t="n"/>
      <c r="K31" s="55" t="n"/>
      <c r="L31" s="100">
        <f>IF(OR($C31="",$I31="Оплачено",$I31="Отменено",$H31&lt;&gt;""),"",$C31-TODAY())</f>
        <v/>
      </c>
      <c r="M31" s="101">
        <f>IF($C31="","",INDEX(Настройки!$V$6:$V$17,MONTH($C31))&amp;" "&amp;YEAR($C31))</f>
        <v/>
      </c>
      <c r="N31" s="57">
        <f>IF($F31="","",IF(COUNTIF(Постоянные!$C$8:$C$37,$F31)&gt;0,"есть в Постоянных",IF(COUNTIF(Покупки!$C$7:$C$18,$F31)&gt;0,"есть в Покупках","")))</f>
        <v/>
      </c>
      <c r="P31">
        <f>IF($H31&lt;&gt;"",$H31,IF($I31="Оплачено",N($G31),0))</f>
        <v/>
      </c>
      <c r="Q31">
        <f>IF($I31="Отменено",0,IF($G31&lt;&gt;"",$G31,N($H31)))</f>
        <v/>
      </c>
      <c r="R31">
        <f>IF($C31="","",IFERROR(DATE(Настройки!$C$8,Настройки!$D$9+MATCH($M31,Настройки!$X$6:$X$17,0)-1,1),DATE(YEAR($C31),MONTH($C31),1)))</f>
        <v/>
      </c>
      <c r="S31">
        <f>IF(OR($I31="Оплачено",$H31&lt;&gt;""),$P31,$Q31)</f>
        <v/>
      </c>
      <c r="T31">
        <f>IF(OR($C31="",$D31="Доход",$I31="Оплачено",$I31="Отменено",$H31&lt;&gt;"",$C31&lt;TODAY()),"",$C31)</f>
        <v/>
      </c>
      <c r="U31">
        <f>IF(AND($D31&lt;&gt;"Доход",COUNTIFS(Счета!$B$10:$B$21,$J31,Счета!$C$10:$C$21,"Кредитная")&gt;0),1,0)</f>
        <v/>
      </c>
    </row>
    <row r="32" ht="19" customHeight="1">
      <c r="B32" s="53">
        <f>IF(AND($C32="",$F32=""),"",ROW()-9)</f>
        <v/>
      </c>
      <c r="C32" s="213" t="n"/>
      <c r="D32" s="55" t="n"/>
      <c r="E32" s="55" t="n"/>
      <c r="F32" s="56" t="n"/>
      <c r="G32" s="196" t="n"/>
      <c r="H32" s="196" t="n"/>
      <c r="I32" s="55" t="n"/>
      <c r="J32" s="55" t="n"/>
      <c r="K32" s="55" t="n"/>
      <c r="L32" s="100">
        <f>IF(OR($C32="",$I32="Оплачено",$I32="Отменено",$H32&lt;&gt;""),"",$C32-TODAY())</f>
        <v/>
      </c>
      <c r="M32" s="101">
        <f>IF($C32="","",INDEX(Настройки!$V$6:$V$17,MONTH($C32))&amp;" "&amp;YEAR($C32))</f>
        <v/>
      </c>
      <c r="N32" s="57">
        <f>IF($F32="","",IF(COUNTIF(Постоянные!$C$8:$C$37,$F32)&gt;0,"есть в Постоянных",IF(COUNTIF(Покупки!$C$7:$C$18,$F32)&gt;0,"есть в Покупках","")))</f>
        <v/>
      </c>
      <c r="P32">
        <f>IF($H32&lt;&gt;"",$H32,IF($I32="Оплачено",N($G32),0))</f>
        <v/>
      </c>
      <c r="Q32">
        <f>IF($I32="Отменено",0,IF($G32&lt;&gt;"",$G32,N($H32)))</f>
        <v/>
      </c>
      <c r="R32">
        <f>IF($C32="","",IFERROR(DATE(Настройки!$C$8,Настройки!$D$9+MATCH($M32,Настройки!$X$6:$X$17,0)-1,1),DATE(YEAR($C32),MONTH($C32),1)))</f>
        <v/>
      </c>
      <c r="S32">
        <f>IF(OR($I32="Оплачено",$H32&lt;&gt;""),$P32,$Q32)</f>
        <v/>
      </c>
      <c r="T32">
        <f>IF(OR($C32="",$D32="Доход",$I32="Оплачено",$I32="Отменено",$H32&lt;&gt;"",$C32&lt;TODAY()),"",$C32)</f>
        <v/>
      </c>
      <c r="U32">
        <f>IF(AND($D32&lt;&gt;"Доход",COUNTIFS(Счета!$B$10:$B$21,$J32,Счета!$C$10:$C$21,"Кредитная")&gt;0),1,0)</f>
        <v/>
      </c>
    </row>
    <row r="33" ht="19" customHeight="1">
      <c r="B33" s="53">
        <f>IF(AND($C33="",$F33=""),"",ROW()-9)</f>
        <v/>
      </c>
      <c r="C33" s="213" t="n"/>
      <c r="D33" s="55" t="n"/>
      <c r="E33" s="55" t="n"/>
      <c r="F33" s="56" t="n"/>
      <c r="G33" s="196" t="n"/>
      <c r="H33" s="196" t="n"/>
      <c r="I33" s="55" t="n"/>
      <c r="J33" s="55" t="n"/>
      <c r="K33" s="55" t="n"/>
      <c r="L33" s="100">
        <f>IF(OR($C33="",$I33="Оплачено",$I33="Отменено",$H33&lt;&gt;""),"",$C33-TODAY())</f>
        <v/>
      </c>
      <c r="M33" s="101">
        <f>IF($C33="","",INDEX(Настройки!$V$6:$V$17,MONTH($C33))&amp;" "&amp;YEAR($C33))</f>
        <v/>
      </c>
      <c r="N33" s="57">
        <f>IF($F33="","",IF(COUNTIF(Постоянные!$C$8:$C$37,$F33)&gt;0,"есть в Постоянных",IF(COUNTIF(Покупки!$C$7:$C$18,$F33)&gt;0,"есть в Покупках","")))</f>
        <v/>
      </c>
      <c r="P33">
        <f>IF($H33&lt;&gt;"",$H33,IF($I33="Оплачено",N($G33),0))</f>
        <v/>
      </c>
      <c r="Q33">
        <f>IF($I33="Отменено",0,IF($G33&lt;&gt;"",$G33,N($H33)))</f>
        <v/>
      </c>
      <c r="R33">
        <f>IF($C33="","",IFERROR(DATE(Настройки!$C$8,Настройки!$D$9+MATCH($M33,Настройки!$X$6:$X$17,0)-1,1),DATE(YEAR($C33),MONTH($C33),1)))</f>
        <v/>
      </c>
      <c r="S33">
        <f>IF(OR($I33="Оплачено",$H33&lt;&gt;""),$P33,$Q33)</f>
        <v/>
      </c>
      <c r="T33">
        <f>IF(OR($C33="",$D33="Доход",$I33="Оплачено",$I33="Отменено",$H33&lt;&gt;"",$C33&lt;TODAY()),"",$C33)</f>
        <v/>
      </c>
      <c r="U33">
        <f>IF(AND($D33&lt;&gt;"Доход",COUNTIFS(Счета!$B$10:$B$21,$J33,Счета!$C$10:$C$21,"Кредитная")&gt;0),1,0)</f>
        <v/>
      </c>
    </row>
    <row r="34" ht="19" customHeight="1">
      <c r="B34" s="53">
        <f>IF(AND($C34="",$F34=""),"",ROW()-9)</f>
        <v/>
      </c>
      <c r="C34" s="213" t="n"/>
      <c r="D34" s="55" t="n"/>
      <c r="E34" s="55" t="n"/>
      <c r="F34" s="56" t="n"/>
      <c r="G34" s="196" t="n"/>
      <c r="H34" s="196" t="n"/>
      <c r="I34" s="55" t="n"/>
      <c r="J34" s="55" t="n"/>
      <c r="K34" s="55" t="n"/>
      <c r="L34" s="100">
        <f>IF(OR($C34="",$I34="Оплачено",$I34="Отменено",$H34&lt;&gt;""),"",$C34-TODAY())</f>
        <v/>
      </c>
      <c r="M34" s="101">
        <f>IF($C34="","",INDEX(Настройки!$V$6:$V$17,MONTH($C34))&amp;" "&amp;YEAR($C34))</f>
        <v/>
      </c>
      <c r="N34" s="57">
        <f>IF($F34="","",IF(COUNTIF(Постоянные!$C$8:$C$37,$F34)&gt;0,"есть в Постоянных",IF(COUNTIF(Покупки!$C$7:$C$18,$F34)&gt;0,"есть в Покупках","")))</f>
        <v/>
      </c>
      <c r="P34">
        <f>IF($H34&lt;&gt;"",$H34,IF($I34="Оплачено",N($G34),0))</f>
        <v/>
      </c>
      <c r="Q34">
        <f>IF($I34="Отменено",0,IF($G34&lt;&gt;"",$G34,N($H34)))</f>
        <v/>
      </c>
      <c r="R34">
        <f>IF($C34="","",IFERROR(DATE(Настройки!$C$8,Настройки!$D$9+MATCH($M34,Настройки!$X$6:$X$17,0)-1,1),DATE(YEAR($C34),MONTH($C34),1)))</f>
        <v/>
      </c>
      <c r="S34">
        <f>IF(OR($I34="Оплачено",$H34&lt;&gt;""),$P34,$Q34)</f>
        <v/>
      </c>
      <c r="T34">
        <f>IF(OR($C34="",$D34="Доход",$I34="Оплачено",$I34="Отменено",$H34&lt;&gt;"",$C34&lt;TODAY()),"",$C34)</f>
        <v/>
      </c>
      <c r="U34">
        <f>IF(AND($D34&lt;&gt;"Доход",COUNTIFS(Счета!$B$10:$B$21,$J34,Счета!$C$10:$C$21,"Кредитная")&gt;0),1,0)</f>
        <v/>
      </c>
    </row>
    <row r="35" ht="19" customHeight="1">
      <c r="B35" s="53">
        <f>IF(AND($C35="",$F35=""),"",ROW()-9)</f>
        <v/>
      </c>
      <c r="C35" s="213" t="n"/>
      <c r="D35" s="55" t="n"/>
      <c r="E35" s="55" t="n"/>
      <c r="F35" s="56" t="n"/>
      <c r="G35" s="196" t="n"/>
      <c r="H35" s="196" t="n"/>
      <c r="I35" s="55" t="n"/>
      <c r="J35" s="55" t="n"/>
      <c r="K35" s="55" t="n"/>
      <c r="L35" s="100">
        <f>IF(OR($C35="",$I35="Оплачено",$I35="Отменено",$H35&lt;&gt;""),"",$C35-TODAY())</f>
        <v/>
      </c>
      <c r="M35" s="101">
        <f>IF($C35="","",INDEX(Настройки!$V$6:$V$17,MONTH($C35))&amp;" "&amp;YEAR($C35))</f>
        <v/>
      </c>
      <c r="N35" s="57">
        <f>IF($F35="","",IF(COUNTIF(Постоянные!$C$8:$C$37,$F35)&gt;0,"есть в Постоянных",IF(COUNTIF(Покупки!$C$7:$C$18,$F35)&gt;0,"есть в Покупках","")))</f>
        <v/>
      </c>
      <c r="P35">
        <f>IF($H35&lt;&gt;"",$H35,IF($I35="Оплачено",N($G35),0))</f>
        <v/>
      </c>
      <c r="Q35">
        <f>IF($I35="Отменено",0,IF($G35&lt;&gt;"",$G35,N($H35)))</f>
        <v/>
      </c>
      <c r="R35">
        <f>IF($C35="","",IFERROR(DATE(Настройки!$C$8,Настройки!$D$9+MATCH($M35,Настройки!$X$6:$X$17,0)-1,1),DATE(YEAR($C35),MONTH($C35),1)))</f>
        <v/>
      </c>
      <c r="S35">
        <f>IF(OR($I35="Оплачено",$H35&lt;&gt;""),$P35,$Q35)</f>
        <v/>
      </c>
      <c r="T35">
        <f>IF(OR($C35="",$D35="Доход",$I35="Оплачено",$I35="Отменено",$H35&lt;&gt;"",$C35&lt;TODAY()),"",$C35)</f>
        <v/>
      </c>
      <c r="U35">
        <f>IF(AND($D35&lt;&gt;"Доход",COUNTIFS(Счета!$B$10:$B$21,$J35,Счета!$C$10:$C$21,"Кредитная")&gt;0),1,0)</f>
        <v/>
      </c>
    </row>
    <row r="36" ht="19" customHeight="1">
      <c r="B36" s="53">
        <f>IF(AND($C36="",$F36=""),"",ROW()-9)</f>
        <v/>
      </c>
      <c r="C36" s="213" t="n"/>
      <c r="D36" s="55" t="n"/>
      <c r="E36" s="55" t="n"/>
      <c r="F36" s="56" t="n"/>
      <c r="G36" s="196" t="n"/>
      <c r="H36" s="196" t="n"/>
      <c r="I36" s="55" t="n"/>
      <c r="J36" s="55" t="n"/>
      <c r="K36" s="55" t="n"/>
      <c r="L36" s="100">
        <f>IF(OR($C36="",$I36="Оплачено",$I36="Отменено",$H36&lt;&gt;""),"",$C36-TODAY())</f>
        <v/>
      </c>
      <c r="M36" s="101">
        <f>IF($C36="","",INDEX(Настройки!$V$6:$V$17,MONTH($C36))&amp;" "&amp;YEAR($C36))</f>
        <v/>
      </c>
      <c r="N36" s="57">
        <f>IF($F36="","",IF(COUNTIF(Постоянные!$C$8:$C$37,$F36)&gt;0,"есть в Постоянных",IF(COUNTIF(Покупки!$C$7:$C$18,$F36)&gt;0,"есть в Покупках","")))</f>
        <v/>
      </c>
      <c r="P36">
        <f>IF($H36&lt;&gt;"",$H36,IF($I36="Оплачено",N($G36),0))</f>
        <v/>
      </c>
      <c r="Q36">
        <f>IF($I36="Отменено",0,IF($G36&lt;&gt;"",$G36,N($H36)))</f>
        <v/>
      </c>
      <c r="R36">
        <f>IF($C36="","",IFERROR(DATE(Настройки!$C$8,Настройки!$D$9+MATCH($M36,Настройки!$X$6:$X$17,0)-1,1),DATE(YEAR($C36),MONTH($C36),1)))</f>
        <v/>
      </c>
      <c r="S36">
        <f>IF(OR($I36="Оплачено",$H36&lt;&gt;""),$P36,$Q36)</f>
        <v/>
      </c>
      <c r="T36">
        <f>IF(OR($C36="",$D36="Доход",$I36="Оплачено",$I36="Отменено",$H36&lt;&gt;"",$C36&lt;TODAY()),"",$C36)</f>
        <v/>
      </c>
      <c r="U36">
        <f>IF(AND($D36&lt;&gt;"Доход",COUNTIFS(Счета!$B$10:$B$21,$J36,Счета!$C$10:$C$21,"Кредитная")&gt;0),1,0)</f>
        <v/>
      </c>
    </row>
    <row r="37" ht="19" customHeight="1">
      <c r="B37" s="53">
        <f>IF(AND($C37="",$F37=""),"",ROW()-9)</f>
        <v/>
      </c>
      <c r="C37" s="213" t="n"/>
      <c r="D37" s="55" t="n"/>
      <c r="E37" s="55" t="n"/>
      <c r="F37" s="56" t="n"/>
      <c r="G37" s="196" t="n"/>
      <c r="H37" s="196" t="n"/>
      <c r="I37" s="55" t="n"/>
      <c r="J37" s="55" t="n"/>
      <c r="K37" s="55" t="n"/>
      <c r="L37" s="100">
        <f>IF(OR($C37="",$I37="Оплачено",$I37="Отменено",$H37&lt;&gt;""),"",$C37-TODAY())</f>
        <v/>
      </c>
      <c r="M37" s="101">
        <f>IF($C37="","",INDEX(Настройки!$V$6:$V$17,MONTH($C37))&amp;" "&amp;YEAR($C37))</f>
        <v/>
      </c>
      <c r="N37" s="57">
        <f>IF($F37="","",IF(COUNTIF(Постоянные!$C$8:$C$37,$F37)&gt;0,"есть в Постоянных",IF(COUNTIF(Покупки!$C$7:$C$18,$F37)&gt;0,"есть в Покупках","")))</f>
        <v/>
      </c>
      <c r="P37">
        <f>IF($H37&lt;&gt;"",$H37,IF($I37="Оплачено",N($G37),0))</f>
        <v/>
      </c>
      <c r="Q37">
        <f>IF($I37="Отменено",0,IF($G37&lt;&gt;"",$G37,N($H37)))</f>
        <v/>
      </c>
      <c r="R37">
        <f>IF($C37="","",IFERROR(DATE(Настройки!$C$8,Настройки!$D$9+MATCH($M37,Настройки!$X$6:$X$17,0)-1,1),DATE(YEAR($C37),MONTH($C37),1)))</f>
        <v/>
      </c>
      <c r="S37">
        <f>IF(OR($I37="Оплачено",$H37&lt;&gt;""),$P37,$Q37)</f>
        <v/>
      </c>
      <c r="T37">
        <f>IF(OR($C37="",$D37="Доход",$I37="Оплачено",$I37="Отменено",$H37&lt;&gt;"",$C37&lt;TODAY()),"",$C37)</f>
        <v/>
      </c>
      <c r="U37">
        <f>IF(AND($D37&lt;&gt;"Доход",COUNTIFS(Счета!$B$10:$B$21,$J37,Счета!$C$10:$C$21,"Кредитная")&gt;0),1,0)</f>
        <v/>
      </c>
    </row>
    <row r="38" ht="19" customHeight="1">
      <c r="B38" s="53">
        <f>IF(AND($C38="",$F38=""),"",ROW()-9)</f>
        <v/>
      </c>
      <c r="C38" s="213" t="n"/>
      <c r="D38" s="55" t="n"/>
      <c r="E38" s="55" t="n"/>
      <c r="F38" s="56" t="n"/>
      <c r="G38" s="196" t="n"/>
      <c r="H38" s="196" t="n"/>
      <c r="I38" s="55" t="n"/>
      <c r="J38" s="55" t="n"/>
      <c r="K38" s="55" t="n"/>
      <c r="L38" s="100">
        <f>IF(OR($C38="",$I38="Оплачено",$I38="Отменено",$H38&lt;&gt;""),"",$C38-TODAY())</f>
        <v/>
      </c>
      <c r="M38" s="101">
        <f>IF($C38="","",INDEX(Настройки!$V$6:$V$17,MONTH($C38))&amp;" "&amp;YEAR($C38))</f>
        <v/>
      </c>
      <c r="N38" s="57">
        <f>IF($F38="","",IF(COUNTIF(Постоянные!$C$8:$C$37,$F38)&gt;0,"есть в Постоянных",IF(COUNTIF(Покупки!$C$7:$C$18,$F38)&gt;0,"есть в Покупках","")))</f>
        <v/>
      </c>
      <c r="P38">
        <f>IF($H38&lt;&gt;"",$H38,IF($I38="Оплачено",N($G38),0))</f>
        <v/>
      </c>
      <c r="Q38">
        <f>IF($I38="Отменено",0,IF($G38&lt;&gt;"",$G38,N($H38)))</f>
        <v/>
      </c>
      <c r="R38">
        <f>IF($C38="","",IFERROR(DATE(Настройки!$C$8,Настройки!$D$9+MATCH($M38,Настройки!$X$6:$X$17,0)-1,1),DATE(YEAR($C38),MONTH($C38),1)))</f>
        <v/>
      </c>
      <c r="S38">
        <f>IF(OR($I38="Оплачено",$H38&lt;&gt;""),$P38,$Q38)</f>
        <v/>
      </c>
      <c r="T38">
        <f>IF(OR($C38="",$D38="Доход",$I38="Оплачено",$I38="Отменено",$H38&lt;&gt;"",$C38&lt;TODAY()),"",$C38)</f>
        <v/>
      </c>
      <c r="U38">
        <f>IF(AND($D38&lt;&gt;"Доход",COUNTIFS(Счета!$B$10:$B$21,$J38,Счета!$C$10:$C$21,"Кредитная")&gt;0),1,0)</f>
        <v/>
      </c>
    </row>
    <row r="39" ht="19" customHeight="1">
      <c r="B39" s="53">
        <f>IF(AND($C39="",$F39=""),"",ROW()-9)</f>
        <v/>
      </c>
      <c r="C39" s="213" t="n"/>
      <c r="D39" s="55" t="n"/>
      <c r="E39" s="55" t="n"/>
      <c r="F39" s="56" t="n"/>
      <c r="G39" s="196" t="n"/>
      <c r="H39" s="196" t="n"/>
      <c r="I39" s="55" t="n"/>
      <c r="J39" s="55" t="n"/>
      <c r="K39" s="55" t="n"/>
      <c r="L39" s="100">
        <f>IF(OR($C39="",$I39="Оплачено",$I39="Отменено",$H39&lt;&gt;""),"",$C39-TODAY())</f>
        <v/>
      </c>
      <c r="M39" s="101">
        <f>IF($C39="","",INDEX(Настройки!$V$6:$V$17,MONTH($C39))&amp;" "&amp;YEAR($C39))</f>
        <v/>
      </c>
      <c r="N39" s="57">
        <f>IF($F39="","",IF(COUNTIF(Постоянные!$C$8:$C$37,$F39)&gt;0,"есть в Постоянных",IF(COUNTIF(Покупки!$C$7:$C$18,$F39)&gt;0,"есть в Покупках","")))</f>
        <v/>
      </c>
      <c r="P39">
        <f>IF($H39&lt;&gt;"",$H39,IF($I39="Оплачено",N($G39),0))</f>
        <v/>
      </c>
      <c r="Q39">
        <f>IF($I39="Отменено",0,IF($G39&lt;&gt;"",$G39,N($H39)))</f>
        <v/>
      </c>
      <c r="R39">
        <f>IF($C39="","",IFERROR(DATE(Настройки!$C$8,Настройки!$D$9+MATCH($M39,Настройки!$X$6:$X$17,0)-1,1),DATE(YEAR($C39),MONTH($C39),1)))</f>
        <v/>
      </c>
      <c r="S39">
        <f>IF(OR($I39="Оплачено",$H39&lt;&gt;""),$P39,$Q39)</f>
        <v/>
      </c>
      <c r="T39">
        <f>IF(OR($C39="",$D39="Доход",$I39="Оплачено",$I39="Отменено",$H39&lt;&gt;"",$C39&lt;TODAY()),"",$C39)</f>
        <v/>
      </c>
      <c r="U39">
        <f>IF(AND($D39&lt;&gt;"Доход",COUNTIFS(Счета!$B$10:$B$21,$J39,Счета!$C$10:$C$21,"Кредитная")&gt;0),1,0)</f>
        <v/>
      </c>
    </row>
    <row r="40" ht="19" customHeight="1">
      <c r="B40" s="53">
        <f>IF(AND($C40="",$F40=""),"",ROW()-9)</f>
        <v/>
      </c>
      <c r="C40" s="213" t="n"/>
      <c r="D40" s="55" t="n"/>
      <c r="E40" s="55" t="n"/>
      <c r="F40" s="56" t="n"/>
      <c r="G40" s="196" t="n"/>
      <c r="H40" s="196" t="n"/>
      <c r="I40" s="55" t="n"/>
      <c r="J40" s="55" t="n"/>
      <c r="K40" s="55" t="n"/>
      <c r="L40" s="100">
        <f>IF(OR($C40="",$I40="Оплачено",$I40="Отменено",$H40&lt;&gt;""),"",$C40-TODAY())</f>
        <v/>
      </c>
      <c r="M40" s="101">
        <f>IF($C40="","",INDEX(Настройки!$V$6:$V$17,MONTH($C40))&amp;" "&amp;YEAR($C40))</f>
        <v/>
      </c>
      <c r="N40" s="57">
        <f>IF($F40="","",IF(COUNTIF(Постоянные!$C$8:$C$37,$F40)&gt;0,"есть в Постоянных",IF(COUNTIF(Покупки!$C$7:$C$18,$F40)&gt;0,"есть в Покупках","")))</f>
        <v/>
      </c>
      <c r="P40">
        <f>IF($H40&lt;&gt;"",$H40,IF($I40="Оплачено",N($G40),0))</f>
        <v/>
      </c>
      <c r="Q40">
        <f>IF($I40="Отменено",0,IF($G40&lt;&gt;"",$G40,N($H40)))</f>
        <v/>
      </c>
      <c r="R40">
        <f>IF($C40="","",IFERROR(DATE(Настройки!$C$8,Настройки!$D$9+MATCH($M40,Настройки!$X$6:$X$17,0)-1,1),DATE(YEAR($C40),MONTH($C40),1)))</f>
        <v/>
      </c>
      <c r="S40">
        <f>IF(OR($I40="Оплачено",$H40&lt;&gt;""),$P40,$Q40)</f>
        <v/>
      </c>
      <c r="T40">
        <f>IF(OR($C40="",$D40="Доход",$I40="Оплачено",$I40="Отменено",$H40&lt;&gt;"",$C40&lt;TODAY()),"",$C40)</f>
        <v/>
      </c>
      <c r="U40">
        <f>IF(AND($D40&lt;&gt;"Доход",COUNTIFS(Счета!$B$10:$B$21,$J40,Счета!$C$10:$C$21,"Кредитная")&gt;0),1,0)</f>
        <v/>
      </c>
    </row>
    <row r="41" ht="19" customHeight="1">
      <c r="B41" s="53">
        <f>IF(AND($C41="",$F41=""),"",ROW()-9)</f>
        <v/>
      </c>
      <c r="C41" s="213" t="n"/>
      <c r="D41" s="55" t="n"/>
      <c r="E41" s="55" t="n"/>
      <c r="F41" s="56" t="n"/>
      <c r="G41" s="196" t="n"/>
      <c r="H41" s="196" t="n"/>
      <c r="I41" s="55" t="n"/>
      <c r="J41" s="55" t="n"/>
      <c r="K41" s="55" t="n"/>
      <c r="L41" s="100">
        <f>IF(OR($C41="",$I41="Оплачено",$I41="Отменено",$H41&lt;&gt;""),"",$C41-TODAY())</f>
        <v/>
      </c>
      <c r="M41" s="101">
        <f>IF($C41="","",INDEX(Настройки!$V$6:$V$17,MONTH($C41))&amp;" "&amp;YEAR($C41))</f>
        <v/>
      </c>
      <c r="N41" s="57">
        <f>IF($F41="","",IF(COUNTIF(Постоянные!$C$8:$C$37,$F41)&gt;0,"есть в Постоянных",IF(COUNTIF(Покупки!$C$7:$C$18,$F41)&gt;0,"есть в Покупках","")))</f>
        <v/>
      </c>
      <c r="P41">
        <f>IF($H41&lt;&gt;"",$H41,IF($I41="Оплачено",N($G41),0))</f>
        <v/>
      </c>
      <c r="Q41">
        <f>IF($I41="Отменено",0,IF($G41&lt;&gt;"",$G41,N($H41)))</f>
        <v/>
      </c>
      <c r="R41">
        <f>IF($C41="","",IFERROR(DATE(Настройки!$C$8,Настройки!$D$9+MATCH($M41,Настройки!$X$6:$X$17,0)-1,1),DATE(YEAR($C41),MONTH($C41),1)))</f>
        <v/>
      </c>
      <c r="S41">
        <f>IF(OR($I41="Оплачено",$H41&lt;&gt;""),$P41,$Q41)</f>
        <v/>
      </c>
      <c r="T41">
        <f>IF(OR($C41="",$D41="Доход",$I41="Оплачено",$I41="Отменено",$H41&lt;&gt;"",$C41&lt;TODAY()),"",$C41)</f>
        <v/>
      </c>
      <c r="U41">
        <f>IF(AND($D41&lt;&gt;"Доход",COUNTIFS(Счета!$B$10:$B$21,$J41,Счета!$C$10:$C$21,"Кредитная")&gt;0),1,0)</f>
        <v/>
      </c>
    </row>
    <row r="42" ht="19" customHeight="1">
      <c r="B42" s="53">
        <f>IF(AND($C42="",$F42=""),"",ROW()-9)</f>
        <v/>
      </c>
      <c r="C42" s="213" t="n"/>
      <c r="D42" s="55" t="n"/>
      <c r="E42" s="55" t="n"/>
      <c r="F42" s="56" t="n"/>
      <c r="G42" s="196" t="n"/>
      <c r="H42" s="196" t="n"/>
      <c r="I42" s="55" t="n"/>
      <c r="J42" s="55" t="n"/>
      <c r="K42" s="55" t="n"/>
      <c r="L42" s="100">
        <f>IF(OR($C42="",$I42="Оплачено",$I42="Отменено",$H42&lt;&gt;""),"",$C42-TODAY())</f>
        <v/>
      </c>
      <c r="M42" s="101">
        <f>IF($C42="","",INDEX(Настройки!$V$6:$V$17,MONTH($C42))&amp;" "&amp;YEAR($C42))</f>
        <v/>
      </c>
      <c r="N42" s="57">
        <f>IF($F42="","",IF(COUNTIF(Постоянные!$C$8:$C$37,$F42)&gt;0,"есть в Постоянных",IF(COUNTIF(Покупки!$C$7:$C$18,$F42)&gt;0,"есть в Покупках","")))</f>
        <v/>
      </c>
      <c r="P42">
        <f>IF($H42&lt;&gt;"",$H42,IF($I42="Оплачено",N($G42),0))</f>
        <v/>
      </c>
      <c r="Q42">
        <f>IF($I42="Отменено",0,IF($G42&lt;&gt;"",$G42,N($H42)))</f>
        <v/>
      </c>
      <c r="R42">
        <f>IF($C42="","",IFERROR(DATE(Настройки!$C$8,Настройки!$D$9+MATCH($M42,Настройки!$X$6:$X$17,0)-1,1),DATE(YEAR($C42),MONTH($C42),1)))</f>
        <v/>
      </c>
      <c r="S42">
        <f>IF(OR($I42="Оплачено",$H42&lt;&gt;""),$P42,$Q42)</f>
        <v/>
      </c>
      <c r="T42">
        <f>IF(OR($C42="",$D42="Доход",$I42="Оплачено",$I42="Отменено",$H42&lt;&gt;"",$C42&lt;TODAY()),"",$C42)</f>
        <v/>
      </c>
      <c r="U42">
        <f>IF(AND($D42&lt;&gt;"Доход",COUNTIFS(Счета!$B$10:$B$21,$J42,Счета!$C$10:$C$21,"Кредитная")&gt;0),1,0)</f>
        <v/>
      </c>
    </row>
    <row r="43" ht="19" customHeight="1">
      <c r="B43" s="53">
        <f>IF(AND($C43="",$F43=""),"",ROW()-9)</f>
        <v/>
      </c>
      <c r="C43" s="213" t="n"/>
      <c r="D43" s="55" t="n"/>
      <c r="E43" s="55" t="n"/>
      <c r="F43" s="56" t="n"/>
      <c r="G43" s="196" t="n"/>
      <c r="H43" s="196" t="n"/>
      <c r="I43" s="55" t="n"/>
      <c r="J43" s="55" t="n"/>
      <c r="K43" s="55" t="n"/>
      <c r="L43" s="100">
        <f>IF(OR($C43="",$I43="Оплачено",$I43="Отменено",$H43&lt;&gt;""),"",$C43-TODAY())</f>
        <v/>
      </c>
      <c r="M43" s="101">
        <f>IF($C43="","",INDEX(Настройки!$V$6:$V$17,MONTH($C43))&amp;" "&amp;YEAR($C43))</f>
        <v/>
      </c>
      <c r="N43" s="57">
        <f>IF($F43="","",IF(COUNTIF(Постоянные!$C$8:$C$37,$F43)&gt;0,"есть в Постоянных",IF(COUNTIF(Покупки!$C$7:$C$18,$F43)&gt;0,"есть в Покупках","")))</f>
        <v/>
      </c>
      <c r="P43">
        <f>IF($H43&lt;&gt;"",$H43,IF($I43="Оплачено",N($G43),0))</f>
        <v/>
      </c>
      <c r="Q43">
        <f>IF($I43="Отменено",0,IF($G43&lt;&gt;"",$G43,N($H43)))</f>
        <v/>
      </c>
      <c r="R43">
        <f>IF($C43="","",IFERROR(DATE(Настройки!$C$8,Настройки!$D$9+MATCH($M43,Настройки!$X$6:$X$17,0)-1,1),DATE(YEAR($C43),MONTH($C43),1)))</f>
        <v/>
      </c>
      <c r="S43">
        <f>IF(OR($I43="Оплачено",$H43&lt;&gt;""),$P43,$Q43)</f>
        <v/>
      </c>
      <c r="T43">
        <f>IF(OR($C43="",$D43="Доход",$I43="Оплачено",$I43="Отменено",$H43&lt;&gt;"",$C43&lt;TODAY()),"",$C43)</f>
        <v/>
      </c>
      <c r="U43">
        <f>IF(AND($D43&lt;&gt;"Доход",COUNTIFS(Счета!$B$10:$B$21,$J43,Счета!$C$10:$C$21,"Кредитная")&gt;0),1,0)</f>
        <v/>
      </c>
    </row>
    <row r="44" ht="19" customHeight="1">
      <c r="B44" s="53">
        <f>IF(AND($C44="",$F44=""),"",ROW()-9)</f>
        <v/>
      </c>
      <c r="C44" s="213" t="n"/>
      <c r="D44" s="55" t="n"/>
      <c r="E44" s="55" t="n"/>
      <c r="F44" s="56" t="n"/>
      <c r="G44" s="196" t="n"/>
      <c r="H44" s="196" t="n"/>
      <c r="I44" s="55" t="n"/>
      <c r="J44" s="55" t="n"/>
      <c r="K44" s="55" t="n"/>
      <c r="L44" s="100">
        <f>IF(OR($C44="",$I44="Оплачено",$I44="Отменено",$H44&lt;&gt;""),"",$C44-TODAY())</f>
        <v/>
      </c>
      <c r="M44" s="101">
        <f>IF($C44="","",INDEX(Настройки!$V$6:$V$17,MONTH($C44))&amp;" "&amp;YEAR($C44))</f>
        <v/>
      </c>
      <c r="N44" s="57">
        <f>IF($F44="","",IF(COUNTIF(Постоянные!$C$8:$C$37,$F44)&gt;0,"есть в Постоянных",IF(COUNTIF(Покупки!$C$7:$C$18,$F44)&gt;0,"есть в Покупках","")))</f>
        <v/>
      </c>
      <c r="P44">
        <f>IF($H44&lt;&gt;"",$H44,IF($I44="Оплачено",N($G44),0))</f>
        <v/>
      </c>
      <c r="Q44">
        <f>IF($I44="Отменено",0,IF($G44&lt;&gt;"",$G44,N($H44)))</f>
        <v/>
      </c>
      <c r="R44">
        <f>IF($C44="","",IFERROR(DATE(Настройки!$C$8,Настройки!$D$9+MATCH($M44,Настройки!$X$6:$X$17,0)-1,1),DATE(YEAR($C44),MONTH($C44),1)))</f>
        <v/>
      </c>
      <c r="S44">
        <f>IF(OR($I44="Оплачено",$H44&lt;&gt;""),$P44,$Q44)</f>
        <v/>
      </c>
      <c r="T44">
        <f>IF(OR($C44="",$D44="Доход",$I44="Оплачено",$I44="Отменено",$H44&lt;&gt;"",$C44&lt;TODAY()),"",$C44)</f>
        <v/>
      </c>
      <c r="U44">
        <f>IF(AND($D44&lt;&gt;"Доход",COUNTIFS(Счета!$B$10:$B$21,$J44,Счета!$C$10:$C$21,"Кредитная")&gt;0),1,0)</f>
        <v/>
      </c>
    </row>
    <row r="45" ht="19" customHeight="1">
      <c r="B45" s="53">
        <f>IF(AND($C45="",$F45=""),"",ROW()-9)</f>
        <v/>
      </c>
      <c r="C45" s="213" t="n"/>
      <c r="D45" s="55" t="n"/>
      <c r="E45" s="55" t="n"/>
      <c r="F45" s="56" t="n"/>
      <c r="G45" s="196" t="n"/>
      <c r="H45" s="196" t="n"/>
      <c r="I45" s="55" t="n"/>
      <c r="J45" s="55" t="n"/>
      <c r="K45" s="55" t="n"/>
      <c r="L45" s="100">
        <f>IF(OR($C45="",$I45="Оплачено",$I45="Отменено",$H45&lt;&gt;""),"",$C45-TODAY())</f>
        <v/>
      </c>
      <c r="M45" s="101">
        <f>IF($C45="","",INDEX(Настройки!$V$6:$V$17,MONTH($C45))&amp;" "&amp;YEAR($C45))</f>
        <v/>
      </c>
      <c r="N45" s="57">
        <f>IF($F45="","",IF(COUNTIF(Постоянные!$C$8:$C$37,$F45)&gt;0,"есть в Постоянных",IF(COUNTIF(Покупки!$C$7:$C$18,$F45)&gt;0,"есть в Покупках","")))</f>
        <v/>
      </c>
      <c r="P45">
        <f>IF($H45&lt;&gt;"",$H45,IF($I45="Оплачено",N($G45),0))</f>
        <v/>
      </c>
      <c r="Q45">
        <f>IF($I45="Отменено",0,IF($G45&lt;&gt;"",$G45,N($H45)))</f>
        <v/>
      </c>
      <c r="R45">
        <f>IF($C45="","",IFERROR(DATE(Настройки!$C$8,Настройки!$D$9+MATCH($M45,Настройки!$X$6:$X$17,0)-1,1),DATE(YEAR($C45),MONTH($C45),1)))</f>
        <v/>
      </c>
      <c r="S45">
        <f>IF(OR($I45="Оплачено",$H45&lt;&gt;""),$P45,$Q45)</f>
        <v/>
      </c>
      <c r="T45">
        <f>IF(OR($C45="",$D45="Доход",$I45="Оплачено",$I45="Отменено",$H45&lt;&gt;"",$C45&lt;TODAY()),"",$C45)</f>
        <v/>
      </c>
      <c r="U45">
        <f>IF(AND($D45&lt;&gt;"Доход",COUNTIFS(Счета!$B$10:$B$21,$J45,Счета!$C$10:$C$21,"Кредитная")&gt;0),1,0)</f>
        <v/>
      </c>
    </row>
    <row r="46" ht="19" customHeight="1">
      <c r="B46" s="53">
        <f>IF(AND($C46="",$F46=""),"",ROW()-9)</f>
        <v/>
      </c>
      <c r="C46" s="213" t="n"/>
      <c r="D46" s="55" t="n"/>
      <c r="E46" s="55" t="n"/>
      <c r="F46" s="56" t="n"/>
      <c r="G46" s="196" t="n"/>
      <c r="H46" s="196" t="n"/>
      <c r="I46" s="55" t="n"/>
      <c r="J46" s="55" t="n"/>
      <c r="K46" s="55" t="n"/>
      <c r="L46" s="100">
        <f>IF(OR($C46="",$I46="Оплачено",$I46="Отменено",$H46&lt;&gt;""),"",$C46-TODAY())</f>
        <v/>
      </c>
      <c r="M46" s="101">
        <f>IF($C46="","",INDEX(Настройки!$V$6:$V$17,MONTH($C46))&amp;" "&amp;YEAR($C46))</f>
        <v/>
      </c>
      <c r="N46" s="57">
        <f>IF($F46="","",IF(COUNTIF(Постоянные!$C$8:$C$37,$F46)&gt;0,"есть в Постоянных",IF(COUNTIF(Покупки!$C$7:$C$18,$F46)&gt;0,"есть в Покупках","")))</f>
        <v/>
      </c>
      <c r="P46">
        <f>IF($H46&lt;&gt;"",$H46,IF($I46="Оплачено",N($G46),0))</f>
        <v/>
      </c>
      <c r="Q46">
        <f>IF($I46="Отменено",0,IF($G46&lt;&gt;"",$G46,N($H46)))</f>
        <v/>
      </c>
      <c r="R46">
        <f>IF($C46="","",IFERROR(DATE(Настройки!$C$8,Настройки!$D$9+MATCH($M46,Настройки!$X$6:$X$17,0)-1,1),DATE(YEAR($C46),MONTH($C46),1)))</f>
        <v/>
      </c>
      <c r="S46">
        <f>IF(OR($I46="Оплачено",$H46&lt;&gt;""),$P46,$Q46)</f>
        <v/>
      </c>
      <c r="T46">
        <f>IF(OR($C46="",$D46="Доход",$I46="Оплачено",$I46="Отменено",$H46&lt;&gt;"",$C46&lt;TODAY()),"",$C46)</f>
        <v/>
      </c>
      <c r="U46">
        <f>IF(AND($D46&lt;&gt;"Доход",COUNTIFS(Счета!$B$10:$B$21,$J46,Счета!$C$10:$C$21,"Кредитная")&gt;0),1,0)</f>
        <v/>
      </c>
    </row>
    <row r="47" ht="19" customHeight="1">
      <c r="B47" s="53">
        <f>IF(AND($C47="",$F47=""),"",ROW()-9)</f>
        <v/>
      </c>
      <c r="C47" s="213" t="n"/>
      <c r="D47" s="55" t="n"/>
      <c r="E47" s="55" t="n"/>
      <c r="F47" s="56" t="n"/>
      <c r="G47" s="196" t="n"/>
      <c r="H47" s="196" t="n"/>
      <c r="I47" s="55" t="n"/>
      <c r="J47" s="55" t="n"/>
      <c r="K47" s="55" t="n"/>
      <c r="L47" s="100">
        <f>IF(OR($C47="",$I47="Оплачено",$I47="Отменено",$H47&lt;&gt;""),"",$C47-TODAY())</f>
        <v/>
      </c>
      <c r="M47" s="101">
        <f>IF($C47="","",INDEX(Настройки!$V$6:$V$17,MONTH($C47))&amp;" "&amp;YEAR($C47))</f>
        <v/>
      </c>
      <c r="N47" s="57">
        <f>IF($F47="","",IF(COUNTIF(Постоянные!$C$8:$C$37,$F47)&gt;0,"есть в Постоянных",IF(COUNTIF(Покупки!$C$7:$C$18,$F47)&gt;0,"есть в Покупках","")))</f>
        <v/>
      </c>
      <c r="P47">
        <f>IF($H47&lt;&gt;"",$H47,IF($I47="Оплачено",N($G47),0))</f>
        <v/>
      </c>
      <c r="Q47">
        <f>IF($I47="Отменено",0,IF($G47&lt;&gt;"",$G47,N($H47)))</f>
        <v/>
      </c>
      <c r="R47">
        <f>IF($C47="","",IFERROR(DATE(Настройки!$C$8,Настройки!$D$9+MATCH($M47,Настройки!$X$6:$X$17,0)-1,1),DATE(YEAR($C47),MONTH($C47),1)))</f>
        <v/>
      </c>
      <c r="S47">
        <f>IF(OR($I47="Оплачено",$H47&lt;&gt;""),$P47,$Q47)</f>
        <v/>
      </c>
      <c r="T47">
        <f>IF(OR($C47="",$D47="Доход",$I47="Оплачено",$I47="Отменено",$H47&lt;&gt;"",$C47&lt;TODAY()),"",$C47)</f>
        <v/>
      </c>
      <c r="U47">
        <f>IF(AND($D47&lt;&gt;"Доход",COUNTIFS(Счета!$B$10:$B$21,$J47,Счета!$C$10:$C$21,"Кредитная")&gt;0),1,0)</f>
        <v/>
      </c>
    </row>
    <row r="48" ht="19" customHeight="1">
      <c r="B48" s="53">
        <f>IF(AND($C48="",$F48=""),"",ROW()-9)</f>
        <v/>
      </c>
      <c r="C48" s="213" t="n"/>
      <c r="D48" s="55" t="n"/>
      <c r="E48" s="55" t="n"/>
      <c r="F48" s="56" t="n"/>
      <c r="G48" s="196" t="n"/>
      <c r="H48" s="196" t="n"/>
      <c r="I48" s="55" t="n"/>
      <c r="J48" s="55" t="n"/>
      <c r="K48" s="55" t="n"/>
      <c r="L48" s="100">
        <f>IF(OR($C48="",$I48="Оплачено",$I48="Отменено",$H48&lt;&gt;""),"",$C48-TODAY())</f>
        <v/>
      </c>
      <c r="M48" s="101">
        <f>IF($C48="","",INDEX(Настройки!$V$6:$V$17,MONTH($C48))&amp;" "&amp;YEAR($C48))</f>
        <v/>
      </c>
      <c r="N48" s="57">
        <f>IF($F48="","",IF(COUNTIF(Постоянные!$C$8:$C$37,$F48)&gt;0,"есть в Постоянных",IF(COUNTIF(Покупки!$C$7:$C$18,$F48)&gt;0,"есть в Покупках","")))</f>
        <v/>
      </c>
      <c r="P48">
        <f>IF($H48&lt;&gt;"",$H48,IF($I48="Оплачено",N($G48),0))</f>
        <v/>
      </c>
      <c r="Q48">
        <f>IF($I48="Отменено",0,IF($G48&lt;&gt;"",$G48,N($H48)))</f>
        <v/>
      </c>
      <c r="R48">
        <f>IF($C48="","",IFERROR(DATE(Настройки!$C$8,Настройки!$D$9+MATCH($M48,Настройки!$X$6:$X$17,0)-1,1),DATE(YEAR($C48),MONTH($C48),1)))</f>
        <v/>
      </c>
      <c r="S48">
        <f>IF(OR($I48="Оплачено",$H48&lt;&gt;""),$P48,$Q48)</f>
        <v/>
      </c>
      <c r="T48">
        <f>IF(OR($C48="",$D48="Доход",$I48="Оплачено",$I48="Отменено",$H48&lt;&gt;"",$C48&lt;TODAY()),"",$C48)</f>
        <v/>
      </c>
      <c r="U48">
        <f>IF(AND($D48&lt;&gt;"Доход",COUNTIFS(Счета!$B$10:$B$21,$J48,Счета!$C$10:$C$21,"Кредитная")&gt;0),1,0)</f>
        <v/>
      </c>
    </row>
    <row r="49" ht="19" customHeight="1">
      <c r="B49" s="53">
        <f>IF(AND($C49="",$F49=""),"",ROW()-9)</f>
        <v/>
      </c>
      <c r="C49" s="213" t="n"/>
      <c r="D49" s="55" t="n"/>
      <c r="E49" s="55" t="n"/>
      <c r="F49" s="56" t="n"/>
      <c r="G49" s="196" t="n"/>
      <c r="H49" s="196" t="n"/>
      <c r="I49" s="55" t="n"/>
      <c r="J49" s="55" t="n"/>
      <c r="K49" s="55" t="n"/>
      <c r="L49" s="100">
        <f>IF(OR($C49="",$I49="Оплачено",$I49="Отменено",$H49&lt;&gt;""),"",$C49-TODAY())</f>
        <v/>
      </c>
      <c r="M49" s="101">
        <f>IF($C49="","",INDEX(Настройки!$V$6:$V$17,MONTH($C49))&amp;" "&amp;YEAR($C49))</f>
        <v/>
      </c>
      <c r="N49" s="57">
        <f>IF($F49="","",IF(COUNTIF(Постоянные!$C$8:$C$37,$F49)&gt;0,"есть в Постоянных",IF(COUNTIF(Покупки!$C$7:$C$18,$F49)&gt;0,"есть в Покупках","")))</f>
        <v/>
      </c>
      <c r="P49">
        <f>IF($H49&lt;&gt;"",$H49,IF($I49="Оплачено",N($G49),0))</f>
        <v/>
      </c>
      <c r="Q49">
        <f>IF($I49="Отменено",0,IF($G49&lt;&gt;"",$G49,N($H49)))</f>
        <v/>
      </c>
      <c r="R49">
        <f>IF($C49="","",IFERROR(DATE(Настройки!$C$8,Настройки!$D$9+MATCH($M49,Настройки!$X$6:$X$17,0)-1,1),DATE(YEAR($C49),MONTH($C49),1)))</f>
        <v/>
      </c>
      <c r="S49">
        <f>IF(OR($I49="Оплачено",$H49&lt;&gt;""),$P49,$Q49)</f>
        <v/>
      </c>
      <c r="T49">
        <f>IF(OR($C49="",$D49="Доход",$I49="Оплачено",$I49="Отменено",$H49&lt;&gt;"",$C49&lt;TODAY()),"",$C49)</f>
        <v/>
      </c>
      <c r="U49">
        <f>IF(AND($D49&lt;&gt;"Доход",COUNTIFS(Счета!$B$10:$B$21,$J49,Счета!$C$10:$C$21,"Кредитная")&gt;0),1,0)</f>
        <v/>
      </c>
    </row>
    <row r="50" ht="19" customHeight="1">
      <c r="B50" s="53">
        <f>IF(AND($C50="",$F50=""),"",ROW()-9)</f>
        <v/>
      </c>
      <c r="C50" s="213" t="n"/>
      <c r="D50" s="55" t="n"/>
      <c r="E50" s="55" t="n"/>
      <c r="F50" s="56" t="n"/>
      <c r="G50" s="196" t="n"/>
      <c r="H50" s="196" t="n"/>
      <c r="I50" s="55" t="n"/>
      <c r="J50" s="55" t="n"/>
      <c r="K50" s="55" t="n"/>
      <c r="L50" s="100">
        <f>IF(OR($C50="",$I50="Оплачено",$I50="Отменено",$H50&lt;&gt;""),"",$C50-TODAY())</f>
        <v/>
      </c>
      <c r="M50" s="101">
        <f>IF($C50="","",INDEX(Настройки!$V$6:$V$17,MONTH($C50))&amp;" "&amp;YEAR($C50))</f>
        <v/>
      </c>
      <c r="N50" s="57">
        <f>IF($F50="","",IF(COUNTIF(Постоянные!$C$8:$C$37,$F50)&gt;0,"есть в Постоянных",IF(COUNTIF(Покупки!$C$7:$C$18,$F50)&gt;0,"есть в Покупках","")))</f>
        <v/>
      </c>
      <c r="P50">
        <f>IF($H50&lt;&gt;"",$H50,IF($I50="Оплачено",N($G50),0))</f>
        <v/>
      </c>
      <c r="Q50">
        <f>IF($I50="Отменено",0,IF($G50&lt;&gt;"",$G50,N($H50)))</f>
        <v/>
      </c>
      <c r="R50">
        <f>IF($C50="","",IFERROR(DATE(Настройки!$C$8,Настройки!$D$9+MATCH($M50,Настройки!$X$6:$X$17,0)-1,1),DATE(YEAR($C50),MONTH($C50),1)))</f>
        <v/>
      </c>
      <c r="S50">
        <f>IF(OR($I50="Оплачено",$H50&lt;&gt;""),$P50,$Q50)</f>
        <v/>
      </c>
      <c r="T50">
        <f>IF(OR($C50="",$D50="Доход",$I50="Оплачено",$I50="Отменено",$H50&lt;&gt;"",$C50&lt;TODAY()),"",$C50)</f>
        <v/>
      </c>
      <c r="U50">
        <f>IF(AND($D50&lt;&gt;"Доход",COUNTIFS(Счета!$B$10:$B$21,$J50,Счета!$C$10:$C$21,"Кредитная")&gt;0),1,0)</f>
        <v/>
      </c>
    </row>
    <row r="51" ht="19" customHeight="1">
      <c r="B51" s="53">
        <f>IF(AND($C51="",$F51=""),"",ROW()-9)</f>
        <v/>
      </c>
      <c r="C51" s="213" t="n"/>
      <c r="D51" s="55" t="n"/>
      <c r="E51" s="55" t="n"/>
      <c r="F51" s="56" t="n"/>
      <c r="G51" s="196" t="n"/>
      <c r="H51" s="196" t="n"/>
      <c r="I51" s="55" t="n"/>
      <c r="J51" s="55" t="n"/>
      <c r="K51" s="55" t="n"/>
      <c r="L51" s="100">
        <f>IF(OR($C51="",$I51="Оплачено",$I51="Отменено",$H51&lt;&gt;""),"",$C51-TODAY())</f>
        <v/>
      </c>
      <c r="M51" s="101">
        <f>IF($C51="","",INDEX(Настройки!$V$6:$V$17,MONTH($C51))&amp;" "&amp;YEAR($C51))</f>
        <v/>
      </c>
      <c r="N51" s="57">
        <f>IF($F51="","",IF(COUNTIF(Постоянные!$C$8:$C$37,$F51)&gt;0,"есть в Постоянных",IF(COUNTIF(Покупки!$C$7:$C$18,$F51)&gt;0,"есть в Покупках","")))</f>
        <v/>
      </c>
      <c r="P51">
        <f>IF($H51&lt;&gt;"",$H51,IF($I51="Оплачено",N($G51),0))</f>
        <v/>
      </c>
      <c r="Q51">
        <f>IF($I51="Отменено",0,IF($G51&lt;&gt;"",$G51,N($H51)))</f>
        <v/>
      </c>
      <c r="R51">
        <f>IF($C51="","",IFERROR(DATE(Настройки!$C$8,Настройки!$D$9+MATCH($M51,Настройки!$X$6:$X$17,0)-1,1),DATE(YEAR($C51),MONTH($C51),1)))</f>
        <v/>
      </c>
      <c r="S51">
        <f>IF(OR($I51="Оплачено",$H51&lt;&gt;""),$P51,$Q51)</f>
        <v/>
      </c>
      <c r="T51">
        <f>IF(OR($C51="",$D51="Доход",$I51="Оплачено",$I51="Отменено",$H51&lt;&gt;"",$C51&lt;TODAY()),"",$C51)</f>
        <v/>
      </c>
      <c r="U51">
        <f>IF(AND($D51&lt;&gt;"Доход",COUNTIFS(Счета!$B$10:$B$21,$J51,Счета!$C$10:$C$21,"Кредитная")&gt;0),1,0)</f>
        <v/>
      </c>
    </row>
    <row r="52" ht="19" customHeight="1">
      <c r="B52" s="53">
        <f>IF(AND($C52="",$F52=""),"",ROW()-9)</f>
        <v/>
      </c>
      <c r="C52" s="213" t="n"/>
      <c r="D52" s="55" t="n"/>
      <c r="E52" s="55" t="n"/>
      <c r="F52" s="56" t="n"/>
      <c r="G52" s="196" t="n"/>
      <c r="H52" s="196" t="n"/>
      <c r="I52" s="55" t="n"/>
      <c r="J52" s="55" t="n"/>
      <c r="K52" s="55" t="n"/>
      <c r="L52" s="100">
        <f>IF(OR($C52="",$I52="Оплачено",$I52="Отменено",$H52&lt;&gt;""),"",$C52-TODAY())</f>
        <v/>
      </c>
      <c r="M52" s="101">
        <f>IF($C52="","",INDEX(Настройки!$V$6:$V$17,MONTH($C52))&amp;" "&amp;YEAR($C52))</f>
        <v/>
      </c>
      <c r="N52" s="57">
        <f>IF($F52="","",IF(COUNTIF(Постоянные!$C$8:$C$37,$F52)&gt;0,"есть в Постоянных",IF(COUNTIF(Покупки!$C$7:$C$18,$F52)&gt;0,"есть в Покупках","")))</f>
        <v/>
      </c>
      <c r="P52">
        <f>IF($H52&lt;&gt;"",$H52,IF($I52="Оплачено",N($G52),0))</f>
        <v/>
      </c>
      <c r="Q52">
        <f>IF($I52="Отменено",0,IF($G52&lt;&gt;"",$G52,N($H52)))</f>
        <v/>
      </c>
      <c r="R52">
        <f>IF($C52="","",IFERROR(DATE(Настройки!$C$8,Настройки!$D$9+MATCH($M52,Настройки!$X$6:$X$17,0)-1,1),DATE(YEAR($C52),MONTH($C52),1)))</f>
        <v/>
      </c>
      <c r="S52">
        <f>IF(OR($I52="Оплачено",$H52&lt;&gt;""),$P52,$Q52)</f>
        <v/>
      </c>
      <c r="T52">
        <f>IF(OR($C52="",$D52="Доход",$I52="Оплачено",$I52="Отменено",$H52&lt;&gt;"",$C52&lt;TODAY()),"",$C52)</f>
        <v/>
      </c>
      <c r="U52">
        <f>IF(AND($D52&lt;&gt;"Доход",COUNTIFS(Счета!$B$10:$B$21,$J52,Счета!$C$10:$C$21,"Кредитная")&gt;0),1,0)</f>
        <v/>
      </c>
    </row>
    <row r="53" ht="19" customHeight="1">
      <c r="B53" s="53">
        <f>IF(AND($C53="",$F53=""),"",ROW()-9)</f>
        <v/>
      </c>
      <c r="C53" s="213" t="n"/>
      <c r="D53" s="55" t="n"/>
      <c r="E53" s="55" t="n"/>
      <c r="F53" s="56" t="n"/>
      <c r="G53" s="196" t="n"/>
      <c r="H53" s="196" t="n"/>
      <c r="I53" s="55" t="n"/>
      <c r="J53" s="55" t="n"/>
      <c r="K53" s="55" t="n"/>
      <c r="L53" s="100">
        <f>IF(OR($C53="",$I53="Оплачено",$I53="Отменено",$H53&lt;&gt;""),"",$C53-TODAY())</f>
        <v/>
      </c>
      <c r="M53" s="101">
        <f>IF($C53="","",INDEX(Настройки!$V$6:$V$17,MONTH($C53))&amp;" "&amp;YEAR($C53))</f>
        <v/>
      </c>
      <c r="N53" s="57">
        <f>IF($F53="","",IF(COUNTIF(Постоянные!$C$8:$C$37,$F53)&gt;0,"есть в Постоянных",IF(COUNTIF(Покупки!$C$7:$C$18,$F53)&gt;0,"есть в Покупках","")))</f>
        <v/>
      </c>
      <c r="P53">
        <f>IF($H53&lt;&gt;"",$H53,IF($I53="Оплачено",N($G53),0))</f>
        <v/>
      </c>
      <c r="Q53">
        <f>IF($I53="Отменено",0,IF($G53&lt;&gt;"",$G53,N($H53)))</f>
        <v/>
      </c>
      <c r="R53">
        <f>IF($C53="","",IFERROR(DATE(Настройки!$C$8,Настройки!$D$9+MATCH($M53,Настройки!$X$6:$X$17,0)-1,1),DATE(YEAR($C53),MONTH($C53),1)))</f>
        <v/>
      </c>
      <c r="S53">
        <f>IF(OR($I53="Оплачено",$H53&lt;&gt;""),$P53,$Q53)</f>
        <v/>
      </c>
      <c r="T53">
        <f>IF(OR($C53="",$D53="Доход",$I53="Оплачено",$I53="Отменено",$H53&lt;&gt;"",$C53&lt;TODAY()),"",$C53)</f>
        <v/>
      </c>
      <c r="U53">
        <f>IF(AND($D53&lt;&gt;"Доход",COUNTIFS(Счета!$B$10:$B$21,$J53,Счета!$C$10:$C$21,"Кредитная")&gt;0),1,0)</f>
        <v/>
      </c>
    </row>
    <row r="54" ht="19" customHeight="1">
      <c r="B54" s="53">
        <f>IF(AND($C54="",$F54=""),"",ROW()-9)</f>
        <v/>
      </c>
      <c r="C54" s="213" t="n"/>
      <c r="D54" s="55" t="n"/>
      <c r="E54" s="55" t="n"/>
      <c r="F54" s="56" t="n"/>
      <c r="G54" s="196" t="n"/>
      <c r="H54" s="196" t="n"/>
      <c r="I54" s="55" t="n"/>
      <c r="J54" s="55" t="n"/>
      <c r="K54" s="55" t="n"/>
      <c r="L54" s="100">
        <f>IF(OR($C54="",$I54="Оплачено",$I54="Отменено",$H54&lt;&gt;""),"",$C54-TODAY())</f>
        <v/>
      </c>
      <c r="M54" s="101">
        <f>IF($C54="","",INDEX(Настройки!$V$6:$V$17,MONTH($C54))&amp;" "&amp;YEAR($C54))</f>
        <v/>
      </c>
      <c r="N54" s="57">
        <f>IF($F54="","",IF(COUNTIF(Постоянные!$C$8:$C$37,$F54)&gt;0,"есть в Постоянных",IF(COUNTIF(Покупки!$C$7:$C$18,$F54)&gt;0,"есть в Покупках","")))</f>
        <v/>
      </c>
      <c r="P54">
        <f>IF($H54&lt;&gt;"",$H54,IF($I54="Оплачено",N($G54),0))</f>
        <v/>
      </c>
      <c r="Q54">
        <f>IF($I54="Отменено",0,IF($G54&lt;&gt;"",$G54,N($H54)))</f>
        <v/>
      </c>
      <c r="R54">
        <f>IF($C54="","",IFERROR(DATE(Настройки!$C$8,Настройки!$D$9+MATCH($M54,Настройки!$X$6:$X$17,0)-1,1),DATE(YEAR($C54),MONTH($C54),1)))</f>
        <v/>
      </c>
      <c r="S54">
        <f>IF(OR($I54="Оплачено",$H54&lt;&gt;""),$P54,$Q54)</f>
        <v/>
      </c>
      <c r="T54">
        <f>IF(OR($C54="",$D54="Доход",$I54="Оплачено",$I54="Отменено",$H54&lt;&gt;"",$C54&lt;TODAY()),"",$C54)</f>
        <v/>
      </c>
      <c r="U54">
        <f>IF(AND($D54&lt;&gt;"Доход",COUNTIFS(Счета!$B$10:$B$21,$J54,Счета!$C$10:$C$21,"Кредитная")&gt;0),1,0)</f>
        <v/>
      </c>
    </row>
    <row r="55" ht="19" customHeight="1">
      <c r="B55" s="53">
        <f>IF(AND($C55="",$F55=""),"",ROW()-9)</f>
        <v/>
      </c>
      <c r="C55" s="213" t="n"/>
      <c r="D55" s="55" t="n"/>
      <c r="E55" s="55" t="n"/>
      <c r="F55" s="56" t="n"/>
      <c r="G55" s="196" t="n"/>
      <c r="H55" s="196" t="n"/>
      <c r="I55" s="55" t="n"/>
      <c r="J55" s="55" t="n"/>
      <c r="K55" s="55" t="n"/>
      <c r="L55" s="100">
        <f>IF(OR($C55="",$I55="Оплачено",$I55="Отменено",$H55&lt;&gt;""),"",$C55-TODAY())</f>
        <v/>
      </c>
      <c r="M55" s="101">
        <f>IF($C55="","",INDEX(Настройки!$V$6:$V$17,MONTH($C55))&amp;" "&amp;YEAR($C55))</f>
        <v/>
      </c>
      <c r="N55" s="57">
        <f>IF($F55="","",IF(COUNTIF(Постоянные!$C$8:$C$37,$F55)&gt;0,"есть в Постоянных",IF(COUNTIF(Покупки!$C$7:$C$18,$F55)&gt;0,"есть в Покупках","")))</f>
        <v/>
      </c>
      <c r="P55">
        <f>IF($H55&lt;&gt;"",$H55,IF($I55="Оплачено",N($G55),0))</f>
        <v/>
      </c>
      <c r="Q55">
        <f>IF($I55="Отменено",0,IF($G55&lt;&gt;"",$G55,N($H55)))</f>
        <v/>
      </c>
      <c r="R55">
        <f>IF($C55="","",IFERROR(DATE(Настройки!$C$8,Настройки!$D$9+MATCH($M55,Настройки!$X$6:$X$17,0)-1,1),DATE(YEAR($C55),MONTH($C55),1)))</f>
        <v/>
      </c>
      <c r="S55">
        <f>IF(OR($I55="Оплачено",$H55&lt;&gt;""),$P55,$Q55)</f>
        <v/>
      </c>
      <c r="T55">
        <f>IF(OR($C55="",$D55="Доход",$I55="Оплачено",$I55="Отменено",$H55&lt;&gt;"",$C55&lt;TODAY()),"",$C55)</f>
        <v/>
      </c>
      <c r="U55">
        <f>IF(AND($D55&lt;&gt;"Доход",COUNTIFS(Счета!$B$10:$B$21,$J55,Счета!$C$10:$C$21,"Кредитная")&gt;0),1,0)</f>
        <v/>
      </c>
    </row>
    <row r="56" ht="19" customHeight="1">
      <c r="B56" s="53">
        <f>IF(AND($C56="",$F56=""),"",ROW()-9)</f>
        <v/>
      </c>
      <c r="C56" s="213" t="n"/>
      <c r="D56" s="55" t="n"/>
      <c r="E56" s="55" t="n"/>
      <c r="F56" s="56" t="n"/>
      <c r="G56" s="196" t="n"/>
      <c r="H56" s="196" t="n"/>
      <c r="I56" s="55" t="n"/>
      <c r="J56" s="55" t="n"/>
      <c r="K56" s="55" t="n"/>
      <c r="L56" s="100">
        <f>IF(OR($C56="",$I56="Оплачено",$I56="Отменено",$H56&lt;&gt;""),"",$C56-TODAY())</f>
        <v/>
      </c>
      <c r="M56" s="101">
        <f>IF($C56="","",INDEX(Настройки!$V$6:$V$17,MONTH($C56))&amp;" "&amp;YEAR($C56))</f>
        <v/>
      </c>
      <c r="N56" s="57">
        <f>IF($F56="","",IF(COUNTIF(Постоянные!$C$8:$C$37,$F56)&gt;0,"есть в Постоянных",IF(COUNTIF(Покупки!$C$7:$C$18,$F56)&gt;0,"есть в Покупках","")))</f>
        <v/>
      </c>
      <c r="P56">
        <f>IF($H56&lt;&gt;"",$H56,IF($I56="Оплачено",N($G56),0))</f>
        <v/>
      </c>
      <c r="Q56">
        <f>IF($I56="Отменено",0,IF($G56&lt;&gt;"",$G56,N($H56)))</f>
        <v/>
      </c>
      <c r="R56">
        <f>IF($C56="","",IFERROR(DATE(Настройки!$C$8,Настройки!$D$9+MATCH($M56,Настройки!$X$6:$X$17,0)-1,1),DATE(YEAR($C56),MONTH($C56),1)))</f>
        <v/>
      </c>
      <c r="S56">
        <f>IF(OR($I56="Оплачено",$H56&lt;&gt;""),$P56,$Q56)</f>
        <v/>
      </c>
      <c r="T56">
        <f>IF(OR($C56="",$D56="Доход",$I56="Оплачено",$I56="Отменено",$H56&lt;&gt;"",$C56&lt;TODAY()),"",$C56)</f>
        <v/>
      </c>
      <c r="U56">
        <f>IF(AND($D56&lt;&gt;"Доход",COUNTIFS(Счета!$B$10:$B$21,$J56,Счета!$C$10:$C$21,"Кредитная")&gt;0),1,0)</f>
        <v/>
      </c>
    </row>
    <row r="57" ht="19" customHeight="1">
      <c r="B57" s="53">
        <f>IF(AND($C57="",$F57=""),"",ROW()-9)</f>
        <v/>
      </c>
      <c r="C57" s="213" t="n"/>
      <c r="D57" s="55" t="n"/>
      <c r="E57" s="55" t="n"/>
      <c r="F57" s="56" t="n"/>
      <c r="G57" s="196" t="n"/>
      <c r="H57" s="196" t="n"/>
      <c r="I57" s="55" t="n"/>
      <c r="J57" s="55" t="n"/>
      <c r="K57" s="55" t="n"/>
      <c r="L57" s="100">
        <f>IF(OR($C57="",$I57="Оплачено",$I57="Отменено",$H57&lt;&gt;""),"",$C57-TODAY())</f>
        <v/>
      </c>
      <c r="M57" s="101">
        <f>IF($C57="","",INDEX(Настройки!$V$6:$V$17,MONTH($C57))&amp;" "&amp;YEAR($C57))</f>
        <v/>
      </c>
      <c r="N57" s="57">
        <f>IF($F57="","",IF(COUNTIF(Постоянные!$C$8:$C$37,$F57)&gt;0,"есть в Постоянных",IF(COUNTIF(Покупки!$C$7:$C$18,$F57)&gt;0,"есть в Покупках","")))</f>
        <v/>
      </c>
      <c r="P57">
        <f>IF($H57&lt;&gt;"",$H57,IF($I57="Оплачено",N($G57),0))</f>
        <v/>
      </c>
      <c r="Q57">
        <f>IF($I57="Отменено",0,IF($G57&lt;&gt;"",$G57,N($H57)))</f>
        <v/>
      </c>
      <c r="R57">
        <f>IF($C57="","",IFERROR(DATE(Настройки!$C$8,Настройки!$D$9+MATCH($M57,Настройки!$X$6:$X$17,0)-1,1),DATE(YEAR($C57),MONTH($C57),1)))</f>
        <v/>
      </c>
      <c r="S57">
        <f>IF(OR($I57="Оплачено",$H57&lt;&gt;""),$P57,$Q57)</f>
        <v/>
      </c>
      <c r="T57">
        <f>IF(OR($C57="",$D57="Доход",$I57="Оплачено",$I57="Отменено",$H57&lt;&gt;"",$C57&lt;TODAY()),"",$C57)</f>
        <v/>
      </c>
      <c r="U57">
        <f>IF(AND($D57&lt;&gt;"Доход",COUNTIFS(Счета!$B$10:$B$21,$J57,Счета!$C$10:$C$21,"Кредитная")&gt;0),1,0)</f>
        <v/>
      </c>
    </row>
    <row r="58" ht="19" customHeight="1">
      <c r="B58" s="53">
        <f>IF(AND($C58="",$F58=""),"",ROW()-9)</f>
        <v/>
      </c>
      <c r="C58" s="213" t="n"/>
      <c r="D58" s="55" t="n"/>
      <c r="E58" s="55" t="n"/>
      <c r="F58" s="56" t="n"/>
      <c r="G58" s="196" t="n"/>
      <c r="H58" s="196" t="n"/>
      <c r="I58" s="55" t="n"/>
      <c r="J58" s="55" t="n"/>
      <c r="K58" s="55" t="n"/>
      <c r="L58" s="100">
        <f>IF(OR($C58="",$I58="Оплачено",$I58="Отменено",$H58&lt;&gt;""),"",$C58-TODAY())</f>
        <v/>
      </c>
      <c r="M58" s="101">
        <f>IF($C58="","",INDEX(Настройки!$V$6:$V$17,MONTH($C58))&amp;" "&amp;YEAR($C58))</f>
        <v/>
      </c>
      <c r="N58" s="57">
        <f>IF($F58="","",IF(COUNTIF(Постоянные!$C$8:$C$37,$F58)&gt;0,"есть в Постоянных",IF(COUNTIF(Покупки!$C$7:$C$18,$F58)&gt;0,"есть в Покупках","")))</f>
        <v/>
      </c>
      <c r="P58">
        <f>IF($H58&lt;&gt;"",$H58,IF($I58="Оплачено",N($G58),0))</f>
        <v/>
      </c>
      <c r="Q58">
        <f>IF($I58="Отменено",0,IF($G58&lt;&gt;"",$G58,N($H58)))</f>
        <v/>
      </c>
      <c r="R58">
        <f>IF($C58="","",IFERROR(DATE(Настройки!$C$8,Настройки!$D$9+MATCH($M58,Настройки!$X$6:$X$17,0)-1,1),DATE(YEAR($C58),MONTH($C58),1)))</f>
        <v/>
      </c>
      <c r="S58">
        <f>IF(OR($I58="Оплачено",$H58&lt;&gt;""),$P58,$Q58)</f>
        <v/>
      </c>
      <c r="T58">
        <f>IF(OR($C58="",$D58="Доход",$I58="Оплачено",$I58="Отменено",$H58&lt;&gt;"",$C58&lt;TODAY()),"",$C58)</f>
        <v/>
      </c>
      <c r="U58">
        <f>IF(AND($D58&lt;&gt;"Доход",COUNTIFS(Счета!$B$10:$B$21,$J58,Счета!$C$10:$C$21,"Кредитная")&gt;0),1,0)</f>
        <v/>
      </c>
    </row>
    <row r="59" ht="19" customHeight="1">
      <c r="B59" s="53">
        <f>IF(AND($C59="",$F59=""),"",ROW()-9)</f>
        <v/>
      </c>
      <c r="C59" s="213" t="n"/>
      <c r="D59" s="55" t="n"/>
      <c r="E59" s="55" t="n"/>
      <c r="F59" s="56" t="n"/>
      <c r="G59" s="196" t="n"/>
      <c r="H59" s="196" t="n"/>
      <c r="I59" s="55" t="n"/>
      <c r="J59" s="55" t="n"/>
      <c r="K59" s="55" t="n"/>
      <c r="L59" s="100">
        <f>IF(OR($C59="",$I59="Оплачено",$I59="Отменено",$H59&lt;&gt;""),"",$C59-TODAY())</f>
        <v/>
      </c>
      <c r="M59" s="101">
        <f>IF($C59="","",INDEX(Настройки!$V$6:$V$17,MONTH($C59))&amp;" "&amp;YEAR($C59))</f>
        <v/>
      </c>
      <c r="N59" s="57">
        <f>IF($F59="","",IF(COUNTIF(Постоянные!$C$8:$C$37,$F59)&gt;0,"есть в Постоянных",IF(COUNTIF(Покупки!$C$7:$C$18,$F59)&gt;0,"есть в Покупках","")))</f>
        <v/>
      </c>
      <c r="P59">
        <f>IF($H59&lt;&gt;"",$H59,IF($I59="Оплачено",N($G59),0))</f>
        <v/>
      </c>
      <c r="Q59">
        <f>IF($I59="Отменено",0,IF($G59&lt;&gt;"",$G59,N($H59)))</f>
        <v/>
      </c>
      <c r="R59">
        <f>IF($C59="","",IFERROR(DATE(Настройки!$C$8,Настройки!$D$9+MATCH($M59,Настройки!$X$6:$X$17,0)-1,1),DATE(YEAR($C59),MONTH($C59),1)))</f>
        <v/>
      </c>
      <c r="S59">
        <f>IF(OR($I59="Оплачено",$H59&lt;&gt;""),$P59,$Q59)</f>
        <v/>
      </c>
      <c r="T59">
        <f>IF(OR($C59="",$D59="Доход",$I59="Оплачено",$I59="Отменено",$H59&lt;&gt;"",$C59&lt;TODAY()),"",$C59)</f>
        <v/>
      </c>
      <c r="U59">
        <f>IF(AND($D59&lt;&gt;"Доход",COUNTIFS(Счета!$B$10:$B$21,$J59,Счета!$C$10:$C$21,"Кредитная")&gt;0),1,0)</f>
        <v/>
      </c>
    </row>
    <row r="60" ht="19" customHeight="1">
      <c r="B60" s="53">
        <f>IF(AND($C60="",$F60=""),"",ROW()-9)</f>
        <v/>
      </c>
      <c r="C60" s="213" t="n"/>
      <c r="D60" s="55" t="n"/>
      <c r="E60" s="55" t="n"/>
      <c r="F60" s="56" t="n"/>
      <c r="G60" s="196" t="n"/>
      <c r="H60" s="196" t="n"/>
      <c r="I60" s="55" t="n"/>
      <c r="J60" s="55" t="n"/>
      <c r="K60" s="55" t="n"/>
      <c r="L60" s="100">
        <f>IF(OR($C60="",$I60="Оплачено",$I60="Отменено",$H60&lt;&gt;""),"",$C60-TODAY())</f>
        <v/>
      </c>
      <c r="M60" s="101">
        <f>IF($C60="","",INDEX(Настройки!$V$6:$V$17,MONTH($C60))&amp;" "&amp;YEAR($C60))</f>
        <v/>
      </c>
      <c r="N60" s="57">
        <f>IF($F60="","",IF(COUNTIF(Постоянные!$C$8:$C$37,$F60)&gt;0,"есть в Постоянных",IF(COUNTIF(Покупки!$C$7:$C$18,$F60)&gt;0,"есть в Покупках","")))</f>
        <v/>
      </c>
      <c r="P60">
        <f>IF($H60&lt;&gt;"",$H60,IF($I60="Оплачено",N($G60),0))</f>
        <v/>
      </c>
      <c r="Q60">
        <f>IF($I60="Отменено",0,IF($G60&lt;&gt;"",$G60,N($H60)))</f>
        <v/>
      </c>
      <c r="R60">
        <f>IF($C60="","",IFERROR(DATE(Настройки!$C$8,Настройки!$D$9+MATCH($M60,Настройки!$X$6:$X$17,0)-1,1),DATE(YEAR($C60),MONTH($C60),1)))</f>
        <v/>
      </c>
      <c r="S60">
        <f>IF(OR($I60="Оплачено",$H60&lt;&gt;""),$P60,$Q60)</f>
        <v/>
      </c>
      <c r="T60">
        <f>IF(OR($C60="",$D60="Доход",$I60="Оплачено",$I60="Отменено",$H60&lt;&gt;"",$C60&lt;TODAY()),"",$C60)</f>
        <v/>
      </c>
      <c r="U60">
        <f>IF(AND($D60&lt;&gt;"Доход",COUNTIFS(Счета!$B$10:$B$21,$J60,Счета!$C$10:$C$21,"Кредитная")&gt;0),1,0)</f>
        <v/>
      </c>
    </row>
    <row r="61" ht="19" customHeight="1">
      <c r="B61" s="53">
        <f>IF(AND($C61="",$F61=""),"",ROW()-9)</f>
        <v/>
      </c>
      <c r="C61" s="213" t="n"/>
      <c r="D61" s="55" t="n"/>
      <c r="E61" s="55" t="n"/>
      <c r="F61" s="56" t="n"/>
      <c r="G61" s="196" t="n"/>
      <c r="H61" s="196" t="n"/>
      <c r="I61" s="55" t="n"/>
      <c r="J61" s="55" t="n"/>
      <c r="K61" s="55" t="n"/>
      <c r="L61" s="100">
        <f>IF(OR($C61="",$I61="Оплачено",$I61="Отменено",$H61&lt;&gt;""),"",$C61-TODAY())</f>
        <v/>
      </c>
      <c r="M61" s="101">
        <f>IF($C61="","",INDEX(Настройки!$V$6:$V$17,MONTH($C61))&amp;" "&amp;YEAR($C61))</f>
        <v/>
      </c>
      <c r="N61" s="57">
        <f>IF($F61="","",IF(COUNTIF(Постоянные!$C$8:$C$37,$F61)&gt;0,"есть в Постоянных",IF(COUNTIF(Покупки!$C$7:$C$18,$F61)&gt;0,"есть в Покупках","")))</f>
        <v/>
      </c>
      <c r="P61">
        <f>IF($H61&lt;&gt;"",$H61,IF($I61="Оплачено",N($G61),0))</f>
        <v/>
      </c>
      <c r="Q61">
        <f>IF($I61="Отменено",0,IF($G61&lt;&gt;"",$G61,N($H61)))</f>
        <v/>
      </c>
      <c r="R61">
        <f>IF($C61="","",IFERROR(DATE(Настройки!$C$8,Настройки!$D$9+MATCH($M61,Настройки!$X$6:$X$17,0)-1,1),DATE(YEAR($C61),MONTH($C61),1)))</f>
        <v/>
      </c>
      <c r="S61">
        <f>IF(OR($I61="Оплачено",$H61&lt;&gt;""),$P61,$Q61)</f>
        <v/>
      </c>
      <c r="T61">
        <f>IF(OR($C61="",$D61="Доход",$I61="Оплачено",$I61="Отменено",$H61&lt;&gt;"",$C61&lt;TODAY()),"",$C61)</f>
        <v/>
      </c>
      <c r="U61">
        <f>IF(AND($D61&lt;&gt;"Доход",COUNTIFS(Счета!$B$10:$B$21,$J61,Счета!$C$10:$C$21,"Кредитная")&gt;0),1,0)</f>
        <v/>
      </c>
    </row>
    <row r="62" ht="19" customHeight="1">
      <c r="B62" s="53">
        <f>IF(AND($C62="",$F62=""),"",ROW()-9)</f>
        <v/>
      </c>
      <c r="C62" s="213" t="n"/>
      <c r="D62" s="55" t="n"/>
      <c r="E62" s="55" t="n"/>
      <c r="F62" s="56" t="n"/>
      <c r="G62" s="196" t="n"/>
      <c r="H62" s="196" t="n"/>
      <c r="I62" s="55" t="n"/>
      <c r="J62" s="55" t="n"/>
      <c r="K62" s="55" t="n"/>
      <c r="L62" s="100">
        <f>IF(OR($C62="",$I62="Оплачено",$I62="Отменено",$H62&lt;&gt;""),"",$C62-TODAY())</f>
        <v/>
      </c>
      <c r="M62" s="101">
        <f>IF($C62="","",INDEX(Настройки!$V$6:$V$17,MONTH($C62))&amp;" "&amp;YEAR($C62))</f>
        <v/>
      </c>
      <c r="N62" s="57">
        <f>IF($F62="","",IF(COUNTIF(Постоянные!$C$8:$C$37,$F62)&gt;0,"есть в Постоянных",IF(COUNTIF(Покупки!$C$7:$C$18,$F62)&gt;0,"есть в Покупках","")))</f>
        <v/>
      </c>
      <c r="P62">
        <f>IF($H62&lt;&gt;"",$H62,IF($I62="Оплачено",N($G62),0))</f>
        <v/>
      </c>
      <c r="Q62">
        <f>IF($I62="Отменено",0,IF($G62&lt;&gt;"",$G62,N($H62)))</f>
        <v/>
      </c>
      <c r="R62">
        <f>IF($C62="","",IFERROR(DATE(Настройки!$C$8,Настройки!$D$9+MATCH($M62,Настройки!$X$6:$X$17,0)-1,1),DATE(YEAR($C62),MONTH($C62),1)))</f>
        <v/>
      </c>
      <c r="S62">
        <f>IF(OR($I62="Оплачено",$H62&lt;&gt;""),$P62,$Q62)</f>
        <v/>
      </c>
      <c r="T62">
        <f>IF(OR($C62="",$D62="Доход",$I62="Оплачено",$I62="Отменено",$H62&lt;&gt;"",$C62&lt;TODAY()),"",$C62)</f>
        <v/>
      </c>
      <c r="U62">
        <f>IF(AND($D62&lt;&gt;"Доход",COUNTIFS(Счета!$B$10:$B$21,$J62,Счета!$C$10:$C$21,"Кредитная")&gt;0),1,0)</f>
        <v/>
      </c>
    </row>
    <row r="63" ht="19" customHeight="1">
      <c r="B63" s="53">
        <f>IF(AND($C63="",$F63=""),"",ROW()-9)</f>
        <v/>
      </c>
      <c r="C63" s="213" t="n"/>
      <c r="D63" s="55" t="n"/>
      <c r="E63" s="55" t="n"/>
      <c r="F63" s="56" t="n"/>
      <c r="G63" s="196" t="n"/>
      <c r="H63" s="196" t="n"/>
      <c r="I63" s="55" t="n"/>
      <c r="J63" s="55" t="n"/>
      <c r="K63" s="55" t="n"/>
      <c r="L63" s="100">
        <f>IF(OR($C63="",$I63="Оплачено",$I63="Отменено",$H63&lt;&gt;""),"",$C63-TODAY())</f>
        <v/>
      </c>
      <c r="M63" s="101">
        <f>IF($C63="","",INDEX(Настройки!$V$6:$V$17,MONTH($C63))&amp;" "&amp;YEAR($C63))</f>
        <v/>
      </c>
      <c r="N63" s="57">
        <f>IF($F63="","",IF(COUNTIF(Постоянные!$C$8:$C$37,$F63)&gt;0,"есть в Постоянных",IF(COUNTIF(Покупки!$C$7:$C$18,$F63)&gt;0,"есть в Покупках","")))</f>
        <v/>
      </c>
      <c r="P63">
        <f>IF($H63&lt;&gt;"",$H63,IF($I63="Оплачено",N($G63),0))</f>
        <v/>
      </c>
      <c r="Q63">
        <f>IF($I63="Отменено",0,IF($G63&lt;&gt;"",$G63,N($H63)))</f>
        <v/>
      </c>
      <c r="R63">
        <f>IF($C63="","",IFERROR(DATE(Настройки!$C$8,Настройки!$D$9+MATCH($M63,Настройки!$X$6:$X$17,0)-1,1),DATE(YEAR($C63),MONTH($C63),1)))</f>
        <v/>
      </c>
      <c r="S63">
        <f>IF(OR($I63="Оплачено",$H63&lt;&gt;""),$P63,$Q63)</f>
        <v/>
      </c>
      <c r="T63">
        <f>IF(OR($C63="",$D63="Доход",$I63="Оплачено",$I63="Отменено",$H63&lt;&gt;"",$C63&lt;TODAY()),"",$C63)</f>
        <v/>
      </c>
      <c r="U63">
        <f>IF(AND($D63&lt;&gt;"Доход",COUNTIFS(Счета!$B$10:$B$21,$J63,Счета!$C$10:$C$21,"Кредитная")&gt;0),1,0)</f>
        <v/>
      </c>
    </row>
    <row r="64" ht="19" customHeight="1">
      <c r="B64" s="53">
        <f>IF(AND($C64="",$F64=""),"",ROW()-9)</f>
        <v/>
      </c>
      <c r="C64" s="213" t="n"/>
      <c r="D64" s="55" t="n"/>
      <c r="E64" s="55" t="n"/>
      <c r="F64" s="56" t="n"/>
      <c r="G64" s="196" t="n"/>
      <c r="H64" s="196" t="n"/>
      <c r="I64" s="55" t="n"/>
      <c r="J64" s="55" t="n"/>
      <c r="K64" s="55" t="n"/>
      <c r="L64" s="100">
        <f>IF(OR($C64="",$I64="Оплачено",$I64="Отменено",$H64&lt;&gt;""),"",$C64-TODAY())</f>
        <v/>
      </c>
      <c r="M64" s="101">
        <f>IF($C64="","",INDEX(Настройки!$V$6:$V$17,MONTH($C64))&amp;" "&amp;YEAR($C64))</f>
        <v/>
      </c>
      <c r="N64" s="57">
        <f>IF($F64="","",IF(COUNTIF(Постоянные!$C$8:$C$37,$F64)&gt;0,"есть в Постоянных",IF(COUNTIF(Покупки!$C$7:$C$18,$F64)&gt;0,"есть в Покупках","")))</f>
        <v/>
      </c>
      <c r="P64">
        <f>IF($H64&lt;&gt;"",$H64,IF($I64="Оплачено",N($G64),0))</f>
        <v/>
      </c>
      <c r="Q64">
        <f>IF($I64="Отменено",0,IF($G64&lt;&gt;"",$G64,N($H64)))</f>
        <v/>
      </c>
      <c r="R64">
        <f>IF($C64="","",IFERROR(DATE(Настройки!$C$8,Настройки!$D$9+MATCH($M64,Настройки!$X$6:$X$17,0)-1,1),DATE(YEAR($C64),MONTH($C64),1)))</f>
        <v/>
      </c>
      <c r="S64">
        <f>IF(OR($I64="Оплачено",$H64&lt;&gt;""),$P64,$Q64)</f>
        <v/>
      </c>
      <c r="T64">
        <f>IF(OR($C64="",$D64="Доход",$I64="Оплачено",$I64="Отменено",$H64&lt;&gt;"",$C64&lt;TODAY()),"",$C64)</f>
        <v/>
      </c>
      <c r="U64">
        <f>IF(AND($D64&lt;&gt;"Доход",COUNTIFS(Счета!$B$10:$B$21,$J64,Счета!$C$10:$C$21,"Кредитная")&gt;0),1,0)</f>
        <v/>
      </c>
    </row>
    <row r="65" ht="19" customHeight="1">
      <c r="B65" s="53">
        <f>IF(AND($C65="",$F65=""),"",ROW()-9)</f>
        <v/>
      </c>
      <c r="C65" s="213" t="n"/>
      <c r="D65" s="55" t="n"/>
      <c r="E65" s="55" t="n"/>
      <c r="F65" s="56" t="n"/>
      <c r="G65" s="196" t="n"/>
      <c r="H65" s="196" t="n"/>
      <c r="I65" s="55" t="n"/>
      <c r="J65" s="55" t="n"/>
      <c r="K65" s="55" t="n"/>
      <c r="L65" s="100">
        <f>IF(OR($C65="",$I65="Оплачено",$I65="Отменено",$H65&lt;&gt;""),"",$C65-TODAY())</f>
        <v/>
      </c>
      <c r="M65" s="101">
        <f>IF($C65="","",INDEX(Настройки!$V$6:$V$17,MONTH($C65))&amp;" "&amp;YEAR($C65))</f>
        <v/>
      </c>
      <c r="N65" s="57">
        <f>IF($F65="","",IF(COUNTIF(Постоянные!$C$8:$C$37,$F65)&gt;0,"есть в Постоянных",IF(COUNTIF(Покупки!$C$7:$C$18,$F65)&gt;0,"есть в Покупках","")))</f>
        <v/>
      </c>
      <c r="P65">
        <f>IF($H65&lt;&gt;"",$H65,IF($I65="Оплачено",N($G65),0))</f>
        <v/>
      </c>
      <c r="Q65">
        <f>IF($I65="Отменено",0,IF($G65&lt;&gt;"",$G65,N($H65)))</f>
        <v/>
      </c>
      <c r="R65">
        <f>IF($C65="","",IFERROR(DATE(Настройки!$C$8,Настройки!$D$9+MATCH($M65,Настройки!$X$6:$X$17,0)-1,1),DATE(YEAR($C65),MONTH($C65),1)))</f>
        <v/>
      </c>
      <c r="S65">
        <f>IF(OR($I65="Оплачено",$H65&lt;&gt;""),$P65,$Q65)</f>
        <v/>
      </c>
      <c r="T65">
        <f>IF(OR($C65="",$D65="Доход",$I65="Оплачено",$I65="Отменено",$H65&lt;&gt;"",$C65&lt;TODAY()),"",$C65)</f>
        <v/>
      </c>
      <c r="U65">
        <f>IF(AND($D65&lt;&gt;"Доход",COUNTIFS(Счета!$B$10:$B$21,$J65,Счета!$C$10:$C$21,"Кредитная")&gt;0),1,0)</f>
        <v/>
      </c>
    </row>
    <row r="66" ht="19" customHeight="1">
      <c r="B66" s="53">
        <f>IF(AND($C66="",$F66=""),"",ROW()-9)</f>
        <v/>
      </c>
      <c r="C66" s="213" t="n"/>
      <c r="D66" s="55" t="n"/>
      <c r="E66" s="55" t="n"/>
      <c r="F66" s="56" t="n"/>
      <c r="G66" s="196" t="n"/>
      <c r="H66" s="196" t="n"/>
      <c r="I66" s="55" t="n"/>
      <c r="J66" s="55" t="n"/>
      <c r="K66" s="55" t="n"/>
      <c r="L66" s="100">
        <f>IF(OR($C66="",$I66="Оплачено",$I66="Отменено",$H66&lt;&gt;""),"",$C66-TODAY())</f>
        <v/>
      </c>
      <c r="M66" s="101">
        <f>IF($C66="","",INDEX(Настройки!$V$6:$V$17,MONTH($C66))&amp;" "&amp;YEAR($C66))</f>
        <v/>
      </c>
      <c r="N66" s="57">
        <f>IF($F66="","",IF(COUNTIF(Постоянные!$C$8:$C$37,$F66)&gt;0,"есть в Постоянных",IF(COUNTIF(Покупки!$C$7:$C$18,$F66)&gt;0,"есть в Покупках","")))</f>
        <v/>
      </c>
      <c r="P66">
        <f>IF($H66&lt;&gt;"",$H66,IF($I66="Оплачено",N($G66),0))</f>
        <v/>
      </c>
      <c r="Q66">
        <f>IF($I66="Отменено",0,IF($G66&lt;&gt;"",$G66,N($H66)))</f>
        <v/>
      </c>
      <c r="R66">
        <f>IF($C66="","",IFERROR(DATE(Настройки!$C$8,Настройки!$D$9+MATCH($M66,Настройки!$X$6:$X$17,0)-1,1),DATE(YEAR($C66),MONTH($C66),1)))</f>
        <v/>
      </c>
      <c r="S66">
        <f>IF(OR($I66="Оплачено",$H66&lt;&gt;""),$P66,$Q66)</f>
        <v/>
      </c>
      <c r="T66">
        <f>IF(OR($C66="",$D66="Доход",$I66="Оплачено",$I66="Отменено",$H66&lt;&gt;"",$C66&lt;TODAY()),"",$C66)</f>
        <v/>
      </c>
      <c r="U66">
        <f>IF(AND($D66&lt;&gt;"Доход",COUNTIFS(Счета!$B$10:$B$21,$J66,Счета!$C$10:$C$21,"Кредитная")&gt;0),1,0)</f>
        <v/>
      </c>
    </row>
    <row r="67" ht="19" customHeight="1">
      <c r="B67" s="53">
        <f>IF(AND($C67="",$F67=""),"",ROW()-9)</f>
        <v/>
      </c>
      <c r="C67" s="213" t="n"/>
      <c r="D67" s="55" t="n"/>
      <c r="E67" s="55" t="n"/>
      <c r="F67" s="56" t="n"/>
      <c r="G67" s="196" t="n"/>
      <c r="H67" s="196" t="n"/>
      <c r="I67" s="55" t="n"/>
      <c r="J67" s="55" t="n"/>
      <c r="K67" s="55" t="n"/>
      <c r="L67" s="100">
        <f>IF(OR($C67="",$I67="Оплачено",$I67="Отменено",$H67&lt;&gt;""),"",$C67-TODAY())</f>
        <v/>
      </c>
      <c r="M67" s="101">
        <f>IF($C67="","",INDEX(Настройки!$V$6:$V$17,MONTH($C67))&amp;" "&amp;YEAR($C67))</f>
        <v/>
      </c>
      <c r="N67" s="57">
        <f>IF($F67="","",IF(COUNTIF(Постоянные!$C$8:$C$37,$F67)&gt;0,"есть в Постоянных",IF(COUNTIF(Покупки!$C$7:$C$18,$F67)&gt;0,"есть в Покупках","")))</f>
        <v/>
      </c>
      <c r="P67">
        <f>IF($H67&lt;&gt;"",$H67,IF($I67="Оплачено",N($G67),0))</f>
        <v/>
      </c>
      <c r="Q67">
        <f>IF($I67="Отменено",0,IF($G67&lt;&gt;"",$G67,N($H67)))</f>
        <v/>
      </c>
      <c r="R67">
        <f>IF($C67="","",IFERROR(DATE(Настройки!$C$8,Настройки!$D$9+MATCH($M67,Настройки!$X$6:$X$17,0)-1,1),DATE(YEAR($C67),MONTH($C67),1)))</f>
        <v/>
      </c>
      <c r="S67">
        <f>IF(OR($I67="Оплачено",$H67&lt;&gt;""),$P67,$Q67)</f>
        <v/>
      </c>
      <c r="T67">
        <f>IF(OR($C67="",$D67="Доход",$I67="Оплачено",$I67="Отменено",$H67&lt;&gt;"",$C67&lt;TODAY()),"",$C67)</f>
        <v/>
      </c>
      <c r="U67">
        <f>IF(AND($D67&lt;&gt;"Доход",COUNTIFS(Счета!$B$10:$B$21,$J67,Счета!$C$10:$C$21,"Кредитная")&gt;0),1,0)</f>
        <v/>
      </c>
    </row>
    <row r="68" ht="19" customHeight="1">
      <c r="B68" s="53">
        <f>IF(AND($C68="",$F68=""),"",ROW()-9)</f>
        <v/>
      </c>
      <c r="C68" s="213" t="n"/>
      <c r="D68" s="55" t="n"/>
      <c r="E68" s="55" t="n"/>
      <c r="F68" s="56" t="n"/>
      <c r="G68" s="196" t="n"/>
      <c r="H68" s="196" t="n"/>
      <c r="I68" s="55" t="n"/>
      <c r="J68" s="55" t="n"/>
      <c r="K68" s="55" t="n"/>
      <c r="L68" s="100">
        <f>IF(OR($C68="",$I68="Оплачено",$I68="Отменено",$H68&lt;&gt;""),"",$C68-TODAY())</f>
        <v/>
      </c>
      <c r="M68" s="101">
        <f>IF($C68="","",INDEX(Настройки!$V$6:$V$17,MONTH($C68))&amp;" "&amp;YEAR($C68))</f>
        <v/>
      </c>
      <c r="N68" s="57">
        <f>IF($F68="","",IF(COUNTIF(Постоянные!$C$8:$C$37,$F68)&gt;0,"есть в Постоянных",IF(COUNTIF(Покупки!$C$7:$C$18,$F68)&gt;0,"есть в Покупках","")))</f>
        <v/>
      </c>
      <c r="P68">
        <f>IF($H68&lt;&gt;"",$H68,IF($I68="Оплачено",N($G68),0))</f>
        <v/>
      </c>
      <c r="Q68">
        <f>IF($I68="Отменено",0,IF($G68&lt;&gt;"",$G68,N($H68)))</f>
        <v/>
      </c>
      <c r="R68">
        <f>IF($C68="","",IFERROR(DATE(Настройки!$C$8,Настройки!$D$9+MATCH($M68,Настройки!$X$6:$X$17,0)-1,1),DATE(YEAR($C68),MONTH($C68),1)))</f>
        <v/>
      </c>
      <c r="S68">
        <f>IF(OR($I68="Оплачено",$H68&lt;&gt;""),$P68,$Q68)</f>
        <v/>
      </c>
      <c r="T68">
        <f>IF(OR($C68="",$D68="Доход",$I68="Оплачено",$I68="Отменено",$H68&lt;&gt;"",$C68&lt;TODAY()),"",$C68)</f>
        <v/>
      </c>
      <c r="U68">
        <f>IF(AND($D68&lt;&gt;"Доход",COUNTIFS(Счета!$B$10:$B$21,$J68,Счета!$C$10:$C$21,"Кредитная")&gt;0),1,0)</f>
        <v/>
      </c>
    </row>
    <row r="69" ht="19" customHeight="1">
      <c r="B69" s="53">
        <f>IF(AND($C69="",$F69=""),"",ROW()-9)</f>
        <v/>
      </c>
      <c r="C69" s="213" t="n"/>
      <c r="D69" s="55" t="n"/>
      <c r="E69" s="55" t="n"/>
      <c r="F69" s="56" t="n"/>
      <c r="G69" s="196" t="n"/>
      <c r="H69" s="196" t="n"/>
      <c r="I69" s="55" t="n"/>
      <c r="J69" s="55" t="n"/>
      <c r="K69" s="55" t="n"/>
      <c r="L69" s="100">
        <f>IF(OR($C69="",$I69="Оплачено",$I69="Отменено",$H69&lt;&gt;""),"",$C69-TODAY())</f>
        <v/>
      </c>
      <c r="M69" s="101">
        <f>IF($C69="","",INDEX(Настройки!$V$6:$V$17,MONTH($C69))&amp;" "&amp;YEAR($C69))</f>
        <v/>
      </c>
      <c r="N69" s="57">
        <f>IF($F69="","",IF(COUNTIF(Постоянные!$C$8:$C$37,$F69)&gt;0,"есть в Постоянных",IF(COUNTIF(Покупки!$C$7:$C$18,$F69)&gt;0,"есть в Покупках","")))</f>
        <v/>
      </c>
      <c r="P69">
        <f>IF($H69&lt;&gt;"",$H69,IF($I69="Оплачено",N($G69),0))</f>
        <v/>
      </c>
      <c r="Q69">
        <f>IF($I69="Отменено",0,IF($G69&lt;&gt;"",$G69,N($H69)))</f>
        <v/>
      </c>
      <c r="R69">
        <f>IF($C69="","",IFERROR(DATE(Настройки!$C$8,Настройки!$D$9+MATCH($M69,Настройки!$X$6:$X$17,0)-1,1),DATE(YEAR($C69),MONTH($C69),1)))</f>
        <v/>
      </c>
      <c r="S69">
        <f>IF(OR($I69="Оплачено",$H69&lt;&gt;""),$P69,$Q69)</f>
        <v/>
      </c>
      <c r="T69">
        <f>IF(OR($C69="",$D69="Доход",$I69="Оплачено",$I69="Отменено",$H69&lt;&gt;"",$C69&lt;TODAY()),"",$C69)</f>
        <v/>
      </c>
      <c r="U69">
        <f>IF(AND($D69&lt;&gt;"Доход",COUNTIFS(Счета!$B$10:$B$21,$J69,Счета!$C$10:$C$21,"Кредитная")&gt;0),1,0)</f>
        <v/>
      </c>
    </row>
    <row r="70" ht="19" customHeight="1">
      <c r="B70" s="53">
        <f>IF(AND($C70="",$F70=""),"",ROW()-9)</f>
        <v/>
      </c>
      <c r="C70" s="213" t="n"/>
      <c r="D70" s="55" t="n"/>
      <c r="E70" s="55" t="n"/>
      <c r="F70" s="56" t="n"/>
      <c r="G70" s="196" t="n"/>
      <c r="H70" s="196" t="n"/>
      <c r="I70" s="55" t="n"/>
      <c r="J70" s="55" t="n"/>
      <c r="K70" s="55" t="n"/>
      <c r="L70" s="100">
        <f>IF(OR($C70="",$I70="Оплачено",$I70="Отменено",$H70&lt;&gt;""),"",$C70-TODAY())</f>
        <v/>
      </c>
      <c r="M70" s="101">
        <f>IF($C70="","",INDEX(Настройки!$V$6:$V$17,MONTH($C70))&amp;" "&amp;YEAR($C70))</f>
        <v/>
      </c>
      <c r="N70" s="57">
        <f>IF($F70="","",IF(COUNTIF(Постоянные!$C$8:$C$37,$F70)&gt;0,"есть в Постоянных",IF(COUNTIF(Покупки!$C$7:$C$18,$F70)&gt;0,"есть в Покупках","")))</f>
        <v/>
      </c>
      <c r="P70">
        <f>IF($H70&lt;&gt;"",$H70,IF($I70="Оплачено",N($G70),0))</f>
        <v/>
      </c>
      <c r="Q70">
        <f>IF($I70="Отменено",0,IF($G70&lt;&gt;"",$G70,N($H70)))</f>
        <v/>
      </c>
      <c r="R70">
        <f>IF($C70="","",IFERROR(DATE(Настройки!$C$8,Настройки!$D$9+MATCH($M70,Настройки!$X$6:$X$17,0)-1,1),DATE(YEAR($C70),MONTH($C70),1)))</f>
        <v/>
      </c>
      <c r="S70">
        <f>IF(OR($I70="Оплачено",$H70&lt;&gt;""),$P70,$Q70)</f>
        <v/>
      </c>
      <c r="T70">
        <f>IF(OR($C70="",$D70="Доход",$I70="Оплачено",$I70="Отменено",$H70&lt;&gt;"",$C70&lt;TODAY()),"",$C70)</f>
        <v/>
      </c>
      <c r="U70">
        <f>IF(AND($D70&lt;&gt;"Доход",COUNTIFS(Счета!$B$10:$B$21,$J70,Счета!$C$10:$C$21,"Кредитная")&gt;0),1,0)</f>
        <v/>
      </c>
    </row>
    <row r="71" ht="19" customHeight="1">
      <c r="B71" s="53">
        <f>IF(AND($C71="",$F71=""),"",ROW()-9)</f>
        <v/>
      </c>
      <c r="C71" s="213" t="n"/>
      <c r="D71" s="55" t="n"/>
      <c r="E71" s="55" t="n"/>
      <c r="F71" s="56" t="n"/>
      <c r="G71" s="196" t="n"/>
      <c r="H71" s="196" t="n"/>
      <c r="I71" s="55" t="n"/>
      <c r="J71" s="55" t="n"/>
      <c r="K71" s="55" t="n"/>
      <c r="L71" s="100">
        <f>IF(OR($C71="",$I71="Оплачено",$I71="Отменено",$H71&lt;&gt;""),"",$C71-TODAY())</f>
        <v/>
      </c>
      <c r="M71" s="101">
        <f>IF($C71="","",INDEX(Настройки!$V$6:$V$17,MONTH($C71))&amp;" "&amp;YEAR($C71))</f>
        <v/>
      </c>
      <c r="N71" s="57">
        <f>IF($F71="","",IF(COUNTIF(Постоянные!$C$8:$C$37,$F71)&gt;0,"есть в Постоянных",IF(COUNTIF(Покупки!$C$7:$C$18,$F71)&gt;0,"есть в Покупках","")))</f>
        <v/>
      </c>
      <c r="P71">
        <f>IF($H71&lt;&gt;"",$H71,IF($I71="Оплачено",N($G71),0))</f>
        <v/>
      </c>
      <c r="Q71">
        <f>IF($I71="Отменено",0,IF($G71&lt;&gt;"",$G71,N($H71)))</f>
        <v/>
      </c>
      <c r="R71">
        <f>IF($C71="","",IFERROR(DATE(Настройки!$C$8,Настройки!$D$9+MATCH($M71,Настройки!$X$6:$X$17,0)-1,1),DATE(YEAR($C71),MONTH($C71),1)))</f>
        <v/>
      </c>
      <c r="S71">
        <f>IF(OR($I71="Оплачено",$H71&lt;&gt;""),$P71,$Q71)</f>
        <v/>
      </c>
      <c r="T71">
        <f>IF(OR($C71="",$D71="Доход",$I71="Оплачено",$I71="Отменено",$H71&lt;&gt;"",$C71&lt;TODAY()),"",$C71)</f>
        <v/>
      </c>
      <c r="U71">
        <f>IF(AND($D71&lt;&gt;"Доход",COUNTIFS(Счета!$B$10:$B$21,$J71,Счета!$C$10:$C$21,"Кредитная")&gt;0),1,0)</f>
        <v/>
      </c>
    </row>
    <row r="72" ht="19" customHeight="1">
      <c r="B72" s="53">
        <f>IF(AND($C72="",$F72=""),"",ROW()-9)</f>
        <v/>
      </c>
      <c r="C72" s="213" t="n"/>
      <c r="D72" s="55" t="n"/>
      <c r="E72" s="55" t="n"/>
      <c r="F72" s="56" t="n"/>
      <c r="G72" s="196" t="n"/>
      <c r="H72" s="196" t="n"/>
      <c r="I72" s="55" t="n"/>
      <c r="J72" s="55" t="n"/>
      <c r="K72" s="55" t="n"/>
      <c r="L72" s="100">
        <f>IF(OR($C72="",$I72="Оплачено",$I72="Отменено",$H72&lt;&gt;""),"",$C72-TODAY())</f>
        <v/>
      </c>
      <c r="M72" s="101">
        <f>IF($C72="","",INDEX(Настройки!$V$6:$V$17,MONTH($C72))&amp;" "&amp;YEAR($C72))</f>
        <v/>
      </c>
      <c r="N72" s="57">
        <f>IF($F72="","",IF(COUNTIF(Постоянные!$C$8:$C$37,$F72)&gt;0,"есть в Постоянных",IF(COUNTIF(Покупки!$C$7:$C$18,$F72)&gt;0,"есть в Покупках","")))</f>
        <v/>
      </c>
      <c r="P72">
        <f>IF($H72&lt;&gt;"",$H72,IF($I72="Оплачено",N($G72),0))</f>
        <v/>
      </c>
      <c r="Q72">
        <f>IF($I72="Отменено",0,IF($G72&lt;&gt;"",$G72,N($H72)))</f>
        <v/>
      </c>
      <c r="R72">
        <f>IF($C72="","",IFERROR(DATE(Настройки!$C$8,Настройки!$D$9+MATCH($M72,Настройки!$X$6:$X$17,0)-1,1),DATE(YEAR($C72),MONTH($C72),1)))</f>
        <v/>
      </c>
      <c r="S72">
        <f>IF(OR($I72="Оплачено",$H72&lt;&gt;""),$P72,$Q72)</f>
        <v/>
      </c>
      <c r="T72">
        <f>IF(OR($C72="",$D72="Доход",$I72="Оплачено",$I72="Отменено",$H72&lt;&gt;"",$C72&lt;TODAY()),"",$C72)</f>
        <v/>
      </c>
      <c r="U72">
        <f>IF(AND($D72&lt;&gt;"Доход",COUNTIFS(Счета!$B$10:$B$21,$J72,Счета!$C$10:$C$21,"Кредитная")&gt;0),1,0)</f>
        <v/>
      </c>
    </row>
    <row r="73" ht="19" customHeight="1">
      <c r="B73" s="53">
        <f>IF(AND($C73="",$F73=""),"",ROW()-9)</f>
        <v/>
      </c>
      <c r="C73" s="213" t="n"/>
      <c r="D73" s="55" t="n"/>
      <c r="E73" s="55" t="n"/>
      <c r="F73" s="56" t="n"/>
      <c r="G73" s="196" t="n"/>
      <c r="H73" s="196" t="n"/>
      <c r="I73" s="55" t="n"/>
      <c r="J73" s="55" t="n"/>
      <c r="K73" s="55" t="n"/>
      <c r="L73" s="100">
        <f>IF(OR($C73="",$I73="Оплачено",$I73="Отменено",$H73&lt;&gt;""),"",$C73-TODAY())</f>
        <v/>
      </c>
      <c r="M73" s="101">
        <f>IF($C73="","",INDEX(Настройки!$V$6:$V$17,MONTH($C73))&amp;" "&amp;YEAR($C73))</f>
        <v/>
      </c>
      <c r="N73" s="57">
        <f>IF($F73="","",IF(COUNTIF(Постоянные!$C$8:$C$37,$F73)&gt;0,"есть в Постоянных",IF(COUNTIF(Покупки!$C$7:$C$18,$F73)&gt;0,"есть в Покупках","")))</f>
        <v/>
      </c>
      <c r="P73">
        <f>IF($H73&lt;&gt;"",$H73,IF($I73="Оплачено",N($G73),0))</f>
        <v/>
      </c>
      <c r="Q73">
        <f>IF($I73="Отменено",0,IF($G73&lt;&gt;"",$G73,N($H73)))</f>
        <v/>
      </c>
      <c r="R73">
        <f>IF($C73="","",IFERROR(DATE(Настройки!$C$8,Настройки!$D$9+MATCH($M73,Настройки!$X$6:$X$17,0)-1,1),DATE(YEAR($C73),MONTH($C73),1)))</f>
        <v/>
      </c>
      <c r="S73">
        <f>IF(OR($I73="Оплачено",$H73&lt;&gt;""),$P73,$Q73)</f>
        <v/>
      </c>
      <c r="T73">
        <f>IF(OR($C73="",$D73="Доход",$I73="Оплачено",$I73="Отменено",$H73&lt;&gt;"",$C73&lt;TODAY()),"",$C73)</f>
        <v/>
      </c>
      <c r="U73">
        <f>IF(AND($D73&lt;&gt;"Доход",COUNTIFS(Счета!$B$10:$B$21,$J73,Счета!$C$10:$C$21,"Кредитная")&gt;0),1,0)</f>
        <v/>
      </c>
    </row>
    <row r="74" ht="19" customHeight="1">
      <c r="B74" s="53">
        <f>IF(AND($C74="",$F74=""),"",ROW()-9)</f>
        <v/>
      </c>
      <c r="C74" s="213" t="n"/>
      <c r="D74" s="55" t="n"/>
      <c r="E74" s="55" t="n"/>
      <c r="F74" s="56" t="n"/>
      <c r="G74" s="196" t="n"/>
      <c r="H74" s="196" t="n"/>
      <c r="I74" s="55" t="n"/>
      <c r="J74" s="55" t="n"/>
      <c r="K74" s="55" t="n"/>
      <c r="L74" s="100">
        <f>IF(OR($C74="",$I74="Оплачено",$I74="Отменено",$H74&lt;&gt;""),"",$C74-TODAY())</f>
        <v/>
      </c>
      <c r="M74" s="101">
        <f>IF($C74="","",INDEX(Настройки!$V$6:$V$17,MONTH($C74))&amp;" "&amp;YEAR($C74))</f>
        <v/>
      </c>
      <c r="N74" s="57">
        <f>IF($F74="","",IF(COUNTIF(Постоянные!$C$8:$C$37,$F74)&gt;0,"есть в Постоянных",IF(COUNTIF(Покупки!$C$7:$C$18,$F74)&gt;0,"есть в Покупках","")))</f>
        <v/>
      </c>
      <c r="P74">
        <f>IF($H74&lt;&gt;"",$H74,IF($I74="Оплачено",N($G74),0))</f>
        <v/>
      </c>
      <c r="Q74">
        <f>IF($I74="Отменено",0,IF($G74&lt;&gt;"",$G74,N($H74)))</f>
        <v/>
      </c>
      <c r="R74">
        <f>IF($C74="","",IFERROR(DATE(Настройки!$C$8,Настройки!$D$9+MATCH($M74,Настройки!$X$6:$X$17,0)-1,1),DATE(YEAR($C74),MONTH($C74),1)))</f>
        <v/>
      </c>
      <c r="S74">
        <f>IF(OR($I74="Оплачено",$H74&lt;&gt;""),$P74,$Q74)</f>
        <v/>
      </c>
      <c r="T74">
        <f>IF(OR($C74="",$D74="Доход",$I74="Оплачено",$I74="Отменено",$H74&lt;&gt;"",$C74&lt;TODAY()),"",$C74)</f>
        <v/>
      </c>
      <c r="U74">
        <f>IF(AND($D74&lt;&gt;"Доход",COUNTIFS(Счета!$B$10:$B$21,$J74,Счета!$C$10:$C$21,"Кредитная")&gt;0),1,0)</f>
        <v/>
      </c>
    </row>
    <row r="75" ht="19" customHeight="1">
      <c r="B75" s="53">
        <f>IF(AND($C75="",$F75=""),"",ROW()-9)</f>
        <v/>
      </c>
      <c r="C75" s="213" t="n"/>
      <c r="D75" s="55" t="n"/>
      <c r="E75" s="55" t="n"/>
      <c r="F75" s="56" t="n"/>
      <c r="G75" s="196" t="n"/>
      <c r="H75" s="196" t="n"/>
      <c r="I75" s="55" t="n"/>
      <c r="J75" s="55" t="n"/>
      <c r="K75" s="55" t="n"/>
      <c r="L75" s="100">
        <f>IF(OR($C75="",$I75="Оплачено",$I75="Отменено",$H75&lt;&gt;""),"",$C75-TODAY())</f>
        <v/>
      </c>
      <c r="M75" s="101">
        <f>IF($C75="","",INDEX(Настройки!$V$6:$V$17,MONTH($C75))&amp;" "&amp;YEAR($C75))</f>
        <v/>
      </c>
      <c r="N75" s="57">
        <f>IF($F75="","",IF(COUNTIF(Постоянные!$C$8:$C$37,$F75)&gt;0,"есть в Постоянных",IF(COUNTIF(Покупки!$C$7:$C$18,$F75)&gt;0,"есть в Покупках","")))</f>
        <v/>
      </c>
      <c r="P75">
        <f>IF($H75&lt;&gt;"",$H75,IF($I75="Оплачено",N($G75),0))</f>
        <v/>
      </c>
      <c r="Q75">
        <f>IF($I75="Отменено",0,IF($G75&lt;&gt;"",$G75,N($H75)))</f>
        <v/>
      </c>
      <c r="R75">
        <f>IF($C75="","",IFERROR(DATE(Настройки!$C$8,Настройки!$D$9+MATCH($M75,Настройки!$X$6:$X$17,0)-1,1),DATE(YEAR($C75),MONTH($C75),1)))</f>
        <v/>
      </c>
      <c r="S75">
        <f>IF(OR($I75="Оплачено",$H75&lt;&gt;""),$P75,$Q75)</f>
        <v/>
      </c>
      <c r="T75">
        <f>IF(OR($C75="",$D75="Доход",$I75="Оплачено",$I75="Отменено",$H75&lt;&gt;"",$C75&lt;TODAY()),"",$C75)</f>
        <v/>
      </c>
      <c r="U75">
        <f>IF(AND($D75&lt;&gt;"Доход",COUNTIFS(Счета!$B$10:$B$21,$J75,Счета!$C$10:$C$21,"Кредитная")&gt;0),1,0)</f>
        <v/>
      </c>
    </row>
    <row r="76" ht="19" customHeight="1">
      <c r="B76" s="53">
        <f>IF(AND($C76="",$F76=""),"",ROW()-9)</f>
        <v/>
      </c>
      <c r="C76" s="213" t="n"/>
      <c r="D76" s="55" t="n"/>
      <c r="E76" s="55" t="n"/>
      <c r="F76" s="56" t="n"/>
      <c r="G76" s="196" t="n"/>
      <c r="H76" s="196" t="n"/>
      <c r="I76" s="55" t="n"/>
      <c r="J76" s="55" t="n"/>
      <c r="K76" s="55" t="n"/>
      <c r="L76" s="100">
        <f>IF(OR($C76="",$I76="Оплачено",$I76="Отменено",$H76&lt;&gt;""),"",$C76-TODAY())</f>
        <v/>
      </c>
      <c r="M76" s="101">
        <f>IF($C76="","",INDEX(Настройки!$V$6:$V$17,MONTH($C76))&amp;" "&amp;YEAR($C76))</f>
        <v/>
      </c>
      <c r="N76" s="57">
        <f>IF($F76="","",IF(COUNTIF(Постоянные!$C$8:$C$37,$F76)&gt;0,"есть в Постоянных",IF(COUNTIF(Покупки!$C$7:$C$18,$F76)&gt;0,"есть в Покупках","")))</f>
        <v/>
      </c>
      <c r="P76">
        <f>IF($H76&lt;&gt;"",$H76,IF($I76="Оплачено",N($G76),0))</f>
        <v/>
      </c>
      <c r="Q76">
        <f>IF($I76="Отменено",0,IF($G76&lt;&gt;"",$G76,N($H76)))</f>
        <v/>
      </c>
      <c r="R76">
        <f>IF($C76="","",IFERROR(DATE(Настройки!$C$8,Настройки!$D$9+MATCH($M76,Настройки!$X$6:$X$17,0)-1,1),DATE(YEAR($C76),MONTH($C76),1)))</f>
        <v/>
      </c>
      <c r="S76">
        <f>IF(OR($I76="Оплачено",$H76&lt;&gt;""),$P76,$Q76)</f>
        <v/>
      </c>
      <c r="T76">
        <f>IF(OR($C76="",$D76="Доход",$I76="Оплачено",$I76="Отменено",$H76&lt;&gt;"",$C76&lt;TODAY()),"",$C76)</f>
        <v/>
      </c>
      <c r="U76">
        <f>IF(AND($D76&lt;&gt;"Доход",COUNTIFS(Счета!$B$10:$B$21,$J76,Счета!$C$10:$C$21,"Кредитная")&gt;0),1,0)</f>
        <v/>
      </c>
    </row>
    <row r="77" ht="19" customHeight="1">
      <c r="B77" s="53">
        <f>IF(AND($C77="",$F77=""),"",ROW()-9)</f>
        <v/>
      </c>
      <c r="C77" s="213" t="n"/>
      <c r="D77" s="55" t="n"/>
      <c r="E77" s="55" t="n"/>
      <c r="F77" s="56" t="n"/>
      <c r="G77" s="196" t="n"/>
      <c r="H77" s="196" t="n"/>
      <c r="I77" s="55" t="n"/>
      <c r="J77" s="55" t="n"/>
      <c r="K77" s="55" t="n"/>
      <c r="L77" s="100">
        <f>IF(OR($C77="",$I77="Оплачено",$I77="Отменено",$H77&lt;&gt;""),"",$C77-TODAY())</f>
        <v/>
      </c>
      <c r="M77" s="101">
        <f>IF($C77="","",INDEX(Настройки!$V$6:$V$17,MONTH($C77))&amp;" "&amp;YEAR($C77))</f>
        <v/>
      </c>
      <c r="N77" s="57">
        <f>IF($F77="","",IF(COUNTIF(Постоянные!$C$8:$C$37,$F77)&gt;0,"есть в Постоянных",IF(COUNTIF(Покупки!$C$7:$C$18,$F77)&gt;0,"есть в Покупках","")))</f>
        <v/>
      </c>
      <c r="P77">
        <f>IF($H77&lt;&gt;"",$H77,IF($I77="Оплачено",N($G77),0))</f>
        <v/>
      </c>
      <c r="Q77">
        <f>IF($I77="Отменено",0,IF($G77&lt;&gt;"",$G77,N($H77)))</f>
        <v/>
      </c>
      <c r="R77">
        <f>IF($C77="","",IFERROR(DATE(Настройки!$C$8,Настройки!$D$9+MATCH($M77,Настройки!$X$6:$X$17,0)-1,1),DATE(YEAR($C77),MONTH($C77),1)))</f>
        <v/>
      </c>
      <c r="S77">
        <f>IF(OR($I77="Оплачено",$H77&lt;&gt;""),$P77,$Q77)</f>
        <v/>
      </c>
      <c r="T77">
        <f>IF(OR($C77="",$D77="Доход",$I77="Оплачено",$I77="Отменено",$H77&lt;&gt;"",$C77&lt;TODAY()),"",$C77)</f>
        <v/>
      </c>
      <c r="U77">
        <f>IF(AND($D77&lt;&gt;"Доход",COUNTIFS(Счета!$B$10:$B$21,$J77,Счета!$C$10:$C$21,"Кредитная")&gt;0),1,0)</f>
        <v/>
      </c>
    </row>
    <row r="78" ht="19" customHeight="1">
      <c r="B78" s="53">
        <f>IF(AND($C78="",$F78=""),"",ROW()-9)</f>
        <v/>
      </c>
      <c r="C78" s="213" t="n"/>
      <c r="D78" s="55" t="n"/>
      <c r="E78" s="55" t="n"/>
      <c r="F78" s="56" t="n"/>
      <c r="G78" s="196" t="n"/>
      <c r="H78" s="196" t="n"/>
      <c r="I78" s="55" t="n"/>
      <c r="J78" s="55" t="n"/>
      <c r="K78" s="55" t="n"/>
      <c r="L78" s="100">
        <f>IF(OR($C78="",$I78="Оплачено",$I78="Отменено",$H78&lt;&gt;""),"",$C78-TODAY())</f>
        <v/>
      </c>
      <c r="M78" s="101">
        <f>IF($C78="","",INDEX(Настройки!$V$6:$V$17,MONTH($C78))&amp;" "&amp;YEAR($C78))</f>
        <v/>
      </c>
      <c r="N78" s="57">
        <f>IF($F78="","",IF(COUNTIF(Постоянные!$C$8:$C$37,$F78)&gt;0,"есть в Постоянных",IF(COUNTIF(Покупки!$C$7:$C$18,$F78)&gt;0,"есть в Покупках","")))</f>
        <v/>
      </c>
      <c r="P78">
        <f>IF($H78&lt;&gt;"",$H78,IF($I78="Оплачено",N($G78),0))</f>
        <v/>
      </c>
      <c r="Q78">
        <f>IF($I78="Отменено",0,IF($G78&lt;&gt;"",$G78,N($H78)))</f>
        <v/>
      </c>
      <c r="R78">
        <f>IF($C78="","",IFERROR(DATE(Настройки!$C$8,Настройки!$D$9+MATCH($M78,Настройки!$X$6:$X$17,0)-1,1),DATE(YEAR($C78),MONTH($C78),1)))</f>
        <v/>
      </c>
      <c r="S78">
        <f>IF(OR($I78="Оплачено",$H78&lt;&gt;""),$P78,$Q78)</f>
        <v/>
      </c>
      <c r="T78">
        <f>IF(OR($C78="",$D78="Доход",$I78="Оплачено",$I78="Отменено",$H78&lt;&gt;"",$C78&lt;TODAY()),"",$C78)</f>
        <v/>
      </c>
      <c r="U78">
        <f>IF(AND($D78&lt;&gt;"Доход",COUNTIFS(Счета!$B$10:$B$21,$J78,Счета!$C$10:$C$21,"Кредитная")&gt;0),1,0)</f>
        <v/>
      </c>
    </row>
    <row r="79" ht="19" customHeight="1">
      <c r="B79" s="53">
        <f>IF(AND($C79="",$F79=""),"",ROW()-9)</f>
        <v/>
      </c>
      <c r="C79" s="213" t="n"/>
      <c r="D79" s="55" t="n"/>
      <c r="E79" s="55" t="n"/>
      <c r="F79" s="56" t="n"/>
      <c r="G79" s="196" t="n"/>
      <c r="H79" s="196" t="n"/>
      <c r="I79" s="55" t="n"/>
      <c r="J79" s="55" t="n"/>
      <c r="K79" s="55" t="n"/>
      <c r="L79" s="100">
        <f>IF(OR($C79="",$I79="Оплачено",$I79="Отменено",$H79&lt;&gt;""),"",$C79-TODAY())</f>
        <v/>
      </c>
      <c r="M79" s="101">
        <f>IF($C79="","",INDEX(Настройки!$V$6:$V$17,MONTH($C79))&amp;" "&amp;YEAR($C79))</f>
        <v/>
      </c>
      <c r="N79" s="57">
        <f>IF($F79="","",IF(COUNTIF(Постоянные!$C$8:$C$37,$F79)&gt;0,"есть в Постоянных",IF(COUNTIF(Покупки!$C$7:$C$18,$F79)&gt;0,"есть в Покупках","")))</f>
        <v/>
      </c>
      <c r="P79">
        <f>IF($H79&lt;&gt;"",$H79,IF($I79="Оплачено",N($G79),0))</f>
        <v/>
      </c>
      <c r="Q79">
        <f>IF($I79="Отменено",0,IF($G79&lt;&gt;"",$G79,N($H79)))</f>
        <v/>
      </c>
      <c r="R79">
        <f>IF($C79="","",IFERROR(DATE(Настройки!$C$8,Настройки!$D$9+MATCH($M79,Настройки!$X$6:$X$17,0)-1,1),DATE(YEAR($C79),MONTH($C79),1)))</f>
        <v/>
      </c>
      <c r="S79">
        <f>IF(OR($I79="Оплачено",$H79&lt;&gt;""),$P79,$Q79)</f>
        <v/>
      </c>
      <c r="T79">
        <f>IF(OR($C79="",$D79="Доход",$I79="Оплачено",$I79="Отменено",$H79&lt;&gt;"",$C79&lt;TODAY()),"",$C79)</f>
        <v/>
      </c>
      <c r="U79">
        <f>IF(AND($D79&lt;&gt;"Доход",COUNTIFS(Счета!$B$10:$B$21,$J79,Счета!$C$10:$C$21,"Кредитная")&gt;0),1,0)</f>
        <v/>
      </c>
    </row>
    <row r="80" ht="19" customHeight="1">
      <c r="B80" s="53">
        <f>IF(AND($C80="",$F80=""),"",ROW()-9)</f>
        <v/>
      </c>
      <c r="C80" s="213" t="n"/>
      <c r="D80" s="55" t="n"/>
      <c r="E80" s="55" t="n"/>
      <c r="F80" s="56" t="n"/>
      <c r="G80" s="196" t="n"/>
      <c r="H80" s="196" t="n"/>
      <c r="I80" s="55" t="n"/>
      <c r="J80" s="55" t="n"/>
      <c r="K80" s="55" t="n"/>
      <c r="L80" s="100">
        <f>IF(OR($C80="",$I80="Оплачено",$I80="Отменено",$H80&lt;&gt;""),"",$C80-TODAY())</f>
        <v/>
      </c>
      <c r="M80" s="101">
        <f>IF($C80="","",INDEX(Настройки!$V$6:$V$17,MONTH($C80))&amp;" "&amp;YEAR($C80))</f>
        <v/>
      </c>
      <c r="N80" s="57">
        <f>IF($F80="","",IF(COUNTIF(Постоянные!$C$8:$C$37,$F80)&gt;0,"есть в Постоянных",IF(COUNTIF(Покупки!$C$7:$C$18,$F80)&gt;0,"есть в Покупках","")))</f>
        <v/>
      </c>
      <c r="P80">
        <f>IF($H80&lt;&gt;"",$H80,IF($I80="Оплачено",N($G80),0))</f>
        <v/>
      </c>
      <c r="Q80">
        <f>IF($I80="Отменено",0,IF($G80&lt;&gt;"",$G80,N($H80)))</f>
        <v/>
      </c>
      <c r="R80">
        <f>IF($C80="","",IFERROR(DATE(Настройки!$C$8,Настройки!$D$9+MATCH($M80,Настройки!$X$6:$X$17,0)-1,1),DATE(YEAR($C80),MONTH($C80),1)))</f>
        <v/>
      </c>
      <c r="S80">
        <f>IF(OR($I80="Оплачено",$H80&lt;&gt;""),$P80,$Q80)</f>
        <v/>
      </c>
      <c r="T80">
        <f>IF(OR($C80="",$D80="Доход",$I80="Оплачено",$I80="Отменено",$H80&lt;&gt;"",$C80&lt;TODAY()),"",$C80)</f>
        <v/>
      </c>
      <c r="U80">
        <f>IF(AND($D80&lt;&gt;"Доход",COUNTIFS(Счета!$B$10:$B$21,$J80,Счета!$C$10:$C$21,"Кредитная")&gt;0),1,0)</f>
        <v/>
      </c>
    </row>
    <row r="81" ht="19" customHeight="1">
      <c r="B81" s="53">
        <f>IF(AND($C81="",$F81=""),"",ROW()-9)</f>
        <v/>
      </c>
      <c r="C81" s="213" t="n"/>
      <c r="D81" s="55" t="n"/>
      <c r="E81" s="55" t="n"/>
      <c r="F81" s="56" t="n"/>
      <c r="G81" s="196" t="n"/>
      <c r="H81" s="196" t="n"/>
      <c r="I81" s="55" t="n"/>
      <c r="J81" s="55" t="n"/>
      <c r="K81" s="55" t="n"/>
      <c r="L81" s="100">
        <f>IF(OR($C81="",$I81="Оплачено",$I81="Отменено",$H81&lt;&gt;""),"",$C81-TODAY())</f>
        <v/>
      </c>
      <c r="M81" s="101">
        <f>IF($C81="","",INDEX(Настройки!$V$6:$V$17,MONTH($C81))&amp;" "&amp;YEAR($C81))</f>
        <v/>
      </c>
      <c r="N81" s="57">
        <f>IF($F81="","",IF(COUNTIF(Постоянные!$C$8:$C$37,$F81)&gt;0,"есть в Постоянных",IF(COUNTIF(Покупки!$C$7:$C$18,$F81)&gt;0,"есть в Покупках","")))</f>
        <v/>
      </c>
      <c r="P81">
        <f>IF($H81&lt;&gt;"",$H81,IF($I81="Оплачено",N($G81),0))</f>
        <v/>
      </c>
      <c r="Q81">
        <f>IF($I81="Отменено",0,IF($G81&lt;&gt;"",$G81,N($H81)))</f>
        <v/>
      </c>
      <c r="R81">
        <f>IF($C81="","",IFERROR(DATE(Настройки!$C$8,Настройки!$D$9+MATCH($M81,Настройки!$X$6:$X$17,0)-1,1),DATE(YEAR($C81),MONTH($C81),1)))</f>
        <v/>
      </c>
      <c r="S81">
        <f>IF(OR($I81="Оплачено",$H81&lt;&gt;""),$P81,$Q81)</f>
        <v/>
      </c>
      <c r="T81">
        <f>IF(OR($C81="",$D81="Доход",$I81="Оплачено",$I81="Отменено",$H81&lt;&gt;"",$C81&lt;TODAY()),"",$C81)</f>
        <v/>
      </c>
      <c r="U81">
        <f>IF(AND($D81&lt;&gt;"Доход",COUNTIFS(Счета!$B$10:$B$21,$J81,Счета!$C$10:$C$21,"Кредитная")&gt;0),1,0)</f>
        <v/>
      </c>
    </row>
    <row r="82" ht="19" customHeight="1">
      <c r="B82" s="53">
        <f>IF(AND($C82="",$F82=""),"",ROW()-9)</f>
        <v/>
      </c>
      <c r="C82" s="213" t="n"/>
      <c r="D82" s="55" t="n"/>
      <c r="E82" s="55" t="n"/>
      <c r="F82" s="56" t="n"/>
      <c r="G82" s="196" t="n"/>
      <c r="H82" s="196" t="n"/>
      <c r="I82" s="55" t="n"/>
      <c r="J82" s="55" t="n"/>
      <c r="K82" s="55" t="n"/>
      <c r="L82" s="100">
        <f>IF(OR($C82="",$I82="Оплачено",$I82="Отменено",$H82&lt;&gt;""),"",$C82-TODAY())</f>
        <v/>
      </c>
      <c r="M82" s="101">
        <f>IF($C82="","",INDEX(Настройки!$V$6:$V$17,MONTH($C82))&amp;" "&amp;YEAR($C82))</f>
        <v/>
      </c>
      <c r="N82" s="57">
        <f>IF($F82="","",IF(COUNTIF(Постоянные!$C$8:$C$37,$F82)&gt;0,"есть в Постоянных",IF(COUNTIF(Покупки!$C$7:$C$18,$F82)&gt;0,"есть в Покупках","")))</f>
        <v/>
      </c>
      <c r="P82">
        <f>IF($H82&lt;&gt;"",$H82,IF($I82="Оплачено",N($G82),0))</f>
        <v/>
      </c>
      <c r="Q82">
        <f>IF($I82="Отменено",0,IF($G82&lt;&gt;"",$G82,N($H82)))</f>
        <v/>
      </c>
      <c r="R82">
        <f>IF($C82="","",IFERROR(DATE(Настройки!$C$8,Настройки!$D$9+MATCH($M82,Настройки!$X$6:$X$17,0)-1,1),DATE(YEAR($C82),MONTH($C82),1)))</f>
        <v/>
      </c>
      <c r="S82">
        <f>IF(OR($I82="Оплачено",$H82&lt;&gt;""),$P82,$Q82)</f>
        <v/>
      </c>
      <c r="T82">
        <f>IF(OR($C82="",$D82="Доход",$I82="Оплачено",$I82="Отменено",$H82&lt;&gt;"",$C82&lt;TODAY()),"",$C82)</f>
        <v/>
      </c>
      <c r="U82">
        <f>IF(AND($D82&lt;&gt;"Доход",COUNTIFS(Счета!$B$10:$B$21,$J82,Счета!$C$10:$C$21,"Кредитная")&gt;0),1,0)</f>
        <v/>
      </c>
    </row>
    <row r="83" ht="19" customHeight="1">
      <c r="B83" s="53">
        <f>IF(AND($C83="",$F83=""),"",ROW()-9)</f>
        <v/>
      </c>
      <c r="C83" s="213" t="n"/>
      <c r="D83" s="55" t="n"/>
      <c r="E83" s="55" t="n"/>
      <c r="F83" s="56" t="n"/>
      <c r="G83" s="196" t="n"/>
      <c r="H83" s="196" t="n"/>
      <c r="I83" s="55" t="n"/>
      <c r="J83" s="55" t="n"/>
      <c r="K83" s="55" t="n"/>
      <c r="L83" s="100">
        <f>IF(OR($C83="",$I83="Оплачено",$I83="Отменено",$H83&lt;&gt;""),"",$C83-TODAY())</f>
        <v/>
      </c>
      <c r="M83" s="101">
        <f>IF($C83="","",INDEX(Настройки!$V$6:$V$17,MONTH($C83))&amp;" "&amp;YEAR($C83))</f>
        <v/>
      </c>
      <c r="N83" s="57">
        <f>IF($F83="","",IF(COUNTIF(Постоянные!$C$8:$C$37,$F83)&gt;0,"есть в Постоянных",IF(COUNTIF(Покупки!$C$7:$C$18,$F83)&gt;0,"есть в Покупках","")))</f>
        <v/>
      </c>
      <c r="P83">
        <f>IF($H83&lt;&gt;"",$H83,IF($I83="Оплачено",N($G83),0))</f>
        <v/>
      </c>
      <c r="Q83">
        <f>IF($I83="Отменено",0,IF($G83&lt;&gt;"",$G83,N($H83)))</f>
        <v/>
      </c>
      <c r="R83">
        <f>IF($C83="","",IFERROR(DATE(Настройки!$C$8,Настройки!$D$9+MATCH($M83,Настройки!$X$6:$X$17,0)-1,1),DATE(YEAR($C83),MONTH($C83),1)))</f>
        <v/>
      </c>
      <c r="S83">
        <f>IF(OR($I83="Оплачено",$H83&lt;&gt;""),$P83,$Q83)</f>
        <v/>
      </c>
      <c r="T83">
        <f>IF(OR($C83="",$D83="Доход",$I83="Оплачено",$I83="Отменено",$H83&lt;&gt;"",$C83&lt;TODAY()),"",$C83)</f>
        <v/>
      </c>
      <c r="U83">
        <f>IF(AND($D83&lt;&gt;"Доход",COUNTIFS(Счета!$B$10:$B$21,$J83,Счета!$C$10:$C$21,"Кредитная")&gt;0),1,0)</f>
        <v/>
      </c>
    </row>
    <row r="84" ht="19" customHeight="1">
      <c r="B84" s="53">
        <f>IF(AND($C84="",$F84=""),"",ROW()-9)</f>
        <v/>
      </c>
      <c r="C84" s="213" t="n"/>
      <c r="D84" s="55" t="n"/>
      <c r="E84" s="55" t="n"/>
      <c r="F84" s="56" t="n"/>
      <c r="G84" s="196" t="n"/>
      <c r="H84" s="196" t="n"/>
      <c r="I84" s="55" t="n"/>
      <c r="J84" s="55" t="n"/>
      <c r="K84" s="55" t="n"/>
      <c r="L84" s="100">
        <f>IF(OR($C84="",$I84="Оплачено",$I84="Отменено",$H84&lt;&gt;""),"",$C84-TODAY())</f>
        <v/>
      </c>
      <c r="M84" s="101">
        <f>IF($C84="","",INDEX(Настройки!$V$6:$V$17,MONTH($C84))&amp;" "&amp;YEAR($C84))</f>
        <v/>
      </c>
      <c r="N84" s="57">
        <f>IF($F84="","",IF(COUNTIF(Постоянные!$C$8:$C$37,$F84)&gt;0,"есть в Постоянных",IF(COUNTIF(Покупки!$C$7:$C$18,$F84)&gt;0,"есть в Покупках","")))</f>
        <v/>
      </c>
      <c r="P84">
        <f>IF($H84&lt;&gt;"",$H84,IF($I84="Оплачено",N($G84),0))</f>
        <v/>
      </c>
      <c r="Q84">
        <f>IF($I84="Отменено",0,IF($G84&lt;&gt;"",$G84,N($H84)))</f>
        <v/>
      </c>
      <c r="R84">
        <f>IF($C84="","",IFERROR(DATE(Настройки!$C$8,Настройки!$D$9+MATCH($M84,Настройки!$X$6:$X$17,0)-1,1),DATE(YEAR($C84),MONTH($C84),1)))</f>
        <v/>
      </c>
      <c r="S84">
        <f>IF(OR($I84="Оплачено",$H84&lt;&gt;""),$P84,$Q84)</f>
        <v/>
      </c>
      <c r="T84">
        <f>IF(OR($C84="",$D84="Доход",$I84="Оплачено",$I84="Отменено",$H84&lt;&gt;"",$C84&lt;TODAY()),"",$C84)</f>
        <v/>
      </c>
      <c r="U84">
        <f>IF(AND($D84&lt;&gt;"Доход",COUNTIFS(Счета!$B$10:$B$21,$J84,Счета!$C$10:$C$21,"Кредитная")&gt;0),1,0)</f>
        <v/>
      </c>
    </row>
    <row r="85" ht="19" customHeight="1">
      <c r="B85" s="53">
        <f>IF(AND($C85="",$F85=""),"",ROW()-9)</f>
        <v/>
      </c>
      <c r="C85" s="213" t="n"/>
      <c r="D85" s="55" t="n"/>
      <c r="E85" s="55" t="n"/>
      <c r="F85" s="56" t="n"/>
      <c r="G85" s="196" t="n"/>
      <c r="H85" s="196" t="n"/>
      <c r="I85" s="55" t="n"/>
      <c r="J85" s="55" t="n"/>
      <c r="K85" s="55" t="n"/>
      <c r="L85" s="100">
        <f>IF(OR($C85="",$I85="Оплачено",$I85="Отменено",$H85&lt;&gt;""),"",$C85-TODAY())</f>
        <v/>
      </c>
      <c r="M85" s="101">
        <f>IF($C85="","",INDEX(Настройки!$V$6:$V$17,MONTH($C85))&amp;" "&amp;YEAR($C85))</f>
        <v/>
      </c>
      <c r="N85" s="57">
        <f>IF($F85="","",IF(COUNTIF(Постоянные!$C$8:$C$37,$F85)&gt;0,"есть в Постоянных",IF(COUNTIF(Покупки!$C$7:$C$18,$F85)&gt;0,"есть в Покупках","")))</f>
        <v/>
      </c>
      <c r="P85">
        <f>IF($H85&lt;&gt;"",$H85,IF($I85="Оплачено",N($G85),0))</f>
        <v/>
      </c>
      <c r="Q85">
        <f>IF($I85="Отменено",0,IF($G85&lt;&gt;"",$G85,N($H85)))</f>
        <v/>
      </c>
      <c r="R85">
        <f>IF($C85="","",IFERROR(DATE(Настройки!$C$8,Настройки!$D$9+MATCH($M85,Настройки!$X$6:$X$17,0)-1,1),DATE(YEAR($C85),MONTH($C85),1)))</f>
        <v/>
      </c>
      <c r="S85">
        <f>IF(OR($I85="Оплачено",$H85&lt;&gt;""),$P85,$Q85)</f>
        <v/>
      </c>
      <c r="T85">
        <f>IF(OR($C85="",$D85="Доход",$I85="Оплачено",$I85="Отменено",$H85&lt;&gt;"",$C85&lt;TODAY()),"",$C85)</f>
        <v/>
      </c>
      <c r="U85">
        <f>IF(AND($D85&lt;&gt;"Доход",COUNTIFS(Счета!$B$10:$B$21,$J85,Счета!$C$10:$C$21,"Кредитная")&gt;0),1,0)</f>
        <v/>
      </c>
    </row>
    <row r="86" ht="19" customHeight="1">
      <c r="B86" s="53">
        <f>IF(AND($C86="",$F86=""),"",ROW()-9)</f>
        <v/>
      </c>
      <c r="C86" s="213" t="n"/>
      <c r="D86" s="55" t="n"/>
      <c r="E86" s="55" t="n"/>
      <c r="F86" s="56" t="n"/>
      <c r="G86" s="196" t="n"/>
      <c r="H86" s="196" t="n"/>
      <c r="I86" s="55" t="n"/>
      <c r="J86" s="55" t="n"/>
      <c r="K86" s="55" t="n"/>
      <c r="L86" s="100">
        <f>IF(OR($C86="",$I86="Оплачено",$I86="Отменено",$H86&lt;&gt;""),"",$C86-TODAY())</f>
        <v/>
      </c>
      <c r="M86" s="101">
        <f>IF($C86="","",INDEX(Настройки!$V$6:$V$17,MONTH($C86))&amp;" "&amp;YEAR($C86))</f>
        <v/>
      </c>
      <c r="N86" s="57">
        <f>IF($F86="","",IF(COUNTIF(Постоянные!$C$8:$C$37,$F86)&gt;0,"есть в Постоянных",IF(COUNTIF(Покупки!$C$7:$C$18,$F86)&gt;0,"есть в Покупках","")))</f>
        <v/>
      </c>
      <c r="P86">
        <f>IF($H86&lt;&gt;"",$H86,IF($I86="Оплачено",N($G86),0))</f>
        <v/>
      </c>
      <c r="Q86">
        <f>IF($I86="Отменено",0,IF($G86&lt;&gt;"",$G86,N($H86)))</f>
        <v/>
      </c>
      <c r="R86">
        <f>IF($C86="","",IFERROR(DATE(Настройки!$C$8,Настройки!$D$9+MATCH($M86,Настройки!$X$6:$X$17,0)-1,1),DATE(YEAR($C86),MONTH($C86),1)))</f>
        <v/>
      </c>
      <c r="S86">
        <f>IF(OR($I86="Оплачено",$H86&lt;&gt;""),$P86,$Q86)</f>
        <v/>
      </c>
      <c r="T86">
        <f>IF(OR($C86="",$D86="Доход",$I86="Оплачено",$I86="Отменено",$H86&lt;&gt;"",$C86&lt;TODAY()),"",$C86)</f>
        <v/>
      </c>
      <c r="U86">
        <f>IF(AND($D86&lt;&gt;"Доход",COUNTIFS(Счета!$B$10:$B$21,$J86,Счета!$C$10:$C$21,"Кредитная")&gt;0),1,0)</f>
        <v/>
      </c>
    </row>
    <row r="87" ht="19" customHeight="1">
      <c r="B87" s="53">
        <f>IF(AND($C87="",$F87=""),"",ROW()-9)</f>
        <v/>
      </c>
      <c r="C87" s="213" t="n"/>
      <c r="D87" s="55" t="n"/>
      <c r="E87" s="55" t="n"/>
      <c r="F87" s="56" t="n"/>
      <c r="G87" s="196" t="n"/>
      <c r="H87" s="196" t="n"/>
      <c r="I87" s="55" t="n"/>
      <c r="J87" s="55" t="n"/>
      <c r="K87" s="55" t="n"/>
      <c r="L87" s="100">
        <f>IF(OR($C87="",$I87="Оплачено",$I87="Отменено",$H87&lt;&gt;""),"",$C87-TODAY())</f>
        <v/>
      </c>
      <c r="M87" s="101">
        <f>IF($C87="","",INDEX(Настройки!$V$6:$V$17,MONTH($C87))&amp;" "&amp;YEAR($C87))</f>
        <v/>
      </c>
      <c r="N87" s="57">
        <f>IF($F87="","",IF(COUNTIF(Постоянные!$C$8:$C$37,$F87)&gt;0,"есть в Постоянных",IF(COUNTIF(Покупки!$C$7:$C$18,$F87)&gt;0,"есть в Покупках","")))</f>
        <v/>
      </c>
      <c r="P87">
        <f>IF($H87&lt;&gt;"",$H87,IF($I87="Оплачено",N($G87),0))</f>
        <v/>
      </c>
      <c r="Q87">
        <f>IF($I87="Отменено",0,IF($G87&lt;&gt;"",$G87,N($H87)))</f>
        <v/>
      </c>
      <c r="R87">
        <f>IF($C87="","",IFERROR(DATE(Настройки!$C$8,Настройки!$D$9+MATCH($M87,Настройки!$X$6:$X$17,0)-1,1),DATE(YEAR($C87),MONTH($C87),1)))</f>
        <v/>
      </c>
      <c r="S87">
        <f>IF(OR($I87="Оплачено",$H87&lt;&gt;""),$P87,$Q87)</f>
        <v/>
      </c>
      <c r="T87">
        <f>IF(OR($C87="",$D87="Доход",$I87="Оплачено",$I87="Отменено",$H87&lt;&gt;"",$C87&lt;TODAY()),"",$C87)</f>
        <v/>
      </c>
      <c r="U87">
        <f>IF(AND($D87&lt;&gt;"Доход",COUNTIFS(Счета!$B$10:$B$21,$J87,Счета!$C$10:$C$21,"Кредитная")&gt;0),1,0)</f>
        <v/>
      </c>
    </row>
    <row r="88" ht="19" customHeight="1">
      <c r="B88" s="53">
        <f>IF(AND($C88="",$F88=""),"",ROW()-9)</f>
        <v/>
      </c>
      <c r="C88" s="213" t="n"/>
      <c r="D88" s="55" t="n"/>
      <c r="E88" s="55" t="n"/>
      <c r="F88" s="56" t="n"/>
      <c r="G88" s="196" t="n"/>
      <c r="H88" s="196" t="n"/>
      <c r="I88" s="55" t="n"/>
      <c r="J88" s="55" t="n"/>
      <c r="K88" s="55" t="n"/>
      <c r="L88" s="100">
        <f>IF(OR($C88="",$I88="Оплачено",$I88="Отменено",$H88&lt;&gt;""),"",$C88-TODAY())</f>
        <v/>
      </c>
      <c r="M88" s="101">
        <f>IF($C88="","",INDEX(Настройки!$V$6:$V$17,MONTH($C88))&amp;" "&amp;YEAR($C88))</f>
        <v/>
      </c>
      <c r="N88" s="57">
        <f>IF($F88="","",IF(COUNTIF(Постоянные!$C$8:$C$37,$F88)&gt;0,"есть в Постоянных",IF(COUNTIF(Покупки!$C$7:$C$18,$F88)&gt;0,"есть в Покупках","")))</f>
        <v/>
      </c>
      <c r="P88">
        <f>IF($H88&lt;&gt;"",$H88,IF($I88="Оплачено",N($G88),0))</f>
        <v/>
      </c>
      <c r="Q88">
        <f>IF($I88="Отменено",0,IF($G88&lt;&gt;"",$G88,N($H88)))</f>
        <v/>
      </c>
      <c r="R88">
        <f>IF($C88="","",IFERROR(DATE(Настройки!$C$8,Настройки!$D$9+MATCH($M88,Настройки!$X$6:$X$17,0)-1,1),DATE(YEAR($C88),MONTH($C88),1)))</f>
        <v/>
      </c>
      <c r="S88">
        <f>IF(OR($I88="Оплачено",$H88&lt;&gt;""),$P88,$Q88)</f>
        <v/>
      </c>
      <c r="T88">
        <f>IF(OR($C88="",$D88="Доход",$I88="Оплачено",$I88="Отменено",$H88&lt;&gt;"",$C88&lt;TODAY()),"",$C88)</f>
        <v/>
      </c>
      <c r="U88">
        <f>IF(AND($D88&lt;&gt;"Доход",COUNTIFS(Счета!$B$10:$B$21,$J88,Счета!$C$10:$C$21,"Кредитная")&gt;0),1,0)</f>
        <v/>
      </c>
    </row>
    <row r="89" ht="19" customHeight="1">
      <c r="B89" s="53">
        <f>IF(AND($C89="",$F89=""),"",ROW()-9)</f>
        <v/>
      </c>
      <c r="C89" s="213" t="n"/>
      <c r="D89" s="55" t="n"/>
      <c r="E89" s="55" t="n"/>
      <c r="F89" s="56" t="n"/>
      <c r="G89" s="196" t="n"/>
      <c r="H89" s="196" t="n"/>
      <c r="I89" s="55" t="n"/>
      <c r="J89" s="55" t="n"/>
      <c r="K89" s="55" t="n"/>
      <c r="L89" s="100">
        <f>IF(OR($C89="",$I89="Оплачено",$I89="Отменено",$H89&lt;&gt;""),"",$C89-TODAY())</f>
        <v/>
      </c>
      <c r="M89" s="101">
        <f>IF($C89="","",INDEX(Настройки!$V$6:$V$17,MONTH($C89))&amp;" "&amp;YEAR($C89))</f>
        <v/>
      </c>
      <c r="N89" s="57">
        <f>IF($F89="","",IF(COUNTIF(Постоянные!$C$8:$C$37,$F89)&gt;0,"есть в Постоянных",IF(COUNTIF(Покупки!$C$7:$C$18,$F89)&gt;0,"есть в Покупках","")))</f>
        <v/>
      </c>
      <c r="P89">
        <f>IF($H89&lt;&gt;"",$H89,IF($I89="Оплачено",N($G89),0))</f>
        <v/>
      </c>
      <c r="Q89">
        <f>IF($I89="Отменено",0,IF($G89&lt;&gt;"",$G89,N($H89)))</f>
        <v/>
      </c>
      <c r="R89">
        <f>IF($C89="","",IFERROR(DATE(Настройки!$C$8,Настройки!$D$9+MATCH($M89,Настройки!$X$6:$X$17,0)-1,1),DATE(YEAR($C89),MONTH($C89),1)))</f>
        <v/>
      </c>
      <c r="S89">
        <f>IF(OR($I89="Оплачено",$H89&lt;&gt;""),$P89,$Q89)</f>
        <v/>
      </c>
      <c r="T89">
        <f>IF(OR($C89="",$D89="Доход",$I89="Оплачено",$I89="Отменено",$H89&lt;&gt;"",$C89&lt;TODAY()),"",$C89)</f>
        <v/>
      </c>
      <c r="U89">
        <f>IF(AND($D89&lt;&gt;"Доход",COUNTIFS(Счета!$B$10:$B$21,$J89,Счета!$C$10:$C$21,"Кредитная")&gt;0),1,0)</f>
        <v/>
      </c>
    </row>
    <row r="90" ht="19" customHeight="1">
      <c r="B90" s="53">
        <f>IF(AND($C90="",$F90=""),"",ROW()-9)</f>
        <v/>
      </c>
      <c r="C90" s="213" t="n"/>
      <c r="D90" s="55" t="n"/>
      <c r="E90" s="55" t="n"/>
      <c r="F90" s="56" t="n"/>
      <c r="G90" s="196" t="n"/>
      <c r="H90" s="196" t="n"/>
      <c r="I90" s="55" t="n"/>
      <c r="J90" s="55" t="n"/>
      <c r="K90" s="55" t="n"/>
      <c r="L90" s="100">
        <f>IF(OR($C90="",$I90="Оплачено",$I90="Отменено",$H90&lt;&gt;""),"",$C90-TODAY())</f>
        <v/>
      </c>
      <c r="M90" s="101">
        <f>IF($C90="","",INDEX(Настройки!$V$6:$V$17,MONTH($C90))&amp;" "&amp;YEAR($C90))</f>
        <v/>
      </c>
      <c r="N90" s="57">
        <f>IF($F90="","",IF(COUNTIF(Постоянные!$C$8:$C$37,$F90)&gt;0,"есть в Постоянных",IF(COUNTIF(Покупки!$C$7:$C$18,$F90)&gt;0,"есть в Покупках","")))</f>
        <v/>
      </c>
      <c r="P90">
        <f>IF($H90&lt;&gt;"",$H90,IF($I90="Оплачено",N($G90),0))</f>
        <v/>
      </c>
      <c r="Q90">
        <f>IF($I90="Отменено",0,IF($G90&lt;&gt;"",$G90,N($H90)))</f>
        <v/>
      </c>
      <c r="R90">
        <f>IF($C90="","",IFERROR(DATE(Настройки!$C$8,Настройки!$D$9+MATCH($M90,Настройки!$X$6:$X$17,0)-1,1),DATE(YEAR($C90),MONTH($C90),1)))</f>
        <v/>
      </c>
      <c r="S90">
        <f>IF(OR($I90="Оплачено",$H90&lt;&gt;""),$P90,$Q90)</f>
        <v/>
      </c>
      <c r="T90">
        <f>IF(OR($C90="",$D90="Доход",$I90="Оплачено",$I90="Отменено",$H90&lt;&gt;"",$C90&lt;TODAY()),"",$C90)</f>
        <v/>
      </c>
      <c r="U90">
        <f>IF(AND($D90&lt;&gt;"Доход",COUNTIFS(Счета!$B$10:$B$21,$J90,Счета!$C$10:$C$21,"Кредитная")&gt;0),1,0)</f>
        <v/>
      </c>
    </row>
    <row r="91" ht="19" customHeight="1">
      <c r="B91" s="53">
        <f>IF(AND($C91="",$F91=""),"",ROW()-9)</f>
        <v/>
      </c>
      <c r="C91" s="213" t="n"/>
      <c r="D91" s="55" t="n"/>
      <c r="E91" s="55" t="n"/>
      <c r="F91" s="56" t="n"/>
      <c r="G91" s="196" t="n"/>
      <c r="H91" s="196" t="n"/>
      <c r="I91" s="55" t="n"/>
      <c r="J91" s="55" t="n"/>
      <c r="K91" s="55" t="n"/>
      <c r="L91" s="100">
        <f>IF(OR($C91="",$I91="Оплачено",$I91="Отменено",$H91&lt;&gt;""),"",$C91-TODAY())</f>
        <v/>
      </c>
      <c r="M91" s="101">
        <f>IF($C91="","",INDEX(Настройки!$V$6:$V$17,MONTH($C91))&amp;" "&amp;YEAR($C91))</f>
        <v/>
      </c>
      <c r="N91" s="57">
        <f>IF($F91="","",IF(COUNTIF(Постоянные!$C$8:$C$37,$F91)&gt;0,"есть в Постоянных",IF(COUNTIF(Покупки!$C$7:$C$18,$F91)&gt;0,"есть в Покупках","")))</f>
        <v/>
      </c>
      <c r="P91">
        <f>IF($H91&lt;&gt;"",$H91,IF($I91="Оплачено",N($G91),0))</f>
        <v/>
      </c>
      <c r="Q91">
        <f>IF($I91="Отменено",0,IF($G91&lt;&gt;"",$G91,N($H91)))</f>
        <v/>
      </c>
      <c r="R91">
        <f>IF($C91="","",IFERROR(DATE(Настройки!$C$8,Настройки!$D$9+MATCH($M91,Настройки!$X$6:$X$17,0)-1,1),DATE(YEAR($C91),MONTH($C91),1)))</f>
        <v/>
      </c>
      <c r="S91">
        <f>IF(OR($I91="Оплачено",$H91&lt;&gt;""),$P91,$Q91)</f>
        <v/>
      </c>
      <c r="T91">
        <f>IF(OR($C91="",$D91="Доход",$I91="Оплачено",$I91="Отменено",$H91&lt;&gt;"",$C91&lt;TODAY()),"",$C91)</f>
        <v/>
      </c>
      <c r="U91">
        <f>IF(AND($D91&lt;&gt;"Доход",COUNTIFS(Счета!$B$10:$B$21,$J91,Счета!$C$10:$C$21,"Кредитная")&gt;0),1,0)</f>
        <v/>
      </c>
    </row>
    <row r="92" ht="19" customHeight="1">
      <c r="B92" s="53">
        <f>IF(AND($C92="",$F92=""),"",ROW()-9)</f>
        <v/>
      </c>
      <c r="C92" s="213" t="n"/>
      <c r="D92" s="55" t="n"/>
      <c r="E92" s="55" t="n"/>
      <c r="F92" s="56" t="n"/>
      <c r="G92" s="196" t="n"/>
      <c r="H92" s="196" t="n"/>
      <c r="I92" s="55" t="n"/>
      <c r="J92" s="55" t="n"/>
      <c r="K92" s="55" t="n"/>
      <c r="L92" s="100">
        <f>IF(OR($C92="",$I92="Оплачено",$I92="Отменено",$H92&lt;&gt;""),"",$C92-TODAY())</f>
        <v/>
      </c>
      <c r="M92" s="101">
        <f>IF($C92="","",INDEX(Настройки!$V$6:$V$17,MONTH($C92))&amp;" "&amp;YEAR($C92))</f>
        <v/>
      </c>
      <c r="N92" s="57">
        <f>IF($F92="","",IF(COUNTIF(Постоянные!$C$8:$C$37,$F92)&gt;0,"есть в Постоянных",IF(COUNTIF(Покупки!$C$7:$C$18,$F92)&gt;0,"есть в Покупках","")))</f>
        <v/>
      </c>
      <c r="P92">
        <f>IF($H92&lt;&gt;"",$H92,IF($I92="Оплачено",N($G92),0))</f>
        <v/>
      </c>
      <c r="Q92">
        <f>IF($I92="Отменено",0,IF($G92&lt;&gt;"",$G92,N($H92)))</f>
        <v/>
      </c>
      <c r="R92">
        <f>IF($C92="","",IFERROR(DATE(Настройки!$C$8,Настройки!$D$9+MATCH($M92,Настройки!$X$6:$X$17,0)-1,1),DATE(YEAR($C92),MONTH($C92),1)))</f>
        <v/>
      </c>
      <c r="S92">
        <f>IF(OR($I92="Оплачено",$H92&lt;&gt;""),$P92,$Q92)</f>
        <v/>
      </c>
      <c r="T92">
        <f>IF(OR($C92="",$D92="Доход",$I92="Оплачено",$I92="Отменено",$H92&lt;&gt;"",$C92&lt;TODAY()),"",$C92)</f>
        <v/>
      </c>
      <c r="U92">
        <f>IF(AND($D92&lt;&gt;"Доход",COUNTIFS(Счета!$B$10:$B$21,$J92,Счета!$C$10:$C$21,"Кредитная")&gt;0),1,0)</f>
        <v/>
      </c>
    </row>
    <row r="93" ht="19" customHeight="1">
      <c r="B93" s="53">
        <f>IF(AND($C93="",$F93=""),"",ROW()-9)</f>
        <v/>
      </c>
      <c r="C93" s="213" t="n"/>
      <c r="D93" s="55" t="n"/>
      <c r="E93" s="55" t="n"/>
      <c r="F93" s="56" t="n"/>
      <c r="G93" s="196" t="n"/>
      <c r="H93" s="196" t="n"/>
      <c r="I93" s="55" t="n"/>
      <c r="J93" s="55" t="n"/>
      <c r="K93" s="55" t="n"/>
      <c r="L93" s="100">
        <f>IF(OR($C93="",$I93="Оплачено",$I93="Отменено",$H93&lt;&gt;""),"",$C93-TODAY())</f>
        <v/>
      </c>
      <c r="M93" s="101">
        <f>IF($C93="","",INDEX(Настройки!$V$6:$V$17,MONTH($C93))&amp;" "&amp;YEAR($C93))</f>
        <v/>
      </c>
      <c r="N93" s="57">
        <f>IF($F93="","",IF(COUNTIF(Постоянные!$C$8:$C$37,$F93)&gt;0,"есть в Постоянных",IF(COUNTIF(Покупки!$C$7:$C$18,$F93)&gt;0,"есть в Покупках","")))</f>
        <v/>
      </c>
      <c r="P93">
        <f>IF($H93&lt;&gt;"",$H93,IF($I93="Оплачено",N($G93),0))</f>
        <v/>
      </c>
      <c r="Q93">
        <f>IF($I93="Отменено",0,IF($G93&lt;&gt;"",$G93,N($H93)))</f>
        <v/>
      </c>
      <c r="R93">
        <f>IF($C93="","",IFERROR(DATE(Настройки!$C$8,Настройки!$D$9+MATCH($M93,Настройки!$X$6:$X$17,0)-1,1),DATE(YEAR($C93),MONTH($C93),1)))</f>
        <v/>
      </c>
      <c r="S93">
        <f>IF(OR($I93="Оплачено",$H93&lt;&gt;""),$P93,$Q93)</f>
        <v/>
      </c>
      <c r="T93">
        <f>IF(OR($C93="",$D93="Доход",$I93="Оплачено",$I93="Отменено",$H93&lt;&gt;"",$C93&lt;TODAY()),"",$C93)</f>
        <v/>
      </c>
      <c r="U93">
        <f>IF(AND($D93&lt;&gt;"Доход",COUNTIFS(Счета!$B$10:$B$21,$J93,Счета!$C$10:$C$21,"Кредитная")&gt;0),1,0)</f>
        <v/>
      </c>
    </row>
    <row r="94" ht="19" customHeight="1">
      <c r="B94" s="53">
        <f>IF(AND($C94="",$F94=""),"",ROW()-9)</f>
        <v/>
      </c>
      <c r="C94" s="213" t="n"/>
      <c r="D94" s="55" t="n"/>
      <c r="E94" s="55" t="n"/>
      <c r="F94" s="56" t="n"/>
      <c r="G94" s="196" t="n"/>
      <c r="H94" s="196" t="n"/>
      <c r="I94" s="55" t="n"/>
      <c r="J94" s="55" t="n"/>
      <c r="K94" s="55" t="n"/>
      <c r="L94" s="100">
        <f>IF(OR($C94="",$I94="Оплачено",$I94="Отменено",$H94&lt;&gt;""),"",$C94-TODAY())</f>
        <v/>
      </c>
      <c r="M94" s="101">
        <f>IF($C94="","",INDEX(Настройки!$V$6:$V$17,MONTH($C94))&amp;" "&amp;YEAR($C94))</f>
        <v/>
      </c>
      <c r="N94" s="57">
        <f>IF($F94="","",IF(COUNTIF(Постоянные!$C$8:$C$37,$F94)&gt;0,"есть в Постоянных",IF(COUNTIF(Покупки!$C$7:$C$18,$F94)&gt;0,"есть в Покупках","")))</f>
        <v/>
      </c>
      <c r="P94">
        <f>IF($H94&lt;&gt;"",$H94,IF($I94="Оплачено",N($G94),0))</f>
        <v/>
      </c>
      <c r="Q94">
        <f>IF($I94="Отменено",0,IF($G94&lt;&gt;"",$G94,N($H94)))</f>
        <v/>
      </c>
      <c r="R94">
        <f>IF($C94="","",IFERROR(DATE(Настройки!$C$8,Настройки!$D$9+MATCH($M94,Настройки!$X$6:$X$17,0)-1,1),DATE(YEAR($C94),MONTH($C94),1)))</f>
        <v/>
      </c>
      <c r="S94">
        <f>IF(OR($I94="Оплачено",$H94&lt;&gt;""),$P94,$Q94)</f>
        <v/>
      </c>
      <c r="T94">
        <f>IF(OR($C94="",$D94="Доход",$I94="Оплачено",$I94="Отменено",$H94&lt;&gt;"",$C94&lt;TODAY()),"",$C94)</f>
        <v/>
      </c>
      <c r="U94">
        <f>IF(AND($D94&lt;&gt;"Доход",COUNTIFS(Счета!$B$10:$B$21,$J94,Счета!$C$10:$C$21,"Кредитная")&gt;0),1,0)</f>
        <v/>
      </c>
    </row>
    <row r="95" ht="19" customHeight="1">
      <c r="B95" s="53">
        <f>IF(AND($C95="",$F95=""),"",ROW()-9)</f>
        <v/>
      </c>
      <c r="C95" s="213" t="n"/>
      <c r="D95" s="55" t="n"/>
      <c r="E95" s="55" t="n"/>
      <c r="F95" s="56" t="n"/>
      <c r="G95" s="196" t="n"/>
      <c r="H95" s="196" t="n"/>
      <c r="I95" s="55" t="n"/>
      <c r="J95" s="55" t="n"/>
      <c r="K95" s="55" t="n"/>
      <c r="L95" s="100">
        <f>IF(OR($C95="",$I95="Оплачено",$I95="Отменено",$H95&lt;&gt;""),"",$C95-TODAY())</f>
        <v/>
      </c>
      <c r="M95" s="101">
        <f>IF($C95="","",INDEX(Настройки!$V$6:$V$17,MONTH($C95))&amp;" "&amp;YEAR($C95))</f>
        <v/>
      </c>
      <c r="N95" s="57">
        <f>IF($F95="","",IF(COUNTIF(Постоянные!$C$8:$C$37,$F95)&gt;0,"есть в Постоянных",IF(COUNTIF(Покупки!$C$7:$C$18,$F95)&gt;0,"есть в Покупках","")))</f>
        <v/>
      </c>
      <c r="P95">
        <f>IF($H95&lt;&gt;"",$H95,IF($I95="Оплачено",N($G95),0))</f>
        <v/>
      </c>
      <c r="Q95">
        <f>IF($I95="Отменено",0,IF($G95&lt;&gt;"",$G95,N($H95)))</f>
        <v/>
      </c>
      <c r="R95">
        <f>IF($C95="","",IFERROR(DATE(Настройки!$C$8,Настройки!$D$9+MATCH($M95,Настройки!$X$6:$X$17,0)-1,1),DATE(YEAR($C95),MONTH($C95),1)))</f>
        <v/>
      </c>
      <c r="S95">
        <f>IF(OR($I95="Оплачено",$H95&lt;&gt;""),$P95,$Q95)</f>
        <v/>
      </c>
      <c r="T95">
        <f>IF(OR($C95="",$D95="Доход",$I95="Оплачено",$I95="Отменено",$H95&lt;&gt;"",$C95&lt;TODAY()),"",$C95)</f>
        <v/>
      </c>
      <c r="U95">
        <f>IF(AND($D95&lt;&gt;"Доход",COUNTIFS(Счета!$B$10:$B$21,$J95,Счета!$C$10:$C$21,"Кредитная")&gt;0),1,0)</f>
        <v/>
      </c>
    </row>
    <row r="96" ht="19" customHeight="1">
      <c r="B96" s="53">
        <f>IF(AND($C96="",$F96=""),"",ROW()-9)</f>
        <v/>
      </c>
      <c r="C96" s="213" t="n"/>
      <c r="D96" s="55" t="n"/>
      <c r="E96" s="55" t="n"/>
      <c r="F96" s="56" t="n"/>
      <c r="G96" s="196" t="n"/>
      <c r="H96" s="196" t="n"/>
      <c r="I96" s="55" t="n"/>
      <c r="J96" s="55" t="n"/>
      <c r="K96" s="55" t="n"/>
      <c r="L96" s="100">
        <f>IF(OR($C96="",$I96="Оплачено",$I96="Отменено",$H96&lt;&gt;""),"",$C96-TODAY())</f>
        <v/>
      </c>
      <c r="M96" s="101">
        <f>IF($C96="","",INDEX(Настройки!$V$6:$V$17,MONTH($C96))&amp;" "&amp;YEAR($C96))</f>
        <v/>
      </c>
      <c r="N96" s="57">
        <f>IF($F96="","",IF(COUNTIF(Постоянные!$C$8:$C$37,$F96)&gt;0,"есть в Постоянных",IF(COUNTIF(Покупки!$C$7:$C$18,$F96)&gt;0,"есть в Покупках","")))</f>
        <v/>
      </c>
      <c r="P96">
        <f>IF($H96&lt;&gt;"",$H96,IF($I96="Оплачено",N($G96),0))</f>
        <v/>
      </c>
      <c r="Q96">
        <f>IF($I96="Отменено",0,IF($G96&lt;&gt;"",$G96,N($H96)))</f>
        <v/>
      </c>
      <c r="R96">
        <f>IF($C96="","",IFERROR(DATE(Настройки!$C$8,Настройки!$D$9+MATCH($M96,Настройки!$X$6:$X$17,0)-1,1),DATE(YEAR($C96),MONTH($C96),1)))</f>
        <v/>
      </c>
      <c r="S96">
        <f>IF(OR($I96="Оплачено",$H96&lt;&gt;""),$P96,$Q96)</f>
        <v/>
      </c>
      <c r="T96">
        <f>IF(OR($C96="",$D96="Доход",$I96="Оплачено",$I96="Отменено",$H96&lt;&gt;"",$C96&lt;TODAY()),"",$C96)</f>
        <v/>
      </c>
      <c r="U96">
        <f>IF(AND($D96&lt;&gt;"Доход",COUNTIFS(Счета!$B$10:$B$21,$J96,Счета!$C$10:$C$21,"Кредитная")&gt;0),1,0)</f>
        <v/>
      </c>
    </row>
    <row r="97" ht="19" customHeight="1">
      <c r="B97" s="53">
        <f>IF(AND($C97="",$F97=""),"",ROW()-9)</f>
        <v/>
      </c>
      <c r="C97" s="213" t="n"/>
      <c r="D97" s="55" t="n"/>
      <c r="E97" s="55" t="n"/>
      <c r="F97" s="56" t="n"/>
      <c r="G97" s="196" t="n"/>
      <c r="H97" s="196" t="n"/>
      <c r="I97" s="55" t="n"/>
      <c r="J97" s="55" t="n"/>
      <c r="K97" s="55" t="n"/>
      <c r="L97" s="100">
        <f>IF(OR($C97="",$I97="Оплачено",$I97="Отменено",$H97&lt;&gt;""),"",$C97-TODAY())</f>
        <v/>
      </c>
      <c r="M97" s="101">
        <f>IF($C97="","",INDEX(Настройки!$V$6:$V$17,MONTH($C97))&amp;" "&amp;YEAR($C97))</f>
        <v/>
      </c>
      <c r="N97" s="57">
        <f>IF($F97="","",IF(COUNTIF(Постоянные!$C$8:$C$37,$F97)&gt;0,"есть в Постоянных",IF(COUNTIF(Покупки!$C$7:$C$18,$F97)&gt;0,"есть в Покупках","")))</f>
        <v/>
      </c>
      <c r="P97">
        <f>IF($H97&lt;&gt;"",$H97,IF($I97="Оплачено",N($G97),0))</f>
        <v/>
      </c>
      <c r="Q97">
        <f>IF($I97="Отменено",0,IF($G97&lt;&gt;"",$G97,N($H97)))</f>
        <v/>
      </c>
      <c r="R97">
        <f>IF($C97="","",IFERROR(DATE(Настройки!$C$8,Настройки!$D$9+MATCH($M97,Настройки!$X$6:$X$17,0)-1,1),DATE(YEAR($C97),MONTH($C97),1)))</f>
        <v/>
      </c>
      <c r="S97">
        <f>IF(OR($I97="Оплачено",$H97&lt;&gt;""),$P97,$Q97)</f>
        <v/>
      </c>
      <c r="T97">
        <f>IF(OR($C97="",$D97="Доход",$I97="Оплачено",$I97="Отменено",$H97&lt;&gt;"",$C97&lt;TODAY()),"",$C97)</f>
        <v/>
      </c>
      <c r="U97">
        <f>IF(AND($D97&lt;&gt;"Доход",COUNTIFS(Счета!$B$10:$B$21,$J97,Счета!$C$10:$C$21,"Кредитная")&gt;0),1,0)</f>
        <v/>
      </c>
    </row>
    <row r="98" ht="19" customHeight="1">
      <c r="B98" s="53">
        <f>IF(AND($C98="",$F98=""),"",ROW()-9)</f>
        <v/>
      </c>
      <c r="C98" s="213" t="n"/>
      <c r="D98" s="55" t="n"/>
      <c r="E98" s="55" t="n"/>
      <c r="F98" s="56" t="n"/>
      <c r="G98" s="196" t="n"/>
      <c r="H98" s="196" t="n"/>
      <c r="I98" s="55" t="n"/>
      <c r="J98" s="55" t="n"/>
      <c r="K98" s="55" t="n"/>
      <c r="L98" s="100">
        <f>IF(OR($C98="",$I98="Оплачено",$I98="Отменено",$H98&lt;&gt;""),"",$C98-TODAY())</f>
        <v/>
      </c>
      <c r="M98" s="101">
        <f>IF($C98="","",INDEX(Настройки!$V$6:$V$17,MONTH($C98))&amp;" "&amp;YEAR($C98))</f>
        <v/>
      </c>
      <c r="N98" s="57">
        <f>IF($F98="","",IF(COUNTIF(Постоянные!$C$8:$C$37,$F98)&gt;0,"есть в Постоянных",IF(COUNTIF(Покупки!$C$7:$C$18,$F98)&gt;0,"есть в Покупках","")))</f>
        <v/>
      </c>
      <c r="P98">
        <f>IF($H98&lt;&gt;"",$H98,IF($I98="Оплачено",N($G98),0))</f>
        <v/>
      </c>
      <c r="Q98">
        <f>IF($I98="Отменено",0,IF($G98&lt;&gt;"",$G98,N($H98)))</f>
        <v/>
      </c>
      <c r="R98">
        <f>IF($C98="","",IFERROR(DATE(Настройки!$C$8,Настройки!$D$9+MATCH($M98,Настройки!$X$6:$X$17,0)-1,1),DATE(YEAR($C98),MONTH($C98),1)))</f>
        <v/>
      </c>
      <c r="S98">
        <f>IF(OR($I98="Оплачено",$H98&lt;&gt;""),$P98,$Q98)</f>
        <v/>
      </c>
      <c r="T98">
        <f>IF(OR($C98="",$D98="Доход",$I98="Оплачено",$I98="Отменено",$H98&lt;&gt;"",$C98&lt;TODAY()),"",$C98)</f>
        <v/>
      </c>
      <c r="U98">
        <f>IF(AND($D98&lt;&gt;"Доход",COUNTIFS(Счета!$B$10:$B$21,$J98,Счета!$C$10:$C$21,"Кредитная")&gt;0),1,0)</f>
        <v/>
      </c>
    </row>
    <row r="99" ht="19" customHeight="1">
      <c r="B99" s="53">
        <f>IF(AND($C99="",$F99=""),"",ROW()-9)</f>
        <v/>
      </c>
      <c r="C99" s="213" t="n"/>
      <c r="D99" s="55" t="n"/>
      <c r="E99" s="55" t="n"/>
      <c r="F99" s="56" t="n"/>
      <c r="G99" s="196" t="n"/>
      <c r="H99" s="196" t="n"/>
      <c r="I99" s="55" t="n"/>
      <c r="J99" s="55" t="n"/>
      <c r="K99" s="55" t="n"/>
      <c r="L99" s="100">
        <f>IF(OR($C99="",$I99="Оплачено",$I99="Отменено",$H99&lt;&gt;""),"",$C99-TODAY())</f>
        <v/>
      </c>
      <c r="M99" s="101">
        <f>IF($C99="","",INDEX(Настройки!$V$6:$V$17,MONTH($C99))&amp;" "&amp;YEAR($C99))</f>
        <v/>
      </c>
      <c r="N99" s="57">
        <f>IF($F99="","",IF(COUNTIF(Постоянные!$C$8:$C$37,$F99)&gt;0,"есть в Постоянных",IF(COUNTIF(Покупки!$C$7:$C$18,$F99)&gt;0,"есть в Покупках","")))</f>
        <v/>
      </c>
      <c r="P99">
        <f>IF($H99&lt;&gt;"",$H99,IF($I99="Оплачено",N($G99),0))</f>
        <v/>
      </c>
      <c r="Q99">
        <f>IF($I99="Отменено",0,IF($G99&lt;&gt;"",$G99,N($H99)))</f>
        <v/>
      </c>
      <c r="R99">
        <f>IF($C99="","",IFERROR(DATE(Настройки!$C$8,Настройки!$D$9+MATCH($M99,Настройки!$X$6:$X$17,0)-1,1),DATE(YEAR($C99),MONTH($C99),1)))</f>
        <v/>
      </c>
      <c r="S99">
        <f>IF(OR($I99="Оплачено",$H99&lt;&gt;""),$P99,$Q99)</f>
        <v/>
      </c>
      <c r="T99">
        <f>IF(OR($C99="",$D99="Доход",$I99="Оплачено",$I99="Отменено",$H99&lt;&gt;"",$C99&lt;TODAY()),"",$C99)</f>
        <v/>
      </c>
      <c r="U99">
        <f>IF(AND($D99&lt;&gt;"Доход",COUNTIFS(Счета!$B$10:$B$21,$J99,Счета!$C$10:$C$21,"Кредитная")&gt;0),1,0)</f>
        <v/>
      </c>
    </row>
    <row r="100" ht="19" customHeight="1">
      <c r="B100" s="53">
        <f>IF(AND($C100="",$F100=""),"",ROW()-9)</f>
        <v/>
      </c>
      <c r="C100" s="213" t="n"/>
      <c r="D100" s="55" t="n"/>
      <c r="E100" s="55" t="n"/>
      <c r="F100" s="56" t="n"/>
      <c r="G100" s="196" t="n"/>
      <c r="H100" s="196" t="n"/>
      <c r="I100" s="55" t="n"/>
      <c r="J100" s="55" t="n"/>
      <c r="K100" s="55" t="n"/>
      <c r="L100" s="100">
        <f>IF(OR($C100="",$I100="Оплачено",$I100="Отменено",$H100&lt;&gt;""),"",$C100-TODAY())</f>
        <v/>
      </c>
      <c r="M100" s="101">
        <f>IF($C100="","",INDEX(Настройки!$V$6:$V$17,MONTH($C100))&amp;" "&amp;YEAR($C100))</f>
        <v/>
      </c>
      <c r="N100" s="57">
        <f>IF($F100="","",IF(COUNTIF(Постоянные!$C$8:$C$37,$F100)&gt;0,"есть в Постоянных",IF(COUNTIF(Покупки!$C$7:$C$18,$F100)&gt;0,"есть в Покупках","")))</f>
        <v/>
      </c>
      <c r="P100">
        <f>IF($H100&lt;&gt;"",$H100,IF($I100="Оплачено",N($G100),0))</f>
        <v/>
      </c>
      <c r="Q100">
        <f>IF($I100="Отменено",0,IF($G100&lt;&gt;"",$G100,N($H100)))</f>
        <v/>
      </c>
      <c r="R100">
        <f>IF($C100="","",IFERROR(DATE(Настройки!$C$8,Настройки!$D$9+MATCH($M100,Настройки!$X$6:$X$17,0)-1,1),DATE(YEAR($C100),MONTH($C100),1)))</f>
        <v/>
      </c>
      <c r="S100">
        <f>IF(OR($I100="Оплачено",$H100&lt;&gt;""),$P100,$Q100)</f>
        <v/>
      </c>
      <c r="T100">
        <f>IF(OR($C100="",$D100="Доход",$I100="Оплачено",$I100="Отменено",$H100&lt;&gt;"",$C100&lt;TODAY()),"",$C100)</f>
        <v/>
      </c>
      <c r="U100">
        <f>IF(AND($D100&lt;&gt;"Доход",COUNTIFS(Счета!$B$10:$B$21,$J100,Счета!$C$10:$C$21,"Кредитная")&gt;0),1,0)</f>
        <v/>
      </c>
    </row>
    <row r="101" ht="19" customHeight="1">
      <c r="B101" s="53">
        <f>IF(AND($C101="",$F101=""),"",ROW()-9)</f>
        <v/>
      </c>
      <c r="C101" s="213" t="n"/>
      <c r="D101" s="55" t="n"/>
      <c r="E101" s="55" t="n"/>
      <c r="F101" s="56" t="n"/>
      <c r="G101" s="196" t="n"/>
      <c r="H101" s="196" t="n"/>
      <c r="I101" s="55" t="n"/>
      <c r="J101" s="55" t="n"/>
      <c r="K101" s="55" t="n"/>
      <c r="L101" s="100">
        <f>IF(OR($C101="",$I101="Оплачено",$I101="Отменено",$H101&lt;&gt;""),"",$C101-TODAY())</f>
        <v/>
      </c>
      <c r="M101" s="101">
        <f>IF($C101="","",INDEX(Настройки!$V$6:$V$17,MONTH($C101))&amp;" "&amp;YEAR($C101))</f>
        <v/>
      </c>
      <c r="N101" s="57">
        <f>IF($F101="","",IF(COUNTIF(Постоянные!$C$8:$C$37,$F101)&gt;0,"есть в Постоянных",IF(COUNTIF(Покупки!$C$7:$C$18,$F101)&gt;0,"есть в Покупках","")))</f>
        <v/>
      </c>
      <c r="P101">
        <f>IF($H101&lt;&gt;"",$H101,IF($I101="Оплачено",N($G101),0))</f>
        <v/>
      </c>
      <c r="Q101">
        <f>IF($I101="Отменено",0,IF($G101&lt;&gt;"",$G101,N($H101)))</f>
        <v/>
      </c>
      <c r="R101">
        <f>IF($C101="","",IFERROR(DATE(Настройки!$C$8,Настройки!$D$9+MATCH($M101,Настройки!$X$6:$X$17,0)-1,1),DATE(YEAR($C101),MONTH($C101),1)))</f>
        <v/>
      </c>
      <c r="S101">
        <f>IF(OR($I101="Оплачено",$H101&lt;&gt;""),$P101,$Q101)</f>
        <v/>
      </c>
      <c r="T101">
        <f>IF(OR($C101="",$D101="Доход",$I101="Оплачено",$I101="Отменено",$H101&lt;&gt;"",$C101&lt;TODAY()),"",$C101)</f>
        <v/>
      </c>
      <c r="U101">
        <f>IF(AND($D101&lt;&gt;"Доход",COUNTIFS(Счета!$B$10:$B$21,$J101,Счета!$C$10:$C$21,"Кредитная")&gt;0),1,0)</f>
        <v/>
      </c>
    </row>
    <row r="102" ht="19" customHeight="1">
      <c r="B102" s="53">
        <f>IF(AND($C102="",$F102=""),"",ROW()-9)</f>
        <v/>
      </c>
      <c r="C102" s="213" t="n"/>
      <c r="D102" s="55" t="n"/>
      <c r="E102" s="55" t="n"/>
      <c r="F102" s="56" t="n"/>
      <c r="G102" s="196" t="n"/>
      <c r="H102" s="196" t="n"/>
      <c r="I102" s="55" t="n"/>
      <c r="J102" s="55" t="n"/>
      <c r="K102" s="55" t="n"/>
      <c r="L102" s="100">
        <f>IF(OR($C102="",$I102="Оплачено",$I102="Отменено",$H102&lt;&gt;""),"",$C102-TODAY())</f>
        <v/>
      </c>
      <c r="M102" s="101">
        <f>IF($C102="","",INDEX(Настройки!$V$6:$V$17,MONTH($C102))&amp;" "&amp;YEAR($C102))</f>
        <v/>
      </c>
      <c r="N102" s="57">
        <f>IF($F102="","",IF(COUNTIF(Постоянные!$C$8:$C$37,$F102)&gt;0,"есть в Постоянных",IF(COUNTIF(Покупки!$C$7:$C$18,$F102)&gt;0,"есть в Покупках","")))</f>
        <v/>
      </c>
      <c r="P102">
        <f>IF($H102&lt;&gt;"",$H102,IF($I102="Оплачено",N($G102),0))</f>
        <v/>
      </c>
      <c r="Q102">
        <f>IF($I102="Отменено",0,IF($G102&lt;&gt;"",$G102,N($H102)))</f>
        <v/>
      </c>
      <c r="R102">
        <f>IF($C102="","",IFERROR(DATE(Настройки!$C$8,Настройки!$D$9+MATCH($M102,Настройки!$X$6:$X$17,0)-1,1),DATE(YEAR($C102),MONTH($C102),1)))</f>
        <v/>
      </c>
      <c r="S102">
        <f>IF(OR($I102="Оплачено",$H102&lt;&gt;""),$P102,$Q102)</f>
        <v/>
      </c>
      <c r="T102">
        <f>IF(OR($C102="",$D102="Доход",$I102="Оплачено",$I102="Отменено",$H102&lt;&gt;"",$C102&lt;TODAY()),"",$C102)</f>
        <v/>
      </c>
      <c r="U102">
        <f>IF(AND($D102&lt;&gt;"Доход",COUNTIFS(Счета!$B$10:$B$21,$J102,Счета!$C$10:$C$21,"Кредитная")&gt;0),1,0)</f>
        <v/>
      </c>
    </row>
    <row r="103" ht="19" customHeight="1">
      <c r="B103" s="53">
        <f>IF(AND($C103="",$F103=""),"",ROW()-9)</f>
        <v/>
      </c>
      <c r="C103" s="213" t="n"/>
      <c r="D103" s="55" t="n"/>
      <c r="E103" s="55" t="n"/>
      <c r="F103" s="56" t="n"/>
      <c r="G103" s="196" t="n"/>
      <c r="H103" s="196" t="n"/>
      <c r="I103" s="55" t="n"/>
      <c r="J103" s="55" t="n"/>
      <c r="K103" s="55" t="n"/>
      <c r="L103" s="100">
        <f>IF(OR($C103="",$I103="Оплачено",$I103="Отменено",$H103&lt;&gt;""),"",$C103-TODAY())</f>
        <v/>
      </c>
      <c r="M103" s="101">
        <f>IF($C103="","",INDEX(Настройки!$V$6:$V$17,MONTH($C103))&amp;" "&amp;YEAR($C103))</f>
        <v/>
      </c>
      <c r="N103" s="57">
        <f>IF($F103="","",IF(COUNTIF(Постоянные!$C$8:$C$37,$F103)&gt;0,"есть в Постоянных",IF(COUNTIF(Покупки!$C$7:$C$18,$F103)&gt;0,"есть в Покупках","")))</f>
        <v/>
      </c>
      <c r="P103">
        <f>IF($H103&lt;&gt;"",$H103,IF($I103="Оплачено",N($G103),0))</f>
        <v/>
      </c>
      <c r="Q103">
        <f>IF($I103="Отменено",0,IF($G103&lt;&gt;"",$G103,N($H103)))</f>
        <v/>
      </c>
      <c r="R103">
        <f>IF($C103="","",IFERROR(DATE(Настройки!$C$8,Настройки!$D$9+MATCH($M103,Настройки!$X$6:$X$17,0)-1,1),DATE(YEAR($C103),MONTH($C103),1)))</f>
        <v/>
      </c>
      <c r="S103">
        <f>IF(OR($I103="Оплачено",$H103&lt;&gt;""),$P103,$Q103)</f>
        <v/>
      </c>
      <c r="T103">
        <f>IF(OR($C103="",$D103="Доход",$I103="Оплачено",$I103="Отменено",$H103&lt;&gt;"",$C103&lt;TODAY()),"",$C103)</f>
        <v/>
      </c>
      <c r="U103">
        <f>IF(AND($D103&lt;&gt;"Доход",COUNTIFS(Счета!$B$10:$B$21,$J103,Счета!$C$10:$C$21,"Кредитная")&gt;0),1,0)</f>
        <v/>
      </c>
    </row>
    <row r="104" ht="19" customHeight="1">
      <c r="B104" s="53">
        <f>IF(AND($C104="",$F104=""),"",ROW()-9)</f>
        <v/>
      </c>
      <c r="C104" s="213" t="n"/>
      <c r="D104" s="55" t="n"/>
      <c r="E104" s="55" t="n"/>
      <c r="F104" s="56" t="n"/>
      <c r="G104" s="196" t="n"/>
      <c r="H104" s="196" t="n"/>
      <c r="I104" s="55" t="n"/>
      <c r="J104" s="55" t="n"/>
      <c r="K104" s="55" t="n"/>
      <c r="L104" s="100">
        <f>IF(OR($C104="",$I104="Оплачено",$I104="Отменено",$H104&lt;&gt;""),"",$C104-TODAY())</f>
        <v/>
      </c>
      <c r="M104" s="101">
        <f>IF($C104="","",INDEX(Настройки!$V$6:$V$17,MONTH($C104))&amp;" "&amp;YEAR($C104))</f>
        <v/>
      </c>
      <c r="N104" s="57">
        <f>IF($F104="","",IF(COUNTIF(Постоянные!$C$8:$C$37,$F104)&gt;0,"есть в Постоянных",IF(COUNTIF(Покупки!$C$7:$C$18,$F104)&gt;0,"есть в Покупках","")))</f>
        <v/>
      </c>
      <c r="P104">
        <f>IF($H104&lt;&gt;"",$H104,IF($I104="Оплачено",N($G104),0))</f>
        <v/>
      </c>
      <c r="Q104">
        <f>IF($I104="Отменено",0,IF($G104&lt;&gt;"",$G104,N($H104)))</f>
        <v/>
      </c>
      <c r="R104">
        <f>IF($C104="","",IFERROR(DATE(Настройки!$C$8,Настройки!$D$9+MATCH($M104,Настройки!$X$6:$X$17,0)-1,1),DATE(YEAR($C104),MONTH($C104),1)))</f>
        <v/>
      </c>
      <c r="S104">
        <f>IF(OR($I104="Оплачено",$H104&lt;&gt;""),$P104,$Q104)</f>
        <v/>
      </c>
      <c r="T104">
        <f>IF(OR($C104="",$D104="Доход",$I104="Оплачено",$I104="Отменено",$H104&lt;&gt;"",$C104&lt;TODAY()),"",$C104)</f>
        <v/>
      </c>
      <c r="U104">
        <f>IF(AND($D104&lt;&gt;"Доход",COUNTIFS(Счета!$B$10:$B$21,$J104,Счета!$C$10:$C$21,"Кредитная")&gt;0),1,0)</f>
        <v/>
      </c>
    </row>
    <row r="105" ht="19" customHeight="1">
      <c r="B105" s="53">
        <f>IF(AND($C105="",$F105=""),"",ROW()-9)</f>
        <v/>
      </c>
      <c r="C105" s="213" t="n"/>
      <c r="D105" s="55" t="n"/>
      <c r="E105" s="55" t="n"/>
      <c r="F105" s="56" t="n"/>
      <c r="G105" s="196" t="n"/>
      <c r="H105" s="196" t="n"/>
      <c r="I105" s="55" t="n"/>
      <c r="J105" s="55" t="n"/>
      <c r="K105" s="55" t="n"/>
      <c r="L105" s="100">
        <f>IF(OR($C105="",$I105="Оплачено",$I105="Отменено",$H105&lt;&gt;""),"",$C105-TODAY())</f>
        <v/>
      </c>
      <c r="M105" s="101">
        <f>IF($C105="","",INDEX(Настройки!$V$6:$V$17,MONTH($C105))&amp;" "&amp;YEAR($C105))</f>
        <v/>
      </c>
      <c r="N105" s="57">
        <f>IF($F105="","",IF(COUNTIF(Постоянные!$C$8:$C$37,$F105)&gt;0,"есть в Постоянных",IF(COUNTIF(Покупки!$C$7:$C$18,$F105)&gt;0,"есть в Покупках","")))</f>
        <v/>
      </c>
      <c r="P105">
        <f>IF($H105&lt;&gt;"",$H105,IF($I105="Оплачено",N($G105),0))</f>
        <v/>
      </c>
      <c r="Q105">
        <f>IF($I105="Отменено",0,IF($G105&lt;&gt;"",$G105,N($H105)))</f>
        <v/>
      </c>
      <c r="R105">
        <f>IF($C105="","",IFERROR(DATE(Настройки!$C$8,Настройки!$D$9+MATCH($M105,Настройки!$X$6:$X$17,0)-1,1),DATE(YEAR($C105),MONTH($C105),1)))</f>
        <v/>
      </c>
      <c r="S105">
        <f>IF(OR($I105="Оплачено",$H105&lt;&gt;""),$P105,$Q105)</f>
        <v/>
      </c>
      <c r="T105">
        <f>IF(OR($C105="",$D105="Доход",$I105="Оплачено",$I105="Отменено",$H105&lt;&gt;"",$C105&lt;TODAY()),"",$C105)</f>
        <v/>
      </c>
      <c r="U105">
        <f>IF(AND($D105&lt;&gt;"Доход",COUNTIFS(Счета!$B$10:$B$21,$J105,Счета!$C$10:$C$21,"Кредитная")&gt;0),1,0)</f>
        <v/>
      </c>
    </row>
    <row r="106" ht="19" customHeight="1">
      <c r="B106" s="53">
        <f>IF(AND($C106="",$F106=""),"",ROW()-9)</f>
        <v/>
      </c>
      <c r="C106" s="213" t="n"/>
      <c r="D106" s="55" t="n"/>
      <c r="E106" s="55" t="n"/>
      <c r="F106" s="56" t="n"/>
      <c r="G106" s="196" t="n"/>
      <c r="H106" s="196" t="n"/>
      <c r="I106" s="55" t="n"/>
      <c r="J106" s="55" t="n"/>
      <c r="K106" s="55" t="n"/>
      <c r="L106" s="100">
        <f>IF(OR($C106="",$I106="Оплачено",$I106="Отменено",$H106&lt;&gt;""),"",$C106-TODAY())</f>
        <v/>
      </c>
      <c r="M106" s="101">
        <f>IF($C106="","",INDEX(Настройки!$V$6:$V$17,MONTH($C106))&amp;" "&amp;YEAR($C106))</f>
        <v/>
      </c>
      <c r="N106" s="57">
        <f>IF($F106="","",IF(COUNTIF(Постоянные!$C$8:$C$37,$F106)&gt;0,"есть в Постоянных",IF(COUNTIF(Покупки!$C$7:$C$18,$F106)&gt;0,"есть в Покупках","")))</f>
        <v/>
      </c>
      <c r="P106">
        <f>IF($H106&lt;&gt;"",$H106,IF($I106="Оплачено",N($G106),0))</f>
        <v/>
      </c>
      <c r="Q106">
        <f>IF($I106="Отменено",0,IF($G106&lt;&gt;"",$G106,N($H106)))</f>
        <v/>
      </c>
      <c r="R106">
        <f>IF($C106="","",IFERROR(DATE(Настройки!$C$8,Настройки!$D$9+MATCH($M106,Настройки!$X$6:$X$17,0)-1,1),DATE(YEAR($C106),MONTH($C106),1)))</f>
        <v/>
      </c>
      <c r="S106">
        <f>IF(OR($I106="Оплачено",$H106&lt;&gt;""),$P106,$Q106)</f>
        <v/>
      </c>
      <c r="T106">
        <f>IF(OR($C106="",$D106="Доход",$I106="Оплачено",$I106="Отменено",$H106&lt;&gt;"",$C106&lt;TODAY()),"",$C106)</f>
        <v/>
      </c>
      <c r="U106">
        <f>IF(AND($D106&lt;&gt;"Доход",COUNTIFS(Счета!$B$10:$B$21,$J106,Счета!$C$10:$C$21,"Кредитная")&gt;0),1,0)</f>
        <v/>
      </c>
    </row>
    <row r="107" ht="19" customHeight="1">
      <c r="B107" s="53">
        <f>IF(AND($C107="",$F107=""),"",ROW()-9)</f>
        <v/>
      </c>
      <c r="C107" s="213" t="n"/>
      <c r="D107" s="55" t="n"/>
      <c r="E107" s="55" t="n"/>
      <c r="F107" s="56" t="n"/>
      <c r="G107" s="196" t="n"/>
      <c r="H107" s="196" t="n"/>
      <c r="I107" s="55" t="n"/>
      <c r="J107" s="55" t="n"/>
      <c r="K107" s="55" t="n"/>
      <c r="L107" s="100">
        <f>IF(OR($C107="",$I107="Оплачено",$I107="Отменено",$H107&lt;&gt;""),"",$C107-TODAY())</f>
        <v/>
      </c>
      <c r="M107" s="101">
        <f>IF($C107="","",INDEX(Настройки!$V$6:$V$17,MONTH($C107))&amp;" "&amp;YEAR($C107))</f>
        <v/>
      </c>
      <c r="N107" s="57">
        <f>IF($F107="","",IF(COUNTIF(Постоянные!$C$8:$C$37,$F107)&gt;0,"есть в Постоянных",IF(COUNTIF(Покупки!$C$7:$C$18,$F107)&gt;0,"есть в Покупках","")))</f>
        <v/>
      </c>
      <c r="P107">
        <f>IF($H107&lt;&gt;"",$H107,IF($I107="Оплачено",N($G107),0))</f>
        <v/>
      </c>
      <c r="Q107">
        <f>IF($I107="Отменено",0,IF($G107&lt;&gt;"",$G107,N($H107)))</f>
        <v/>
      </c>
      <c r="R107">
        <f>IF($C107="","",IFERROR(DATE(Настройки!$C$8,Настройки!$D$9+MATCH($M107,Настройки!$X$6:$X$17,0)-1,1),DATE(YEAR($C107),MONTH($C107),1)))</f>
        <v/>
      </c>
      <c r="S107">
        <f>IF(OR($I107="Оплачено",$H107&lt;&gt;""),$P107,$Q107)</f>
        <v/>
      </c>
      <c r="T107">
        <f>IF(OR($C107="",$D107="Доход",$I107="Оплачено",$I107="Отменено",$H107&lt;&gt;"",$C107&lt;TODAY()),"",$C107)</f>
        <v/>
      </c>
      <c r="U107">
        <f>IF(AND($D107&lt;&gt;"Доход",COUNTIFS(Счета!$B$10:$B$21,$J107,Счета!$C$10:$C$21,"Кредитная")&gt;0),1,0)</f>
        <v/>
      </c>
    </row>
    <row r="108" ht="19" customHeight="1">
      <c r="B108" s="53">
        <f>IF(AND($C108="",$F108=""),"",ROW()-9)</f>
        <v/>
      </c>
      <c r="C108" s="213" t="n"/>
      <c r="D108" s="55" t="n"/>
      <c r="E108" s="55" t="n"/>
      <c r="F108" s="56" t="n"/>
      <c r="G108" s="196" t="n"/>
      <c r="H108" s="196" t="n"/>
      <c r="I108" s="55" t="n"/>
      <c r="J108" s="55" t="n"/>
      <c r="K108" s="55" t="n"/>
      <c r="L108" s="100">
        <f>IF(OR($C108="",$I108="Оплачено",$I108="Отменено",$H108&lt;&gt;""),"",$C108-TODAY())</f>
        <v/>
      </c>
      <c r="M108" s="101">
        <f>IF($C108="","",INDEX(Настройки!$V$6:$V$17,MONTH($C108))&amp;" "&amp;YEAR($C108))</f>
        <v/>
      </c>
      <c r="N108" s="57">
        <f>IF($F108="","",IF(COUNTIF(Постоянные!$C$8:$C$37,$F108)&gt;0,"есть в Постоянных",IF(COUNTIF(Покупки!$C$7:$C$18,$F108)&gt;0,"есть в Покупках","")))</f>
        <v/>
      </c>
      <c r="P108">
        <f>IF($H108&lt;&gt;"",$H108,IF($I108="Оплачено",N($G108),0))</f>
        <v/>
      </c>
      <c r="Q108">
        <f>IF($I108="Отменено",0,IF($G108&lt;&gt;"",$G108,N($H108)))</f>
        <v/>
      </c>
      <c r="R108">
        <f>IF($C108="","",IFERROR(DATE(Настройки!$C$8,Настройки!$D$9+MATCH($M108,Настройки!$X$6:$X$17,0)-1,1),DATE(YEAR($C108),MONTH($C108),1)))</f>
        <v/>
      </c>
      <c r="S108">
        <f>IF(OR($I108="Оплачено",$H108&lt;&gt;""),$P108,$Q108)</f>
        <v/>
      </c>
      <c r="T108">
        <f>IF(OR($C108="",$D108="Доход",$I108="Оплачено",$I108="Отменено",$H108&lt;&gt;"",$C108&lt;TODAY()),"",$C108)</f>
        <v/>
      </c>
      <c r="U108">
        <f>IF(AND($D108&lt;&gt;"Доход",COUNTIFS(Счета!$B$10:$B$21,$J108,Счета!$C$10:$C$21,"Кредитная")&gt;0),1,0)</f>
        <v/>
      </c>
    </row>
    <row r="109" ht="19" customHeight="1">
      <c r="B109" s="53">
        <f>IF(AND($C109="",$F109=""),"",ROW()-9)</f>
        <v/>
      </c>
      <c r="C109" s="213" t="n"/>
      <c r="D109" s="55" t="n"/>
      <c r="E109" s="55" t="n"/>
      <c r="F109" s="56" t="n"/>
      <c r="G109" s="196" t="n"/>
      <c r="H109" s="196" t="n"/>
      <c r="I109" s="55" t="n"/>
      <c r="J109" s="55" t="n"/>
      <c r="K109" s="55" t="n"/>
      <c r="L109" s="100">
        <f>IF(OR($C109="",$I109="Оплачено",$I109="Отменено",$H109&lt;&gt;""),"",$C109-TODAY())</f>
        <v/>
      </c>
      <c r="M109" s="101">
        <f>IF($C109="","",INDEX(Настройки!$V$6:$V$17,MONTH($C109))&amp;" "&amp;YEAR($C109))</f>
        <v/>
      </c>
      <c r="N109" s="57">
        <f>IF($F109="","",IF(COUNTIF(Постоянные!$C$8:$C$37,$F109)&gt;0,"есть в Постоянных",IF(COUNTIF(Покупки!$C$7:$C$18,$F109)&gt;0,"есть в Покупках","")))</f>
        <v/>
      </c>
      <c r="P109">
        <f>IF($H109&lt;&gt;"",$H109,IF($I109="Оплачено",N($G109),0))</f>
        <v/>
      </c>
      <c r="Q109">
        <f>IF($I109="Отменено",0,IF($G109&lt;&gt;"",$G109,N($H109)))</f>
        <v/>
      </c>
      <c r="R109">
        <f>IF($C109="","",IFERROR(DATE(Настройки!$C$8,Настройки!$D$9+MATCH($M109,Настройки!$X$6:$X$17,0)-1,1),DATE(YEAR($C109),MONTH($C109),1)))</f>
        <v/>
      </c>
      <c r="S109">
        <f>IF(OR($I109="Оплачено",$H109&lt;&gt;""),$P109,$Q109)</f>
        <v/>
      </c>
      <c r="T109">
        <f>IF(OR($C109="",$D109="Доход",$I109="Оплачено",$I109="Отменено",$H109&lt;&gt;"",$C109&lt;TODAY()),"",$C109)</f>
        <v/>
      </c>
      <c r="U109">
        <f>IF(AND($D109&lt;&gt;"Доход",COUNTIFS(Счета!$B$10:$B$21,$J109,Счета!$C$10:$C$21,"Кредитная")&gt;0),1,0)</f>
        <v/>
      </c>
    </row>
    <row r="110" ht="19" customHeight="1">
      <c r="B110" s="53">
        <f>IF(AND($C110="",$F110=""),"",ROW()-9)</f>
        <v/>
      </c>
      <c r="C110" s="213" t="n"/>
      <c r="D110" s="55" t="n"/>
      <c r="E110" s="55" t="n"/>
      <c r="F110" s="56" t="n"/>
      <c r="G110" s="196" t="n"/>
      <c r="H110" s="196" t="n"/>
      <c r="I110" s="55" t="n"/>
      <c r="J110" s="55" t="n"/>
      <c r="K110" s="55" t="n"/>
      <c r="L110" s="100">
        <f>IF(OR($C110="",$I110="Оплачено",$I110="Отменено",$H110&lt;&gt;""),"",$C110-TODAY())</f>
        <v/>
      </c>
      <c r="M110" s="101">
        <f>IF($C110="","",INDEX(Настройки!$V$6:$V$17,MONTH($C110))&amp;" "&amp;YEAR($C110))</f>
        <v/>
      </c>
      <c r="N110" s="57">
        <f>IF($F110="","",IF(COUNTIF(Постоянные!$C$8:$C$37,$F110)&gt;0,"есть в Постоянных",IF(COUNTIF(Покупки!$C$7:$C$18,$F110)&gt;0,"есть в Покупках","")))</f>
        <v/>
      </c>
      <c r="P110">
        <f>IF($H110&lt;&gt;"",$H110,IF($I110="Оплачено",N($G110),0))</f>
        <v/>
      </c>
      <c r="Q110">
        <f>IF($I110="Отменено",0,IF($G110&lt;&gt;"",$G110,N($H110)))</f>
        <v/>
      </c>
      <c r="R110">
        <f>IF($C110="","",IFERROR(DATE(Настройки!$C$8,Настройки!$D$9+MATCH($M110,Настройки!$X$6:$X$17,0)-1,1),DATE(YEAR($C110),MONTH($C110),1)))</f>
        <v/>
      </c>
      <c r="S110">
        <f>IF(OR($I110="Оплачено",$H110&lt;&gt;""),$P110,$Q110)</f>
        <v/>
      </c>
      <c r="T110">
        <f>IF(OR($C110="",$D110="Доход",$I110="Оплачено",$I110="Отменено",$H110&lt;&gt;"",$C110&lt;TODAY()),"",$C110)</f>
        <v/>
      </c>
      <c r="U110">
        <f>IF(AND($D110&lt;&gt;"Доход",COUNTIFS(Счета!$B$10:$B$21,$J110,Счета!$C$10:$C$21,"Кредитная")&gt;0),1,0)</f>
        <v/>
      </c>
    </row>
    <row r="111" ht="19" customHeight="1">
      <c r="B111" s="53">
        <f>IF(AND($C111="",$F111=""),"",ROW()-9)</f>
        <v/>
      </c>
      <c r="C111" s="213" t="n"/>
      <c r="D111" s="55" t="n"/>
      <c r="E111" s="55" t="n"/>
      <c r="F111" s="56" t="n"/>
      <c r="G111" s="196" t="n"/>
      <c r="H111" s="196" t="n"/>
      <c r="I111" s="55" t="n"/>
      <c r="J111" s="55" t="n"/>
      <c r="K111" s="55" t="n"/>
      <c r="L111" s="100">
        <f>IF(OR($C111="",$I111="Оплачено",$I111="Отменено",$H111&lt;&gt;""),"",$C111-TODAY())</f>
        <v/>
      </c>
      <c r="M111" s="101">
        <f>IF($C111="","",INDEX(Настройки!$V$6:$V$17,MONTH($C111))&amp;" "&amp;YEAR($C111))</f>
        <v/>
      </c>
      <c r="N111" s="57">
        <f>IF($F111="","",IF(COUNTIF(Постоянные!$C$8:$C$37,$F111)&gt;0,"есть в Постоянных",IF(COUNTIF(Покупки!$C$7:$C$18,$F111)&gt;0,"есть в Покупках","")))</f>
        <v/>
      </c>
      <c r="P111">
        <f>IF($H111&lt;&gt;"",$H111,IF($I111="Оплачено",N($G111),0))</f>
        <v/>
      </c>
      <c r="Q111">
        <f>IF($I111="Отменено",0,IF($G111&lt;&gt;"",$G111,N($H111)))</f>
        <v/>
      </c>
      <c r="R111">
        <f>IF($C111="","",IFERROR(DATE(Настройки!$C$8,Настройки!$D$9+MATCH($M111,Настройки!$X$6:$X$17,0)-1,1),DATE(YEAR($C111),MONTH($C111),1)))</f>
        <v/>
      </c>
      <c r="S111">
        <f>IF(OR($I111="Оплачено",$H111&lt;&gt;""),$P111,$Q111)</f>
        <v/>
      </c>
      <c r="T111">
        <f>IF(OR($C111="",$D111="Доход",$I111="Оплачено",$I111="Отменено",$H111&lt;&gt;"",$C111&lt;TODAY()),"",$C111)</f>
        <v/>
      </c>
      <c r="U111">
        <f>IF(AND($D111&lt;&gt;"Доход",COUNTIFS(Счета!$B$10:$B$21,$J111,Счета!$C$10:$C$21,"Кредитная")&gt;0),1,0)</f>
        <v/>
      </c>
    </row>
    <row r="112" ht="19" customHeight="1">
      <c r="B112" s="53">
        <f>IF(AND($C112="",$F112=""),"",ROW()-9)</f>
        <v/>
      </c>
      <c r="C112" s="213" t="n"/>
      <c r="D112" s="55" t="n"/>
      <c r="E112" s="55" t="n"/>
      <c r="F112" s="56" t="n"/>
      <c r="G112" s="196" t="n"/>
      <c r="H112" s="196" t="n"/>
      <c r="I112" s="55" t="n"/>
      <c r="J112" s="55" t="n"/>
      <c r="K112" s="55" t="n"/>
      <c r="L112" s="100">
        <f>IF(OR($C112="",$I112="Оплачено",$I112="Отменено",$H112&lt;&gt;""),"",$C112-TODAY())</f>
        <v/>
      </c>
      <c r="M112" s="101">
        <f>IF($C112="","",INDEX(Настройки!$V$6:$V$17,MONTH($C112))&amp;" "&amp;YEAR($C112))</f>
        <v/>
      </c>
      <c r="N112" s="57">
        <f>IF($F112="","",IF(COUNTIF(Постоянные!$C$8:$C$37,$F112)&gt;0,"есть в Постоянных",IF(COUNTIF(Покупки!$C$7:$C$18,$F112)&gt;0,"есть в Покупках","")))</f>
        <v/>
      </c>
      <c r="P112">
        <f>IF($H112&lt;&gt;"",$H112,IF($I112="Оплачено",N($G112),0))</f>
        <v/>
      </c>
      <c r="Q112">
        <f>IF($I112="Отменено",0,IF($G112&lt;&gt;"",$G112,N($H112)))</f>
        <v/>
      </c>
      <c r="R112">
        <f>IF($C112="","",IFERROR(DATE(Настройки!$C$8,Настройки!$D$9+MATCH($M112,Настройки!$X$6:$X$17,0)-1,1),DATE(YEAR($C112),MONTH($C112),1)))</f>
        <v/>
      </c>
      <c r="S112">
        <f>IF(OR($I112="Оплачено",$H112&lt;&gt;""),$P112,$Q112)</f>
        <v/>
      </c>
      <c r="T112">
        <f>IF(OR($C112="",$D112="Доход",$I112="Оплачено",$I112="Отменено",$H112&lt;&gt;"",$C112&lt;TODAY()),"",$C112)</f>
        <v/>
      </c>
      <c r="U112">
        <f>IF(AND($D112&lt;&gt;"Доход",COUNTIFS(Счета!$B$10:$B$21,$J112,Счета!$C$10:$C$21,"Кредитная")&gt;0),1,0)</f>
        <v/>
      </c>
    </row>
    <row r="113" ht="19" customHeight="1">
      <c r="B113" s="53">
        <f>IF(AND($C113="",$F113=""),"",ROW()-9)</f>
        <v/>
      </c>
      <c r="C113" s="213" t="n"/>
      <c r="D113" s="55" t="n"/>
      <c r="E113" s="55" t="n"/>
      <c r="F113" s="56" t="n"/>
      <c r="G113" s="196" t="n"/>
      <c r="H113" s="196" t="n"/>
      <c r="I113" s="55" t="n"/>
      <c r="J113" s="55" t="n"/>
      <c r="K113" s="55" t="n"/>
      <c r="L113" s="100">
        <f>IF(OR($C113="",$I113="Оплачено",$I113="Отменено",$H113&lt;&gt;""),"",$C113-TODAY())</f>
        <v/>
      </c>
      <c r="M113" s="101">
        <f>IF($C113="","",INDEX(Настройки!$V$6:$V$17,MONTH($C113))&amp;" "&amp;YEAR($C113))</f>
        <v/>
      </c>
      <c r="N113" s="57">
        <f>IF($F113="","",IF(COUNTIF(Постоянные!$C$8:$C$37,$F113)&gt;0,"есть в Постоянных",IF(COUNTIF(Покупки!$C$7:$C$18,$F113)&gt;0,"есть в Покупках","")))</f>
        <v/>
      </c>
      <c r="P113">
        <f>IF($H113&lt;&gt;"",$H113,IF($I113="Оплачено",N($G113),0))</f>
        <v/>
      </c>
      <c r="Q113">
        <f>IF($I113="Отменено",0,IF($G113&lt;&gt;"",$G113,N($H113)))</f>
        <v/>
      </c>
      <c r="R113">
        <f>IF($C113="","",IFERROR(DATE(Настройки!$C$8,Настройки!$D$9+MATCH($M113,Настройки!$X$6:$X$17,0)-1,1),DATE(YEAR($C113),MONTH($C113),1)))</f>
        <v/>
      </c>
      <c r="S113">
        <f>IF(OR($I113="Оплачено",$H113&lt;&gt;""),$P113,$Q113)</f>
        <v/>
      </c>
      <c r="T113">
        <f>IF(OR($C113="",$D113="Доход",$I113="Оплачено",$I113="Отменено",$H113&lt;&gt;"",$C113&lt;TODAY()),"",$C113)</f>
        <v/>
      </c>
      <c r="U113">
        <f>IF(AND($D113&lt;&gt;"Доход",COUNTIFS(Счета!$B$10:$B$21,$J113,Счета!$C$10:$C$21,"Кредитная")&gt;0),1,0)</f>
        <v/>
      </c>
    </row>
    <row r="114" ht="19" customHeight="1">
      <c r="B114" s="53">
        <f>IF(AND($C114="",$F114=""),"",ROW()-9)</f>
        <v/>
      </c>
      <c r="C114" s="213" t="n"/>
      <c r="D114" s="55" t="n"/>
      <c r="E114" s="55" t="n"/>
      <c r="F114" s="56" t="n"/>
      <c r="G114" s="196" t="n"/>
      <c r="H114" s="196" t="n"/>
      <c r="I114" s="55" t="n"/>
      <c r="J114" s="55" t="n"/>
      <c r="K114" s="55" t="n"/>
      <c r="L114" s="100">
        <f>IF(OR($C114="",$I114="Оплачено",$I114="Отменено",$H114&lt;&gt;""),"",$C114-TODAY())</f>
        <v/>
      </c>
      <c r="M114" s="101">
        <f>IF($C114="","",INDEX(Настройки!$V$6:$V$17,MONTH($C114))&amp;" "&amp;YEAR($C114))</f>
        <v/>
      </c>
      <c r="N114" s="57">
        <f>IF($F114="","",IF(COUNTIF(Постоянные!$C$8:$C$37,$F114)&gt;0,"есть в Постоянных",IF(COUNTIF(Покупки!$C$7:$C$18,$F114)&gt;0,"есть в Покупках","")))</f>
        <v/>
      </c>
      <c r="P114">
        <f>IF($H114&lt;&gt;"",$H114,IF($I114="Оплачено",N($G114),0))</f>
        <v/>
      </c>
      <c r="Q114">
        <f>IF($I114="Отменено",0,IF($G114&lt;&gt;"",$G114,N($H114)))</f>
        <v/>
      </c>
      <c r="R114">
        <f>IF($C114="","",IFERROR(DATE(Настройки!$C$8,Настройки!$D$9+MATCH($M114,Настройки!$X$6:$X$17,0)-1,1),DATE(YEAR($C114),MONTH($C114),1)))</f>
        <v/>
      </c>
      <c r="S114">
        <f>IF(OR($I114="Оплачено",$H114&lt;&gt;""),$P114,$Q114)</f>
        <v/>
      </c>
      <c r="T114">
        <f>IF(OR($C114="",$D114="Доход",$I114="Оплачено",$I114="Отменено",$H114&lt;&gt;"",$C114&lt;TODAY()),"",$C114)</f>
        <v/>
      </c>
      <c r="U114">
        <f>IF(AND($D114&lt;&gt;"Доход",COUNTIFS(Счета!$B$10:$B$21,$J114,Счета!$C$10:$C$21,"Кредитная")&gt;0),1,0)</f>
        <v/>
      </c>
    </row>
    <row r="115" ht="19" customHeight="1">
      <c r="B115" s="53">
        <f>IF(AND($C115="",$F115=""),"",ROW()-9)</f>
        <v/>
      </c>
      <c r="C115" s="213" t="n"/>
      <c r="D115" s="55" t="n"/>
      <c r="E115" s="55" t="n"/>
      <c r="F115" s="56" t="n"/>
      <c r="G115" s="196" t="n"/>
      <c r="H115" s="196" t="n"/>
      <c r="I115" s="55" t="n"/>
      <c r="J115" s="55" t="n"/>
      <c r="K115" s="55" t="n"/>
      <c r="L115" s="100">
        <f>IF(OR($C115="",$I115="Оплачено",$I115="Отменено",$H115&lt;&gt;""),"",$C115-TODAY())</f>
        <v/>
      </c>
      <c r="M115" s="101">
        <f>IF($C115="","",INDEX(Настройки!$V$6:$V$17,MONTH($C115))&amp;" "&amp;YEAR($C115))</f>
        <v/>
      </c>
      <c r="N115" s="57">
        <f>IF($F115="","",IF(COUNTIF(Постоянные!$C$8:$C$37,$F115)&gt;0,"есть в Постоянных",IF(COUNTIF(Покупки!$C$7:$C$18,$F115)&gt;0,"есть в Покупках","")))</f>
        <v/>
      </c>
      <c r="P115">
        <f>IF($H115&lt;&gt;"",$H115,IF($I115="Оплачено",N($G115),0))</f>
        <v/>
      </c>
      <c r="Q115">
        <f>IF($I115="Отменено",0,IF($G115&lt;&gt;"",$G115,N($H115)))</f>
        <v/>
      </c>
      <c r="R115">
        <f>IF($C115="","",IFERROR(DATE(Настройки!$C$8,Настройки!$D$9+MATCH($M115,Настройки!$X$6:$X$17,0)-1,1),DATE(YEAR($C115),MONTH($C115),1)))</f>
        <v/>
      </c>
      <c r="S115">
        <f>IF(OR($I115="Оплачено",$H115&lt;&gt;""),$P115,$Q115)</f>
        <v/>
      </c>
      <c r="T115">
        <f>IF(OR($C115="",$D115="Доход",$I115="Оплачено",$I115="Отменено",$H115&lt;&gt;"",$C115&lt;TODAY()),"",$C115)</f>
        <v/>
      </c>
      <c r="U115">
        <f>IF(AND($D115&lt;&gt;"Доход",COUNTIFS(Счета!$B$10:$B$21,$J115,Счета!$C$10:$C$21,"Кредитная")&gt;0),1,0)</f>
        <v/>
      </c>
    </row>
    <row r="116" ht="19" customHeight="1">
      <c r="B116" s="53">
        <f>IF(AND($C116="",$F116=""),"",ROW()-9)</f>
        <v/>
      </c>
      <c r="C116" s="213" t="n"/>
      <c r="D116" s="55" t="n"/>
      <c r="E116" s="55" t="n"/>
      <c r="F116" s="56" t="n"/>
      <c r="G116" s="196" t="n"/>
      <c r="H116" s="196" t="n"/>
      <c r="I116" s="55" t="n"/>
      <c r="J116" s="55" t="n"/>
      <c r="K116" s="55" t="n"/>
      <c r="L116" s="100">
        <f>IF(OR($C116="",$I116="Оплачено",$I116="Отменено",$H116&lt;&gt;""),"",$C116-TODAY())</f>
        <v/>
      </c>
      <c r="M116" s="101">
        <f>IF($C116="","",INDEX(Настройки!$V$6:$V$17,MONTH($C116))&amp;" "&amp;YEAR($C116))</f>
        <v/>
      </c>
      <c r="N116" s="57">
        <f>IF($F116="","",IF(COUNTIF(Постоянные!$C$8:$C$37,$F116)&gt;0,"есть в Постоянных",IF(COUNTIF(Покупки!$C$7:$C$18,$F116)&gt;0,"есть в Покупках","")))</f>
        <v/>
      </c>
      <c r="P116">
        <f>IF($H116&lt;&gt;"",$H116,IF($I116="Оплачено",N($G116),0))</f>
        <v/>
      </c>
      <c r="Q116">
        <f>IF($I116="Отменено",0,IF($G116&lt;&gt;"",$G116,N($H116)))</f>
        <v/>
      </c>
      <c r="R116">
        <f>IF($C116="","",IFERROR(DATE(Настройки!$C$8,Настройки!$D$9+MATCH($M116,Настройки!$X$6:$X$17,0)-1,1),DATE(YEAR($C116),MONTH($C116),1)))</f>
        <v/>
      </c>
      <c r="S116">
        <f>IF(OR($I116="Оплачено",$H116&lt;&gt;""),$P116,$Q116)</f>
        <v/>
      </c>
      <c r="T116">
        <f>IF(OR($C116="",$D116="Доход",$I116="Оплачено",$I116="Отменено",$H116&lt;&gt;"",$C116&lt;TODAY()),"",$C116)</f>
        <v/>
      </c>
      <c r="U116">
        <f>IF(AND($D116&lt;&gt;"Доход",COUNTIFS(Счета!$B$10:$B$21,$J116,Счета!$C$10:$C$21,"Кредитная")&gt;0),1,0)</f>
        <v/>
      </c>
    </row>
    <row r="117" ht="19" customHeight="1">
      <c r="B117" s="53">
        <f>IF(AND($C117="",$F117=""),"",ROW()-9)</f>
        <v/>
      </c>
      <c r="C117" s="213" t="n"/>
      <c r="D117" s="55" t="n"/>
      <c r="E117" s="55" t="n"/>
      <c r="F117" s="56" t="n"/>
      <c r="G117" s="196" t="n"/>
      <c r="H117" s="196" t="n"/>
      <c r="I117" s="55" t="n"/>
      <c r="J117" s="55" t="n"/>
      <c r="K117" s="55" t="n"/>
      <c r="L117" s="100">
        <f>IF(OR($C117="",$I117="Оплачено",$I117="Отменено",$H117&lt;&gt;""),"",$C117-TODAY())</f>
        <v/>
      </c>
      <c r="M117" s="101">
        <f>IF($C117="","",INDEX(Настройки!$V$6:$V$17,MONTH($C117))&amp;" "&amp;YEAR($C117))</f>
        <v/>
      </c>
      <c r="N117" s="57">
        <f>IF($F117="","",IF(COUNTIF(Постоянные!$C$8:$C$37,$F117)&gt;0,"есть в Постоянных",IF(COUNTIF(Покупки!$C$7:$C$18,$F117)&gt;0,"есть в Покупках","")))</f>
        <v/>
      </c>
      <c r="P117">
        <f>IF($H117&lt;&gt;"",$H117,IF($I117="Оплачено",N($G117),0))</f>
        <v/>
      </c>
      <c r="Q117">
        <f>IF($I117="Отменено",0,IF($G117&lt;&gt;"",$G117,N($H117)))</f>
        <v/>
      </c>
      <c r="R117">
        <f>IF($C117="","",IFERROR(DATE(Настройки!$C$8,Настройки!$D$9+MATCH($M117,Настройки!$X$6:$X$17,0)-1,1),DATE(YEAR($C117),MONTH($C117),1)))</f>
        <v/>
      </c>
      <c r="S117">
        <f>IF(OR($I117="Оплачено",$H117&lt;&gt;""),$P117,$Q117)</f>
        <v/>
      </c>
      <c r="T117">
        <f>IF(OR($C117="",$D117="Доход",$I117="Оплачено",$I117="Отменено",$H117&lt;&gt;"",$C117&lt;TODAY()),"",$C117)</f>
        <v/>
      </c>
      <c r="U117">
        <f>IF(AND($D117&lt;&gt;"Доход",COUNTIFS(Счета!$B$10:$B$21,$J117,Счета!$C$10:$C$21,"Кредитная")&gt;0),1,0)</f>
        <v/>
      </c>
    </row>
    <row r="118" ht="19" customHeight="1">
      <c r="B118" s="53">
        <f>IF(AND($C118="",$F118=""),"",ROW()-9)</f>
        <v/>
      </c>
      <c r="C118" s="213" t="n"/>
      <c r="D118" s="55" t="n"/>
      <c r="E118" s="55" t="n"/>
      <c r="F118" s="56" t="n"/>
      <c r="G118" s="196" t="n"/>
      <c r="H118" s="196" t="n"/>
      <c r="I118" s="55" t="n"/>
      <c r="J118" s="55" t="n"/>
      <c r="K118" s="55" t="n"/>
      <c r="L118" s="100">
        <f>IF(OR($C118="",$I118="Оплачено",$I118="Отменено",$H118&lt;&gt;""),"",$C118-TODAY())</f>
        <v/>
      </c>
      <c r="M118" s="101">
        <f>IF($C118="","",INDEX(Настройки!$V$6:$V$17,MONTH($C118))&amp;" "&amp;YEAR($C118))</f>
        <v/>
      </c>
      <c r="N118" s="57">
        <f>IF($F118="","",IF(COUNTIF(Постоянные!$C$8:$C$37,$F118)&gt;0,"есть в Постоянных",IF(COUNTIF(Покупки!$C$7:$C$18,$F118)&gt;0,"есть в Покупках","")))</f>
        <v/>
      </c>
      <c r="P118">
        <f>IF($H118&lt;&gt;"",$H118,IF($I118="Оплачено",N($G118),0))</f>
        <v/>
      </c>
      <c r="Q118">
        <f>IF($I118="Отменено",0,IF($G118&lt;&gt;"",$G118,N($H118)))</f>
        <v/>
      </c>
      <c r="R118">
        <f>IF($C118="","",IFERROR(DATE(Настройки!$C$8,Настройки!$D$9+MATCH($M118,Настройки!$X$6:$X$17,0)-1,1),DATE(YEAR($C118),MONTH($C118),1)))</f>
        <v/>
      </c>
      <c r="S118">
        <f>IF(OR($I118="Оплачено",$H118&lt;&gt;""),$P118,$Q118)</f>
        <v/>
      </c>
      <c r="T118">
        <f>IF(OR($C118="",$D118="Доход",$I118="Оплачено",$I118="Отменено",$H118&lt;&gt;"",$C118&lt;TODAY()),"",$C118)</f>
        <v/>
      </c>
      <c r="U118">
        <f>IF(AND($D118&lt;&gt;"Доход",COUNTIFS(Счета!$B$10:$B$21,$J118,Счета!$C$10:$C$21,"Кредитная")&gt;0),1,0)</f>
        <v/>
      </c>
    </row>
    <row r="119" ht="19" customHeight="1">
      <c r="B119" s="53">
        <f>IF(AND($C119="",$F119=""),"",ROW()-9)</f>
        <v/>
      </c>
      <c r="C119" s="213" t="n"/>
      <c r="D119" s="55" t="n"/>
      <c r="E119" s="55" t="n"/>
      <c r="F119" s="56" t="n"/>
      <c r="G119" s="196" t="n"/>
      <c r="H119" s="196" t="n"/>
      <c r="I119" s="55" t="n"/>
      <c r="J119" s="55" t="n"/>
      <c r="K119" s="55" t="n"/>
      <c r="L119" s="100">
        <f>IF(OR($C119="",$I119="Оплачено",$I119="Отменено",$H119&lt;&gt;""),"",$C119-TODAY())</f>
        <v/>
      </c>
      <c r="M119" s="101">
        <f>IF($C119="","",INDEX(Настройки!$V$6:$V$17,MONTH($C119))&amp;" "&amp;YEAR($C119))</f>
        <v/>
      </c>
      <c r="N119" s="57">
        <f>IF($F119="","",IF(COUNTIF(Постоянные!$C$8:$C$37,$F119)&gt;0,"есть в Постоянных",IF(COUNTIF(Покупки!$C$7:$C$18,$F119)&gt;0,"есть в Покупках","")))</f>
        <v/>
      </c>
      <c r="P119">
        <f>IF($H119&lt;&gt;"",$H119,IF($I119="Оплачено",N($G119),0))</f>
        <v/>
      </c>
      <c r="Q119">
        <f>IF($I119="Отменено",0,IF($G119&lt;&gt;"",$G119,N($H119)))</f>
        <v/>
      </c>
      <c r="R119">
        <f>IF($C119="","",IFERROR(DATE(Настройки!$C$8,Настройки!$D$9+MATCH($M119,Настройки!$X$6:$X$17,0)-1,1),DATE(YEAR($C119),MONTH($C119),1)))</f>
        <v/>
      </c>
      <c r="S119">
        <f>IF(OR($I119="Оплачено",$H119&lt;&gt;""),$P119,$Q119)</f>
        <v/>
      </c>
      <c r="T119">
        <f>IF(OR($C119="",$D119="Доход",$I119="Оплачено",$I119="Отменено",$H119&lt;&gt;"",$C119&lt;TODAY()),"",$C119)</f>
        <v/>
      </c>
      <c r="U119">
        <f>IF(AND($D119&lt;&gt;"Доход",COUNTIFS(Счета!$B$10:$B$21,$J119,Счета!$C$10:$C$21,"Кредитная")&gt;0),1,0)</f>
        <v/>
      </c>
    </row>
    <row r="120" ht="19" customHeight="1">
      <c r="B120" s="53">
        <f>IF(AND($C120="",$F120=""),"",ROW()-9)</f>
        <v/>
      </c>
      <c r="C120" s="213" t="n"/>
      <c r="D120" s="55" t="n"/>
      <c r="E120" s="55" t="n"/>
      <c r="F120" s="56" t="n"/>
      <c r="G120" s="196" t="n"/>
      <c r="H120" s="196" t="n"/>
      <c r="I120" s="55" t="n"/>
      <c r="J120" s="55" t="n"/>
      <c r="K120" s="55" t="n"/>
      <c r="L120" s="100">
        <f>IF(OR($C120="",$I120="Оплачено",$I120="Отменено",$H120&lt;&gt;""),"",$C120-TODAY())</f>
        <v/>
      </c>
      <c r="M120" s="101">
        <f>IF($C120="","",INDEX(Настройки!$V$6:$V$17,MONTH($C120))&amp;" "&amp;YEAR($C120))</f>
        <v/>
      </c>
      <c r="N120" s="57">
        <f>IF($F120="","",IF(COUNTIF(Постоянные!$C$8:$C$37,$F120)&gt;0,"есть в Постоянных",IF(COUNTIF(Покупки!$C$7:$C$18,$F120)&gt;0,"есть в Покупках","")))</f>
        <v/>
      </c>
      <c r="P120">
        <f>IF($H120&lt;&gt;"",$H120,IF($I120="Оплачено",N($G120),0))</f>
        <v/>
      </c>
      <c r="Q120">
        <f>IF($I120="Отменено",0,IF($G120&lt;&gt;"",$G120,N($H120)))</f>
        <v/>
      </c>
      <c r="R120">
        <f>IF($C120="","",IFERROR(DATE(Настройки!$C$8,Настройки!$D$9+MATCH($M120,Настройки!$X$6:$X$17,0)-1,1),DATE(YEAR($C120),MONTH($C120),1)))</f>
        <v/>
      </c>
      <c r="S120">
        <f>IF(OR($I120="Оплачено",$H120&lt;&gt;""),$P120,$Q120)</f>
        <v/>
      </c>
      <c r="T120">
        <f>IF(OR($C120="",$D120="Доход",$I120="Оплачено",$I120="Отменено",$H120&lt;&gt;"",$C120&lt;TODAY()),"",$C120)</f>
        <v/>
      </c>
      <c r="U120">
        <f>IF(AND($D120&lt;&gt;"Доход",COUNTIFS(Счета!$B$10:$B$21,$J120,Счета!$C$10:$C$21,"Кредитная")&gt;0),1,0)</f>
        <v/>
      </c>
    </row>
    <row r="121" ht="19" customHeight="1">
      <c r="B121" s="53">
        <f>IF(AND($C121="",$F121=""),"",ROW()-9)</f>
        <v/>
      </c>
      <c r="C121" s="213" t="n"/>
      <c r="D121" s="55" t="n"/>
      <c r="E121" s="55" t="n"/>
      <c r="F121" s="56" t="n"/>
      <c r="G121" s="196" t="n"/>
      <c r="H121" s="196" t="n"/>
      <c r="I121" s="55" t="n"/>
      <c r="J121" s="55" t="n"/>
      <c r="K121" s="55" t="n"/>
      <c r="L121" s="100">
        <f>IF(OR($C121="",$I121="Оплачено",$I121="Отменено",$H121&lt;&gt;""),"",$C121-TODAY())</f>
        <v/>
      </c>
      <c r="M121" s="101">
        <f>IF($C121="","",INDEX(Настройки!$V$6:$V$17,MONTH($C121))&amp;" "&amp;YEAR($C121))</f>
        <v/>
      </c>
      <c r="N121" s="57">
        <f>IF($F121="","",IF(COUNTIF(Постоянные!$C$8:$C$37,$F121)&gt;0,"есть в Постоянных",IF(COUNTIF(Покупки!$C$7:$C$18,$F121)&gt;0,"есть в Покупках","")))</f>
        <v/>
      </c>
      <c r="P121">
        <f>IF($H121&lt;&gt;"",$H121,IF($I121="Оплачено",N($G121),0))</f>
        <v/>
      </c>
      <c r="Q121">
        <f>IF($I121="Отменено",0,IF($G121&lt;&gt;"",$G121,N($H121)))</f>
        <v/>
      </c>
      <c r="R121">
        <f>IF($C121="","",IFERROR(DATE(Настройки!$C$8,Настройки!$D$9+MATCH($M121,Настройки!$X$6:$X$17,0)-1,1),DATE(YEAR($C121),MONTH($C121),1)))</f>
        <v/>
      </c>
      <c r="S121">
        <f>IF(OR($I121="Оплачено",$H121&lt;&gt;""),$P121,$Q121)</f>
        <v/>
      </c>
      <c r="T121">
        <f>IF(OR($C121="",$D121="Доход",$I121="Оплачено",$I121="Отменено",$H121&lt;&gt;"",$C121&lt;TODAY()),"",$C121)</f>
        <v/>
      </c>
      <c r="U121">
        <f>IF(AND($D121&lt;&gt;"Доход",COUNTIFS(Счета!$B$10:$B$21,$J121,Счета!$C$10:$C$21,"Кредитная")&gt;0),1,0)</f>
        <v/>
      </c>
    </row>
    <row r="122" ht="19" customHeight="1">
      <c r="B122" s="53">
        <f>IF(AND($C122="",$F122=""),"",ROW()-9)</f>
        <v/>
      </c>
      <c r="C122" s="213" t="n"/>
      <c r="D122" s="55" t="n"/>
      <c r="E122" s="55" t="n"/>
      <c r="F122" s="56" t="n"/>
      <c r="G122" s="196" t="n"/>
      <c r="H122" s="196" t="n"/>
      <c r="I122" s="55" t="n"/>
      <c r="J122" s="55" t="n"/>
      <c r="K122" s="55" t="n"/>
      <c r="L122" s="100">
        <f>IF(OR($C122="",$I122="Оплачено",$I122="Отменено",$H122&lt;&gt;""),"",$C122-TODAY())</f>
        <v/>
      </c>
      <c r="M122" s="101">
        <f>IF($C122="","",INDEX(Настройки!$V$6:$V$17,MONTH($C122))&amp;" "&amp;YEAR($C122))</f>
        <v/>
      </c>
      <c r="N122" s="57">
        <f>IF($F122="","",IF(COUNTIF(Постоянные!$C$8:$C$37,$F122)&gt;0,"есть в Постоянных",IF(COUNTIF(Покупки!$C$7:$C$18,$F122)&gt;0,"есть в Покупках","")))</f>
        <v/>
      </c>
      <c r="P122">
        <f>IF($H122&lt;&gt;"",$H122,IF($I122="Оплачено",N($G122),0))</f>
        <v/>
      </c>
      <c r="Q122">
        <f>IF($I122="Отменено",0,IF($G122&lt;&gt;"",$G122,N($H122)))</f>
        <v/>
      </c>
      <c r="R122">
        <f>IF($C122="","",IFERROR(DATE(Настройки!$C$8,Настройки!$D$9+MATCH($M122,Настройки!$X$6:$X$17,0)-1,1),DATE(YEAR($C122),MONTH($C122),1)))</f>
        <v/>
      </c>
      <c r="S122">
        <f>IF(OR($I122="Оплачено",$H122&lt;&gt;""),$P122,$Q122)</f>
        <v/>
      </c>
      <c r="T122">
        <f>IF(OR($C122="",$D122="Доход",$I122="Оплачено",$I122="Отменено",$H122&lt;&gt;"",$C122&lt;TODAY()),"",$C122)</f>
        <v/>
      </c>
      <c r="U122">
        <f>IF(AND($D122&lt;&gt;"Доход",COUNTIFS(Счета!$B$10:$B$21,$J122,Счета!$C$10:$C$21,"Кредитная")&gt;0),1,0)</f>
        <v/>
      </c>
    </row>
    <row r="123" ht="19" customHeight="1">
      <c r="B123" s="53">
        <f>IF(AND($C123="",$F123=""),"",ROW()-9)</f>
        <v/>
      </c>
      <c r="C123" s="213" t="n"/>
      <c r="D123" s="55" t="n"/>
      <c r="E123" s="55" t="n"/>
      <c r="F123" s="56" t="n"/>
      <c r="G123" s="196" t="n"/>
      <c r="H123" s="196" t="n"/>
      <c r="I123" s="55" t="n"/>
      <c r="J123" s="55" t="n"/>
      <c r="K123" s="55" t="n"/>
      <c r="L123" s="100">
        <f>IF(OR($C123="",$I123="Оплачено",$I123="Отменено",$H123&lt;&gt;""),"",$C123-TODAY())</f>
        <v/>
      </c>
      <c r="M123" s="101">
        <f>IF($C123="","",INDEX(Настройки!$V$6:$V$17,MONTH($C123))&amp;" "&amp;YEAR($C123))</f>
        <v/>
      </c>
      <c r="N123" s="57">
        <f>IF($F123="","",IF(COUNTIF(Постоянные!$C$8:$C$37,$F123)&gt;0,"есть в Постоянных",IF(COUNTIF(Покупки!$C$7:$C$18,$F123)&gt;0,"есть в Покупках","")))</f>
        <v/>
      </c>
      <c r="P123">
        <f>IF($H123&lt;&gt;"",$H123,IF($I123="Оплачено",N($G123),0))</f>
        <v/>
      </c>
      <c r="Q123">
        <f>IF($I123="Отменено",0,IF($G123&lt;&gt;"",$G123,N($H123)))</f>
        <v/>
      </c>
      <c r="R123">
        <f>IF($C123="","",IFERROR(DATE(Настройки!$C$8,Настройки!$D$9+MATCH($M123,Настройки!$X$6:$X$17,0)-1,1),DATE(YEAR($C123),MONTH($C123),1)))</f>
        <v/>
      </c>
      <c r="S123">
        <f>IF(OR($I123="Оплачено",$H123&lt;&gt;""),$P123,$Q123)</f>
        <v/>
      </c>
      <c r="T123">
        <f>IF(OR($C123="",$D123="Доход",$I123="Оплачено",$I123="Отменено",$H123&lt;&gt;"",$C123&lt;TODAY()),"",$C123)</f>
        <v/>
      </c>
      <c r="U123">
        <f>IF(AND($D123&lt;&gt;"Доход",COUNTIFS(Счета!$B$10:$B$21,$J123,Счета!$C$10:$C$21,"Кредитная")&gt;0),1,0)</f>
        <v/>
      </c>
    </row>
    <row r="124" ht="19" customHeight="1">
      <c r="B124" s="53">
        <f>IF(AND($C124="",$F124=""),"",ROW()-9)</f>
        <v/>
      </c>
      <c r="C124" s="213" t="n"/>
      <c r="D124" s="55" t="n"/>
      <c r="E124" s="55" t="n"/>
      <c r="F124" s="56" t="n"/>
      <c r="G124" s="196" t="n"/>
      <c r="H124" s="196" t="n"/>
      <c r="I124" s="55" t="n"/>
      <c r="J124" s="55" t="n"/>
      <c r="K124" s="55" t="n"/>
      <c r="L124" s="100">
        <f>IF(OR($C124="",$I124="Оплачено",$I124="Отменено",$H124&lt;&gt;""),"",$C124-TODAY())</f>
        <v/>
      </c>
      <c r="M124" s="101">
        <f>IF($C124="","",INDEX(Настройки!$V$6:$V$17,MONTH($C124))&amp;" "&amp;YEAR($C124))</f>
        <v/>
      </c>
      <c r="N124" s="57">
        <f>IF($F124="","",IF(COUNTIF(Постоянные!$C$8:$C$37,$F124)&gt;0,"есть в Постоянных",IF(COUNTIF(Покупки!$C$7:$C$18,$F124)&gt;0,"есть в Покупках","")))</f>
        <v/>
      </c>
      <c r="P124">
        <f>IF($H124&lt;&gt;"",$H124,IF($I124="Оплачено",N($G124),0))</f>
        <v/>
      </c>
      <c r="Q124">
        <f>IF($I124="Отменено",0,IF($G124&lt;&gt;"",$G124,N($H124)))</f>
        <v/>
      </c>
      <c r="R124">
        <f>IF($C124="","",IFERROR(DATE(Настройки!$C$8,Настройки!$D$9+MATCH($M124,Настройки!$X$6:$X$17,0)-1,1),DATE(YEAR($C124),MONTH($C124),1)))</f>
        <v/>
      </c>
      <c r="S124">
        <f>IF(OR($I124="Оплачено",$H124&lt;&gt;""),$P124,$Q124)</f>
        <v/>
      </c>
      <c r="T124">
        <f>IF(OR($C124="",$D124="Доход",$I124="Оплачено",$I124="Отменено",$H124&lt;&gt;"",$C124&lt;TODAY()),"",$C124)</f>
        <v/>
      </c>
      <c r="U124">
        <f>IF(AND($D124&lt;&gt;"Доход",COUNTIFS(Счета!$B$10:$B$21,$J124,Счета!$C$10:$C$21,"Кредитная")&gt;0),1,0)</f>
        <v/>
      </c>
    </row>
    <row r="125" ht="19" customHeight="1">
      <c r="B125" s="53">
        <f>IF(AND($C125="",$F125=""),"",ROW()-9)</f>
        <v/>
      </c>
      <c r="C125" s="213" t="n"/>
      <c r="D125" s="55" t="n"/>
      <c r="E125" s="55" t="n"/>
      <c r="F125" s="56" t="n"/>
      <c r="G125" s="196" t="n"/>
      <c r="H125" s="196" t="n"/>
      <c r="I125" s="55" t="n"/>
      <c r="J125" s="55" t="n"/>
      <c r="K125" s="55" t="n"/>
      <c r="L125" s="100">
        <f>IF(OR($C125="",$I125="Оплачено",$I125="Отменено",$H125&lt;&gt;""),"",$C125-TODAY())</f>
        <v/>
      </c>
      <c r="M125" s="101">
        <f>IF($C125="","",INDEX(Настройки!$V$6:$V$17,MONTH($C125))&amp;" "&amp;YEAR($C125))</f>
        <v/>
      </c>
      <c r="N125" s="57">
        <f>IF($F125="","",IF(COUNTIF(Постоянные!$C$8:$C$37,$F125)&gt;0,"есть в Постоянных",IF(COUNTIF(Покупки!$C$7:$C$18,$F125)&gt;0,"есть в Покупках","")))</f>
        <v/>
      </c>
      <c r="P125">
        <f>IF($H125&lt;&gt;"",$H125,IF($I125="Оплачено",N($G125),0))</f>
        <v/>
      </c>
      <c r="Q125">
        <f>IF($I125="Отменено",0,IF($G125&lt;&gt;"",$G125,N($H125)))</f>
        <v/>
      </c>
      <c r="R125">
        <f>IF($C125="","",IFERROR(DATE(Настройки!$C$8,Настройки!$D$9+MATCH($M125,Настройки!$X$6:$X$17,0)-1,1),DATE(YEAR($C125),MONTH($C125),1)))</f>
        <v/>
      </c>
      <c r="S125">
        <f>IF(OR($I125="Оплачено",$H125&lt;&gt;""),$P125,$Q125)</f>
        <v/>
      </c>
      <c r="T125">
        <f>IF(OR($C125="",$D125="Доход",$I125="Оплачено",$I125="Отменено",$H125&lt;&gt;"",$C125&lt;TODAY()),"",$C125)</f>
        <v/>
      </c>
      <c r="U125">
        <f>IF(AND($D125&lt;&gt;"Доход",COUNTIFS(Счета!$B$10:$B$21,$J125,Счета!$C$10:$C$21,"Кредитная")&gt;0),1,0)</f>
        <v/>
      </c>
    </row>
    <row r="126" ht="19" customHeight="1">
      <c r="B126" s="53">
        <f>IF(AND($C126="",$F126=""),"",ROW()-9)</f>
        <v/>
      </c>
      <c r="C126" s="213" t="n"/>
      <c r="D126" s="55" t="n"/>
      <c r="E126" s="55" t="n"/>
      <c r="F126" s="56" t="n"/>
      <c r="G126" s="196" t="n"/>
      <c r="H126" s="196" t="n"/>
      <c r="I126" s="55" t="n"/>
      <c r="J126" s="55" t="n"/>
      <c r="K126" s="55" t="n"/>
      <c r="L126" s="100">
        <f>IF(OR($C126="",$I126="Оплачено",$I126="Отменено",$H126&lt;&gt;""),"",$C126-TODAY())</f>
        <v/>
      </c>
      <c r="M126" s="101">
        <f>IF($C126="","",INDEX(Настройки!$V$6:$V$17,MONTH($C126))&amp;" "&amp;YEAR($C126))</f>
        <v/>
      </c>
      <c r="N126" s="57">
        <f>IF($F126="","",IF(COUNTIF(Постоянные!$C$8:$C$37,$F126)&gt;0,"есть в Постоянных",IF(COUNTIF(Покупки!$C$7:$C$18,$F126)&gt;0,"есть в Покупках","")))</f>
        <v/>
      </c>
      <c r="P126">
        <f>IF($H126&lt;&gt;"",$H126,IF($I126="Оплачено",N($G126),0))</f>
        <v/>
      </c>
      <c r="Q126">
        <f>IF($I126="Отменено",0,IF($G126&lt;&gt;"",$G126,N($H126)))</f>
        <v/>
      </c>
      <c r="R126">
        <f>IF($C126="","",IFERROR(DATE(Настройки!$C$8,Настройки!$D$9+MATCH($M126,Настройки!$X$6:$X$17,0)-1,1),DATE(YEAR($C126),MONTH($C126),1)))</f>
        <v/>
      </c>
      <c r="S126">
        <f>IF(OR($I126="Оплачено",$H126&lt;&gt;""),$P126,$Q126)</f>
        <v/>
      </c>
      <c r="T126">
        <f>IF(OR($C126="",$D126="Доход",$I126="Оплачено",$I126="Отменено",$H126&lt;&gt;"",$C126&lt;TODAY()),"",$C126)</f>
        <v/>
      </c>
      <c r="U126">
        <f>IF(AND($D126&lt;&gt;"Доход",COUNTIFS(Счета!$B$10:$B$21,$J126,Счета!$C$10:$C$21,"Кредитная")&gt;0),1,0)</f>
        <v/>
      </c>
    </row>
    <row r="127" ht="19" customHeight="1">
      <c r="B127" s="53">
        <f>IF(AND($C127="",$F127=""),"",ROW()-9)</f>
        <v/>
      </c>
      <c r="C127" s="213" t="n"/>
      <c r="D127" s="55" t="n"/>
      <c r="E127" s="55" t="n"/>
      <c r="F127" s="56" t="n"/>
      <c r="G127" s="196" t="n"/>
      <c r="H127" s="196" t="n"/>
      <c r="I127" s="55" t="n"/>
      <c r="J127" s="55" t="n"/>
      <c r="K127" s="55" t="n"/>
      <c r="L127" s="100">
        <f>IF(OR($C127="",$I127="Оплачено",$I127="Отменено",$H127&lt;&gt;""),"",$C127-TODAY())</f>
        <v/>
      </c>
      <c r="M127" s="101">
        <f>IF($C127="","",INDEX(Настройки!$V$6:$V$17,MONTH($C127))&amp;" "&amp;YEAR($C127))</f>
        <v/>
      </c>
      <c r="N127" s="57">
        <f>IF($F127="","",IF(COUNTIF(Постоянные!$C$8:$C$37,$F127)&gt;0,"есть в Постоянных",IF(COUNTIF(Покупки!$C$7:$C$18,$F127)&gt;0,"есть в Покупках","")))</f>
        <v/>
      </c>
      <c r="P127">
        <f>IF($H127&lt;&gt;"",$H127,IF($I127="Оплачено",N($G127),0))</f>
        <v/>
      </c>
      <c r="Q127">
        <f>IF($I127="Отменено",0,IF($G127&lt;&gt;"",$G127,N($H127)))</f>
        <v/>
      </c>
      <c r="R127">
        <f>IF($C127="","",IFERROR(DATE(Настройки!$C$8,Настройки!$D$9+MATCH($M127,Настройки!$X$6:$X$17,0)-1,1),DATE(YEAR($C127),MONTH($C127),1)))</f>
        <v/>
      </c>
      <c r="S127">
        <f>IF(OR($I127="Оплачено",$H127&lt;&gt;""),$P127,$Q127)</f>
        <v/>
      </c>
      <c r="T127">
        <f>IF(OR($C127="",$D127="Доход",$I127="Оплачено",$I127="Отменено",$H127&lt;&gt;"",$C127&lt;TODAY()),"",$C127)</f>
        <v/>
      </c>
      <c r="U127">
        <f>IF(AND($D127&lt;&gt;"Доход",COUNTIFS(Счета!$B$10:$B$21,$J127,Счета!$C$10:$C$21,"Кредитная")&gt;0),1,0)</f>
        <v/>
      </c>
    </row>
    <row r="128" ht="19" customHeight="1">
      <c r="B128" s="53">
        <f>IF(AND($C128="",$F128=""),"",ROW()-9)</f>
        <v/>
      </c>
      <c r="C128" s="213" t="n"/>
      <c r="D128" s="55" t="n"/>
      <c r="E128" s="55" t="n"/>
      <c r="F128" s="56" t="n"/>
      <c r="G128" s="196" t="n"/>
      <c r="H128" s="196" t="n"/>
      <c r="I128" s="55" t="n"/>
      <c r="J128" s="55" t="n"/>
      <c r="K128" s="55" t="n"/>
      <c r="L128" s="100">
        <f>IF(OR($C128="",$I128="Оплачено",$I128="Отменено",$H128&lt;&gt;""),"",$C128-TODAY())</f>
        <v/>
      </c>
      <c r="M128" s="101">
        <f>IF($C128="","",INDEX(Настройки!$V$6:$V$17,MONTH($C128))&amp;" "&amp;YEAR($C128))</f>
        <v/>
      </c>
      <c r="N128" s="57">
        <f>IF($F128="","",IF(COUNTIF(Постоянные!$C$8:$C$37,$F128)&gt;0,"есть в Постоянных",IF(COUNTIF(Покупки!$C$7:$C$18,$F128)&gt;0,"есть в Покупках","")))</f>
        <v/>
      </c>
      <c r="P128">
        <f>IF($H128&lt;&gt;"",$H128,IF($I128="Оплачено",N($G128),0))</f>
        <v/>
      </c>
      <c r="Q128">
        <f>IF($I128="Отменено",0,IF($G128&lt;&gt;"",$G128,N($H128)))</f>
        <v/>
      </c>
      <c r="R128">
        <f>IF($C128="","",IFERROR(DATE(Настройки!$C$8,Настройки!$D$9+MATCH($M128,Настройки!$X$6:$X$17,0)-1,1),DATE(YEAR($C128),MONTH($C128),1)))</f>
        <v/>
      </c>
      <c r="S128">
        <f>IF(OR($I128="Оплачено",$H128&lt;&gt;""),$P128,$Q128)</f>
        <v/>
      </c>
      <c r="T128">
        <f>IF(OR($C128="",$D128="Доход",$I128="Оплачено",$I128="Отменено",$H128&lt;&gt;"",$C128&lt;TODAY()),"",$C128)</f>
        <v/>
      </c>
      <c r="U128">
        <f>IF(AND($D128&lt;&gt;"Доход",COUNTIFS(Счета!$B$10:$B$21,$J128,Счета!$C$10:$C$21,"Кредитная")&gt;0),1,0)</f>
        <v/>
      </c>
    </row>
    <row r="129" ht="19" customHeight="1">
      <c r="B129" s="53">
        <f>IF(AND($C129="",$F129=""),"",ROW()-9)</f>
        <v/>
      </c>
      <c r="C129" s="213" t="n"/>
      <c r="D129" s="55" t="n"/>
      <c r="E129" s="55" t="n"/>
      <c r="F129" s="56" t="n"/>
      <c r="G129" s="196" t="n"/>
      <c r="H129" s="196" t="n"/>
      <c r="I129" s="55" t="n"/>
      <c r="J129" s="55" t="n"/>
      <c r="K129" s="55" t="n"/>
      <c r="L129" s="100">
        <f>IF(OR($C129="",$I129="Оплачено",$I129="Отменено",$H129&lt;&gt;""),"",$C129-TODAY())</f>
        <v/>
      </c>
      <c r="M129" s="101">
        <f>IF($C129="","",INDEX(Настройки!$V$6:$V$17,MONTH($C129))&amp;" "&amp;YEAR($C129))</f>
        <v/>
      </c>
      <c r="N129" s="57">
        <f>IF($F129="","",IF(COUNTIF(Постоянные!$C$8:$C$37,$F129)&gt;0,"есть в Постоянных",IF(COUNTIF(Покупки!$C$7:$C$18,$F129)&gt;0,"есть в Покупках","")))</f>
        <v/>
      </c>
      <c r="P129">
        <f>IF($H129&lt;&gt;"",$H129,IF($I129="Оплачено",N($G129),0))</f>
        <v/>
      </c>
      <c r="Q129">
        <f>IF($I129="Отменено",0,IF($G129&lt;&gt;"",$G129,N($H129)))</f>
        <v/>
      </c>
      <c r="R129">
        <f>IF($C129="","",IFERROR(DATE(Настройки!$C$8,Настройки!$D$9+MATCH($M129,Настройки!$X$6:$X$17,0)-1,1),DATE(YEAR($C129),MONTH($C129),1)))</f>
        <v/>
      </c>
      <c r="S129">
        <f>IF(OR($I129="Оплачено",$H129&lt;&gt;""),$P129,$Q129)</f>
        <v/>
      </c>
      <c r="T129">
        <f>IF(OR($C129="",$D129="Доход",$I129="Оплачено",$I129="Отменено",$H129&lt;&gt;"",$C129&lt;TODAY()),"",$C129)</f>
        <v/>
      </c>
      <c r="U129">
        <f>IF(AND($D129&lt;&gt;"Доход",COUNTIFS(Счета!$B$10:$B$21,$J129,Счета!$C$10:$C$21,"Кредитная")&gt;0),1,0)</f>
        <v/>
      </c>
    </row>
    <row r="130" ht="19" customHeight="1">
      <c r="B130" s="53">
        <f>IF(AND($C130="",$F130=""),"",ROW()-9)</f>
        <v/>
      </c>
      <c r="C130" s="213" t="n"/>
      <c r="D130" s="55" t="n"/>
      <c r="E130" s="55" t="n"/>
      <c r="F130" s="56" t="n"/>
      <c r="G130" s="196" t="n"/>
      <c r="H130" s="196" t="n"/>
      <c r="I130" s="55" t="n"/>
      <c r="J130" s="55" t="n"/>
      <c r="K130" s="55" t="n"/>
      <c r="L130" s="100">
        <f>IF(OR($C130="",$I130="Оплачено",$I130="Отменено",$H130&lt;&gt;""),"",$C130-TODAY())</f>
        <v/>
      </c>
      <c r="M130" s="101">
        <f>IF($C130="","",INDEX(Настройки!$V$6:$V$17,MONTH($C130))&amp;" "&amp;YEAR($C130))</f>
        <v/>
      </c>
      <c r="N130" s="57">
        <f>IF($F130="","",IF(COUNTIF(Постоянные!$C$8:$C$37,$F130)&gt;0,"есть в Постоянных",IF(COUNTIF(Покупки!$C$7:$C$18,$F130)&gt;0,"есть в Покупках","")))</f>
        <v/>
      </c>
      <c r="P130">
        <f>IF($H130&lt;&gt;"",$H130,IF($I130="Оплачено",N($G130),0))</f>
        <v/>
      </c>
      <c r="Q130">
        <f>IF($I130="Отменено",0,IF($G130&lt;&gt;"",$G130,N($H130)))</f>
        <v/>
      </c>
      <c r="R130">
        <f>IF($C130="","",IFERROR(DATE(Настройки!$C$8,Настройки!$D$9+MATCH($M130,Настройки!$X$6:$X$17,0)-1,1),DATE(YEAR($C130),MONTH($C130),1)))</f>
        <v/>
      </c>
      <c r="S130">
        <f>IF(OR($I130="Оплачено",$H130&lt;&gt;""),$P130,$Q130)</f>
        <v/>
      </c>
      <c r="T130">
        <f>IF(OR($C130="",$D130="Доход",$I130="Оплачено",$I130="Отменено",$H130&lt;&gt;"",$C130&lt;TODAY()),"",$C130)</f>
        <v/>
      </c>
      <c r="U130">
        <f>IF(AND($D130&lt;&gt;"Доход",COUNTIFS(Счета!$B$10:$B$21,$J130,Счета!$C$10:$C$21,"Кредитная")&gt;0),1,0)</f>
        <v/>
      </c>
    </row>
    <row r="131" ht="19" customHeight="1">
      <c r="B131" s="53">
        <f>IF(AND($C131="",$F131=""),"",ROW()-9)</f>
        <v/>
      </c>
      <c r="C131" s="213" t="n"/>
      <c r="D131" s="55" t="n"/>
      <c r="E131" s="55" t="n"/>
      <c r="F131" s="56" t="n"/>
      <c r="G131" s="196" t="n"/>
      <c r="H131" s="196" t="n"/>
      <c r="I131" s="55" t="n"/>
      <c r="J131" s="55" t="n"/>
      <c r="K131" s="55" t="n"/>
      <c r="L131" s="100">
        <f>IF(OR($C131="",$I131="Оплачено",$I131="Отменено",$H131&lt;&gt;""),"",$C131-TODAY())</f>
        <v/>
      </c>
      <c r="M131" s="101">
        <f>IF($C131="","",INDEX(Настройки!$V$6:$V$17,MONTH($C131))&amp;" "&amp;YEAR($C131))</f>
        <v/>
      </c>
      <c r="N131" s="57">
        <f>IF($F131="","",IF(COUNTIF(Постоянные!$C$8:$C$37,$F131)&gt;0,"есть в Постоянных",IF(COUNTIF(Покупки!$C$7:$C$18,$F131)&gt;0,"есть в Покупках","")))</f>
        <v/>
      </c>
      <c r="P131">
        <f>IF($H131&lt;&gt;"",$H131,IF($I131="Оплачено",N($G131),0))</f>
        <v/>
      </c>
      <c r="Q131">
        <f>IF($I131="Отменено",0,IF($G131&lt;&gt;"",$G131,N($H131)))</f>
        <v/>
      </c>
      <c r="R131">
        <f>IF($C131="","",IFERROR(DATE(Настройки!$C$8,Настройки!$D$9+MATCH($M131,Настройки!$X$6:$X$17,0)-1,1),DATE(YEAR($C131),MONTH($C131),1)))</f>
        <v/>
      </c>
      <c r="S131">
        <f>IF(OR($I131="Оплачено",$H131&lt;&gt;""),$P131,$Q131)</f>
        <v/>
      </c>
      <c r="T131">
        <f>IF(OR($C131="",$D131="Доход",$I131="Оплачено",$I131="Отменено",$H131&lt;&gt;"",$C131&lt;TODAY()),"",$C131)</f>
        <v/>
      </c>
      <c r="U131">
        <f>IF(AND($D131&lt;&gt;"Доход",COUNTIFS(Счета!$B$10:$B$21,$J131,Счета!$C$10:$C$21,"Кредитная")&gt;0),1,0)</f>
        <v/>
      </c>
    </row>
    <row r="132" ht="19" customHeight="1">
      <c r="B132" s="53">
        <f>IF(AND($C132="",$F132=""),"",ROW()-9)</f>
        <v/>
      </c>
      <c r="C132" s="213" t="n"/>
      <c r="D132" s="55" t="n"/>
      <c r="E132" s="55" t="n"/>
      <c r="F132" s="56" t="n"/>
      <c r="G132" s="196" t="n"/>
      <c r="H132" s="196" t="n"/>
      <c r="I132" s="55" t="n"/>
      <c r="J132" s="55" t="n"/>
      <c r="K132" s="55" t="n"/>
      <c r="L132" s="100">
        <f>IF(OR($C132="",$I132="Оплачено",$I132="Отменено",$H132&lt;&gt;""),"",$C132-TODAY())</f>
        <v/>
      </c>
      <c r="M132" s="101">
        <f>IF($C132="","",INDEX(Настройки!$V$6:$V$17,MONTH($C132))&amp;" "&amp;YEAR($C132))</f>
        <v/>
      </c>
      <c r="N132" s="57">
        <f>IF($F132="","",IF(COUNTIF(Постоянные!$C$8:$C$37,$F132)&gt;0,"есть в Постоянных",IF(COUNTIF(Покупки!$C$7:$C$18,$F132)&gt;0,"есть в Покупках","")))</f>
        <v/>
      </c>
      <c r="P132">
        <f>IF($H132&lt;&gt;"",$H132,IF($I132="Оплачено",N($G132),0))</f>
        <v/>
      </c>
      <c r="Q132">
        <f>IF($I132="Отменено",0,IF($G132&lt;&gt;"",$G132,N($H132)))</f>
        <v/>
      </c>
      <c r="R132">
        <f>IF($C132="","",IFERROR(DATE(Настройки!$C$8,Настройки!$D$9+MATCH($M132,Настройки!$X$6:$X$17,0)-1,1),DATE(YEAR($C132),MONTH($C132),1)))</f>
        <v/>
      </c>
      <c r="S132">
        <f>IF(OR($I132="Оплачено",$H132&lt;&gt;""),$P132,$Q132)</f>
        <v/>
      </c>
      <c r="T132">
        <f>IF(OR($C132="",$D132="Доход",$I132="Оплачено",$I132="Отменено",$H132&lt;&gt;"",$C132&lt;TODAY()),"",$C132)</f>
        <v/>
      </c>
      <c r="U132">
        <f>IF(AND($D132&lt;&gt;"Доход",COUNTIFS(Счета!$B$10:$B$21,$J132,Счета!$C$10:$C$21,"Кредитная")&gt;0),1,0)</f>
        <v/>
      </c>
    </row>
    <row r="133" ht="19" customHeight="1">
      <c r="B133" s="53">
        <f>IF(AND($C133="",$F133=""),"",ROW()-9)</f>
        <v/>
      </c>
      <c r="C133" s="213" t="n"/>
      <c r="D133" s="55" t="n"/>
      <c r="E133" s="55" t="n"/>
      <c r="F133" s="56" t="n"/>
      <c r="G133" s="196" t="n"/>
      <c r="H133" s="196" t="n"/>
      <c r="I133" s="55" t="n"/>
      <c r="J133" s="55" t="n"/>
      <c r="K133" s="55" t="n"/>
      <c r="L133" s="100">
        <f>IF(OR($C133="",$I133="Оплачено",$I133="Отменено",$H133&lt;&gt;""),"",$C133-TODAY())</f>
        <v/>
      </c>
      <c r="M133" s="101">
        <f>IF($C133="","",INDEX(Настройки!$V$6:$V$17,MONTH($C133))&amp;" "&amp;YEAR($C133))</f>
        <v/>
      </c>
      <c r="N133" s="57">
        <f>IF($F133="","",IF(COUNTIF(Постоянные!$C$8:$C$37,$F133)&gt;0,"есть в Постоянных",IF(COUNTIF(Покупки!$C$7:$C$18,$F133)&gt;0,"есть в Покупках","")))</f>
        <v/>
      </c>
      <c r="P133">
        <f>IF($H133&lt;&gt;"",$H133,IF($I133="Оплачено",N($G133),0))</f>
        <v/>
      </c>
      <c r="Q133">
        <f>IF($I133="Отменено",0,IF($G133&lt;&gt;"",$G133,N($H133)))</f>
        <v/>
      </c>
      <c r="R133">
        <f>IF($C133="","",IFERROR(DATE(Настройки!$C$8,Настройки!$D$9+MATCH($M133,Настройки!$X$6:$X$17,0)-1,1),DATE(YEAR($C133),MONTH($C133),1)))</f>
        <v/>
      </c>
      <c r="S133">
        <f>IF(OR($I133="Оплачено",$H133&lt;&gt;""),$P133,$Q133)</f>
        <v/>
      </c>
      <c r="T133">
        <f>IF(OR($C133="",$D133="Доход",$I133="Оплачено",$I133="Отменено",$H133&lt;&gt;"",$C133&lt;TODAY()),"",$C133)</f>
        <v/>
      </c>
      <c r="U133">
        <f>IF(AND($D133&lt;&gt;"Доход",COUNTIFS(Счета!$B$10:$B$21,$J133,Счета!$C$10:$C$21,"Кредитная")&gt;0),1,0)</f>
        <v/>
      </c>
    </row>
    <row r="134" ht="19" customHeight="1">
      <c r="B134" s="53">
        <f>IF(AND($C134="",$F134=""),"",ROW()-9)</f>
        <v/>
      </c>
      <c r="C134" s="213" t="n"/>
      <c r="D134" s="55" t="n"/>
      <c r="E134" s="55" t="n"/>
      <c r="F134" s="56" t="n"/>
      <c r="G134" s="196" t="n"/>
      <c r="H134" s="196" t="n"/>
      <c r="I134" s="55" t="n"/>
      <c r="J134" s="55" t="n"/>
      <c r="K134" s="55" t="n"/>
      <c r="L134" s="100">
        <f>IF(OR($C134="",$I134="Оплачено",$I134="Отменено",$H134&lt;&gt;""),"",$C134-TODAY())</f>
        <v/>
      </c>
      <c r="M134" s="101">
        <f>IF($C134="","",INDEX(Настройки!$V$6:$V$17,MONTH($C134))&amp;" "&amp;YEAR($C134))</f>
        <v/>
      </c>
      <c r="N134" s="57">
        <f>IF($F134="","",IF(COUNTIF(Постоянные!$C$8:$C$37,$F134)&gt;0,"есть в Постоянных",IF(COUNTIF(Покупки!$C$7:$C$18,$F134)&gt;0,"есть в Покупках","")))</f>
        <v/>
      </c>
      <c r="P134">
        <f>IF($H134&lt;&gt;"",$H134,IF($I134="Оплачено",N($G134),0))</f>
        <v/>
      </c>
      <c r="Q134">
        <f>IF($I134="Отменено",0,IF($G134&lt;&gt;"",$G134,N($H134)))</f>
        <v/>
      </c>
      <c r="R134">
        <f>IF($C134="","",IFERROR(DATE(Настройки!$C$8,Настройки!$D$9+MATCH($M134,Настройки!$X$6:$X$17,0)-1,1),DATE(YEAR($C134),MONTH($C134),1)))</f>
        <v/>
      </c>
      <c r="S134">
        <f>IF(OR($I134="Оплачено",$H134&lt;&gt;""),$P134,$Q134)</f>
        <v/>
      </c>
      <c r="T134">
        <f>IF(OR($C134="",$D134="Доход",$I134="Оплачено",$I134="Отменено",$H134&lt;&gt;"",$C134&lt;TODAY()),"",$C134)</f>
        <v/>
      </c>
      <c r="U134">
        <f>IF(AND($D134&lt;&gt;"Доход",COUNTIFS(Счета!$B$10:$B$21,$J134,Счета!$C$10:$C$21,"Кредитная")&gt;0),1,0)</f>
        <v/>
      </c>
    </row>
    <row r="135" ht="19" customHeight="1">
      <c r="B135" s="53">
        <f>IF(AND($C135="",$F135=""),"",ROW()-9)</f>
        <v/>
      </c>
      <c r="C135" s="213" t="n"/>
      <c r="D135" s="55" t="n"/>
      <c r="E135" s="55" t="n"/>
      <c r="F135" s="56" t="n"/>
      <c r="G135" s="196" t="n"/>
      <c r="H135" s="196" t="n"/>
      <c r="I135" s="55" t="n"/>
      <c r="J135" s="55" t="n"/>
      <c r="K135" s="55" t="n"/>
      <c r="L135" s="100">
        <f>IF(OR($C135="",$I135="Оплачено",$I135="Отменено",$H135&lt;&gt;""),"",$C135-TODAY())</f>
        <v/>
      </c>
      <c r="M135" s="101">
        <f>IF($C135="","",INDEX(Настройки!$V$6:$V$17,MONTH($C135))&amp;" "&amp;YEAR($C135))</f>
        <v/>
      </c>
      <c r="N135" s="57">
        <f>IF($F135="","",IF(COUNTIF(Постоянные!$C$8:$C$37,$F135)&gt;0,"есть в Постоянных",IF(COUNTIF(Покупки!$C$7:$C$18,$F135)&gt;0,"есть в Покупках","")))</f>
        <v/>
      </c>
      <c r="P135">
        <f>IF($H135&lt;&gt;"",$H135,IF($I135="Оплачено",N($G135),0))</f>
        <v/>
      </c>
      <c r="Q135">
        <f>IF($I135="Отменено",0,IF($G135&lt;&gt;"",$G135,N($H135)))</f>
        <v/>
      </c>
      <c r="R135">
        <f>IF($C135="","",IFERROR(DATE(Настройки!$C$8,Настройки!$D$9+MATCH($M135,Настройки!$X$6:$X$17,0)-1,1),DATE(YEAR($C135),MONTH($C135),1)))</f>
        <v/>
      </c>
      <c r="S135">
        <f>IF(OR($I135="Оплачено",$H135&lt;&gt;""),$P135,$Q135)</f>
        <v/>
      </c>
      <c r="T135">
        <f>IF(OR($C135="",$D135="Доход",$I135="Оплачено",$I135="Отменено",$H135&lt;&gt;"",$C135&lt;TODAY()),"",$C135)</f>
        <v/>
      </c>
      <c r="U135">
        <f>IF(AND($D135&lt;&gt;"Доход",COUNTIFS(Счета!$B$10:$B$21,$J135,Счета!$C$10:$C$21,"Кредитная")&gt;0),1,0)</f>
        <v/>
      </c>
    </row>
    <row r="136" ht="19" customHeight="1">
      <c r="B136" s="53">
        <f>IF(AND($C136="",$F136=""),"",ROW()-9)</f>
        <v/>
      </c>
      <c r="C136" s="213" t="n"/>
      <c r="D136" s="55" t="n"/>
      <c r="E136" s="55" t="n"/>
      <c r="F136" s="56" t="n"/>
      <c r="G136" s="196" t="n"/>
      <c r="H136" s="196" t="n"/>
      <c r="I136" s="55" t="n"/>
      <c r="J136" s="55" t="n"/>
      <c r="K136" s="55" t="n"/>
      <c r="L136" s="100">
        <f>IF(OR($C136="",$I136="Оплачено",$I136="Отменено",$H136&lt;&gt;""),"",$C136-TODAY())</f>
        <v/>
      </c>
      <c r="M136" s="101">
        <f>IF($C136="","",INDEX(Настройки!$V$6:$V$17,MONTH($C136))&amp;" "&amp;YEAR($C136))</f>
        <v/>
      </c>
      <c r="N136" s="57">
        <f>IF($F136="","",IF(COUNTIF(Постоянные!$C$8:$C$37,$F136)&gt;0,"есть в Постоянных",IF(COUNTIF(Покупки!$C$7:$C$18,$F136)&gt;0,"есть в Покупках","")))</f>
        <v/>
      </c>
      <c r="P136">
        <f>IF($H136&lt;&gt;"",$H136,IF($I136="Оплачено",N($G136),0))</f>
        <v/>
      </c>
      <c r="Q136">
        <f>IF($I136="Отменено",0,IF($G136&lt;&gt;"",$G136,N($H136)))</f>
        <v/>
      </c>
      <c r="R136">
        <f>IF($C136="","",IFERROR(DATE(Настройки!$C$8,Настройки!$D$9+MATCH($M136,Настройки!$X$6:$X$17,0)-1,1),DATE(YEAR($C136),MONTH($C136),1)))</f>
        <v/>
      </c>
      <c r="S136">
        <f>IF(OR($I136="Оплачено",$H136&lt;&gt;""),$P136,$Q136)</f>
        <v/>
      </c>
      <c r="T136">
        <f>IF(OR($C136="",$D136="Доход",$I136="Оплачено",$I136="Отменено",$H136&lt;&gt;"",$C136&lt;TODAY()),"",$C136)</f>
        <v/>
      </c>
      <c r="U136">
        <f>IF(AND($D136&lt;&gt;"Доход",COUNTIFS(Счета!$B$10:$B$21,$J136,Счета!$C$10:$C$21,"Кредитная")&gt;0),1,0)</f>
        <v/>
      </c>
    </row>
    <row r="137" ht="19" customHeight="1">
      <c r="B137" s="53">
        <f>IF(AND($C137="",$F137=""),"",ROW()-9)</f>
        <v/>
      </c>
      <c r="C137" s="213" t="n"/>
      <c r="D137" s="55" t="n"/>
      <c r="E137" s="55" t="n"/>
      <c r="F137" s="56" t="n"/>
      <c r="G137" s="196" t="n"/>
      <c r="H137" s="196" t="n"/>
      <c r="I137" s="55" t="n"/>
      <c r="J137" s="55" t="n"/>
      <c r="K137" s="55" t="n"/>
      <c r="L137" s="100">
        <f>IF(OR($C137="",$I137="Оплачено",$I137="Отменено",$H137&lt;&gt;""),"",$C137-TODAY())</f>
        <v/>
      </c>
      <c r="M137" s="101">
        <f>IF($C137="","",INDEX(Настройки!$V$6:$V$17,MONTH($C137))&amp;" "&amp;YEAR($C137))</f>
        <v/>
      </c>
      <c r="N137" s="57">
        <f>IF($F137="","",IF(COUNTIF(Постоянные!$C$8:$C$37,$F137)&gt;0,"есть в Постоянных",IF(COUNTIF(Покупки!$C$7:$C$18,$F137)&gt;0,"есть в Покупках","")))</f>
        <v/>
      </c>
      <c r="P137">
        <f>IF($H137&lt;&gt;"",$H137,IF($I137="Оплачено",N($G137),0))</f>
        <v/>
      </c>
      <c r="Q137">
        <f>IF($I137="Отменено",0,IF($G137&lt;&gt;"",$G137,N($H137)))</f>
        <v/>
      </c>
      <c r="R137">
        <f>IF($C137="","",IFERROR(DATE(Настройки!$C$8,Настройки!$D$9+MATCH($M137,Настройки!$X$6:$X$17,0)-1,1),DATE(YEAR($C137),MONTH($C137),1)))</f>
        <v/>
      </c>
      <c r="S137">
        <f>IF(OR($I137="Оплачено",$H137&lt;&gt;""),$P137,$Q137)</f>
        <v/>
      </c>
      <c r="T137">
        <f>IF(OR($C137="",$D137="Доход",$I137="Оплачено",$I137="Отменено",$H137&lt;&gt;"",$C137&lt;TODAY()),"",$C137)</f>
        <v/>
      </c>
      <c r="U137">
        <f>IF(AND($D137&lt;&gt;"Доход",COUNTIFS(Счета!$B$10:$B$21,$J137,Счета!$C$10:$C$21,"Кредитная")&gt;0),1,0)</f>
        <v/>
      </c>
    </row>
    <row r="138" ht="19" customHeight="1">
      <c r="B138" s="53">
        <f>IF(AND($C138="",$F138=""),"",ROW()-9)</f>
        <v/>
      </c>
      <c r="C138" s="213" t="n"/>
      <c r="D138" s="55" t="n"/>
      <c r="E138" s="55" t="n"/>
      <c r="F138" s="56" t="n"/>
      <c r="G138" s="196" t="n"/>
      <c r="H138" s="196" t="n"/>
      <c r="I138" s="55" t="n"/>
      <c r="J138" s="55" t="n"/>
      <c r="K138" s="55" t="n"/>
      <c r="L138" s="100">
        <f>IF(OR($C138="",$I138="Оплачено",$I138="Отменено",$H138&lt;&gt;""),"",$C138-TODAY())</f>
        <v/>
      </c>
      <c r="M138" s="101">
        <f>IF($C138="","",INDEX(Настройки!$V$6:$V$17,MONTH($C138))&amp;" "&amp;YEAR($C138))</f>
        <v/>
      </c>
      <c r="N138" s="57">
        <f>IF($F138="","",IF(COUNTIF(Постоянные!$C$8:$C$37,$F138)&gt;0,"есть в Постоянных",IF(COUNTIF(Покупки!$C$7:$C$18,$F138)&gt;0,"есть в Покупках","")))</f>
        <v/>
      </c>
      <c r="P138">
        <f>IF($H138&lt;&gt;"",$H138,IF($I138="Оплачено",N($G138),0))</f>
        <v/>
      </c>
      <c r="Q138">
        <f>IF($I138="Отменено",0,IF($G138&lt;&gt;"",$G138,N($H138)))</f>
        <v/>
      </c>
      <c r="R138">
        <f>IF($C138="","",IFERROR(DATE(Настройки!$C$8,Настройки!$D$9+MATCH($M138,Настройки!$X$6:$X$17,0)-1,1),DATE(YEAR($C138),MONTH($C138),1)))</f>
        <v/>
      </c>
      <c r="S138">
        <f>IF(OR($I138="Оплачено",$H138&lt;&gt;""),$P138,$Q138)</f>
        <v/>
      </c>
      <c r="T138">
        <f>IF(OR($C138="",$D138="Доход",$I138="Оплачено",$I138="Отменено",$H138&lt;&gt;"",$C138&lt;TODAY()),"",$C138)</f>
        <v/>
      </c>
      <c r="U138">
        <f>IF(AND($D138&lt;&gt;"Доход",COUNTIFS(Счета!$B$10:$B$21,$J138,Счета!$C$10:$C$21,"Кредитная")&gt;0),1,0)</f>
        <v/>
      </c>
    </row>
    <row r="139" ht="19" customHeight="1">
      <c r="B139" s="53">
        <f>IF(AND($C139="",$F139=""),"",ROW()-9)</f>
        <v/>
      </c>
      <c r="C139" s="213" t="n"/>
      <c r="D139" s="55" t="n"/>
      <c r="E139" s="55" t="n"/>
      <c r="F139" s="56" t="n"/>
      <c r="G139" s="196" t="n"/>
      <c r="H139" s="196" t="n"/>
      <c r="I139" s="55" t="n"/>
      <c r="J139" s="55" t="n"/>
      <c r="K139" s="55" t="n"/>
      <c r="L139" s="100">
        <f>IF(OR($C139="",$I139="Оплачено",$I139="Отменено",$H139&lt;&gt;""),"",$C139-TODAY())</f>
        <v/>
      </c>
      <c r="M139" s="101">
        <f>IF($C139="","",INDEX(Настройки!$V$6:$V$17,MONTH($C139))&amp;" "&amp;YEAR($C139))</f>
        <v/>
      </c>
      <c r="N139" s="57">
        <f>IF($F139="","",IF(COUNTIF(Постоянные!$C$8:$C$37,$F139)&gt;0,"есть в Постоянных",IF(COUNTIF(Покупки!$C$7:$C$18,$F139)&gt;0,"есть в Покупках","")))</f>
        <v/>
      </c>
      <c r="P139">
        <f>IF($H139&lt;&gt;"",$H139,IF($I139="Оплачено",N($G139),0))</f>
        <v/>
      </c>
      <c r="Q139">
        <f>IF($I139="Отменено",0,IF($G139&lt;&gt;"",$G139,N($H139)))</f>
        <v/>
      </c>
      <c r="R139">
        <f>IF($C139="","",IFERROR(DATE(Настройки!$C$8,Настройки!$D$9+MATCH($M139,Настройки!$X$6:$X$17,0)-1,1),DATE(YEAR($C139),MONTH($C139),1)))</f>
        <v/>
      </c>
      <c r="S139">
        <f>IF(OR($I139="Оплачено",$H139&lt;&gt;""),$P139,$Q139)</f>
        <v/>
      </c>
      <c r="T139">
        <f>IF(OR($C139="",$D139="Доход",$I139="Оплачено",$I139="Отменено",$H139&lt;&gt;"",$C139&lt;TODAY()),"",$C139)</f>
        <v/>
      </c>
      <c r="U139">
        <f>IF(AND($D139&lt;&gt;"Доход",COUNTIFS(Счета!$B$10:$B$21,$J139,Счета!$C$10:$C$21,"Кредитная")&gt;0),1,0)</f>
        <v/>
      </c>
    </row>
    <row r="140" ht="19" customHeight="1">
      <c r="B140" s="53">
        <f>IF(AND($C140="",$F140=""),"",ROW()-9)</f>
        <v/>
      </c>
      <c r="C140" s="213" t="n"/>
      <c r="D140" s="55" t="n"/>
      <c r="E140" s="55" t="n"/>
      <c r="F140" s="56" t="n"/>
      <c r="G140" s="196" t="n"/>
      <c r="H140" s="196" t="n"/>
      <c r="I140" s="55" t="n"/>
      <c r="J140" s="55" t="n"/>
      <c r="K140" s="55" t="n"/>
      <c r="L140" s="100">
        <f>IF(OR($C140="",$I140="Оплачено",$I140="Отменено",$H140&lt;&gt;""),"",$C140-TODAY())</f>
        <v/>
      </c>
      <c r="M140" s="101">
        <f>IF($C140="","",INDEX(Настройки!$V$6:$V$17,MONTH($C140))&amp;" "&amp;YEAR($C140))</f>
        <v/>
      </c>
      <c r="N140" s="57">
        <f>IF($F140="","",IF(COUNTIF(Постоянные!$C$8:$C$37,$F140)&gt;0,"есть в Постоянных",IF(COUNTIF(Покупки!$C$7:$C$18,$F140)&gt;0,"есть в Покупках","")))</f>
        <v/>
      </c>
      <c r="P140">
        <f>IF($H140&lt;&gt;"",$H140,IF($I140="Оплачено",N($G140),0))</f>
        <v/>
      </c>
      <c r="Q140">
        <f>IF($I140="Отменено",0,IF($G140&lt;&gt;"",$G140,N($H140)))</f>
        <v/>
      </c>
      <c r="R140">
        <f>IF($C140="","",IFERROR(DATE(Настройки!$C$8,Настройки!$D$9+MATCH($M140,Настройки!$X$6:$X$17,0)-1,1),DATE(YEAR($C140),MONTH($C140),1)))</f>
        <v/>
      </c>
      <c r="S140">
        <f>IF(OR($I140="Оплачено",$H140&lt;&gt;""),$P140,$Q140)</f>
        <v/>
      </c>
      <c r="T140">
        <f>IF(OR($C140="",$D140="Доход",$I140="Оплачено",$I140="Отменено",$H140&lt;&gt;"",$C140&lt;TODAY()),"",$C140)</f>
        <v/>
      </c>
      <c r="U140">
        <f>IF(AND($D140&lt;&gt;"Доход",COUNTIFS(Счета!$B$10:$B$21,$J140,Счета!$C$10:$C$21,"Кредитная")&gt;0),1,0)</f>
        <v/>
      </c>
    </row>
    <row r="141" ht="19" customHeight="1">
      <c r="B141" s="53">
        <f>IF(AND($C141="",$F141=""),"",ROW()-9)</f>
        <v/>
      </c>
      <c r="C141" s="213" t="n"/>
      <c r="D141" s="55" t="n"/>
      <c r="E141" s="55" t="n"/>
      <c r="F141" s="56" t="n"/>
      <c r="G141" s="196" t="n"/>
      <c r="H141" s="196" t="n"/>
      <c r="I141" s="55" t="n"/>
      <c r="J141" s="55" t="n"/>
      <c r="K141" s="55" t="n"/>
      <c r="L141" s="100">
        <f>IF(OR($C141="",$I141="Оплачено",$I141="Отменено",$H141&lt;&gt;""),"",$C141-TODAY())</f>
        <v/>
      </c>
      <c r="M141" s="101">
        <f>IF($C141="","",INDEX(Настройки!$V$6:$V$17,MONTH($C141))&amp;" "&amp;YEAR($C141))</f>
        <v/>
      </c>
      <c r="N141" s="57">
        <f>IF($F141="","",IF(COUNTIF(Постоянные!$C$8:$C$37,$F141)&gt;0,"есть в Постоянных",IF(COUNTIF(Покупки!$C$7:$C$18,$F141)&gt;0,"есть в Покупках","")))</f>
        <v/>
      </c>
      <c r="P141">
        <f>IF($H141&lt;&gt;"",$H141,IF($I141="Оплачено",N($G141),0))</f>
        <v/>
      </c>
      <c r="Q141">
        <f>IF($I141="Отменено",0,IF($G141&lt;&gt;"",$G141,N($H141)))</f>
        <v/>
      </c>
      <c r="R141">
        <f>IF($C141="","",IFERROR(DATE(Настройки!$C$8,Настройки!$D$9+MATCH($M141,Настройки!$X$6:$X$17,0)-1,1),DATE(YEAR($C141),MONTH($C141),1)))</f>
        <v/>
      </c>
      <c r="S141">
        <f>IF(OR($I141="Оплачено",$H141&lt;&gt;""),$P141,$Q141)</f>
        <v/>
      </c>
      <c r="T141">
        <f>IF(OR($C141="",$D141="Доход",$I141="Оплачено",$I141="Отменено",$H141&lt;&gt;"",$C141&lt;TODAY()),"",$C141)</f>
        <v/>
      </c>
      <c r="U141">
        <f>IF(AND($D141&lt;&gt;"Доход",COUNTIFS(Счета!$B$10:$B$21,$J141,Счета!$C$10:$C$21,"Кредитная")&gt;0),1,0)</f>
        <v/>
      </c>
    </row>
    <row r="142" ht="19" customHeight="1">
      <c r="B142" s="53">
        <f>IF(AND($C142="",$F142=""),"",ROW()-9)</f>
        <v/>
      </c>
      <c r="C142" s="213" t="n"/>
      <c r="D142" s="55" t="n"/>
      <c r="E142" s="55" t="n"/>
      <c r="F142" s="56" t="n"/>
      <c r="G142" s="196" t="n"/>
      <c r="H142" s="196" t="n"/>
      <c r="I142" s="55" t="n"/>
      <c r="J142" s="55" t="n"/>
      <c r="K142" s="55" t="n"/>
      <c r="L142" s="100">
        <f>IF(OR($C142="",$I142="Оплачено",$I142="Отменено",$H142&lt;&gt;""),"",$C142-TODAY())</f>
        <v/>
      </c>
      <c r="M142" s="101">
        <f>IF($C142="","",INDEX(Настройки!$V$6:$V$17,MONTH($C142))&amp;" "&amp;YEAR($C142))</f>
        <v/>
      </c>
      <c r="N142" s="57">
        <f>IF($F142="","",IF(COUNTIF(Постоянные!$C$8:$C$37,$F142)&gt;0,"есть в Постоянных",IF(COUNTIF(Покупки!$C$7:$C$18,$F142)&gt;0,"есть в Покупках","")))</f>
        <v/>
      </c>
      <c r="P142">
        <f>IF($H142&lt;&gt;"",$H142,IF($I142="Оплачено",N($G142),0))</f>
        <v/>
      </c>
      <c r="Q142">
        <f>IF($I142="Отменено",0,IF($G142&lt;&gt;"",$G142,N($H142)))</f>
        <v/>
      </c>
      <c r="R142">
        <f>IF($C142="","",IFERROR(DATE(Настройки!$C$8,Настройки!$D$9+MATCH($M142,Настройки!$X$6:$X$17,0)-1,1),DATE(YEAR($C142),MONTH($C142),1)))</f>
        <v/>
      </c>
      <c r="S142">
        <f>IF(OR($I142="Оплачено",$H142&lt;&gt;""),$P142,$Q142)</f>
        <v/>
      </c>
      <c r="T142">
        <f>IF(OR($C142="",$D142="Доход",$I142="Оплачено",$I142="Отменено",$H142&lt;&gt;"",$C142&lt;TODAY()),"",$C142)</f>
        <v/>
      </c>
      <c r="U142">
        <f>IF(AND($D142&lt;&gt;"Доход",COUNTIFS(Счета!$B$10:$B$21,$J142,Счета!$C$10:$C$21,"Кредитная")&gt;0),1,0)</f>
        <v/>
      </c>
    </row>
    <row r="143" ht="19" customHeight="1">
      <c r="B143" s="53">
        <f>IF(AND($C143="",$F143=""),"",ROW()-9)</f>
        <v/>
      </c>
      <c r="C143" s="213" t="n"/>
      <c r="D143" s="55" t="n"/>
      <c r="E143" s="55" t="n"/>
      <c r="F143" s="56" t="n"/>
      <c r="G143" s="196" t="n"/>
      <c r="H143" s="196" t="n"/>
      <c r="I143" s="55" t="n"/>
      <c r="J143" s="55" t="n"/>
      <c r="K143" s="55" t="n"/>
      <c r="L143" s="100">
        <f>IF(OR($C143="",$I143="Оплачено",$I143="Отменено",$H143&lt;&gt;""),"",$C143-TODAY())</f>
        <v/>
      </c>
      <c r="M143" s="101">
        <f>IF($C143="","",INDEX(Настройки!$V$6:$V$17,MONTH($C143))&amp;" "&amp;YEAR($C143))</f>
        <v/>
      </c>
      <c r="N143" s="57">
        <f>IF($F143="","",IF(COUNTIF(Постоянные!$C$8:$C$37,$F143)&gt;0,"есть в Постоянных",IF(COUNTIF(Покупки!$C$7:$C$18,$F143)&gt;0,"есть в Покупках","")))</f>
        <v/>
      </c>
      <c r="P143">
        <f>IF($H143&lt;&gt;"",$H143,IF($I143="Оплачено",N($G143),0))</f>
        <v/>
      </c>
      <c r="Q143">
        <f>IF($I143="Отменено",0,IF($G143&lt;&gt;"",$G143,N($H143)))</f>
        <v/>
      </c>
      <c r="R143">
        <f>IF($C143="","",IFERROR(DATE(Настройки!$C$8,Настройки!$D$9+MATCH($M143,Настройки!$X$6:$X$17,0)-1,1),DATE(YEAR($C143),MONTH($C143),1)))</f>
        <v/>
      </c>
      <c r="S143">
        <f>IF(OR($I143="Оплачено",$H143&lt;&gt;""),$P143,$Q143)</f>
        <v/>
      </c>
      <c r="T143">
        <f>IF(OR($C143="",$D143="Доход",$I143="Оплачено",$I143="Отменено",$H143&lt;&gt;"",$C143&lt;TODAY()),"",$C143)</f>
        <v/>
      </c>
      <c r="U143">
        <f>IF(AND($D143&lt;&gt;"Доход",COUNTIFS(Счета!$B$10:$B$21,$J143,Счета!$C$10:$C$21,"Кредитная")&gt;0),1,0)</f>
        <v/>
      </c>
    </row>
    <row r="144" ht="19" customHeight="1">
      <c r="B144" s="53">
        <f>IF(AND($C144="",$F144=""),"",ROW()-9)</f>
        <v/>
      </c>
      <c r="C144" s="213" t="n"/>
      <c r="D144" s="55" t="n"/>
      <c r="E144" s="55" t="n"/>
      <c r="F144" s="56" t="n"/>
      <c r="G144" s="196" t="n"/>
      <c r="H144" s="196" t="n"/>
      <c r="I144" s="55" t="n"/>
      <c r="J144" s="55" t="n"/>
      <c r="K144" s="55" t="n"/>
      <c r="L144" s="100">
        <f>IF(OR($C144="",$I144="Оплачено",$I144="Отменено",$H144&lt;&gt;""),"",$C144-TODAY())</f>
        <v/>
      </c>
      <c r="M144" s="101">
        <f>IF($C144="","",INDEX(Настройки!$V$6:$V$17,MONTH($C144))&amp;" "&amp;YEAR($C144))</f>
        <v/>
      </c>
      <c r="N144" s="57">
        <f>IF($F144="","",IF(COUNTIF(Постоянные!$C$8:$C$37,$F144)&gt;0,"есть в Постоянных",IF(COUNTIF(Покупки!$C$7:$C$18,$F144)&gt;0,"есть в Покупках","")))</f>
        <v/>
      </c>
      <c r="P144">
        <f>IF($H144&lt;&gt;"",$H144,IF($I144="Оплачено",N($G144),0))</f>
        <v/>
      </c>
      <c r="Q144">
        <f>IF($I144="Отменено",0,IF($G144&lt;&gt;"",$G144,N($H144)))</f>
        <v/>
      </c>
      <c r="R144">
        <f>IF($C144="","",IFERROR(DATE(Настройки!$C$8,Настройки!$D$9+MATCH($M144,Настройки!$X$6:$X$17,0)-1,1),DATE(YEAR($C144),MONTH($C144),1)))</f>
        <v/>
      </c>
      <c r="S144">
        <f>IF(OR($I144="Оплачено",$H144&lt;&gt;""),$P144,$Q144)</f>
        <v/>
      </c>
      <c r="T144">
        <f>IF(OR($C144="",$D144="Доход",$I144="Оплачено",$I144="Отменено",$H144&lt;&gt;"",$C144&lt;TODAY()),"",$C144)</f>
        <v/>
      </c>
      <c r="U144">
        <f>IF(AND($D144&lt;&gt;"Доход",COUNTIFS(Счета!$B$10:$B$21,$J144,Счета!$C$10:$C$21,"Кредитная")&gt;0),1,0)</f>
        <v/>
      </c>
    </row>
    <row r="145" ht="19" customHeight="1">
      <c r="B145" s="53">
        <f>IF(AND($C145="",$F145=""),"",ROW()-9)</f>
        <v/>
      </c>
      <c r="C145" s="213" t="n"/>
      <c r="D145" s="55" t="n"/>
      <c r="E145" s="55" t="n"/>
      <c r="F145" s="56" t="n"/>
      <c r="G145" s="196" t="n"/>
      <c r="H145" s="196" t="n"/>
      <c r="I145" s="55" t="n"/>
      <c r="J145" s="55" t="n"/>
      <c r="K145" s="55" t="n"/>
      <c r="L145" s="100">
        <f>IF(OR($C145="",$I145="Оплачено",$I145="Отменено",$H145&lt;&gt;""),"",$C145-TODAY())</f>
        <v/>
      </c>
      <c r="M145" s="101">
        <f>IF($C145="","",INDEX(Настройки!$V$6:$V$17,MONTH($C145))&amp;" "&amp;YEAR($C145))</f>
        <v/>
      </c>
      <c r="N145" s="57">
        <f>IF($F145="","",IF(COUNTIF(Постоянные!$C$8:$C$37,$F145)&gt;0,"есть в Постоянных",IF(COUNTIF(Покупки!$C$7:$C$18,$F145)&gt;0,"есть в Покупках","")))</f>
        <v/>
      </c>
      <c r="P145">
        <f>IF($H145&lt;&gt;"",$H145,IF($I145="Оплачено",N($G145),0))</f>
        <v/>
      </c>
      <c r="Q145">
        <f>IF($I145="Отменено",0,IF($G145&lt;&gt;"",$G145,N($H145)))</f>
        <v/>
      </c>
      <c r="R145">
        <f>IF($C145="","",IFERROR(DATE(Настройки!$C$8,Настройки!$D$9+MATCH($M145,Настройки!$X$6:$X$17,0)-1,1),DATE(YEAR($C145),MONTH($C145),1)))</f>
        <v/>
      </c>
      <c r="S145">
        <f>IF(OR($I145="Оплачено",$H145&lt;&gt;""),$P145,$Q145)</f>
        <v/>
      </c>
      <c r="T145">
        <f>IF(OR($C145="",$D145="Доход",$I145="Оплачено",$I145="Отменено",$H145&lt;&gt;"",$C145&lt;TODAY()),"",$C145)</f>
        <v/>
      </c>
      <c r="U145">
        <f>IF(AND($D145&lt;&gt;"Доход",COUNTIFS(Счета!$B$10:$B$21,$J145,Счета!$C$10:$C$21,"Кредитная")&gt;0),1,0)</f>
        <v/>
      </c>
    </row>
    <row r="146" ht="19" customHeight="1">
      <c r="B146" s="53">
        <f>IF(AND($C146="",$F146=""),"",ROW()-9)</f>
        <v/>
      </c>
      <c r="C146" s="213" t="n"/>
      <c r="D146" s="55" t="n"/>
      <c r="E146" s="55" t="n"/>
      <c r="F146" s="56" t="n"/>
      <c r="G146" s="196" t="n"/>
      <c r="H146" s="196" t="n"/>
      <c r="I146" s="55" t="n"/>
      <c r="J146" s="55" t="n"/>
      <c r="K146" s="55" t="n"/>
      <c r="L146" s="100">
        <f>IF(OR($C146="",$I146="Оплачено",$I146="Отменено",$H146&lt;&gt;""),"",$C146-TODAY())</f>
        <v/>
      </c>
      <c r="M146" s="101">
        <f>IF($C146="","",INDEX(Настройки!$V$6:$V$17,MONTH($C146))&amp;" "&amp;YEAR($C146))</f>
        <v/>
      </c>
      <c r="N146" s="57">
        <f>IF($F146="","",IF(COUNTIF(Постоянные!$C$8:$C$37,$F146)&gt;0,"есть в Постоянных",IF(COUNTIF(Покупки!$C$7:$C$18,$F146)&gt;0,"есть в Покупках","")))</f>
        <v/>
      </c>
      <c r="P146">
        <f>IF($H146&lt;&gt;"",$H146,IF($I146="Оплачено",N($G146),0))</f>
        <v/>
      </c>
      <c r="Q146">
        <f>IF($I146="Отменено",0,IF($G146&lt;&gt;"",$G146,N($H146)))</f>
        <v/>
      </c>
      <c r="R146">
        <f>IF($C146="","",IFERROR(DATE(Настройки!$C$8,Настройки!$D$9+MATCH($M146,Настройки!$X$6:$X$17,0)-1,1),DATE(YEAR($C146),MONTH($C146),1)))</f>
        <v/>
      </c>
      <c r="S146">
        <f>IF(OR($I146="Оплачено",$H146&lt;&gt;""),$P146,$Q146)</f>
        <v/>
      </c>
      <c r="T146">
        <f>IF(OR($C146="",$D146="Доход",$I146="Оплачено",$I146="Отменено",$H146&lt;&gt;"",$C146&lt;TODAY()),"",$C146)</f>
        <v/>
      </c>
      <c r="U146">
        <f>IF(AND($D146&lt;&gt;"Доход",COUNTIFS(Счета!$B$10:$B$21,$J146,Счета!$C$10:$C$21,"Кредитная")&gt;0),1,0)</f>
        <v/>
      </c>
    </row>
    <row r="147" ht="19" customHeight="1">
      <c r="B147" s="53">
        <f>IF(AND($C147="",$F147=""),"",ROW()-9)</f>
        <v/>
      </c>
      <c r="C147" s="213" t="n"/>
      <c r="D147" s="55" t="n"/>
      <c r="E147" s="55" t="n"/>
      <c r="F147" s="56" t="n"/>
      <c r="G147" s="196" t="n"/>
      <c r="H147" s="196" t="n"/>
      <c r="I147" s="55" t="n"/>
      <c r="J147" s="55" t="n"/>
      <c r="K147" s="55" t="n"/>
      <c r="L147" s="100">
        <f>IF(OR($C147="",$I147="Оплачено",$I147="Отменено",$H147&lt;&gt;""),"",$C147-TODAY())</f>
        <v/>
      </c>
      <c r="M147" s="101">
        <f>IF($C147="","",INDEX(Настройки!$V$6:$V$17,MONTH($C147))&amp;" "&amp;YEAR($C147))</f>
        <v/>
      </c>
      <c r="N147" s="57">
        <f>IF($F147="","",IF(COUNTIF(Постоянные!$C$8:$C$37,$F147)&gt;0,"есть в Постоянных",IF(COUNTIF(Покупки!$C$7:$C$18,$F147)&gt;0,"есть в Покупках","")))</f>
        <v/>
      </c>
      <c r="P147">
        <f>IF($H147&lt;&gt;"",$H147,IF($I147="Оплачено",N($G147),0))</f>
        <v/>
      </c>
      <c r="Q147">
        <f>IF($I147="Отменено",0,IF($G147&lt;&gt;"",$G147,N($H147)))</f>
        <v/>
      </c>
      <c r="R147">
        <f>IF($C147="","",IFERROR(DATE(Настройки!$C$8,Настройки!$D$9+MATCH($M147,Настройки!$X$6:$X$17,0)-1,1),DATE(YEAR($C147),MONTH($C147),1)))</f>
        <v/>
      </c>
      <c r="S147">
        <f>IF(OR($I147="Оплачено",$H147&lt;&gt;""),$P147,$Q147)</f>
        <v/>
      </c>
      <c r="T147">
        <f>IF(OR($C147="",$D147="Доход",$I147="Оплачено",$I147="Отменено",$H147&lt;&gt;"",$C147&lt;TODAY()),"",$C147)</f>
        <v/>
      </c>
      <c r="U147">
        <f>IF(AND($D147&lt;&gt;"Доход",COUNTIFS(Счета!$B$10:$B$21,$J147,Счета!$C$10:$C$21,"Кредитная")&gt;0),1,0)</f>
        <v/>
      </c>
    </row>
    <row r="148" ht="19" customHeight="1">
      <c r="B148" s="53">
        <f>IF(AND($C148="",$F148=""),"",ROW()-9)</f>
        <v/>
      </c>
      <c r="C148" s="213" t="n"/>
      <c r="D148" s="55" t="n"/>
      <c r="E148" s="55" t="n"/>
      <c r="F148" s="56" t="n"/>
      <c r="G148" s="196" t="n"/>
      <c r="H148" s="196" t="n"/>
      <c r="I148" s="55" t="n"/>
      <c r="J148" s="55" t="n"/>
      <c r="K148" s="55" t="n"/>
      <c r="L148" s="100">
        <f>IF(OR($C148="",$I148="Оплачено",$I148="Отменено",$H148&lt;&gt;""),"",$C148-TODAY())</f>
        <v/>
      </c>
      <c r="M148" s="101">
        <f>IF($C148="","",INDEX(Настройки!$V$6:$V$17,MONTH($C148))&amp;" "&amp;YEAR($C148))</f>
        <v/>
      </c>
      <c r="N148" s="57">
        <f>IF($F148="","",IF(COUNTIF(Постоянные!$C$8:$C$37,$F148)&gt;0,"есть в Постоянных",IF(COUNTIF(Покупки!$C$7:$C$18,$F148)&gt;0,"есть в Покупках","")))</f>
        <v/>
      </c>
      <c r="P148">
        <f>IF($H148&lt;&gt;"",$H148,IF($I148="Оплачено",N($G148),0))</f>
        <v/>
      </c>
      <c r="Q148">
        <f>IF($I148="Отменено",0,IF($G148&lt;&gt;"",$G148,N($H148)))</f>
        <v/>
      </c>
      <c r="R148">
        <f>IF($C148="","",IFERROR(DATE(Настройки!$C$8,Настройки!$D$9+MATCH($M148,Настройки!$X$6:$X$17,0)-1,1),DATE(YEAR($C148),MONTH($C148),1)))</f>
        <v/>
      </c>
      <c r="S148">
        <f>IF(OR($I148="Оплачено",$H148&lt;&gt;""),$P148,$Q148)</f>
        <v/>
      </c>
      <c r="T148">
        <f>IF(OR($C148="",$D148="Доход",$I148="Оплачено",$I148="Отменено",$H148&lt;&gt;"",$C148&lt;TODAY()),"",$C148)</f>
        <v/>
      </c>
      <c r="U148">
        <f>IF(AND($D148&lt;&gt;"Доход",COUNTIFS(Счета!$B$10:$B$21,$J148,Счета!$C$10:$C$21,"Кредитная")&gt;0),1,0)</f>
        <v/>
      </c>
    </row>
    <row r="149" ht="19" customHeight="1">
      <c r="B149" s="53">
        <f>IF(AND($C149="",$F149=""),"",ROW()-9)</f>
        <v/>
      </c>
      <c r="C149" s="213" t="n"/>
      <c r="D149" s="55" t="n"/>
      <c r="E149" s="55" t="n"/>
      <c r="F149" s="56" t="n"/>
      <c r="G149" s="196" t="n"/>
      <c r="H149" s="196" t="n"/>
      <c r="I149" s="55" t="n"/>
      <c r="J149" s="55" t="n"/>
      <c r="K149" s="55" t="n"/>
      <c r="L149" s="100">
        <f>IF(OR($C149="",$I149="Оплачено",$I149="Отменено",$H149&lt;&gt;""),"",$C149-TODAY())</f>
        <v/>
      </c>
      <c r="M149" s="101">
        <f>IF($C149="","",INDEX(Настройки!$V$6:$V$17,MONTH($C149))&amp;" "&amp;YEAR($C149))</f>
        <v/>
      </c>
      <c r="N149" s="57">
        <f>IF($F149="","",IF(COUNTIF(Постоянные!$C$8:$C$37,$F149)&gt;0,"есть в Постоянных",IF(COUNTIF(Покупки!$C$7:$C$18,$F149)&gt;0,"есть в Покупках","")))</f>
        <v/>
      </c>
      <c r="P149">
        <f>IF($H149&lt;&gt;"",$H149,IF($I149="Оплачено",N($G149),0))</f>
        <v/>
      </c>
      <c r="Q149">
        <f>IF($I149="Отменено",0,IF($G149&lt;&gt;"",$G149,N($H149)))</f>
        <v/>
      </c>
      <c r="R149">
        <f>IF($C149="","",IFERROR(DATE(Настройки!$C$8,Настройки!$D$9+MATCH($M149,Настройки!$X$6:$X$17,0)-1,1),DATE(YEAR($C149),MONTH($C149),1)))</f>
        <v/>
      </c>
      <c r="S149">
        <f>IF(OR($I149="Оплачено",$H149&lt;&gt;""),$P149,$Q149)</f>
        <v/>
      </c>
      <c r="T149">
        <f>IF(OR($C149="",$D149="Доход",$I149="Оплачено",$I149="Отменено",$H149&lt;&gt;"",$C149&lt;TODAY()),"",$C149)</f>
        <v/>
      </c>
      <c r="U149">
        <f>IF(AND($D149&lt;&gt;"Доход",COUNTIFS(Счета!$B$10:$B$21,$J149,Счета!$C$10:$C$21,"Кредитная")&gt;0),1,0)</f>
        <v/>
      </c>
    </row>
    <row r="150" ht="19" customHeight="1">
      <c r="B150" s="53">
        <f>IF(AND($C150="",$F150=""),"",ROW()-9)</f>
        <v/>
      </c>
      <c r="C150" s="213" t="n"/>
      <c r="D150" s="55" t="n"/>
      <c r="E150" s="55" t="n"/>
      <c r="F150" s="56" t="n"/>
      <c r="G150" s="196" t="n"/>
      <c r="H150" s="196" t="n"/>
      <c r="I150" s="55" t="n"/>
      <c r="J150" s="55" t="n"/>
      <c r="K150" s="55" t="n"/>
      <c r="L150" s="100">
        <f>IF(OR($C150="",$I150="Оплачено",$I150="Отменено",$H150&lt;&gt;""),"",$C150-TODAY())</f>
        <v/>
      </c>
      <c r="M150" s="101">
        <f>IF($C150="","",INDEX(Настройки!$V$6:$V$17,MONTH($C150))&amp;" "&amp;YEAR($C150))</f>
        <v/>
      </c>
      <c r="N150" s="57">
        <f>IF($F150="","",IF(COUNTIF(Постоянные!$C$8:$C$37,$F150)&gt;0,"есть в Постоянных",IF(COUNTIF(Покупки!$C$7:$C$18,$F150)&gt;0,"есть в Покупках","")))</f>
        <v/>
      </c>
      <c r="P150">
        <f>IF($H150&lt;&gt;"",$H150,IF($I150="Оплачено",N($G150),0))</f>
        <v/>
      </c>
      <c r="Q150">
        <f>IF($I150="Отменено",0,IF($G150&lt;&gt;"",$G150,N($H150)))</f>
        <v/>
      </c>
      <c r="R150">
        <f>IF($C150="","",IFERROR(DATE(Настройки!$C$8,Настройки!$D$9+MATCH($M150,Настройки!$X$6:$X$17,0)-1,1),DATE(YEAR($C150),MONTH($C150),1)))</f>
        <v/>
      </c>
      <c r="S150">
        <f>IF(OR($I150="Оплачено",$H150&lt;&gt;""),$P150,$Q150)</f>
        <v/>
      </c>
      <c r="T150">
        <f>IF(OR($C150="",$D150="Доход",$I150="Оплачено",$I150="Отменено",$H150&lt;&gt;"",$C150&lt;TODAY()),"",$C150)</f>
        <v/>
      </c>
      <c r="U150">
        <f>IF(AND($D150&lt;&gt;"Доход",COUNTIFS(Счета!$B$10:$B$21,$J150,Счета!$C$10:$C$21,"Кредитная")&gt;0),1,0)</f>
        <v/>
      </c>
    </row>
    <row r="151" ht="19" customHeight="1">
      <c r="B151" s="53">
        <f>IF(AND($C151="",$F151=""),"",ROW()-9)</f>
        <v/>
      </c>
      <c r="C151" s="213" t="n"/>
      <c r="D151" s="55" t="n"/>
      <c r="E151" s="55" t="n"/>
      <c r="F151" s="56" t="n"/>
      <c r="G151" s="196" t="n"/>
      <c r="H151" s="196" t="n"/>
      <c r="I151" s="55" t="n"/>
      <c r="J151" s="55" t="n"/>
      <c r="K151" s="55" t="n"/>
      <c r="L151" s="100">
        <f>IF(OR($C151="",$I151="Оплачено",$I151="Отменено",$H151&lt;&gt;""),"",$C151-TODAY())</f>
        <v/>
      </c>
      <c r="M151" s="101">
        <f>IF($C151="","",INDEX(Настройки!$V$6:$V$17,MONTH($C151))&amp;" "&amp;YEAR($C151))</f>
        <v/>
      </c>
      <c r="N151" s="57">
        <f>IF($F151="","",IF(COUNTIF(Постоянные!$C$8:$C$37,$F151)&gt;0,"есть в Постоянных",IF(COUNTIF(Покупки!$C$7:$C$18,$F151)&gt;0,"есть в Покупках","")))</f>
        <v/>
      </c>
      <c r="P151">
        <f>IF($H151&lt;&gt;"",$H151,IF($I151="Оплачено",N($G151),0))</f>
        <v/>
      </c>
      <c r="Q151">
        <f>IF($I151="Отменено",0,IF($G151&lt;&gt;"",$G151,N($H151)))</f>
        <v/>
      </c>
      <c r="R151">
        <f>IF($C151="","",IFERROR(DATE(Настройки!$C$8,Настройки!$D$9+MATCH($M151,Настройки!$X$6:$X$17,0)-1,1),DATE(YEAR($C151),MONTH($C151),1)))</f>
        <v/>
      </c>
      <c r="S151">
        <f>IF(OR($I151="Оплачено",$H151&lt;&gt;""),$P151,$Q151)</f>
        <v/>
      </c>
      <c r="T151">
        <f>IF(OR($C151="",$D151="Доход",$I151="Оплачено",$I151="Отменено",$H151&lt;&gt;"",$C151&lt;TODAY()),"",$C151)</f>
        <v/>
      </c>
      <c r="U151">
        <f>IF(AND($D151&lt;&gt;"Доход",COUNTIFS(Счета!$B$10:$B$21,$J151,Счета!$C$10:$C$21,"Кредитная")&gt;0),1,0)</f>
        <v/>
      </c>
    </row>
    <row r="152" ht="19" customHeight="1">
      <c r="B152" s="53">
        <f>IF(AND($C152="",$F152=""),"",ROW()-9)</f>
        <v/>
      </c>
      <c r="C152" s="213" t="n"/>
      <c r="D152" s="55" t="n"/>
      <c r="E152" s="55" t="n"/>
      <c r="F152" s="56" t="n"/>
      <c r="G152" s="196" t="n"/>
      <c r="H152" s="196" t="n"/>
      <c r="I152" s="55" t="n"/>
      <c r="J152" s="55" t="n"/>
      <c r="K152" s="55" t="n"/>
      <c r="L152" s="100">
        <f>IF(OR($C152="",$I152="Оплачено",$I152="Отменено",$H152&lt;&gt;""),"",$C152-TODAY())</f>
        <v/>
      </c>
      <c r="M152" s="101">
        <f>IF($C152="","",INDEX(Настройки!$V$6:$V$17,MONTH($C152))&amp;" "&amp;YEAR($C152))</f>
        <v/>
      </c>
      <c r="N152" s="57">
        <f>IF($F152="","",IF(COUNTIF(Постоянные!$C$8:$C$37,$F152)&gt;0,"есть в Постоянных",IF(COUNTIF(Покупки!$C$7:$C$18,$F152)&gt;0,"есть в Покупках","")))</f>
        <v/>
      </c>
      <c r="P152">
        <f>IF($H152&lt;&gt;"",$H152,IF($I152="Оплачено",N($G152),0))</f>
        <v/>
      </c>
      <c r="Q152">
        <f>IF($I152="Отменено",0,IF($G152&lt;&gt;"",$G152,N($H152)))</f>
        <v/>
      </c>
      <c r="R152">
        <f>IF($C152="","",IFERROR(DATE(Настройки!$C$8,Настройки!$D$9+MATCH($M152,Настройки!$X$6:$X$17,0)-1,1),DATE(YEAR($C152),MONTH($C152),1)))</f>
        <v/>
      </c>
      <c r="S152">
        <f>IF(OR($I152="Оплачено",$H152&lt;&gt;""),$P152,$Q152)</f>
        <v/>
      </c>
      <c r="T152">
        <f>IF(OR($C152="",$D152="Доход",$I152="Оплачено",$I152="Отменено",$H152&lt;&gt;"",$C152&lt;TODAY()),"",$C152)</f>
        <v/>
      </c>
      <c r="U152">
        <f>IF(AND($D152&lt;&gt;"Доход",COUNTIFS(Счета!$B$10:$B$21,$J152,Счета!$C$10:$C$21,"Кредитная")&gt;0),1,0)</f>
        <v/>
      </c>
    </row>
    <row r="153" ht="19" customHeight="1">
      <c r="B153" s="53">
        <f>IF(AND($C153="",$F153=""),"",ROW()-9)</f>
        <v/>
      </c>
      <c r="C153" s="213" t="n"/>
      <c r="D153" s="55" t="n"/>
      <c r="E153" s="55" t="n"/>
      <c r="F153" s="56" t="n"/>
      <c r="G153" s="196" t="n"/>
      <c r="H153" s="196" t="n"/>
      <c r="I153" s="55" t="n"/>
      <c r="J153" s="55" t="n"/>
      <c r="K153" s="55" t="n"/>
      <c r="L153" s="100">
        <f>IF(OR($C153="",$I153="Оплачено",$I153="Отменено",$H153&lt;&gt;""),"",$C153-TODAY())</f>
        <v/>
      </c>
      <c r="M153" s="101">
        <f>IF($C153="","",INDEX(Настройки!$V$6:$V$17,MONTH($C153))&amp;" "&amp;YEAR($C153))</f>
        <v/>
      </c>
      <c r="N153" s="57">
        <f>IF($F153="","",IF(COUNTIF(Постоянные!$C$8:$C$37,$F153)&gt;0,"есть в Постоянных",IF(COUNTIF(Покупки!$C$7:$C$18,$F153)&gt;0,"есть в Покупках","")))</f>
        <v/>
      </c>
      <c r="P153">
        <f>IF($H153&lt;&gt;"",$H153,IF($I153="Оплачено",N($G153),0))</f>
        <v/>
      </c>
      <c r="Q153">
        <f>IF($I153="Отменено",0,IF($G153&lt;&gt;"",$G153,N($H153)))</f>
        <v/>
      </c>
      <c r="R153">
        <f>IF($C153="","",IFERROR(DATE(Настройки!$C$8,Настройки!$D$9+MATCH($M153,Настройки!$X$6:$X$17,0)-1,1),DATE(YEAR($C153),MONTH($C153),1)))</f>
        <v/>
      </c>
      <c r="S153">
        <f>IF(OR($I153="Оплачено",$H153&lt;&gt;""),$P153,$Q153)</f>
        <v/>
      </c>
      <c r="T153">
        <f>IF(OR($C153="",$D153="Доход",$I153="Оплачено",$I153="Отменено",$H153&lt;&gt;"",$C153&lt;TODAY()),"",$C153)</f>
        <v/>
      </c>
      <c r="U153">
        <f>IF(AND($D153&lt;&gt;"Доход",COUNTIFS(Счета!$B$10:$B$21,$J153,Счета!$C$10:$C$21,"Кредитная")&gt;0),1,0)</f>
        <v/>
      </c>
    </row>
    <row r="154" ht="19" customHeight="1">
      <c r="B154" s="53">
        <f>IF(AND($C154="",$F154=""),"",ROW()-9)</f>
        <v/>
      </c>
      <c r="C154" s="213" t="n"/>
      <c r="D154" s="55" t="n"/>
      <c r="E154" s="55" t="n"/>
      <c r="F154" s="56" t="n"/>
      <c r="G154" s="196" t="n"/>
      <c r="H154" s="196" t="n"/>
      <c r="I154" s="55" t="n"/>
      <c r="J154" s="55" t="n"/>
      <c r="K154" s="55" t="n"/>
      <c r="L154" s="100">
        <f>IF(OR($C154="",$I154="Оплачено",$I154="Отменено",$H154&lt;&gt;""),"",$C154-TODAY())</f>
        <v/>
      </c>
      <c r="M154" s="101">
        <f>IF($C154="","",INDEX(Настройки!$V$6:$V$17,MONTH($C154))&amp;" "&amp;YEAR($C154))</f>
        <v/>
      </c>
      <c r="N154" s="57">
        <f>IF($F154="","",IF(COUNTIF(Постоянные!$C$8:$C$37,$F154)&gt;0,"есть в Постоянных",IF(COUNTIF(Покупки!$C$7:$C$18,$F154)&gt;0,"есть в Покупках","")))</f>
        <v/>
      </c>
      <c r="P154">
        <f>IF($H154&lt;&gt;"",$H154,IF($I154="Оплачено",N($G154),0))</f>
        <v/>
      </c>
      <c r="Q154">
        <f>IF($I154="Отменено",0,IF($G154&lt;&gt;"",$G154,N($H154)))</f>
        <v/>
      </c>
      <c r="R154">
        <f>IF($C154="","",IFERROR(DATE(Настройки!$C$8,Настройки!$D$9+MATCH($M154,Настройки!$X$6:$X$17,0)-1,1),DATE(YEAR($C154),MONTH($C154),1)))</f>
        <v/>
      </c>
      <c r="S154">
        <f>IF(OR($I154="Оплачено",$H154&lt;&gt;""),$P154,$Q154)</f>
        <v/>
      </c>
      <c r="T154">
        <f>IF(OR($C154="",$D154="Доход",$I154="Оплачено",$I154="Отменено",$H154&lt;&gt;"",$C154&lt;TODAY()),"",$C154)</f>
        <v/>
      </c>
      <c r="U154">
        <f>IF(AND($D154&lt;&gt;"Доход",COUNTIFS(Счета!$B$10:$B$21,$J154,Счета!$C$10:$C$21,"Кредитная")&gt;0),1,0)</f>
        <v/>
      </c>
    </row>
    <row r="155" ht="19" customHeight="1">
      <c r="B155" s="53">
        <f>IF(AND($C155="",$F155=""),"",ROW()-9)</f>
        <v/>
      </c>
      <c r="C155" s="213" t="n"/>
      <c r="D155" s="55" t="n"/>
      <c r="E155" s="55" t="n"/>
      <c r="F155" s="56" t="n"/>
      <c r="G155" s="196" t="n"/>
      <c r="H155" s="196" t="n"/>
      <c r="I155" s="55" t="n"/>
      <c r="J155" s="55" t="n"/>
      <c r="K155" s="55" t="n"/>
      <c r="L155" s="100">
        <f>IF(OR($C155="",$I155="Оплачено",$I155="Отменено",$H155&lt;&gt;""),"",$C155-TODAY())</f>
        <v/>
      </c>
      <c r="M155" s="101">
        <f>IF($C155="","",INDEX(Настройки!$V$6:$V$17,MONTH($C155))&amp;" "&amp;YEAR($C155))</f>
        <v/>
      </c>
      <c r="N155" s="57">
        <f>IF($F155="","",IF(COUNTIF(Постоянные!$C$8:$C$37,$F155)&gt;0,"есть в Постоянных",IF(COUNTIF(Покупки!$C$7:$C$18,$F155)&gt;0,"есть в Покупках","")))</f>
        <v/>
      </c>
      <c r="P155">
        <f>IF($H155&lt;&gt;"",$H155,IF($I155="Оплачено",N($G155),0))</f>
        <v/>
      </c>
      <c r="Q155">
        <f>IF($I155="Отменено",0,IF($G155&lt;&gt;"",$G155,N($H155)))</f>
        <v/>
      </c>
      <c r="R155">
        <f>IF($C155="","",IFERROR(DATE(Настройки!$C$8,Настройки!$D$9+MATCH($M155,Настройки!$X$6:$X$17,0)-1,1),DATE(YEAR($C155),MONTH($C155),1)))</f>
        <v/>
      </c>
      <c r="S155">
        <f>IF(OR($I155="Оплачено",$H155&lt;&gt;""),$P155,$Q155)</f>
        <v/>
      </c>
      <c r="T155">
        <f>IF(OR($C155="",$D155="Доход",$I155="Оплачено",$I155="Отменено",$H155&lt;&gt;"",$C155&lt;TODAY()),"",$C155)</f>
        <v/>
      </c>
      <c r="U155">
        <f>IF(AND($D155&lt;&gt;"Доход",COUNTIFS(Счета!$B$10:$B$21,$J155,Счета!$C$10:$C$21,"Кредитная")&gt;0),1,0)</f>
        <v/>
      </c>
    </row>
    <row r="156" ht="19" customHeight="1">
      <c r="B156" s="53">
        <f>IF(AND($C156="",$F156=""),"",ROW()-9)</f>
        <v/>
      </c>
      <c r="C156" s="213" t="n"/>
      <c r="D156" s="55" t="n"/>
      <c r="E156" s="55" t="n"/>
      <c r="F156" s="56" t="n"/>
      <c r="G156" s="196" t="n"/>
      <c r="H156" s="196" t="n"/>
      <c r="I156" s="55" t="n"/>
      <c r="J156" s="55" t="n"/>
      <c r="K156" s="55" t="n"/>
      <c r="L156" s="100">
        <f>IF(OR($C156="",$I156="Оплачено",$I156="Отменено",$H156&lt;&gt;""),"",$C156-TODAY())</f>
        <v/>
      </c>
      <c r="M156" s="101">
        <f>IF($C156="","",INDEX(Настройки!$V$6:$V$17,MONTH($C156))&amp;" "&amp;YEAR($C156))</f>
        <v/>
      </c>
      <c r="N156" s="57">
        <f>IF($F156="","",IF(COUNTIF(Постоянные!$C$8:$C$37,$F156)&gt;0,"есть в Постоянных",IF(COUNTIF(Покупки!$C$7:$C$18,$F156)&gt;0,"есть в Покупках","")))</f>
        <v/>
      </c>
      <c r="P156">
        <f>IF($H156&lt;&gt;"",$H156,IF($I156="Оплачено",N($G156),0))</f>
        <v/>
      </c>
      <c r="Q156">
        <f>IF($I156="Отменено",0,IF($G156&lt;&gt;"",$G156,N($H156)))</f>
        <v/>
      </c>
      <c r="R156">
        <f>IF($C156="","",IFERROR(DATE(Настройки!$C$8,Настройки!$D$9+MATCH($M156,Настройки!$X$6:$X$17,0)-1,1),DATE(YEAR($C156),MONTH($C156),1)))</f>
        <v/>
      </c>
      <c r="S156">
        <f>IF(OR($I156="Оплачено",$H156&lt;&gt;""),$P156,$Q156)</f>
        <v/>
      </c>
      <c r="T156">
        <f>IF(OR($C156="",$D156="Доход",$I156="Оплачено",$I156="Отменено",$H156&lt;&gt;"",$C156&lt;TODAY()),"",$C156)</f>
        <v/>
      </c>
      <c r="U156">
        <f>IF(AND($D156&lt;&gt;"Доход",COUNTIFS(Счета!$B$10:$B$21,$J156,Счета!$C$10:$C$21,"Кредитная")&gt;0),1,0)</f>
        <v/>
      </c>
    </row>
    <row r="157" ht="19" customHeight="1">
      <c r="B157" s="53">
        <f>IF(AND($C157="",$F157=""),"",ROW()-9)</f>
        <v/>
      </c>
      <c r="C157" s="213" t="n"/>
      <c r="D157" s="55" t="n"/>
      <c r="E157" s="55" t="n"/>
      <c r="F157" s="56" t="n"/>
      <c r="G157" s="196" t="n"/>
      <c r="H157" s="196" t="n"/>
      <c r="I157" s="55" t="n"/>
      <c r="J157" s="55" t="n"/>
      <c r="K157" s="55" t="n"/>
      <c r="L157" s="100">
        <f>IF(OR($C157="",$I157="Оплачено",$I157="Отменено",$H157&lt;&gt;""),"",$C157-TODAY())</f>
        <v/>
      </c>
      <c r="M157" s="101">
        <f>IF($C157="","",INDEX(Настройки!$V$6:$V$17,MONTH($C157))&amp;" "&amp;YEAR($C157))</f>
        <v/>
      </c>
      <c r="N157" s="57">
        <f>IF($F157="","",IF(COUNTIF(Постоянные!$C$8:$C$37,$F157)&gt;0,"есть в Постоянных",IF(COUNTIF(Покупки!$C$7:$C$18,$F157)&gt;0,"есть в Покупках","")))</f>
        <v/>
      </c>
      <c r="P157">
        <f>IF($H157&lt;&gt;"",$H157,IF($I157="Оплачено",N($G157),0))</f>
        <v/>
      </c>
      <c r="Q157">
        <f>IF($I157="Отменено",0,IF($G157&lt;&gt;"",$G157,N($H157)))</f>
        <v/>
      </c>
      <c r="R157">
        <f>IF($C157="","",IFERROR(DATE(Настройки!$C$8,Настройки!$D$9+MATCH($M157,Настройки!$X$6:$X$17,0)-1,1),DATE(YEAR($C157),MONTH($C157),1)))</f>
        <v/>
      </c>
      <c r="S157">
        <f>IF(OR($I157="Оплачено",$H157&lt;&gt;""),$P157,$Q157)</f>
        <v/>
      </c>
      <c r="T157">
        <f>IF(OR($C157="",$D157="Доход",$I157="Оплачено",$I157="Отменено",$H157&lt;&gt;"",$C157&lt;TODAY()),"",$C157)</f>
        <v/>
      </c>
      <c r="U157">
        <f>IF(AND($D157&lt;&gt;"Доход",COUNTIFS(Счета!$B$10:$B$21,$J157,Счета!$C$10:$C$21,"Кредитная")&gt;0),1,0)</f>
        <v/>
      </c>
    </row>
    <row r="158" ht="19" customHeight="1">
      <c r="B158" s="53">
        <f>IF(AND($C158="",$F158=""),"",ROW()-9)</f>
        <v/>
      </c>
      <c r="C158" s="213" t="n"/>
      <c r="D158" s="55" t="n"/>
      <c r="E158" s="55" t="n"/>
      <c r="F158" s="56" t="n"/>
      <c r="G158" s="196" t="n"/>
      <c r="H158" s="196" t="n"/>
      <c r="I158" s="55" t="n"/>
      <c r="J158" s="55" t="n"/>
      <c r="K158" s="55" t="n"/>
      <c r="L158" s="100">
        <f>IF(OR($C158="",$I158="Оплачено",$I158="Отменено",$H158&lt;&gt;""),"",$C158-TODAY())</f>
        <v/>
      </c>
      <c r="M158" s="101">
        <f>IF($C158="","",INDEX(Настройки!$V$6:$V$17,MONTH($C158))&amp;" "&amp;YEAR($C158))</f>
        <v/>
      </c>
      <c r="N158" s="57">
        <f>IF($F158="","",IF(COUNTIF(Постоянные!$C$8:$C$37,$F158)&gt;0,"есть в Постоянных",IF(COUNTIF(Покупки!$C$7:$C$18,$F158)&gt;0,"есть в Покупках","")))</f>
        <v/>
      </c>
      <c r="P158">
        <f>IF($H158&lt;&gt;"",$H158,IF($I158="Оплачено",N($G158),0))</f>
        <v/>
      </c>
      <c r="Q158">
        <f>IF($I158="Отменено",0,IF($G158&lt;&gt;"",$G158,N($H158)))</f>
        <v/>
      </c>
      <c r="R158">
        <f>IF($C158="","",IFERROR(DATE(Настройки!$C$8,Настройки!$D$9+MATCH($M158,Настройки!$X$6:$X$17,0)-1,1),DATE(YEAR($C158),MONTH($C158),1)))</f>
        <v/>
      </c>
      <c r="S158">
        <f>IF(OR($I158="Оплачено",$H158&lt;&gt;""),$P158,$Q158)</f>
        <v/>
      </c>
      <c r="T158">
        <f>IF(OR($C158="",$D158="Доход",$I158="Оплачено",$I158="Отменено",$H158&lt;&gt;"",$C158&lt;TODAY()),"",$C158)</f>
        <v/>
      </c>
      <c r="U158">
        <f>IF(AND($D158&lt;&gt;"Доход",COUNTIFS(Счета!$B$10:$B$21,$J158,Счета!$C$10:$C$21,"Кредитная")&gt;0),1,0)</f>
        <v/>
      </c>
    </row>
    <row r="159" ht="19" customHeight="1">
      <c r="B159" s="53">
        <f>IF(AND($C159="",$F159=""),"",ROW()-9)</f>
        <v/>
      </c>
      <c r="C159" s="213" t="n"/>
      <c r="D159" s="55" t="n"/>
      <c r="E159" s="55" t="n"/>
      <c r="F159" s="56" t="n"/>
      <c r="G159" s="196" t="n"/>
      <c r="H159" s="196" t="n"/>
      <c r="I159" s="55" t="n"/>
      <c r="J159" s="55" t="n"/>
      <c r="K159" s="55" t="n"/>
      <c r="L159" s="100">
        <f>IF(OR($C159="",$I159="Оплачено",$I159="Отменено",$H159&lt;&gt;""),"",$C159-TODAY())</f>
        <v/>
      </c>
      <c r="M159" s="101">
        <f>IF($C159="","",INDEX(Настройки!$V$6:$V$17,MONTH($C159))&amp;" "&amp;YEAR($C159))</f>
        <v/>
      </c>
      <c r="N159" s="57">
        <f>IF($F159="","",IF(COUNTIF(Постоянные!$C$8:$C$37,$F159)&gt;0,"есть в Постоянных",IF(COUNTIF(Покупки!$C$7:$C$18,$F159)&gt;0,"есть в Покупках","")))</f>
        <v/>
      </c>
      <c r="P159">
        <f>IF($H159&lt;&gt;"",$H159,IF($I159="Оплачено",N($G159),0))</f>
        <v/>
      </c>
      <c r="Q159">
        <f>IF($I159="Отменено",0,IF($G159&lt;&gt;"",$G159,N($H159)))</f>
        <v/>
      </c>
      <c r="R159">
        <f>IF($C159="","",IFERROR(DATE(Настройки!$C$8,Настройки!$D$9+MATCH($M159,Настройки!$X$6:$X$17,0)-1,1),DATE(YEAR($C159),MONTH($C159),1)))</f>
        <v/>
      </c>
      <c r="S159">
        <f>IF(OR($I159="Оплачено",$H159&lt;&gt;""),$P159,$Q159)</f>
        <v/>
      </c>
      <c r="T159">
        <f>IF(OR($C159="",$D159="Доход",$I159="Оплачено",$I159="Отменено",$H159&lt;&gt;"",$C159&lt;TODAY()),"",$C159)</f>
        <v/>
      </c>
      <c r="U159">
        <f>IF(AND($D159&lt;&gt;"Доход",COUNTIFS(Счета!$B$10:$B$21,$J159,Счета!$C$10:$C$21,"Кредитная")&gt;0),1,0)</f>
        <v/>
      </c>
    </row>
    <row r="160" ht="19" customHeight="1">
      <c r="B160" s="53">
        <f>IF(AND($C160="",$F160=""),"",ROW()-9)</f>
        <v/>
      </c>
      <c r="C160" s="213" t="n"/>
      <c r="D160" s="55" t="n"/>
      <c r="E160" s="55" t="n"/>
      <c r="F160" s="56" t="n"/>
      <c r="G160" s="196" t="n"/>
      <c r="H160" s="196" t="n"/>
      <c r="I160" s="55" t="n"/>
      <c r="J160" s="55" t="n"/>
      <c r="K160" s="55" t="n"/>
      <c r="L160" s="100">
        <f>IF(OR($C160="",$I160="Оплачено",$I160="Отменено",$H160&lt;&gt;""),"",$C160-TODAY())</f>
        <v/>
      </c>
      <c r="M160" s="101">
        <f>IF($C160="","",INDEX(Настройки!$V$6:$V$17,MONTH($C160))&amp;" "&amp;YEAR($C160))</f>
        <v/>
      </c>
      <c r="N160" s="57">
        <f>IF($F160="","",IF(COUNTIF(Постоянные!$C$8:$C$37,$F160)&gt;0,"есть в Постоянных",IF(COUNTIF(Покупки!$C$7:$C$18,$F160)&gt;0,"есть в Покупках","")))</f>
        <v/>
      </c>
      <c r="P160">
        <f>IF($H160&lt;&gt;"",$H160,IF($I160="Оплачено",N($G160),0))</f>
        <v/>
      </c>
      <c r="Q160">
        <f>IF($I160="Отменено",0,IF($G160&lt;&gt;"",$G160,N($H160)))</f>
        <v/>
      </c>
      <c r="R160">
        <f>IF($C160="","",IFERROR(DATE(Настройки!$C$8,Настройки!$D$9+MATCH($M160,Настройки!$X$6:$X$17,0)-1,1),DATE(YEAR($C160),MONTH($C160),1)))</f>
        <v/>
      </c>
      <c r="S160">
        <f>IF(OR($I160="Оплачено",$H160&lt;&gt;""),$P160,$Q160)</f>
        <v/>
      </c>
      <c r="T160">
        <f>IF(OR($C160="",$D160="Доход",$I160="Оплачено",$I160="Отменено",$H160&lt;&gt;"",$C160&lt;TODAY()),"",$C160)</f>
        <v/>
      </c>
      <c r="U160">
        <f>IF(AND($D160&lt;&gt;"Доход",COUNTIFS(Счета!$B$10:$B$21,$J160,Счета!$C$10:$C$21,"Кредитная")&gt;0),1,0)</f>
        <v/>
      </c>
    </row>
    <row r="161" ht="19" customHeight="1">
      <c r="B161" s="53">
        <f>IF(AND($C161="",$F161=""),"",ROW()-9)</f>
        <v/>
      </c>
      <c r="C161" s="213" t="n"/>
      <c r="D161" s="55" t="n"/>
      <c r="E161" s="55" t="n"/>
      <c r="F161" s="56" t="n"/>
      <c r="G161" s="196" t="n"/>
      <c r="H161" s="196" t="n"/>
      <c r="I161" s="55" t="n"/>
      <c r="J161" s="55" t="n"/>
      <c r="K161" s="55" t="n"/>
      <c r="L161" s="100">
        <f>IF(OR($C161="",$I161="Оплачено",$I161="Отменено",$H161&lt;&gt;""),"",$C161-TODAY())</f>
        <v/>
      </c>
      <c r="M161" s="101">
        <f>IF($C161="","",INDEX(Настройки!$V$6:$V$17,MONTH($C161))&amp;" "&amp;YEAR($C161))</f>
        <v/>
      </c>
      <c r="N161" s="57">
        <f>IF($F161="","",IF(COUNTIF(Постоянные!$C$8:$C$37,$F161)&gt;0,"есть в Постоянных",IF(COUNTIF(Покупки!$C$7:$C$18,$F161)&gt;0,"есть в Покупках","")))</f>
        <v/>
      </c>
      <c r="P161">
        <f>IF($H161&lt;&gt;"",$H161,IF($I161="Оплачено",N($G161),0))</f>
        <v/>
      </c>
      <c r="Q161">
        <f>IF($I161="Отменено",0,IF($G161&lt;&gt;"",$G161,N($H161)))</f>
        <v/>
      </c>
      <c r="R161">
        <f>IF($C161="","",IFERROR(DATE(Настройки!$C$8,Настройки!$D$9+MATCH($M161,Настройки!$X$6:$X$17,0)-1,1),DATE(YEAR($C161),MONTH($C161),1)))</f>
        <v/>
      </c>
      <c r="S161">
        <f>IF(OR($I161="Оплачено",$H161&lt;&gt;""),$P161,$Q161)</f>
        <v/>
      </c>
      <c r="T161">
        <f>IF(OR($C161="",$D161="Доход",$I161="Оплачено",$I161="Отменено",$H161&lt;&gt;"",$C161&lt;TODAY()),"",$C161)</f>
        <v/>
      </c>
      <c r="U161">
        <f>IF(AND($D161&lt;&gt;"Доход",COUNTIFS(Счета!$B$10:$B$21,$J161,Счета!$C$10:$C$21,"Кредитная")&gt;0),1,0)</f>
        <v/>
      </c>
    </row>
    <row r="162" ht="19" customHeight="1">
      <c r="B162" s="53">
        <f>IF(AND($C162="",$F162=""),"",ROW()-9)</f>
        <v/>
      </c>
      <c r="C162" s="213" t="n"/>
      <c r="D162" s="55" t="n"/>
      <c r="E162" s="55" t="n"/>
      <c r="F162" s="56" t="n"/>
      <c r="G162" s="196" t="n"/>
      <c r="H162" s="196" t="n"/>
      <c r="I162" s="55" t="n"/>
      <c r="J162" s="55" t="n"/>
      <c r="K162" s="55" t="n"/>
      <c r="L162" s="100">
        <f>IF(OR($C162="",$I162="Оплачено",$I162="Отменено",$H162&lt;&gt;""),"",$C162-TODAY())</f>
        <v/>
      </c>
      <c r="M162" s="101">
        <f>IF($C162="","",INDEX(Настройки!$V$6:$V$17,MONTH($C162))&amp;" "&amp;YEAR($C162))</f>
        <v/>
      </c>
      <c r="N162" s="57">
        <f>IF($F162="","",IF(COUNTIF(Постоянные!$C$8:$C$37,$F162)&gt;0,"есть в Постоянных",IF(COUNTIF(Покупки!$C$7:$C$18,$F162)&gt;0,"есть в Покупках","")))</f>
        <v/>
      </c>
      <c r="P162">
        <f>IF($H162&lt;&gt;"",$H162,IF($I162="Оплачено",N($G162),0))</f>
        <v/>
      </c>
      <c r="Q162">
        <f>IF($I162="Отменено",0,IF($G162&lt;&gt;"",$G162,N($H162)))</f>
        <v/>
      </c>
      <c r="R162">
        <f>IF($C162="","",IFERROR(DATE(Настройки!$C$8,Настройки!$D$9+MATCH($M162,Настройки!$X$6:$X$17,0)-1,1),DATE(YEAR($C162),MONTH($C162),1)))</f>
        <v/>
      </c>
      <c r="S162">
        <f>IF(OR($I162="Оплачено",$H162&lt;&gt;""),$P162,$Q162)</f>
        <v/>
      </c>
      <c r="T162">
        <f>IF(OR($C162="",$D162="Доход",$I162="Оплачено",$I162="Отменено",$H162&lt;&gt;"",$C162&lt;TODAY()),"",$C162)</f>
        <v/>
      </c>
      <c r="U162">
        <f>IF(AND($D162&lt;&gt;"Доход",COUNTIFS(Счета!$B$10:$B$21,$J162,Счета!$C$10:$C$21,"Кредитная")&gt;0),1,0)</f>
        <v/>
      </c>
    </row>
    <row r="163" ht="19" customHeight="1">
      <c r="B163" s="53">
        <f>IF(AND($C163="",$F163=""),"",ROW()-9)</f>
        <v/>
      </c>
      <c r="C163" s="213" t="n"/>
      <c r="D163" s="55" t="n"/>
      <c r="E163" s="55" t="n"/>
      <c r="F163" s="56" t="n"/>
      <c r="G163" s="196" t="n"/>
      <c r="H163" s="196" t="n"/>
      <c r="I163" s="55" t="n"/>
      <c r="J163" s="55" t="n"/>
      <c r="K163" s="55" t="n"/>
      <c r="L163" s="100">
        <f>IF(OR($C163="",$I163="Оплачено",$I163="Отменено",$H163&lt;&gt;""),"",$C163-TODAY())</f>
        <v/>
      </c>
      <c r="M163" s="101">
        <f>IF($C163="","",INDEX(Настройки!$V$6:$V$17,MONTH($C163))&amp;" "&amp;YEAR($C163))</f>
        <v/>
      </c>
      <c r="N163" s="57">
        <f>IF($F163="","",IF(COUNTIF(Постоянные!$C$8:$C$37,$F163)&gt;0,"есть в Постоянных",IF(COUNTIF(Покупки!$C$7:$C$18,$F163)&gt;0,"есть в Покупках","")))</f>
        <v/>
      </c>
      <c r="P163">
        <f>IF($H163&lt;&gt;"",$H163,IF($I163="Оплачено",N($G163),0))</f>
        <v/>
      </c>
      <c r="Q163">
        <f>IF($I163="Отменено",0,IF($G163&lt;&gt;"",$G163,N($H163)))</f>
        <v/>
      </c>
      <c r="R163">
        <f>IF($C163="","",IFERROR(DATE(Настройки!$C$8,Настройки!$D$9+MATCH($M163,Настройки!$X$6:$X$17,0)-1,1),DATE(YEAR($C163),MONTH($C163),1)))</f>
        <v/>
      </c>
      <c r="S163">
        <f>IF(OR($I163="Оплачено",$H163&lt;&gt;""),$P163,$Q163)</f>
        <v/>
      </c>
      <c r="T163">
        <f>IF(OR($C163="",$D163="Доход",$I163="Оплачено",$I163="Отменено",$H163&lt;&gt;"",$C163&lt;TODAY()),"",$C163)</f>
        <v/>
      </c>
      <c r="U163">
        <f>IF(AND($D163&lt;&gt;"Доход",COUNTIFS(Счета!$B$10:$B$21,$J163,Счета!$C$10:$C$21,"Кредитная")&gt;0),1,0)</f>
        <v/>
      </c>
    </row>
    <row r="164" ht="19" customHeight="1">
      <c r="B164" s="53">
        <f>IF(AND($C164="",$F164=""),"",ROW()-9)</f>
        <v/>
      </c>
      <c r="C164" s="213" t="n"/>
      <c r="D164" s="55" t="n"/>
      <c r="E164" s="55" t="n"/>
      <c r="F164" s="56" t="n"/>
      <c r="G164" s="196" t="n"/>
      <c r="H164" s="196" t="n"/>
      <c r="I164" s="55" t="n"/>
      <c r="J164" s="55" t="n"/>
      <c r="K164" s="55" t="n"/>
      <c r="L164" s="100">
        <f>IF(OR($C164="",$I164="Оплачено",$I164="Отменено",$H164&lt;&gt;""),"",$C164-TODAY())</f>
        <v/>
      </c>
      <c r="M164" s="101">
        <f>IF($C164="","",INDEX(Настройки!$V$6:$V$17,MONTH($C164))&amp;" "&amp;YEAR($C164))</f>
        <v/>
      </c>
      <c r="N164" s="57">
        <f>IF($F164="","",IF(COUNTIF(Постоянные!$C$8:$C$37,$F164)&gt;0,"есть в Постоянных",IF(COUNTIF(Покупки!$C$7:$C$18,$F164)&gt;0,"есть в Покупках","")))</f>
        <v/>
      </c>
      <c r="P164">
        <f>IF($H164&lt;&gt;"",$H164,IF($I164="Оплачено",N($G164),0))</f>
        <v/>
      </c>
      <c r="Q164">
        <f>IF($I164="Отменено",0,IF($G164&lt;&gt;"",$G164,N($H164)))</f>
        <v/>
      </c>
      <c r="R164">
        <f>IF($C164="","",IFERROR(DATE(Настройки!$C$8,Настройки!$D$9+MATCH($M164,Настройки!$X$6:$X$17,0)-1,1),DATE(YEAR($C164),MONTH($C164),1)))</f>
        <v/>
      </c>
      <c r="S164">
        <f>IF(OR($I164="Оплачено",$H164&lt;&gt;""),$P164,$Q164)</f>
        <v/>
      </c>
      <c r="T164">
        <f>IF(OR($C164="",$D164="Доход",$I164="Оплачено",$I164="Отменено",$H164&lt;&gt;"",$C164&lt;TODAY()),"",$C164)</f>
        <v/>
      </c>
      <c r="U164">
        <f>IF(AND($D164&lt;&gt;"Доход",COUNTIFS(Счета!$B$10:$B$21,$J164,Счета!$C$10:$C$21,"Кредитная")&gt;0),1,0)</f>
        <v/>
      </c>
    </row>
    <row r="165" ht="19" customHeight="1">
      <c r="B165" s="53">
        <f>IF(AND($C165="",$F165=""),"",ROW()-9)</f>
        <v/>
      </c>
      <c r="C165" s="213" t="n"/>
      <c r="D165" s="55" t="n"/>
      <c r="E165" s="55" t="n"/>
      <c r="F165" s="56" t="n"/>
      <c r="G165" s="196" t="n"/>
      <c r="H165" s="196" t="n"/>
      <c r="I165" s="55" t="n"/>
      <c r="J165" s="55" t="n"/>
      <c r="K165" s="55" t="n"/>
      <c r="L165" s="100">
        <f>IF(OR($C165="",$I165="Оплачено",$I165="Отменено",$H165&lt;&gt;""),"",$C165-TODAY())</f>
        <v/>
      </c>
      <c r="M165" s="101">
        <f>IF($C165="","",INDEX(Настройки!$V$6:$V$17,MONTH($C165))&amp;" "&amp;YEAR($C165))</f>
        <v/>
      </c>
      <c r="N165" s="57">
        <f>IF($F165="","",IF(COUNTIF(Постоянные!$C$8:$C$37,$F165)&gt;0,"есть в Постоянных",IF(COUNTIF(Покупки!$C$7:$C$18,$F165)&gt;0,"есть в Покупках","")))</f>
        <v/>
      </c>
      <c r="P165">
        <f>IF($H165&lt;&gt;"",$H165,IF($I165="Оплачено",N($G165),0))</f>
        <v/>
      </c>
      <c r="Q165">
        <f>IF($I165="Отменено",0,IF($G165&lt;&gt;"",$G165,N($H165)))</f>
        <v/>
      </c>
      <c r="R165">
        <f>IF($C165="","",IFERROR(DATE(Настройки!$C$8,Настройки!$D$9+MATCH($M165,Настройки!$X$6:$X$17,0)-1,1),DATE(YEAR($C165),MONTH($C165),1)))</f>
        <v/>
      </c>
      <c r="S165">
        <f>IF(OR($I165="Оплачено",$H165&lt;&gt;""),$P165,$Q165)</f>
        <v/>
      </c>
      <c r="T165">
        <f>IF(OR($C165="",$D165="Доход",$I165="Оплачено",$I165="Отменено",$H165&lt;&gt;"",$C165&lt;TODAY()),"",$C165)</f>
        <v/>
      </c>
      <c r="U165">
        <f>IF(AND($D165&lt;&gt;"Доход",COUNTIFS(Счета!$B$10:$B$21,$J165,Счета!$C$10:$C$21,"Кредитная")&gt;0),1,0)</f>
        <v/>
      </c>
    </row>
    <row r="166" ht="19" customHeight="1">
      <c r="B166" s="53">
        <f>IF(AND($C166="",$F166=""),"",ROW()-9)</f>
        <v/>
      </c>
      <c r="C166" s="213" t="n"/>
      <c r="D166" s="55" t="n"/>
      <c r="E166" s="55" t="n"/>
      <c r="F166" s="56" t="n"/>
      <c r="G166" s="196" t="n"/>
      <c r="H166" s="196" t="n"/>
      <c r="I166" s="55" t="n"/>
      <c r="J166" s="55" t="n"/>
      <c r="K166" s="55" t="n"/>
      <c r="L166" s="100">
        <f>IF(OR($C166="",$I166="Оплачено",$I166="Отменено",$H166&lt;&gt;""),"",$C166-TODAY())</f>
        <v/>
      </c>
      <c r="M166" s="101">
        <f>IF($C166="","",INDEX(Настройки!$V$6:$V$17,MONTH($C166))&amp;" "&amp;YEAR($C166))</f>
        <v/>
      </c>
      <c r="N166" s="57">
        <f>IF($F166="","",IF(COUNTIF(Постоянные!$C$8:$C$37,$F166)&gt;0,"есть в Постоянных",IF(COUNTIF(Покупки!$C$7:$C$18,$F166)&gt;0,"есть в Покупках","")))</f>
        <v/>
      </c>
      <c r="P166">
        <f>IF($H166&lt;&gt;"",$H166,IF($I166="Оплачено",N($G166),0))</f>
        <v/>
      </c>
      <c r="Q166">
        <f>IF($I166="Отменено",0,IF($G166&lt;&gt;"",$G166,N($H166)))</f>
        <v/>
      </c>
      <c r="R166">
        <f>IF($C166="","",IFERROR(DATE(Настройки!$C$8,Настройки!$D$9+MATCH($M166,Настройки!$X$6:$X$17,0)-1,1),DATE(YEAR($C166),MONTH($C166),1)))</f>
        <v/>
      </c>
      <c r="S166">
        <f>IF(OR($I166="Оплачено",$H166&lt;&gt;""),$P166,$Q166)</f>
        <v/>
      </c>
      <c r="T166">
        <f>IF(OR($C166="",$D166="Доход",$I166="Оплачено",$I166="Отменено",$H166&lt;&gt;"",$C166&lt;TODAY()),"",$C166)</f>
        <v/>
      </c>
      <c r="U166">
        <f>IF(AND($D166&lt;&gt;"Доход",COUNTIFS(Счета!$B$10:$B$21,$J166,Счета!$C$10:$C$21,"Кредитная")&gt;0),1,0)</f>
        <v/>
      </c>
    </row>
    <row r="167" ht="19" customHeight="1">
      <c r="B167" s="53">
        <f>IF(AND($C167="",$F167=""),"",ROW()-9)</f>
        <v/>
      </c>
      <c r="C167" s="213" t="n"/>
      <c r="D167" s="55" t="n"/>
      <c r="E167" s="55" t="n"/>
      <c r="F167" s="56" t="n"/>
      <c r="G167" s="196" t="n"/>
      <c r="H167" s="196" t="n"/>
      <c r="I167" s="55" t="n"/>
      <c r="J167" s="55" t="n"/>
      <c r="K167" s="55" t="n"/>
      <c r="L167" s="100">
        <f>IF(OR($C167="",$I167="Оплачено",$I167="Отменено",$H167&lt;&gt;""),"",$C167-TODAY())</f>
        <v/>
      </c>
      <c r="M167" s="101">
        <f>IF($C167="","",INDEX(Настройки!$V$6:$V$17,MONTH($C167))&amp;" "&amp;YEAR($C167))</f>
        <v/>
      </c>
      <c r="N167" s="57">
        <f>IF($F167="","",IF(COUNTIF(Постоянные!$C$8:$C$37,$F167)&gt;0,"есть в Постоянных",IF(COUNTIF(Покупки!$C$7:$C$18,$F167)&gt;0,"есть в Покупках","")))</f>
        <v/>
      </c>
      <c r="P167">
        <f>IF($H167&lt;&gt;"",$H167,IF($I167="Оплачено",N($G167),0))</f>
        <v/>
      </c>
      <c r="Q167">
        <f>IF($I167="Отменено",0,IF($G167&lt;&gt;"",$G167,N($H167)))</f>
        <v/>
      </c>
      <c r="R167">
        <f>IF($C167="","",IFERROR(DATE(Настройки!$C$8,Настройки!$D$9+MATCH($M167,Настройки!$X$6:$X$17,0)-1,1),DATE(YEAR($C167),MONTH($C167),1)))</f>
        <v/>
      </c>
      <c r="S167">
        <f>IF(OR($I167="Оплачено",$H167&lt;&gt;""),$P167,$Q167)</f>
        <v/>
      </c>
      <c r="T167">
        <f>IF(OR($C167="",$D167="Доход",$I167="Оплачено",$I167="Отменено",$H167&lt;&gt;"",$C167&lt;TODAY()),"",$C167)</f>
        <v/>
      </c>
      <c r="U167">
        <f>IF(AND($D167&lt;&gt;"Доход",COUNTIFS(Счета!$B$10:$B$21,$J167,Счета!$C$10:$C$21,"Кредитная")&gt;0),1,0)</f>
        <v/>
      </c>
    </row>
    <row r="168" ht="19" customHeight="1">
      <c r="B168" s="53">
        <f>IF(AND($C168="",$F168=""),"",ROW()-9)</f>
        <v/>
      </c>
      <c r="C168" s="213" t="n"/>
      <c r="D168" s="55" t="n"/>
      <c r="E168" s="55" t="n"/>
      <c r="F168" s="56" t="n"/>
      <c r="G168" s="196" t="n"/>
      <c r="H168" s="196" t="n"/>
      <c r="I168" s="55" t="n"/>
      <c r="J168" s="55" t="n"/>
      <c r="K168" s="55" t="n"/>
      <c r="L168" s="100">
        <f>IF(OR($C168="",$I168="Оплачено",$I168="Отменено",$H168&lt;&gt;""),"",$C168-TODAY())</f>
        <v/>
      </c>
      <c r="M168" s="101">
        <f>IF($C168="","",INDEX(Настройки!$V$6:$V$17,MONTH($C168))&amp;" "&amp;YEAR($C168))</f>
        <v/>
      </c>
      <c r="N168" s="57">
        <f>IF($F168="","",IF(COUNTIF(Постоянные!$C$8:$C$37,$F168)&gt;0,"есть в Постоянных",IF(COUNTIF(Покупки!$C$7:$C$18,$F168)&gt;0,"есть в Покупках","")))</f>
        <v/>
      </c>
      <c r="P168">
        <f>IF($H168&lt;&gt;"",$H168,IF($I168="Оплачено",N($G168),0))</f>
        <v/>
      </c>
      <c r="Q168">
        <f>IF($I168="Отменено",0,IF($G168&lt;&gt;"",$G168,N($H168)))</f>
        <v/>
      </c>
      <c r="R168">
        <f>IF($C168="","",IFERROR(DATE(Настройки!$C$8,Настройки!$D$9+MATCH($M168,Настройки!$X$6:$X$17,0)-1,1),DATE(YEAR($C168),MONTH($C168),1)))</f>
        <v/>
      </c>
      <c r="S168">
        <f>IF(OR($I168="Оплачено",$H168&lt;&gt;""),$P168,$Q168)</f>
        <v/>
      </c>
      <c r="T168">
        <f>IF(OR($C168="",$D168="Доход",$I168="Оплачено",$I168="Отменено",$H168&lt;&gt;"",$C168&lt;TODAY()),"",$C168)</f>
        <v/>
      </c>
      <c r="U168">
        <f>IF(AND($D168&lt;&gt;"Доход",COUNTIFS(Счета!$B$10:$B$21,$J168,Счета!$C$10:$C$21,"Кредитная")&gt;0),1,0)</f>
        <v/>
      </c>
    </row>
    <row r="169" ht="19" customHeight="1">
      <c r="B169" s="53">
        <f>IF(AND($C169="",$F169=""),"",ROW()-9)</f>
        <v/>
      </c>
      <c r="C169" s="213" t="n"/>
      <c r="D169" s="55" t="n"/>
      <c r="E169" s="55" t="n"/>
      <c r="F169" s="56" t="n"/>
      <c r="G169" s="196" t="n"/>
      <c r="H169" s="196" t="n"/>
      <c r="I169" s="55" t="n"/>
      <c r="J169" s="55" t="n"/>
      <c r="K169" s="55" t="n"/>
      <c r="L169" s="100">
        <f>IF(OR($C169="",$I169="Оплачено",$I169="Отменено",$H169&lt;&gt;""),"",$C169-TODAY())</f>
        <v/>
      </c>
      <c r="M169" s="101">
        <f>IF($C169="","",INDEX(Настройки!$V$6:$V$17,MONTH($C169))&amp;" "&amp;YEAR($C169))</f>
        <v/>
      </c>
      <c r="N169" s="57">
        <f>IF($F169="","",IF(COUNTIF(Постоянные!$C$8:$C$37,$F169)&gt;0,"есть в Постоянных",IF(COUNTIF(Покупки!$C$7:$C$18,$F169)&gt;0,"есть в Покупках","")))</f>
        <v/>
      </c>
      <c r="P169">
        <f>IF($H169&lt;&gt;"",$H169,IF($I169="Оплачено",N($G169),0))</f>
        <v/>
      </c>
      <c r="Q169">
        <f>IF($I169="Отменено",0,IF($G169&lt;&gt;"",$G169,N($H169)))</f>
        <v/>
      </c>
      <c r="R169">
        <f>IF($C169="","",IFERROR(DATE(Настройки!$C$8,Настройки!$D$9+MATCH($M169,Настройки!$X$6:$X$17,0)-1,1),DATE(YEAR($C169),MONTH($C169),1)))</f>
        <v/>
      </c>
      <c r="S169">
        <f>IF(OR($I169="Оплачено",$H169&lt;&gt;""),$P169,$Q169)</f>
        <v/>
      </c>
      <c r="T169">
        <f>IF(OR($C169="",$D169="Доход",$I169="Оплачено",$I169="Отменено",$H169&lt;&gt;"",$C169&lt;TODAY()),"",$C169)</f>
        <v/>
      </c>
      <c r="U169">
        <f>IF(AND($D169&lt;&gt;"Доход",COUNTIFS(Счета!$B$10:$B$21,$J169,Счета!$C$10:$C$21,"Кредитная")&gt;0),1,0)</f>
        <v/>
      </c>
    </row>
    <row r="170" ht="19" customHeight="1">
      <c r="B170" s="53">
        <f>IF(AND($C170="",$F170=""),"",ROW()-9)</f>
        <v/>
      </c>
      <c r="C170" s="213" t="n"/>
      <c r="D170" s="55" t="n"/>
      <c r="E170" s="55" t="n"/>
      <c r="F170" s="56" t="n"/>
      <c r="G170" s="196" t="n"/>
      <c r="H170" s="196" t="n"/>
      <c r="I170" s="55" t="n"/>
      <c r="J170" s="55" t="n"/>
      <c r="K170" s="55" t="n"/>
      <c r="L170" s="100">
        <f>IF(OR($C170="",$I170="Оплачено",$I170="Отменено",$H170&lt;&gt;""),"",$C170-TODAY())</f>
        <v/>
      </c>
      <c r="M170" s="101">
        <f>IF($C170="","",INDEX(Настройки!$V$6:$V$17,MONTH($C170))&amp;" "&amp;YEAR($C170))</f>
        <v/>
      </c>
      <c r="N170" s="57">
        <f>IF($F170="","",IF(COUNTIF(Постоянные!$C$8:$C$37,$F170)&gt;0,"есть в Постоянных",IF(COUNTIF(Покупки!$C$7:$C$18,$F170)&gt;0,"есть в Покупках","")))</f>
        <v/>
      </c>
      <c r="P170">
        <f>IF($H170&lt;&gt;"",$H170,IF($I170="Оплачено",N($G170),0))</f>
        <v/>
      </c>
      <c r="Q170">
        <f>IF($I170="Отменено",0,IF($G170&lt;&gt;"",$G170,N($H170)))</f>
        <v/>
      </c>
      <c r="R170">
        <f>IF($C170="","",IFERROR(DATE(Настройки!$C$8,Настройки!$D$9+MATCH($M170,Настройки!$X$6:$X$17,0)-1,1),DATE(YEAR($C170),MONTH($C170),1)))</f>
        <v/>
      </c>
      <c r="S170">
        <f>IF(OR($I170="Оплачено",$H170&lt;&gt;""),$P170,$Q170)</f>
        <v/>
      </c>
      <c r="T170">
        <f>IF(OR($C170="",$D170="Доход",$I170="Оплачено",$I170="Отменено",$H170&lt;&gt;"",$C170&lt;TODAY()),"",$C170)</f>
        <v/>
      </c>
      <c r="U170">
        <f>IF(AND($D170&lt;&gt;"Доход",COUNTIFS(Счета!$B$10:$B$21,$J170,Счета!$C$10:$C$21,"Кредитная")&gt;0),1,0)</f>
        <v/>
      </c>
    </row>
    <row r="171" ht="19" customHeight="1">
      <c r="B171" s="53">
        <f>IF(AND($C171="",$F171=""),"",ROW()-9)</f>
        <v/>
      </c>
      <c r="C171" s="213" t="n"/>
      <c r="D171" s="55" t="n"/>
      <c r="E171" s="55" t="n"/>
      <c r="F171" s="56" t="n"/>
      <c r="G171" s="196" t="n"/>
      <c r="H171" s="196" t="n"/>
      <c r="I171" s="55" t="n"/>
      <c r="J171" s="55" t="n"/>
      <c r="K171" s="55" t="n"/>
      <c r="L171" s="100">
        <f>IF(OR($C171="",$I171="Оплачено",$I171="Отменено",$H171&lt;&gt;""),"",$C171-TODAY())</f>
        <v/>
      </c>
      <c r="M171" s="101">
        <f>IF($C171="","",INDEX(Настройки!$V$6:$V$17,MONTH($C171))&amp;" "&amp;YEAR($C171))</f>
        <v/>
      </c>
      <c r="N171" s="57">
        <f>IF($F171="","",IF(COUNTIF(Постоянные!$C$8:$C$37,$F171)&gt;0,"есть в Постоянных",IF(COUNTIF(Покупки!$C$7:$C$18,$F171)&gt;0,"есть в Покупках","")))</f>
        <v/>
      </c>
      <c r="P171">
        <f>IF($H171&lt;&gt;"",$H171,IF($I171="Оплачено",N($G171),0))</f>
        <v/>
      </c>
      <c r="Q171">
        <f>IF($I171="Отменено",0,IF($G171&lt;&gt;"",$G171,N($H171)))</f>
        <v/>
      </c>
      <c r="R171">
        <f>IF($C171="","",IFERROR(DATE(Настройки!$C$8,Настройки!$D$9+MATCH($M171,Настройки!$X$6:$X$17,0)-1,1),DATE(YEAR($C171),MONTH($C171),1)))</f>
        <v/>
      </c>
      <c r="S171">
        <f>IF(OR($I171="Оплачено",$H171&lt;&gt;""),$P171,$Q171)</f>
        <v/>
      </c>
      <c r="T171">
        <f>IF(OR($C171="",$D171="Доход",$I171="Оплачено",$I171="Отменено",$H171&lt;&gt;"",$C171&lt;TODAY()),"",$C171)</f>
        <v/>
      </c>
      <c r="U171">
        <f>IF(AND($D171&lt;&gt;"Доход",COUNTIFS(Счета!$B$10:$B$21,$J171,Счета!$C$10:$C$21,"Кредитная")&gt;0),1,0)</f>
        <v/>
      </c>
    </row>
    <row r="172" ht="19" customHeight="1">
      <c r="B172" s="53">
        <f>IF(AND($C172="",$F172=""),"",ROW()-9)</f>
        <v/>
      </c>
      <c r="C172" s="213" t="n"/>
      <c r="D172" s="55" t="n"/>
      <c r="E172" s="55" t="n"/>
      <c r="F172" s="56" t="n"/>
      <c r="G172" s="196" t="n"/>
      <c r="H172" s="196" t="n"/>
      <c r="I172" s="55" t="n"/>
      <c r="J172" s="55" t="n"/>
      <c r="K172" s="55" t="n"/>
      <c r="L172" s="100">
        <f>IF(OR($C172="",$I172="Оплачено",$I172="Отменено",$H172&lt;&gt;""),"",$C172-TODAY())</f>
        <v/>
      </c>
      <c r="M172" s="101">
        <f>IF($C172="","",INDEX(Настройки!$V$6:$V$17,MONTH($C172))&amp;" "&amp;YEAR($C172))</f>
        <v/>
      </c>
      <c r="N172" s="57">
        <f>IF($F172="","",IF(COUNTIF(Постоянные!$C$8:$C$37,$F172)&gt;0,"есть в Постоянных",IF(COUNTIF(Покупки!$C$7:$C$18,$F172)&gt;0,"есть в Покупках","")))</f>
        <v/>
      </c>
      <c r="P172">
        <f>IF($H172&lt;&gt;"",$H172,IF($I172="Оплачено",N($G172),0))</f>
        <v/>
      </c>
      <c r="Q172">
        <f>IF($I172="Отменено",0,IF($G172&lt;&gt;"",$G172,N($H172)))</f>
        <v/>
      </c>
      <c r="R172">
        <f>IF($C172="","",IFERROR(DATE(Настройки!$C$8,Настройки!$D$9+MATCH($M172,Настройки!$X$6:$X$17,0)-1,1),DATE(YEAR($C172),MONTH($C172),1)))</f>
        <v/>
      </c>
      <c r="S172">
        <f>IF(OR($I172="Оплачено",$H172&lt;&gt;""),$P172,$Q172)</f>
        <v/>
      </c>
      <c r="T172">
        <f>IF(OR($C172="",$D172="Доход",$I172="Оплачено",$I172="Отменено",$H172&lt;&gt;"",$C172&lt;TODAY()),"",$C172)</f>
        <v/>
      </c>
      <c r="U172">
        <f>IF(AND($D172&lt;&gt;"Доход",COUNTIFS(Счета!$B$10:$B$21,$J172,Счета!$C$10:$C$21,"Кредитная")&gt;0),1,0)</f>
        <v/>
      </c>
    </row>
    <row r="173" ht="19" customHeight="1">
      <c r="B173" s="53">
        <f>IF(AND($C173="",$F173=""),"",ROW()-9)</f>
        <v/>
      </c>
      <c r="C173" s="213" t="n"/>
      <c r="D173" s="55" t="n"/>
      <c r="E173" s="55" t="n"/>
      <c r="F173" s="56" t="n"/>
      <c r="G173" s="196" t="n"/>
      <c r="H173" s="196" t="n"/>
      <c r="I173" s="55" t="n"/>
      <c r="J173" s="55" t="n"/>
      <c r="K173" s="55" t="n"/>
      <c r="L173" s="100">
        <f>IF(OR($C173="",$I173="Оплачено",$I173="Отменено",$H173&lt;&gt;""),"",$C173-TODAY())</f>
        <v/>
      </c>
      <c r="M173" s="101">
        <f>IF($C173="","",INDEX(Настройки!$V$6:$V$17,MONTH($C173))&amp;" "&amp;YEAR($C173))</f>
        <v/>
      </c>
      <c r="N173" s="57">
        <f>IF($F173="","",IF(COUNTIF(Постоянные!$C$8:$C$37,$F173)&gt;0,"есть в Постоянных",IF(COUNTIF(Покупки!$C$7:$C$18,$F173)&gt;0,"есть в Покупках","")))</f>
        <v/>
      </c>
      <c r="P173">
        <f>IF($H173&lt;&gt;"",$H173,IF($I173="Оплачено",N($G173),0))</f>
        <v/>
      </c>
      <c r="Q173">
        <f>IF($I173="Отменено",0,IF($G173&lt;&gt;"",$G173,N($H173)))</f>
        <v/>
      </c>
      <c r="R173">
        <f>IF($C173="","",IFERROR(DATE(Настройки!$C$8,Настройки!$D$9+MATCH($M173,Настройки!$X$6:$X$17,0)-1,1),DATE(YEAR($C173),MONTH($C173),1)))</f>
        <v/>
      </c>
      <c r="S173">
        <f>IF(OR($I173="Оплачено",$H173&lt;&gt;""),$P173,$Q173)</f>
        <v/>
      </c>
      <c r="T173">
        <f>IF(OR($C173="",$D173="Доход",$I173="Оплачено",$I173="Отменено",$H173&lt;&gt;"",$C173&lt;TODAY()),"",$C173)</f>
        <v/>
      </c>
      <c r="U173">
        <f>IF(AND($D173&lt;&gt;"Доход",COUNTIFS(Счета!$B$10:$B$21,$J173,Счета!$C$10:$C$21,"Кредитная")&gt;0),1,0)</f>
        <v/>
      </c>
    </row>
    <row r="174" ht="19" customHeight="1">
      <c r="B174" s="53">
        <f>IF(AND($C174="",$F174=""),"",ROW()-9)</f>
        <v/>
      </c>
      <c r="C174" s="213" t="n"/>
      <c r="D174" s="55" t="n"/>
      <c r="E174" s="55" t="n"/>
      <c r="F174" s="56" t="n"/>
      <c r="G174" s="196" t="n"/>
      <c r="H174" s="196" t="n"/>
      <c r="I174" s="55" t="n"/>
      <c r="J174" s="55" t="n"/>
      <c r="K174" s="55" t="n"/>
      <c r="L174" s="100">
        <f>IF(OR($C174="",$I174="Оплачено",$I174="Отменено",$H174&lt;&gt;""),"",$C174-TODAY())</f>
        <v/>
      </c>
      <c r="M174" s="101">
        <f>IF($C174="","",INDEX(Настройки!$V$6:$V$17,MONTH($C174))&amp;" "&amp;YEAR($C174))</f>
        <v/>
      </c>
      <c r="N174" s="57">
        <f>IF($F174="","",IF(COUNTIF(Постоянные!$C$8:$C$37,$F174)&gt;0,"есть в Постоянных",IF(COUNTIF(Покупки!$C$7:$C$18,$F174)&gt;0,"есть в Покупках","")))</f>
        <v/>
      </c>
      <c r="P174">
        <f>IF($H174&lt;&gt;"",$H174,IF($I174="Оплачено",N($G174),0))</f>
        <v/>
      </c>
      <c r="Q174">
        <f>IF($I174="Отменено",0,IF($G174&lt;&gt;"",$G174,N($H174)))</f>
        <v/>
      </c>
      <c r="R174">
        <f>IF($C174="","",IFERROR(DATE(Настройки!$C$8,Настройки!$D$9+MATCH($M174,Настройки!$X$6:$X$17,0)-1,1),DATE(YEAR($C174),MONTH($C174),1)))</f>
        <v/>
      </c>
      <c r="S174">
        <f>IF(OR($I174="Оплачено",$H174&lt;&gt;""),$P174,$Q174)</f>
        <v/>
      </c>
      <c r="T174">
        <f>IF(OR($C174="",$D174="Доход",$I174="Оплачено",$I174="Отменено",$H174&lt;&gt;"",$C174&lt;TODAY()),"",$C174)</f>
        <v/>
      </c>
      <c r="U174">
        <f>IF(AND($D174&lt;&gt;"Доход",COUNTIFS(Счета!$B$10:$B$21,$J174,Счета!$C$10:$C$21,"Кредитная")&gt;0),1,0)</f>
        <v/>
      </c>
    </row>
    <row r="175" ht="19" customHeight="1">
      <c r="B175" s="53">
        <f>IF(AND($C175="",$F175=""),"",ROW()-9)</f>
        <v/>
      </c>
      <c r="C175" s="213" t="n"/>
      <c r="D175" s="55" t="n"/>
      <c r="E175" s="55" t="n"/>
      <c r="F175" s="56" t="n"/>
      <c r="G175" s="196" t="n"/>
      <c r="H175" s="196" t="n"/>
      <c r="I175" s="55" t="n"/>
      <c r="J175" s="55" t="n"/>
      <c r="K175" s="55" t="n"/>
      <c r="L175" s="100">
        <f>IF(OR($C175="",$I175="Оплачено",$I175="Отменено",$H175&lt;&gt;""),"",$C175-TODAY())</f>
        <v/>
      </c>
      <c r="M175" s="101">
        <f>IF($C175="","",INDEX(Настройки!$V$6:$V$17,MONTH($C175))&amp;" "&amp;YEAR($C175))</f>
        <v/>
      </c>
      <c r="N175" s="57">
        <f>IF($F175="","",IF(COUNTIF(Постоянные!$C$8:$C$37,$F175)&gt;0,"есть в Постоянных",IF(COUNTIF(Покупки!$C$7:$C$18,$F175)&gt;0,"есть в Покупках","")))</f>
        <v/>
      </c>
      <c r="P175">
        <f>IF($H175&lt;&gt;"",$H175,IF($I175="Оплачено",N($G175),0))</f>
        <v/>
      </c>
      <c r="Q175">
        <f>IF($I175="Отменено",0,IF($G175&lt;&gt;"",$G175,N($H175)))</f>
        <v/>
      </c>
      <c r="R175">
        <f>IF($C175="","",IFERROR(DATE(Настройки!$C$8,Настройки!$D$9+MATCH($M175,Настройки!$X$6:$X$17,0)-1,1),DATE(YEAR($C175),MONTH($C175),1)))</f>
        <v/>
      </c>
      <c r="S175">
        <f>IF(OR($I175="Оплачено",$H175&lt;&gt;""),$P175,$Q175)</f>
        <v/>
      </c>
      <c r="T175">
        <f>IF(OR($C175="",$D175="Доход",$I175="Оплачено",$I175="Отменено",$H175&lt;&gt;"",$C175&lt;TODAY()),"",$C175)</f>
        <v/>
      </c>
      <c r="U175">
        <f>IF(AND($D175&lt;&gt;"Доход",COUNTIFS(Счета!$B$10:$B$21,$J175,Счета!$C$10:$C$21,"Кредитная")&gt;0),1,0)</f>
        <v/>
      </c>
    </row>
    <row r="176" ht="19" customHeight="1">
      <c r="B176" s="53">
        <f>IF(AND($C176="",$F176=""),"",ROW()-9)</f>
        <v/>
      </c>
      <c r="C176" s="213" t="n"/>
      <c r="D176" s="55" t="n"/>
      <c r="E176" s="55" t="n"/>
      <c r="F176" s="56" t="n"/>
      <c r="G176" s="196" t="n"/>
      <c r="H176" s="196" t="n"/>
      <c r="I176" s="55" t="n"/>
      <c r="J176" s="55" t="n"/>
      <c r="K176" s="55" t="n"/>
      <c r="L176" s="100">
        <f>IF(OR($C176="",$I176="Оплачено",$I176="Отменено",$H176&lt;&gt;""),"",$C176-TODAY())</f>
        <v/>
      </c>
      <c r="M176" s="101">
        <f>IF($C176="","",INDEX(Настройки!$V$6:$V$17,MONTH($C176))&amp;" "&amp;YEAR($C176))</f>
        <v/>
      </c>
      <c r="N176" s="57">
        <f>IF($F176="","",IF(COUNTIF(Постоянные!$C$8:$C$37,$F176)&gt;0,"есть в Постоянных",IF(COUNTIF(Покупки!$C$7:$C$18,$F176)&gt;0,"есть в Покупках","")))</f>
        <v/>
      </c>
      <c r="P176">
        <f>IF($H176&lt;&gt;"",$H176,IF($I176="Оплачено",N($G176),0))</f>
        <v/>
      </c>
      <c r="Q176">
        <f>IF($I176="Отменено",0,IF($G176&lt;&gt;"",$G176,N($H176)))</f>
        <v/>
      </c>
      <c r="R176">
        <f>IF($C176="","",IFERROR(DATE(Настройки!$C$8,Настройки!$D$9+MATCH($M176,Настройки!$X$6:$X$17,0)-1,1),DATE(YEAR($C176),MONTH($C176),1)))</f>
        <v/>
      </c>
      <c r="S176">
        <f>IF(OR($I176="Оплачено",$H176&lt;&gt;""),$P176,$Q176)</f>
        <v/>
      </c>
      <c r="T176">
        <f>IF(OR($C176="",$D176="Доход",$I176="Оплачено",$I176="Отменено",$H176&lt;&gt;"",$C176&lt;TODAY()),"",$C176)</f>
        <v/>
      </c>
      <c r="U176">
        <f>IF(AND($D176&lt;&gt;"Доход",COUNTIFS(Счета!$B$10:$B$21,$J176,Счета!$C$10:$C$21,"Кредитная")&gt;0),1,0)</f>
        <v/>
      </c>
    </row>
    <row r="177" ht="19" customHeight="1">
      <c r="B177" s="53">
        <f>IF(AND($C177="",$F177=""),"",ROW()-9)</f>
        <v/>
      </c>
      <c r="C177" s="213" t="n"/>
      <c r="D177" s="55" t="n"/>
      <c r="E177" s="55" t="n"/>
      <c r="F177" s="56" t="n"/>
      <c r="G177" s="196" t="n"/>
      <c r="H177" s="196" t="n"/>
      <c r="I177" s="55" t="n"/>
      <c r="J177" s="55" t="n"/>
      <c r="K177" s="55" t="n"/>
      <c r="L177" s="100">
        <f>IF(OR($C177="",$I177="Оплачено",$I177="Отменено",$H177&lt;&gt;""),"",$C177-TODAY())</f>
        <v/>
      </c>
      <c r="M177" s="101">
        <f>IF($C177="","",INDEX(Настройки!$V$6:$V$17,MONTH($C177))&amp;" "&amp;YEAR($C177))</f>
        <v/>
      </c>
      <c r="N177" s="57">
        <f>IF($F177="","",IF(COUNTIF(Постоянные!$C$8:$C$37,$F177)&gt;0,"есть в Постоянных",IF(COUNTIF(Покупки!$C$7:$C$18,$F177)&gt;0,"есть в Покупках","")))</f>
        <v/>
      </c>
      <c r="P177">
        <f>IF($H177&lt;&gt;"",$H177,IF($I177="Оплачено",N($G177),0))</f>
        <v/>
      </c>
      <c r="Q177">
        <f>IF($I177="Отменено",0,IF($G177&lt;&gt;"",$G177,N($H177)))</f>
        <v/>
      </c>
      <c r="R177">
        <f>IF($C177="","",IFERROR(DATE(Настройки!$C$8,Настройки!$D$9+MATCH($M177,Настройки!$X$6:$X$17,0)-1,1),DATE(YEAR($C177),MONTH($C177),1)))</f>
        <v/>
      </c>
      <c r="S177">
        <f>IF(OR($I177="Оплачено",$H177&lt;&gt;""),$P177,$Q177)</f>
        <v/>
      </c>
      <c r="T177">
        <f>IF(OR($C177="",$D177="Доход",$I177="Оплачено",$I177="Отменено",$H177&lt;&gt;"",$C177&lt;TODAY()),"",$C177)</f>
        <v/>
      </c>
      <c r="U177">
        <f>IF(AND($D177&lt;&gt;"Доход",COUNTIFS(Счета!$B$10:$B$21,$J177,Счета!$C$10:$C$21,"Кредитная")&gt;0),1,0)</f>
        <v/>
      </c>
    </row>
    <row r="178" ht="19" customHeight="1">
      <c r="B178" s="53">
        <f>IF(AND($C178="",$F178=""),"",ROW()-9)</f>
        <v/>
      </c>
      <c r="C178" s="213" t="n"/>
      <c r="D178" s="55" t="n"/>
      <c r="E178" s="55" t="n"/>
      <c r="F178" s="56" t="n"/>
      <c r="G178" s="196" t="n"/>
      <c r="H178" s="196" t="n"/>
      <c r="I178" s="55" t="n"/>
      <c r="J178" s="55" t="n"/>
      <c r="K178" s="55" t="n"/>
      <c r="L178" s="100">
        <f>IF(OR($C178="",$I178="Оплачено",$I178="Отменено",$H178&lt;&gt;""),"",$C178-TODAY())</f>
        <v/>
      </c>
      <c r="M178" s="101">
        <f>IF($C178="","",INDEX(Настройки!$V$6:$V$17,MONTH($C178))&amp;" "&amp;YEAR($C178))</f>
        <v/>
      </c>
      <c r="N178" s="57">
        <f>IF($F178="","",IF(COUNTIF(Постоянные!$C$8:$C$37,$F178)&gt;0,"есть в Постоянных",IF(COUNTIF(Покупки!$C$7:$C$18,$F178)&gt;0,"есть в Покупках","")))</f>
        <v/>
      </c>
      <c r="P178">
        <f>IF($H178&lt;&gt;"",$H178,IF($I178="Оплачено",N($G178),0))</f>
        <v/>
      </c>
      <c r="Q178">
        <f>IF($I178="Отменено",0,IF($G178&lt;&gt;"",$G178,N($H178)))</f>
        <v/>
      </c>
      <c r="R178">
        <f>IF($C178="","",IFERROR(DATE(Настройки!$C$8,Настройки!$D$9+MATCH($M178,Настройки!$X$6:$X$17,0)-1,1),DATE(YEAR($C178),MONTH($C178),1)))</f>
        <v/>
      </c>
      <c r="S178">
        <f>IF(OR($I178="Оплачено",$H178&lt;&gt;""),$P178,$Q178)</f>
        <v/>
      </c>
      <c r="T178">
        <f>IF(OR($C178="",$D178="Доход",$I178="Оплачено",$I178="Отменено",$H178&lt;&gt;"",$C178&lt;TODAY()),"",$C178)</f>
        <v/>
      </c>
      <c r="U178">
        <f>IF(AND($D178&lt;&gt;"Доход",COUNTIFS(Счета!$B$10:$B$21,$J178,Счета!$C$10:$C$21,"Кредитная")&gt;0),1,0)</f>
        <v/>
      </c>
    </row>
    <row r="179" ht="19" customHeight="1">
      <c r="B179" s="53">
        <f>IF(AND($C179="",$F179=""),"",ROW()-9)</f>
        <v/>
      </c>
      <c r="C179" s="213" t="n"/>
      <c r="D179" s="55" t="n"/>
      <c r="E179" s="55" t="n"/>
      <c r="F179" s="56" t="n"/>
      <c r="G179" s="196" t="n"/>
      <c r="H179" s="196" t="n"/>
      <c r="I179" s="55" t="n"/>
      <c r="J179" s="55" t="n"/>
      <c r="K179" s="55" t="n"/>
      <c r="L179" s="100">
        <f>IF(OR($C179="",$I179="Оплачено",$I179="Отменено",$H179&lt;&gt;""),"",$C179-TODAY())</f>
        <v/>
      </c>
      <c r="M179" s="101">
        <f>IF($C179="","",INDEX(Настройки!$V$6:$V$17,MONTH($C179))&amp;" "&amp;YEAR($C179))</f>
        <v/>
      </c>
      <c r="N179" s="57">
        <f>IF($F179="","",IF(COUNTIF(Постоянные!$C$8:$C$37,$F179)&gt;0,"есть в Постоянных",IF(COUNTIF(Покупки!$C$7:$C$18,$F179)&gt;0,"есть в Покупках","")))</f>
        <v/>
      </c>
      <c r="P179">
        <f>IF($H179&lt;&gt;"",$H179,IF($I179="Оплачено",N($G179),0))</f>
        <v/>
      </c>
      <c r="Q179">
        <f>IF($I179="Отменено",0,IF($G179&lt;&gt;"",$G179,N($H179)))</f>
        <v/>
      </c>
      <c r="R179">
        <f>IF($C179="","",IFERROR(DATE(Настройки!$C$8,Настройки!$D$9+MATCH($M179,Настройки!$X$6:$X$17,0)-1,1),DATE(YEAR($C179),MONTH($C179),1)))</f>
        <v/>
      </c>
      <c r="S179">
        <f>IF(OR($I179="Оплачено",$H179&lt;&gt;""),$P179,$Q179)</f>
        <v/>
      </c>
      <c r="T179">
        <f>IF(OR($C179="",$D179="Доход",$I179="Оплачено",$I179="Отменено",$H179&lt;&gt;"",$C179&lt;TODAY()),"",$C179)</f>
        <v/>
      </c>
      <c r="U179">
        <f>IF(AND($D179&lt;&gt;"Доход",COUNTIFS(Счета!$B$10:$B$21,$J179,Счета!$C$10:$C$21,"Кредитная")&gt;0),1,0)</f>
        <v/>
      </c>
    </row>
    <row r="180" ht="19" customHeight="1">
      <c r="B180" s="53">
        <f>IF(AND($C180="",$F180=""),"",ROW()-9)</f>
        <v/>
      </c>
      <c r="C180" s="213" t="n"/>
      <c r="D180" s="55" t="n"/>
      <c r="E180" s="55" t="n"/>
      <c r="F180" s="56" t="n"/>
      <c r="G180" s="196" t="n"/>
      <c r="H180" s="196" t="n"/>
      <c r="I180" s="55" t="n"/>
      <c r="J180" s="55" t="n"/>
      <c r="K180" s="55" t="n"/>
      <c r="L180" s="100">
        <f>IF(OR($C180="",$I180="Оплачено",$I180="Отменено",$H180&lt;&gt;""),"",$C180-TODAY())</f>
        <v/>
      </c>
      <c r="M180" s="101">
        <f>IF($C180="","",INDEX(Настройки!$V$6:$V$17,MONTH($C180))&amp;" "&amp;YEAR($C180))</f>
        <v/>
      </c>
      <c r="N180" s="57">
        <f>IF($F180="","",IF(COUNTIF(Постоянные!$C$8:$C$37,$F180)&gt;0,"есть в Постоянных",IF(COUNTIF(Покупки!$C$7:$C$18,$F180)&gt;0,"есть в Покупках","")))</f>
        <v/>
      </c>
      <c r="P180">
        <f>IF($H180&lt;&gt;"",$H180,IF($I180="Оплачено",N($G180),0))</f>
        <v/>
      </c>
      <c r="Q180">
        <f>IF($I180="Отменено",0,IF($G180&lt;&gt;"",$G180,N($H180)))</f>
        <v/>
      </c>
      <c r="R180">
        <f>IF($C180="","",IFERROR(DATE(Настройки!$C$8,Настройки!$D$9+MATCH($M180,Настройки!$X$6:$X$17,0)-1,1),DATE(YEAR($C180),MONTH($C180),1)))</f>
        <v/>
      </c>
      <c r="S180">
        <f>IF(OR($I180="Оплачено",$H180&lt;&gt;""),$P180,$Q180)</f>
        <v/>
      </c>
      <c r="T180">
        <f>IF(OR($C180="",$D180="Доход",$I180="Оплачено",$I180="Отменено",$H180&lt;&gt;"",$C180&lt;TODAY()),"",$C180)</f>
        <v/>
      </c>
      <c r="U180">
        <f>IF(AND($D180&lt;&gt;"Доход",COUNTIFS(Счета!$B$10:$B$21,$J180,Счета!$C$10:$C$21,"Кредитная")&gt;0),1,0)</f>
        <v/>
      </c>
    </row>
    <row r="181" ht="19" customHeight="1">
      <c r="B181" s="53">
        <f>IF(AND($C181="",$F181=""),"",ROW()-9)</f>
        <v/>
      </c>
      <c r="C181" s="213" t="n"/>
      <c r="D181" s="55" t="n"/>
      <c r="E181" s="55" t="n"/>
      <c r="F181" s="56" t="n"/>
      <c r="G181" s="196" t="n"/>
      <c r="H181" s="196" t="n"/>
      <c r="I181" s="55" t="n"/>
      <c r="J181" s="55" t="n"/>
      <c r="K181" s="55" t="n"/>
      <c r="L181" s="100">
        <f>IF(OR($C181="",$I181="Оплачено",$I181="Отменено",$H181&lt;&gt;""),"",$C181-TODAY())</f>
        <v/>
      </c>
      <c r="M181" s="101">
        <f>IF($C181="","",INDEX(Настройки!$V$6:$V$17,MONTH($C181))&amp;" "&amp;YEAR($C181))</f>
        <v/>
      </c>
      <c r="N181" s="57">
        <f>IF($F181="","",IF(COUNTIF(Постоянные!$C$8:$C$37,$F181)&gt;0,"есть в Постоянных",IF(COUNTIF(Покупки!$C$7:$C$18,$F181)&gt;0,"есть в Покупках","")))</f>
        <v/>
      </c>
      <c r="P181">
        <f>IF($H181&lt;&gt;"",$H181,IF($I181="Оплачено",N($G181),0))</f>
        <v/>
      </c>
      <c r="Q181">
        <f>IF($I181="Отменено",0,IF($G181&lt;&gt;"",$G181,N($H181)))</f>
        <v/>
      </c>
      <c r="R181">
        <f>IF($C181="","",IFERROR(DATE(Настройки!$C$8,Настройки!$D$9+MATCH($M181,Настройки!$X$6:$X$17,0)-1,1),DATE(YEAR($C181),MONTH($C181),1)))</f>
        <v/>
      </c>
      <c r="S181">
        <f>IF(OR($I181="Оплачено",$H181&lt;&gt;""),$P181,$Q181)</f>
        <v/>
      </c>
      <c r="T181">
        <f>IF(OR($C181="",$D181="Доход",$I181="Оплачено",$I181="Отменено",$H181&lt;&gt;"",$C181&lt;TODAY()),"",$C181)</f>
        <v/>
      </c>
      <c r="U181">
        <f>IF(AND($D181&lt;&gt;"Доход",COUNTIFS(Счета!$B$10:$B$21,$J181,Счета!$C$10:$C$21,"Кредитная")&gt;0),1,0)</f>
        <v/>
      </c>
    </row>
    <row r="182" ht="19" customHeight="1">
      <c r="B182" s="53">
        <f>IF(AND($C182="",$F182=""),"",ROW()-9)</f>
        <v/>
      </c>
      <c r="C182" s="213" t="n"/>
      <c r="D182" s="55" t="n"/>
      <c r="E182" s="55" t="n"/>
      <c r="F182" s="56" t="n"/>
      <c r="G182" s="196" t="n"/>
      <c r="H182" s="196" t="n"/>
      <c r="I182" s="55" t="n"/>
      <c r="J182" s="55" t="n"/>
      <c r="K182" s="55" t="n"/>
      <c r="L182" s="100">
        <f>IF(OR($C182="",$I182="Оплачено",$I182="Отменено",$H182&lt;&gt;""),"",$C182-TODAY())</f>
        <v/>
      </c>
      <c r="M182" s="101">
        <f>IF($C182="","",INDEX(Настройки!$V$6:$V$17,MONTH($C182))&amp;" "&amp;YEAR($C182))</f>
        <v/>
      </c>
      <c r="N182" s="57">
        <f>IF($F182="","",IF(COUNTIF(Постоянные!$C$8:$C$37,$F182)&gt;0,"есть в Постоянных",IF(COUNTIF(Покупки!$C$7:$C$18,$F182)&gt;0,"есть в Покупках","")))</f>
        <v/>
      </c>
      <c r="P182">
        <f>IF($H182&lt;&gt;"",$H182,IF($I182="Оплачено",N($G182),0))</f>
        <v/>
      </c>
      <c r="Q182">
        <f>IF($I182="Отменено",0,IF($G182&lt;&gt;"",$G182,N($H182)))</f>
        <v/>
      </c>
      <c r="R182">
        <f>IF($C182="","",IFERROR(DATE(Настройки!$C$8,Настройки!$D$9+MATCH($M182,Настройки!$X$6:$X$17,0)-1,1),DATE(YEAR($C182),MONTH($C182),1)))</f>
        <v/>
      </c>
      <c r="S182">
        <f>IF(OR($I182="Оплачено",$H182&lt;&gt;""),$P182,$Q182)</f>
        <v/>
      </c>
      <c r="T182">
        <f>IF(OR($C182="",$D182="Доход",$I182="Оплачено",$I182="Отменено",$H182&lt;&gt;"",$C182&lt;TODAY()),"",$C182)</f>
        <v/>
      </c>
      <c r="U182">
        <f>IF(AND($D182&lt;&gt;"Доход",COUNTIFS(Счета!$B$10:$B$21,$J182,Счета!$C$10:$C$21,"Кредитная")&gt;0),1,0)</f>
        <v/>
      </c>
    </row>
    <row r="183" ht="19" customHeight="1">
      <c r="B183" s="53">
        <f>IF(AND($C183="",$F183=""),"",ROW()-9)</f>
        <v/>
      </c>
      <c r="C183" s="213" t="n"/>
      <c r="D183" s="55" t="n"/>
      <c r="E183" s="55" t="n"/>
      <c r="F183" s="56" t="n"/>
      <c r="G183" s="196" t="n"/>
      <c r="H183" s="196" t="n"/>
      <c r="I183" s="55" t="n"/>
      <c r="J183" s="55" t="n"/>
      <c r="K183" s="55" t="n"/>
      <c r="L183" s="100">
        <f>IF(OR($C183="",$I183="Оплачено",$I183="Отменено",$H183&lt;&gt;""),"",$C183-TODAY())</f>
        <v/>
      </c>
      <c r="M183" s="101">
        <f>IF($C183="","",INDEX(Настройки!$V$6:$V$17,MONTH($C183))&amp;" "&amp;YEAR($C183))</f>
        <v/>
      </c>
      <c r="N183" s="57">
        <f>IF($F183="","",IF(COUNTIF(Постоянные!$C$8:$C$37,$F183)&gt;0,"есть в Постоянных",IF(COUNTIF(Покупки!$C$7:$C$18,$F183)&gt;0,"есть в Покупках","")))</f>
        <v/>
      </c>
      <c r="P183">
        <f>IF($H183&lt;&gt;"",$H183,IF($I183="Оплачено",N($G183),0))</f>
        <v/>
      </c>
      <c r="Q183">
        <f>IF($I183="Отменено",0,IF($G183&lt;&gt;"",$G183,N($H183)))</f>
        <v/>
      </c>
      <c r="R183">
        <f>IF($C183="","",IFERROR(DATE(Настройки!$C$8,Настройки!$D$9+MATCH($M183,Настройки!$X$6:$X$17,0)-1,1),DATE(YEAR($C183),MONTH($C183),1)))</f>
        <v/>
      </c>
      <c r="S183">
        <f>IF(OR($I183="Оплачено",$H183&lt;&gt;""),$P183,$Q183)</f>
        <v/>
      </c>
      <c r="T183">
        <f>IF(OR($C183="",$D183="Доход",$I183="Оплачено",$I183="Отменено",$H183&lt;&gt;"",$C183&lt;TODAY()),"",$C183)</f>
        <v/>
      </c>
      <c r="U183">
        <f>IF(AND($D183&lt;&gt;"Доход",COUNTIFS(Счета!$B$10:$B$21,$J183,Счета!$C$10:$C$21,"Кредитная")&gt;0),1,0)</f>
        <v/>
      </c>
    </row>
    <row r="184" ht="19" customHeight="1">
      <c r="B184" s="53">
        <f>IF(AND($C184="",$F184=""),"",ROW()-9)</f>
        <v/>
      </c>
      <c r="C184" s="213" t="n"/>
      <c r="D184" s="55" t="n"/>
      <c r="E184" s="55" t="n"/>
      <c r="F184" s="56" t="n"/>
      <c r="G184" s="196" t="n"/>
      <c r="H184" s="196" t="n"/>
      <c r="I184" s="55" t="n"/>
      <c r="J184" s="55" t="n"/>
      <c r="K184" s="55" t="n"/>
      <c r="L184" s="100">
        <f>IF(OR($C184="",$I184="Оплачено",$I184="Отменено",$H184&lt;&gt;""),"",$C184-TODAY())</f>
        <v/>
      </c>
      <c r="M184" s="101">
        <f>IF($C184="","",INDEX(Настройки!$V$6:$V$17,MONTH($C184))&amp;" "&amp;YEAR($C184))</f>
        <v/>
      </c>
      <c r="N184" s="57">
        <f>IF($F184="","",IF(COUNTIF(Постоянные!$C$8:$C$37,$F184)&gt;0,"есть в Постоянных",IF(COUNTIF(Покупки!$C$7:$C$18,$F184)&gt;0,"есть в Покупках","")))</f>
        <v/>
      </c>
      <c r="P184">
        <f>IF($H184&lt;&gt;"",$H184,IF($I184="Оплачено",N($G184),0))</f>
        <v/>
      </c>
      <c r="Q184">
        <f>IF($I184="Отменено",0,IF($G184&lt;&gt;"",$G184,N($H184)))</f>
        <v/>
      </c>
      <c r="R184">
        <f>IF($C184="","",IFERROR(DATE(Настройки!$C$8,Настройки!$D$9+MATCH($M184,Настройки!$X$6:$X$17,0)-1,1),DATE(YEAR($C184),MONTH($C184),1)))</f>
        <v/>
      </c>
      <c r="S184">
        <f>IF(OR($I184="Оплачено",$H184&lt;&gt;""),$P184,$Q184)</f>
        <v/>
      </c>
      <c r="T184">
        <f>IF(OR($C184="",$D184="Доход",$I184="Оплачено",$I184="Отменено",$H184&lt;&gt;"",$C184&lt;TODAY()),"",$C184)</f>
        <v/>
      </c>
      <c r="U184">
        <f>IF(AND($D184&lt;&gt;"Доход",COUNTIFS(Счета!$B$10:$B$21,$J184,Счета!$C$10:$C$21,"Кредитная")&gt;0),1,0)</f>
        <v/>
      </c>
    </row>
    <row r="185" ht="19" customHeight="1">
      <c r="B185" s="53">
        <f>IF(AND($C185="",$F185=""),"",ROW()-9)</f>
        <v/>
      </c>
      <c r="C185" s="213" t="n"/>
      <c r="D185" s="55" t="n"/>
      <c r="E185" s="55" t="n"/>
      <c r="F185" s="56" t="n"/>
      <c r="G185" s="196" t="n"/>
      <c r="H185" s="196" t="n"/>
      <c r="I185" s="55" t="n"/>
      <c r="J185" s="55" t="n"/>
      <c r="K185" s="55" t="n"/>
      <c r="L185" s="100">
        <f>IF(OR($C185="",$I185="Оплачено",$I185="Отменено",$H185&lt;&gt;""),"",$C185-TODAY())</f>
        <v/>
      </c>
      <c r="M185" s="101">
        <f>IF($C185="","",INDEX(Настройки!$V$6:$V$17,MONTH($C185))&amp;" "&amp;YEAR($C185))</f>
        <v/>
      </c>
      <c r="N185" s="57">
        <f>IF($F185="","",IF(COUNTIF(Постоянные!$C$8:$C$37,$F185)&gt;0,"есть в Постоянных",IF(COUNTIF(Покупки!$C$7:$C$18,$F185)&gt;0,"есть в Покупках","")))</f>
        <v/>
      </c>
      <c r="P185">
        <f>IF($H185&lt;&gt;"",$H185,IF($I185="Оплачено",N($G185),0))</f>
        <v/>
      </c>
      <c r="Q185">
        <f>IF($I185="Отменено",0,IF($G185&lt;&gt;"",$G185,N($H185)))</f>
        <v/>
      </c>
      <c r="R185">
        <f>IF($C185="","",IFERROR(DATE(Настройки!$C$8,Настройки!$D$9+MATCH($M185,Настройки!$X$6:$X$17,0)-1,1),DATE(YEAR($C185),MONTH($C185),1)))</f>
        <v/>
      </c>
      <c r="S185">
        <f>IF(OR($I185="Оплачено",$H185&lt;&gt;""),$P185,$Q185)</f>
        <v/>
      </c>
      <c r="T185">
        <f>IF(OR($C185="",$D185="Доход",$I185="Оплачено",$I185="Отменено",$H185&lt;&gt;"",$C185&lt;TODAY()),"",$C185)</f>
        <v/>
      </c>
      <c r="U185">
        <f>IF(AND($D185&lt;&gt;"Доход",COUNTIFS(Счета!$B$10:$B$21,$J185,Счета!$C$10:$C$21,"Кредитная")&gt;0),1,0)</f>
        <v/>
      </c>
    </row>
    <row r="186" ht="19" customHeight="1">
      <c r="B186" s="53">
        <f>IF(AND($C186="",$F186=""),"",ROW()-9)</f>
        <v/>
      </c>
      <c r="C186" s="213" t="n"/>
      <c r="D186" s="55" t="n"/>
      <c r="E186" s="55" t="n"/>
      <c r="F186" s="56" t="n"/>
      <c r="G186" s="196" t="n"/>
      <c r="H186" s="196" t="n"/>
      <c r="I186" s="55" t="n"/>
      <c r="J186" s="55" t="n"/>
      <c r="K186" s="55" t="n"/>
      <c r="L186" s="100">
        <f>IF(OR($C186="",$I186="Оплачено",$I186="Отменено",$H186&lt;&gt;""),"",$C186-TODAY())</f>
        <v/>
      </c>
      <c r="M186" s="101">
        <f>IF($C186="","",INDEX(Настройки!$V$6:$V$17,MONTH($C186))&amp;" "&amp;YEAR($C186))</f>
        <v/>
      </c>
      <c r="N186" s="57">
        <f>IF($F186="","",IF(COUNTIF(Постоянные!$C$8:$C$37,$F186)&gt;0,"есть в Постоянных",IF(COUNTIF(Покупки!$C$7:$C$18,$F186)&gt;0,"есть в Покупках","")))</f>
        <v/>
      </c>
      <c r="P186">
        <f>IF($H186&lt;&gt;"",$H186,IF($I186="Оплачено",N($G186),0))</f>
        <v/>
      </c>
      <c r="Q186">
        <f>IF($I186="Отменено",0,IF($G186&lt;&gt;"",$G186,N($H186)))</f>
        <v/>
      </c>
      <c r="R186">
        <f>IF($C186="","",IFERROR(DATE(Настройки!$C$8,Настройки!$D$9+MATCH($M186,Настройки!$X$6:$X$17,0)-1,1),DATE(YEAR($C186),MONTH($C186),1)))</f>
        <v/>
      </c>
      <c r="S186">
        <f>IF(OR($I186="Оплачено",$H186&lt;&gt;""),$P186,$Q186)</f>
        <v/>
      </c>
      <c r="T186">
        <f>IF(OR($C186="",$D186="Доход",$I186="Оплачено",$I186="Отменено",$H186&lt;&gt;"",$C186&lt;TODAY()),"",$C186)</f>
        <v/>
      </c>
      <c r="U186">
        <f>IF(AND($D186&lt;&gt;"Доход",COUNTIFS(Счета!$B$10:$B$21,$J186,Счета!$C$10:$C$21,"Кредитная")&gt;0),1,0)</f>
        <v/>
      </c>
    </row>
    <row r="187" ht="19" customHeight="1">
      <c r="B187" s="53">
        <f>IF(AND($C187="",$F187=""),"",ROW()-9)</f>
        <v/>
      </c>
      <c r="C187" s="213" t="n"/>
      <c r="D187" s="55" t="n"/>
      <c r="E187" s="55" t="n"/>
      <c r="F187" s="56" t="n"/>
      <c r="G187" s="196" t="n"/>
      <c r="H187" s="196" t="n"/>
      <c r="I187" s="55" t="n"/>
      <c r="J187" s="55" t="n"/>
      <c r="K187" s="55" t="n"/>
      <c r="L187" s="100">
        <f>IF(OR($C187="",$I187="Оплачено",$I187="Отменено",$H187&lt;&gt;""),"",$C187-TODAY())</f>
        <v/>
      </c>
      <c r="M187" s="101">
        <f>IF($C187="","",INDEX(Настройки!$V$6:$V$17,MONTH($C187))&amp;" "&amp;YEAR($C187))</f>
        <v/>
      </c>
      <c r="N187" s="57">
        <f>IF($F187="","",IF(COUNTIF(Постоянные!$C$8:$C$37,$F187)&gt;0,"есть в Постоянных",IF(COUNTIF(Покупки!$C$7:$C$18,$F187)&gt;0,"есть в Покупках","")))</f>
        <v/>
      </c>
      <c r="P187">
        <f>IF($H187&lt;&gt;"",$H187,IF($I187="Оплачено",N($G187),0))</f>
        <v/>
      </c>
      <c r="Q187">
        <f>IF($I187="Отменено",0,IF($G187&lt;&gt;"",$G187,N($H187)))</f>
        <v/>
      </c>
      <c r="R187">
        <f>IF($C187="","",IFERROR(DATE(Настройки!$C$8,Настройки!$D$9+MATCH($M187,Настройки!$X$6:$X$17,0)-1,1),DATE(YEAR($C187),MONTH($C187),1)))</f>
        <v/>
      </c>
      <c r="S187">
        <f>IF(OR($I187="Оплачено",$H187&lt;&gt;""),$P187,$Q187)</f>
        <v/>
      </c>
      <c r="T187">
        <f>IF(OR($C187="",$D187="Доход",$I187="Оплачено",$I187="Отменено",$H187&lt;&gt;"",$C187&lt;TODAY()),"",$C187)</f>
        <v/>
      </c>
      <c r="U187">
        <f>IF(AND($D187&lt;&gt;"Доход",COUNTIFS(Счета!$B$10:$B$21,$J187,Счета!$C$10:$C$21,"Кредитная")&gt;0),1,0)</f>
        <v/>
      </c>
    </row>
    <row r="188" ht="19" customHeight="1">
      <c r="B188" s="53">
        <f>IF(AND($C188="",$F188=""),"",ROW()-9)</f>
        <v/>
      </c>
      <c r="C188" s="213" t="n"/>
      <c r="D188" s="55" t="n"/>
      <c r="E188" s="55" t="n"/>
      <c r="F188" s="56" t="n"/>
      <c r="G188" s="196" t="n"/>
      <c r="H188" s="196" t="n"/>
      <c r="I188" s="55" t="n"/>
      <c r="J188" s="55" t="n"/>
      <c r="K188" s="55" t="n"/>
      <c r="L188" s="100">
        <f>IF(OR($C188="",$I188="Оплачено",$I188="Отменено",$H188&lt;&gt;""),"",$C188-TODAY())</f>
        <v/>
      </c>
      <c r="M188" s="101">
        <f>IF($C188="","",INDEX(Настройки!$V$6:$V$17,MONTH($C188))&amp;" "&amp;YEAR($C188))</f>
        <v/>
      </c>
      <c r="N188" s="57">
        <f>IF($F188="","",IF(COUNTIF(Постоянные!$C$8:$C$37,$F188)&gt;0,"есть в Постоянных",IF(COUNTIF(Покупки!$C$7:$C$18,$F188)&gt;0,"есть в Покупках","")))</f>
        <v/>
      </c>
      <c r="P188">
        <f>IF($H188&lt;&gt;"",$H188,IF($I188="Оплачено",N($G188),0))</f>
        <v/>
      </c>
      <c r="Q188">
        <f>IF($I188="Отменено",0,IF($G188&lt;&gt;"",$G188,N($H188)))</f>
        <v/>
      </c>
      <c r="R188">
        <f>IF($C188="","",IFERROR(DATE(Настройки!$C$8,Настройки!$D$9+MATCH($M188,Настройки!$X$6:$X$17,0)-1,1),DATE(YEAR($C188),MONTH($C188),1)))</f>
        <v/>
      </c>
      <c r="S188">
        <f>IF(OR($I188="Оплачено",$H188&lt;&gt;""),$P188,$Q188)</f>
        <v/>
      </c>
      <c r="T188">
        <f>IF(OR($C188="",$D188="Доход",$I188="Оплачено",$I188="Отменено",$H188&lt;&gt;"",$C188&lt;TODAY()),"",$C188)</f>
        <v/>
      </c>
      <c r="U188">
        <f>IF(AND($D188&lt;&gt;"Доход",COUNTIFS(Счета!$B$10:$B$21,$J188,Счета!$C$10:$C$21,"Кредитная")&gt;0),1,0)</f>
        <v/>
      </c>
    </row>
    <row r="189" ht="19" customHeight="1">
      <c r="B189" s="53">
        <f>IF(AND($C189="",$F189=""),"",ROW()-9)</f>
        <v/>
      </c>
      <c r="C189" s="213" t="n"/>
      <c r="D189" s="55" t="n"/>
      <c r="E189" s="55" t="n"/>
      <c r="F189" s="56" t="n"/>
      <c r="G189" s="196" t="n"/>
      <c r="H189" s="196" t="n"/>
      <c r="I189" s="55" t="n"/>
      <c r="J189" s="55" t="n"/>
      <c r="K189" s="55" t="n"/>
      <c r="L189" s="100">
        <f>IF(OR($C189="",$I189="Оплачено",$I189="Отменено",$H189&lt;&gt;""),"",$C189-TODAY())</f>
        <v/>
      </c>
      <c r="M189" s="101">
        <f>IF($C189="","",INDEX(Настройки!$V$6:$V$17,MONTH($C189))&amp;" "&amp;YEAR($C189))</f>
        <v/>
      </c>
      <c r="N189" s="57">
        <f>IF($F189="","",IF(COUNTIF(Постоянные!$C$8:$C$37,$F189)&gt;0,"есть в Постоянных",IF(COUNTIF(Покупки!$C$7:$C$18,$F189)&gt;0,"есть в Покупках","")))</f>
        <v/>
      </c>
      <c r="P189">
        <f>IF($H189&lt;&gt;"",$H189,IF($I189="Оплачено",N($G189),0))</f>
        <v/>
      </c>
      <c r="Q189">
        <f>IF($I189="Отменено",0,IF($G189&lt;&gt;"",$G189,N($H189)))</f>
        <v/>
      </c>
      <c r="R189">
        <f>IF($C189="","",IFERROR(DATE(Настройки!$C$8,Настройки!$D$9+MATCH($M189,Настройки!$X$6:$X$17,0)-1,1),DATE(YEAR($C189),MONTH($C189),1)))</f>
        <v/>
      </c>
      <c r="S189">
        <f>IF(OR($I189="Оплачено",$H189&lt;&gt;""),$P189,$Q189)</f>
        <v/>
      </c>
      <c r="T189">
        <f>IF(OR($C189="",$D189="Доход",$I189="Оплачено",$I189="Отменено",$H189&lt;&gt;"",$C189&lt;TODAY()),"",$C189)</f>
        <v/>
      </c>
      <c r="U189">
        <f>IF(AND($D189&lt;&gt;"Доход",COUNTIFS(Счета!$B$10:$B$21,$J189,Счета!$C$10:$C$21,"Кредитная")&gt;0),1,0)</f>
        <v/>
      </c>
    </row>
    <row r="190" ht="19" customHeight="1">
      <c r="B190" s="53">
        <f>IF(AND($C190="",$F190=""),"",ROW()-9)</f>
        <v/>
      </c>
      <c r="C190" s="213" t="n"/>
      <c r="D190" s="55" t="n"/>
      <c r="E190" s="55" t="n"/>
      <c r="F190" s="56" t="n"/>
      <c r="G190" s="196" t="n"/>
      <c r="H190" s="196" t="n"/>
      <c r="I190" s="55" t="n"/>
      <c r="J190" s="55" t="n"/>
      <c r="K190" s="55" t="n"/>
      <c r="L190" s="100">
        <f>IF(OR($C190="",$I190="Оплачено",$I190="Отменено",$H190&lt;&gt;""),"",$C190-TODAY())</f>
        <v/>
      </c>
      <c r="M190" s="101">
        <f>IF($C190="","",INDEX(Настройки!$V$6:$V$17,MONTH($C190))&amp;" "&amp;YEAR($C190))</f>
        <v/>
      </c>
      <c r="N190" s="57">
        <f>IF($F190="","",IF(COUNTIF(Постоянные!$C$8:$C$37,$F190)&gt;0,"есть в Постоянных",IF(COUNTIF(Покупки!$C$7:$C$18,$F190)&gt;0,"есть в Покупках","")))</f>
        <v/>
      </c>
      <c r="P190">
        <f>IF($H190&lt;&gt;"",$H190,IF($I190="Оплачено",N($G190),0))</f>
        <v/>
      </c>
      <c r="Q190">
        <f>IF($I190="Отменено",0,IF($G190&lt;&gt;"",$G190,N($H190)))</f>
        <v/>
      </c>
      <c r="R190">
        <f>IF($C190="","",IFERROR(DATE(Настройки!$C$8,Настройки!$D$9+MATCH($M190,Настройки!$X$6:$X$17,0)-1,1),DATE(YEAR($C190),MONTH($C190),1)))</f>
        <v/>
      </c>
      <c r="S190">
        <f>IF(OR($I190="Оплачено",$H190&lt;&gt;""),$P190,$Q190)</f>
        <v/>
      </c>
      <c r="T190">
        <f>IF(OR($C190="",$D190="Доход",$I190="Оплачено",$I190="Отменено",$H190&lt;&gt;"",$C190&lt;TODAY()),"",$C190)</f>
        <v/>
      </c>
      <c r="U190">
        <f>IF(AND($D190&lt;&gt;"Доход",COUNTIFS(Счета!$B$10:$B$21,$J190,Счета!$C$10:$C$21,"Кредитная")&gt;0),1,0)</f>
        <v/>
      </c>
    </row>
    <row r="191" ht="19" customHeight="1">
      <c r="B191" s="53">
        <f>IF(AND($C191="",$F191=""),"",ROW()-9)</f>
        <v/>
      </c>
      <c r="C191" s="213" t="n"/>
      <c r="D191" s="55" t="n"/>
      <c r="E191" s="55" t="n"/>
      <c r="F191" s="56" t="n"/>
      <c r="G191" s="196" t="n"/>
      <c r="H191" s="196" t="n"/>
      <c r="I191" s="55" t="n"/>
      <c r="J191" s="55" t="n"/>
      <c r="K191" s="55" t="n"/>
      <c r="L191" s="100">
        <f>IF(OR($C191="",$I191="Оплачено",$I191="Отменено",$H191&lt;&gt;""),"",$C191-TODAY())</f>
        <v/>
      </c>
      <c r="M191" s="101">
        <f>IF($C191="","",INDEX(Настройки!$V$6:$V$17,MONTH($C191))&amp;" "&amp;YEAR($C191))</f>
        <v/>
      </c>
      <c r="N191" s="57">
        <f>IF($F191="","",IF(COUNTIF(Постоянные!$C$8:$C$37,$F191)&gt;0,"есть в Постоянных",IF(COUNTIF(Покупки!$C$7:$C$18,$F191)&gt;0,"есть в Покупках","")))</f>
        <v/>
      </c>
      <c r="P191">
        <f>IF($H191&lt;&gt;"",$H191,IF($I191="Оплачено",N($G191),0))</f>
        <v/>
      </c>
      <c r="Q191">
        <f>IF($I191="Отменено",0,IF($G191&lt;&gt;"",$G191,N($H191)))</f>
        <v/>
      </c>
      <c r="R191">
        <f>IF($C191="","",IFERROR(DATE(Настройки!$C$8,Настройки!$D$9+MATCH($M191,Настройки!$X$6:$X$17,0)-1,1),DATE(YEAR($C191),MONTH($C191),1)))</f>
        <v/>
      </c>
      <c r="S191">
        <f>IF(OR($I191="Оплачено",$H191&lt;&gt;""),$P191,$Q191)</f>
        <v/>
      </c>
      <c r="T191">
        <f>IF(OR($C191="",$D191="Доход",$I191="Оплачено",$I191="Отменено",$H191&lt;&gt;"",$C191&lt;TODAY()),"",$C191)</f>
        <v/>
      </c>
      <c r="U191">
        <f>IF(AND($D191&lt;&gt;"Доход",COUNTIFS(Счета!$B$10:$B$21,$J191,Счета!$C$10:$C$21,"Кредитная")&gt;0),1,0)</f>
        <v/>
      </c>
    </row>
    <row r="192" ht="19" customHeight="1">
      <c r="B192" s="53">
        <f>IF(AND($C192="",$F192=""),"",ROW()-9)</f>
        <v/>
      </c>
      <c r="C192" s="213" t="n"/>
      <c r="D192" s="55" t="n"/>
      <c r="E192" s="55" t="n"/>
      <c r="F192" s="56" t="n"/>
      <c r="G192" s="196" t="n"/>
      <c r="H192" s="196" t="n"/>
      <c r="I192" s="55" t="n"/>
      <c r="J192" s="55" t="n"/>
      <c r="K192" s="55" t="n"/>
      <c r="L192" s="100">
        <f>IF(OR($C192="",$I192="Оплачено",$I192="Отменено",$H192&lt;&gt;""),"",$C192-TODAY())</f>
        <v/>
      </c>
      <c r="M192" s="101">
        <f>IF($C192="","",INDEX(Настройки!$V$6:$V$17,MONTH($C192))&amp;" "&amp;YEAR($C192))</f>
        <v/>
      </c>
      <c r="N192" s="57">
        <f>IF($F192="","",IF(COUNTIF(Постоянные!$C$8:$C$37,$F192)&gt;0,"есть в Постоянных",IF(COUNTIF(Покупки!$C$7:$C$18,$F192)&gt;0,"есть в Покупках","")))</f>
        <v/>
      </c>
      <c r="P192">
        <f>IF($H192&lt;&gt;"",$H192,IF($I192="Оплачено",N($G192),0))</f>
        <v/>
      </c>
      <c r="Q192">
        <f>IF($I192="Отменено",0,IF($G192&lt;&gt;"",$G192,N($H192)))</f>
        <v/>
      </c>
      <c r="R192">
        <f>IF($C192="","",IFERROR(DATE(Настройки!$C$8,Настройки!$D$9+MATCH($M192,Настройки!$X$6:$X$17,0)-1,1),DATE(YEAR($C192),MONTH($C192),1)))</f>
        <v/>
      </c>
      <c r="S192">
        <f>IF(OR($I192="Оплачено",$H192&lt;&gt;""),$P192,$Q192)</f>
        <v/>
      </c>
      <c r="T192">
        <f>IF(OR($C192="",$D192="Доход",$I192="Оплачено",$I192="Отменено",$H192&lt;&gt;"",$C192&lt;TODAY()),"",$C192)</f>
        <v/>
      </c>
      <c r="U192">
        <f>IF(AND($D192&lt;&gt;"Доход",COUNTIFS(Счета!$B$10:$B$21,$J192,Счета!$C$10:$C$21,"Кредитная")&gt;0),1,0)</f>
        <v/>
      </c>
    </row>
    <row r="193" ht="19" customHeight="1">
      <c r="B193" s="53">
        <f>IF(AND($C193="",$F193=""),"",ROW()-9)</f>
        <v/>
      </c>
      <c r="C193" s="213" t="n"/>
      <c r="D193" s="55" t="n"/>
      <c r="E193" s="55" t="n"/>
      <c r="F193" s="56" t="n"/>
      <c r="G193" s="196" t="n"/>
      <c r="H193" s="196" t="n"/>
      <c r="I193" s="55" t="n"/>
      <c r="J193" s="55" t="n"/>
      <c r="K193" s="55" t="n"/>
      <c r="L193" s="100">
        <f>IF(OR($C193="",$I193="Оплачено",$I193="Отменено",$H193&lt;&gt;""),"",$C193-TODAY())</f>
        <v/>
      </c>
      <c r="M193" s="101">
        <f>IF($C193="","",INDEX(Настройки!$V$6:$V$17,MONTH($C193))&amp;" "&amp;YEAR($C193))</f>
        <v/>
      </c>
      <c r="N193" s="57">
        <f>IF($F193="","",IF(COUNTIF(Постоянные!$C$8:$C$37,$F193)&gt;0,"есть в Постоянных",IF(COUNTIF(Покупки!$C$7:$C$18,$F193)&gt;0,"есть в Покупках","")))</f>
        <v/>
      </c>
      <c r="P193">
        <f>IF($H193&lt;&gt;"",$H193,IF($I193="Оплачено",N($G193),0))</f>
        <v/>
      </c>
      <c r="Q193">
        <f>IF($I193="Отменено",0,IF($G193&lt;&gt;"",$G193,N($H193)))</f>
        <v/>
      </c>
      <c r="R193">
        <f>IF($C193="","",IFERROR(DATE(Настройки!$C$8,Настройки!$D$9+MATCH($M193,Настройки!$X$6:$X$17,0)-1,1),DATE(YEAR($C193),MONTH($C193),1)))</f>
        <v/>
      </c>
      <c r="S193">
        <f>IF(OR($I193="Оплачено",$H193&lt;&gt;""),$P193,$Q193)</f>
        <v/>
      </c>
      <c r="T193">
        <f>IF(OR($C193="",$D193="Доход",$I193="Оплачено",$I193="Отменено",$H193&lt;&gt;"",$C193&lt;TODAY()),"",$C193)</f>
        <v/>
      </c>
      <c r="U193">
        <f>IF(AND($D193&lt;&gt;"Доход",COUNTIFS(Счета!$B$10:$B$21,$J193,Счета!$C$10:$C$21,"Кредитная")&gt;0),1,0)</f>
        <v/>
      </c>
    </row>
    <row r="194" ht="19" customHeight="1">
      <c r="B194" s="53">
        <f>IF(AND($C194="",$F194=""),"",ROW()-9)</f>
        <v/>
      </c>
      <c r="C194" s="213" t="n"/>
      <c r="D194" s="55" t="n"/>
      <c r="E194" s="55" t="n"/>
      <c r="F194" s="56" t="n"/>
      <c r="G194" s="196" t="n"/>
      <c r="H194" s="196" t="n"/>
      <c r="I194" s="55" t="n"/>
      <c r="J194" s="55" t="n"/>
      <c r="K194" s="55" t="n"/>
      <c r="L194" s="100">
        <f>IF(OR($C194="",$I194="Оплачено",$I194="Отменено",$H194&lt;&gt;""),"",$C194-TODAY())</f>
        <v/>
      </c>
      <c r="M194" s="101">
        <f>IF($C194="","",INDEX(Настройки!$V$6:$V$17,MONTH($C194))&amp;" "&amp;YEAR($C194))</f>
        <v/>
      </c>
      <c r="N194" s="57">
        <f>IF($F194="","",IF(COUNTIF(Постоянные!$C$8:$C$37,$F194)&gt;0,"есть в Постоянных",IF(COUNTIF(Покупки!$C$7:$C$18,$F194)&gt;0,"есть в Покупках","")))</f>
        <v/>
      </c>
      <c r="P194">
        <f>IF($H194&lt;&gt;"",$H194,IF($I194="Оплачено",N($G194),0))</f>
        <v/>
      </c>
      <c r="Q194">
        <f>IF($I194="Отменено",0,IF($G194&lt;&gt;"",$G194,N($H194)))</f>
        <v/>
      </c>
      <c r="R194">
        <f>IF($C194="","",IFERROR(DATE(Настройки!$C$8,Настройки!$D$9+MATCH($M194,Настройки!$X$6:$X$17,0)-1,1),DATE(YEAR($C194),MONTH($C194),1)))</f>
        <v/>
      </c>
      <c r="S194">
        <f>IF(OR($I194="Оплачено",$H194&lt;&gt;""),$P194,$Q194)</f>
        <v/>
      </c>
      <c r="T194">
        <f>IF(OR($C194="",$D194="Доход",$I194="Оплачено",$I194="Отменено",$H194&lt;&gt;"",$C194&lt;TODAY()),"",$C194)</f>
        <v/>
      </c>
      <c r="U194">
        <f>IF(AND($D194&lt;&gt;"Доход",COUNTIFS(Счета!$B$10:$B$21,$J194,Счета!$C$10:$C$21,"Кредитная")&gt;0),1,0)</f>
        <v/>
      </c>
    </row>
    <row r="195" ht="19" customHeight="1">
      <c r="B195" s="53">
        <f>IF(AND($C195="",$F195=""),"",ROW()-9)</f>
        <v/>
      </c>
      <c r="C195" s="213" t="n"/>
      <c r="D195" s="55" t="n"/>
      <c r="E195" s="55" t="n"/>
      <c r="F195" s="56" t="n"/>
      <c r="G195" s="196" t="n"/>
      <c r="H195" s="196" t="n"/>
      <c r="I195" s="55" t="n"/>
      <c r="J195" s="55" t="n"/>
      <c r="K195" s="55" t="n"/>
      <c r="L195" s="100">
        <f>IF(OR($C195="",$I195="Оплачено",$I195="Отменено",$H195&lt;&gt;""),"",$C195-TODAY())</f>
        <v/>
      </c>
      <c r="M195" s="101">
        <f>IF($C195="","",INDEX(Настройки!$V$6:$V$17,MONTH($C195))&amp;" "&amp;YEAR($C195))</f>
        <v/>
      </c>
      <c r="N195" s="57">
        <f>IF($F195="","",IF(COUNTIF(Постоянные!$C$8:$C$37,$F195)&gt;0,"есть в Постоянных",IF(COUNTIF(Покупки!$C$7:$C$18,$F195)&gt;0,"есть в Покупках","")))</f>
        <v/>
      </c>
      <c r="P195">
        <f>IF($H195&lt;&gt;"",$H195,IF($I195="Оплачено",N($G195),0))</f>
        <v/>
      </c>
      <c r="Q195">
        <f>IF($I195="Отменено",0,IF($G195&lt;&gt;"",$G195,N($H195)))</f>
        <v/>
      </c>
      <c r="R195">
        <f>IF($C195="","",IFERROR(DATE(Настройки!$C$8,Настройки!$D$9+MATCH($M195,Настройки!$X$6:$X$17,0)-1,1),DATE(YEAR($C195),MONTH($C195),1)))</f>
        <v/>
      </c>
      <c r="S195">
        <f>IF(OR($I195="Оплачено",$H195&lt;&gt;""),$P195,$Q195)</f>
        <v/>
      </c>
      <c r="T195">
        <f>IF(OR($C195="",$D195="Доход",$I195="Оплачено",$I195="Отменено",$H195&lt;&gt;"",$C195&lt;TODAY()),"",$C195)</f>
        <v/>
      </c>
      <c r="U195">
        <f>IF(AND($D195&lt;&gt;"Доход",COUNTIFS(Счета!$B$10:$B$21,$J195,Счета!$C$10:$C$21,"Кредитная")&gt;0),1,0)</f>
        <v/>
      </c>
    </row>
    <row r="196" ht="19" customHeight="1">
      <c r="B196" s="53">
        <f>IF(AND($C196="",$F196=""),"",ROW()-9)</f>
        <v/>
      </c>
      <c r="C196" s="213" t="n"/>
      <c r="D196" s="55" t="n"/>
      <c r="E196" s="55" t="n"/>
      <c r="F196" s="56" t="n"/>
      <c r="G196" s="196" t="n"/>
      <c r="H196" s="196" t="n"/>
      <c r="I196" s="55" t="n"/>
      <c r="J196" s="55" t="n"/>
      <c r="K196" s="55" t="n"/>
      <c r="L196" s="100">
        <f>IF(OR($C196="",$I196="Оплачено",$I196="Отменено",$H196&lt;&gt;""),"",$C196-TODAY())</f>
        <v/>
      </c>
      <c r="M196" s="101">
        <f>IF($C196="","",INDEX(Настройки!$V$6:$V$17,MONTH($C196))&amp;" "&amp;YEAR($C196))</f>
        <v/>
      </c>
      <c r="N196" s="57">
        <f>IF($F196="","",IF(COUNTIF(Постоянные!$C$8:$C$37,$F196)&gt;0,"есть в Постоянных",IF(COUNTIF(Покупки!$C$7:$C$18,$F196)&gt;0,"есть в Покупках","")))</f>
        <v/>
      </c>
      <c r="P196">
        <f>IF($H196&lt;&gt;"",$H196,IF($I196="Оплачено",N($G196),0))</f>
        <v/>
      </c>
      <c r="Q196">
        <f>IF($I196="Отменено",0,IF($G196&lt;&gt;"",$G196,N($H196)))</f>
        <v/>
      </c>
      <c r="R196">
        <f>IF($C196="","",IFERROR(DATE(Настройки!$C$8,Настройки!$D$9+MATCH($M196,Настройки!$X$6:$X$17,0)-1,1),DATE(YEAR($C196),MONTH($C196),1)))</f>
        <v/>
      </c>
      <c r="S196">
        <f>IF(OR($I196="Оплачено",$H196&lt;&gt;""),$P196,$Q196)</f>
        <v/>
      </c>
      <c r="T196">
        <f>IF(OR($C196="",$D196="Доход",$I196="Оплачено",$I196="Отменено",$H196&lt;&gt;"",$C196&lt;TODAY()),"",$C196)</f>
        <v/>
      </c>
      <c r="U196">
        <f>IF(AND($D196&lt;&gt;"Доход",COUNTIFS(Счета!$B$10:$B$21,$J196,Счета!$C$10:$C$21,"Кредитная")&gt;0),1,0)</f>
        <v/>
      </c>
    </row>
    <row r="197" ht="19" customHeight="1">
      <c r="B197" s="53">
        <f>IF(AND($C197="",$F197=""),"",ROW()-9)</f>
        <v/>
      </c>
      <c r="C197" s="213" t="n"/>
      <c r="D197" s="55" t="n"/>
      <c r="E197" s="55" t="n"/>
      <c r="F197" s="56" t="n"/>
      <c r="G197" s="196" t="n"/>
      <c r="H197" s="196" t="n"/>
      <c r="I197" s="55" t="n"/>
      <c r="J197" s="55" t="n"/>
      <c r="K197" s="55" t="n"/>
      <c r="L197" s="100">
        <f>IF(OR($C197="",$I197="Оплачено",$I197="Отменено",$H197&lt;&gt;""),"",$C197-TODAY())</f>
        <v/>
      </c>
      <c r="M197" s="101">
        <f>IF($C197="","",INDEX(Настройки!$V$6:$V$17,MONTH($C197))&amp;" "&amp;YEAR($C197))</f>
        <v/>
      </c>
      <c r="N197" s="57">
        <f>IF($F197="","",IF(COUNTIF(Постоянные!$C$8:$C$37,$F197)&gt;0,"есть в Постоянных",IF(COUNTIF(Покупки!$C$7:$C$18,$F197)&gt;0,"есть в Покупках","")))</f>
        <v/>
      </c>
      <c r="P197">
        <f>IF($H197&lt;&gt;"",$H197,IF($I197="Оплачено",N($G197),0))</f>
        <v/>
      </c>
      <c r="Q197">
        <f>IF($I197="Отменено",0,IF($G197&lt;&gt;"",$G197,N($H197)))</f>
        <v/>
      </c>
      <c r="R197">
        <f>IF($C197="","",IFERROR(DATE(Настройки!$C$8,Настройки!$D$9+MATCH($M197,Настройки!$X$6:$X$17,0)-1,1),DATE(YEAR($C197),MONTH($C197),1)))</f>
        <v/>
      </c>
      <c r="S197">
        <f>IF(OR($I197="Оплачено",$H197&lt;&gt;""),$P197,$Q197)</f>
        <v/>
      </c>
      <c r="T197">
        <f>IF(OR($C197="",$D197="Доход",$I197="Оплачено",$I197="Отменено",$H197&lt;&gt;"",$C197&lt;TODAY()),"",$C197)</f>
        <v/>
      </c>
      <c r="U197">
        <f>IF(AND($D197&lt;&gt;"Доход",COUNTIFS(Счета!$B$10:$B$21,$J197,Счета!$C$10:$C$21,"Кредитная")&gt;0),1,0)</f>
        <v/>
      </c>
    </row>
    <row r="198" ht="19" customHeight="1">
      <c r="B198" s="53">
        <f>IF(AND($C198="",$F198=""),"",ROW()-9)</f>
        <v/>
      </c>
      <c r="C198" s="213" t="n"/>
      <c r="D198" s="55" t="n"/>
      <c r="E198" s="55" t="n"/>
      <c r="F198" s="56" t="n"/>
      <c r="G198" s="196" t="n"/>
      <c r="H198" s="196" t="n"/>
      <c r="I198" s="55" t="n"/>
      <c r="J198" s="55" t="n"/>
      <c r="K198" s="55" t="n"/>
      <c r="L198" s="100">
        <f>IF(OR($C198="",$I198="Оплачено",$I198="Отменено",$H198&lt;&gt;""),"",$C198-TODAY())</f>
        <v/>
      </c>
      <c r="M198" s="101">
        <f>IF($C198="","",INDEX(Настройки!$V$6:$V$17,MONTH($C198))&amp;" "&amp;YEAR($C198))</f>
        <v/>
      </c>
      <c r="N198" s="57">
        <f>IF($F198="","",IF(COUNTIF(Постоянные!$C$8:$C$37,$F198)&gt;0,"есть в Постоянных",IF(COUNTIF(Покупки!$C$7:$C$18,$F198)&gt;0,"есть в Покупках","")))</f>
        <v/>
      </c>
      <c r="P198">
        <f>IF($H198&lt;&gt;"",$H198,IF($I198="Оплачено",N($G198),0))</f>
        <v/>
      </c>
      <c r="Q198">
        <f>IF($I198="Отменено",0,IF($G198&lt;&gt;"",$G198,N($H198)))</f>
        <v/>
      </c>
      <c r="R198">
        <f>IF($C198="","",IFERROR(DATE(Настройки!$C$8,Настройки!$D$9+MATCH($M198,Настройки!$X$6:$X$17,0)-1,1),DATE(YEAR($C198),MONTH($C198),1)))</f>
        <v/>
      </c>
      <c r="S198">
        <f>IF(OR($I198="Оплачено",$H198&lt;&gt;""),$P198,$Q198)</f>
        <v/>
      </c>
      <c r="T198">
        <f>IF(OR($C198="",$D198="Доход",$I198="Оплачено",$I198="Отменено",$H198&lt;&gt;"",$C198&lt;TODAY()),"",$C198)</f>
        <v/>
      </c>
      <c r="U198">
        <f>IF(AND($D198&lt;&gt;"Доход",COUNTIFS(Счета!$B$10:$B$21,$J198,Счета!$C$10:$C$21,"Кредитная")&gt;0),1,0)</f>
        <v/>
      </c>
    </row>
    <row r="199" ht="19" customHeight="1">
      <c r="B199" s="53">
        <f>IF(AND($C199="",$F199=""),"",ROW()-9)</f>
        <v/>
      </c>
      <c r="C199" s="213" t="n"/>
      <c r="D199" s="55" t="n"/>
      <c r="E199" s="55" t="n"/>
      <c r="F199" s="56" t="n"/>
      <c r="G199" s="196" t="n"/>
      <c r="H199" s="196" t="n"/>
      <c r="I199" s="55" t="n"/>
      <c r="J199" s="55" t="n"/>
      <c r="K199" s="55" t="n"/>
      <c r="L199" s="100">
        <f>IF(OR($C199="",$I199="Оплачено",$I199="Отменено",$H199&lt;&gt;""),"",$C199-TODAY())</f>
        <v/>
      </c>
      <c r="M199" s="101">
        <f>IF($C199="","",INDEX(Настройки!$V$6:$V$17,MONTH($C199))&amp;" "&amp;YEAR($C199))</f>
        <v/>
      </c>
      <c r="N199" s="57">
        <f>IF($F199="","",IF(COUNTIF(Постоянные!$C$8:$C$37,$F199)&gt;0,"есть в Постоянных",IF(COUNTIF(Покупки!$C$7:$C$18,$F199)&gt;0,"есть в Покупках","")))</f>
        <v/>
      </c>
      <c r="P199">
        <f>IF($H199&lt;&gt;"",$H199,IF($I199="Оплачено",N($G199),0))</f>
        <v/>
      </c>
      <c r="Q199">
        <f>IF($I199="Отменено",0,IF($G199&lt;&gt;"",$G199,N($H199)))</f>
        <v/>
      </c>
      <c r="R199">
        <f>IF($C199="","",IFERROR(DATE(Настройки!$C$8,Настройки!$D$9+MATCH($M199,Настройки!$X$6:$X$17,0)-1,1),DATE(YEAR($C199),MONTH($C199),1)))</f>
        <v/>
      </c>
      <c r="S199">
        <f>IF(OR($I199="Оплачено",$H199&lt;&gt;""),$P199,$Q199)</f>
        <v/>
      </c>
      <c r="T199">
        <f>IF(OR($C199="",$D199="Доход",$I199="Оплачено",$I199="Отменено",$H199&lt;&gt;"",$C199&lt;TODAY()),"",$C199)</f>
        <v/>
      </c>
      <c r="U199">
        <f>IF(AND($D199&lt;&gt;"Доход",COUNTIFS(Счета!$B$10:$B$21,$J199,Счета!$C$10:$C$21,"Кредитная")&gt;0),1,0)</f>
        <v/>
      </c>
    </row>
    <row r="200" ht="19" customHeight="1">
      <c r="B200" s="53">
        <f>IF(AND($C200="",$F200=""),"",ROW()-9)</f>
        <v/>
      </c>
      <c r="C200" s="213" t="n"/>
      <c r="D200" s="55" t="n"/>
      <c r="E200" s="55" t="n"/>
      <c r="F200" s="56" t="n"/>
      <c r="G200" s="196" t="n"/>
      <c r="H200" s="196" t="n"/>
      <c r="I200" s="55" t="n"/>
      <c r="J200" s="55" t="n"/>
      <c r="K200" s="55" t="n"/>
      <c r="L200" s="100">
        <f>IF(OR($C200="",$I200="Оплачено",$I200="Отменено",$H200&lt;&gt;""),"",$C200-TODAY())</f>
        <v/>
      </c>
      <c r="M200" s="101">
        <f>IF($C200="","",INDEX(Настройки!$V$6:$V$17,MONTH($C200))&amp;" "&amp;YEAR($C200))</f>
        <v/>
      </c>
      <c r="N200" s="57">
        <f>IF($F200="","",IF(COUNTIF(Постоянные!$C$8:$C$37,$F200)&gt;0,"есть в Постоянных",IF(COUNTIF(Покупки!$C$7:$C$18,$F200)&gt;0,"есть в Покупках","")))</f>
        <v/>
      </c>
      <c r="P200">
        <f>IF($H200&lt;&gt;"",$H200,IF($I200="Оплачено",N($G200),0))</f>
        <v/>
      </c>
      <c r="Q200">
        <f>IF($I200="Отменено",0,IF($G200&lt;&gt;"",$G200,N($H200)))</f>
        <v/>
      </c>
      <c r="R200">
        <f>IF($C200="","",IFERROR(DATE(Настройки!$C$8,Настройки!$D$9+MATCH($M200,Настройки!$X$6:$X$17,0)-1,1),DATE(YEAR($C200),MONTH($C200),1)))</f>
        <v/>
      </c>
      <c r="S200">
        <f>IF(OR($I200="Оплачено",$H200&lt;&gt;""),$P200,$Q200)</f>
        <v/>
      </c>
      <c r="T200">
        <f>IF(OR($C200="",$D200="Доход",$I200="Оплачено",$I200="Отменено",$H200&lt;&gt;"",$C200&lt;TODAY()),"",$C200)</f>
        <v/>
      </c>
      <c r="U200">
        <f>IF(AND($D200&lt;&gt;"Доход",COUNTIFS(Счета!$B$10:$B$21,$J200,Счета!$C$10:$C$21,"Кредитная")&gt;0),1,0)</f>
        <v/>
      </c>
    </row>
    <row r="201" ht="19" customHeight="1">
      <c r="B201" s="53">
        <f>IF(AND($C201="",$F201=""),"",ROW()-9)</f>
        <v/>
      </c>
      <c r="C201" s="213" t="n"/>
      <c r="D201" s="55" t="n"/>
      <c r="E201" s="55" t="n"/>
      <c r="F201" s="56" t="n"/>
      <c r="G201" s="196" t="n"/>
      <c r="H201" s="196" t="n"/>
      <c r="I201" s="55" t="n"/>
      <c r="J201" s="55" t="n"/>
      <c r="K201" s="55" t="n"/>
      <c r="L201" s="100">
        <f>IF(OR($C201="",$I201="Оплачено",$I201="Отменено",$H201&lt;&gt;""),"",$C201-TODAY())</f>
        <v/>
      </c>
      <c r="M201" s="101">
        <f>IF($C201="","",INDEX(Настройки!$V$6:$V$17,MONTH($C201))&amp;" "&amp;YEAR($C201))</f>
        <v/>
      </c>
      <c r="N201" s="57">
        <f>IF($F201="","",IF(COUNTIF(Постоянные!$C$8:$C$37,$F201)&gt;0,"есть в Постоянных",IF(COUNTIF(Покупки!$C$7:$C$18,$F201)&gt;0,"есть в Покупках","")))</f>
        <v/>
      </c>
      <c r="P201">
        <f>IF($H201&lt;&gt;"",$H201,IF($I201="Оплачено",N($G201),0))</f>
        <v/>
      </c>
      <c r="Q201">
        <f>IF($I201="Отменено",0,IF($G201&lt;&gt;"",$G201,N($H201)))</f>
        <v/>
      </c>
      <c r="R201">
        <f>IF($C201="","",IFERROR(DATE(Настройки!$C$8,Настройки!$D$9+MATCH($M201,Настройки!$X$6:$X$17,0)-1,1),DATE(YEAR($C201),MONTH($C201),1)))</f>
        <v/>
      </c>
      <c r="S201">
        <f>IF(OR($I201="Оплачено",$H201&lt;&gt;""),$P201,$Q201)</f>
        <v/>
      </c>
      <c r="T201">
        <f>IF(OR($C201="",$D201="Доход",$I201="Оплачено",$I201="Отменено",$H201&lt;&gt;"",$C201&lt;TODAY()),"",$C201)</f>
        <v/>
      </c>
      <c r="U201">
        <f>IF(AND($D201&lt;&gt;"Доход",COUNTIFS(Счета!$B$10:$B$21,$J201,Счета!$C$10:$C$21,"Кредитная")&gt;0),1,0)</f>
        <v/>
      </c>
    </row>
    <row r="202" ht="19" customHeight="1">
      <c r="B202" s="53">
        <f>IF(AND($C202="",$F202=""),"",ROW()-9)</f>
        <v/>
      </c>
      <c r="C202" s="213" t="n"/>
      <c r="D202" s="55" t="n"/>
      <c r="E202" s="55" t="n"/>
      <c r="F202" s="56" t="n"/>
      <c r="G202" s="196" t="n"/>
      <c r="H202" s="196" t="n"/>
      <c r="I202" s="55" t="n"/>
      <c r="J202" s="55" t="n"/>
      <c r="K202" s="55" t="n"/>
      <c r="L202" s="100">
        <f>IF(OR($C202="",$I202="Оплачено",$I202="Отменено",$H202&lt;&gt;""),"",$C202-TODAY())</f>
        <v/>
      </c>
      <c r="M202" s="101">
        <f>IF($C202="","",INDEX(Настройки!$V$6:$V$17,MONTH($C202))&amp;" "&amp;YEAR($C202))</f>
        <v/>
      </c>
      <c r="N202" s="57">
        <f>IF($F202="","",IF(COUNTIF(Постоянные!$C$8:$C$37,$F202)&gt;0,"есть в Постоянных",IF(COUNTIF(Покупки!$C$7:$C$18,$F202)&gt;0,"есть в Покупках","")))</f>
        <v/>
      </c>
      <c r="P202">
        <f>IF($H202&lt;&gt;"",$H202,IF($I202="Оплачено",N($G202),0))</f>
        <v/>
      </c>
      <c r="Q202">
        <f>IF($I202="Отменено",0,IF($G202&lt;&gt;"",$G202,N($H202)))</f>
        <v/>
      </c>
      <c r="R202">
        <f>IF($C202="","",IFERROR(DATE(Настройки!$C$8,Настройки!$D$9+MATCH($M202,Настройки!$X$6:$X$17,0)-1,1),DATE(YEAR($C202),MONTH($C202),1)))</f>
        <v/>
      </c>
      <c r="S202">
        <f>IF(OR($I202="Оплачено",$H202&lt;&gt;""),$P202,$Q202)</f>
        <v/>
      </c>
      <c r="T202">
        <f>IF(OR($C202="",$D202="Доход",$I202="Оплачено",$I202="Отменено",$H202&lt;&gt;"",$C202&lt;TODAY()),"",$C202)</f>
        <v/>
      </c>
      <c r="U202">
        <f>IF(AND($D202&lt;&gt;"Доход",COUNTIFS(Счета!$B$10:$B$21,$J202,Счета!$C$10:$C$21,"Кредитная")&gt;0),1,0)</f>
        <v/>
      </c>
    </row>
    <row r="203" ht="19" customHeight="1">
      <c r="B203" s="53">
        <f>IF(AND($C203="",$F203=""),"",ROW()-9)</f>
        <v/>
      </c>
      <c r="C203" s="213" t="n"/>
      <c r="D203" s="55" t="n"/>
      <c r="E203" s="55" t="n"/>
      <c r="F203" s="56" t="n"/>
      <c r="G203" s="196" t="n"/>
      <c r="H203" s="196" t="n"/>
      <c r="I203" s="55" t="n"/>
      <c r="J203" s="55" t="n"/>
      <c r="K203" s="55" t="n"/>
      <c r="L203" s="100">
        <f>IF(OR($C203="",$I203="Оплачено",$I203="Отменено",$H203&lt;&gt;""),"",$C203-TODAY())</f>
        <v/>
      </c>
      <c r="M203" s="101">
        <f>IF($C203="","",INDEX(Настройки!$V$6:$V$17,MONTH($C203))&amp;" "&amp;YEAR($C203))</f>
        <v/>
      </c>
      <c r="N203" s="57">
        <f>IF($F203="","",IF(COUNTIF(Постоянные!$C$8:$C$37,$F203)&gt;0,"есть в Постоянных",IF(COUNTIF(Покупки!$C$7:$C$18,$F203)&gt;0,"есть в Покупках","")))</f>
        <v/>
      </c>
      <c r="P203">
        <f>IF($H203&lt;&gt;"",$H203,IF($I203="Оплачено",N($G203),0))</f>
        <v/>
      </c>
      <c r="Q203">
        <f>IF($I203="Отменено",0,IF($G203&lt;&gt;"",$G203,N($H203)))</f>
        <v/>
      </c>
      <c r="R203">
        <f>IF($C203="","",IFERROR(DATE(Настройки!$C$8,Настройки!$D$9+MATCH($M203,Настройки!$X$6:$X$17,0)-1,1),DATE(YEAR($C203),MONTH($C203),1)))</f>
        <v/>
      </c>
      <c r="S203">
        <f>IF(OR($I203="Оплачено",$H203&lt;&gt;""),$P203,$Q203)</f>
        <v/>
      </c>
      <c r="T203">
        <f>IF(OR($C203="",$D203="Доход",$I203="Оплачено",$I203="Отменено",$H203&lt;&gt;"",$C203&lt;TODAY()),"",$C203)</f>
        <v/>
      </c>
      <c r="U203">
        <f>IF(AND($D203&lt;&gt;"Доход",COUNTIFS(Счета!$B$10:$B$21,$J203,Счета!$C$10:$C$21,"Кредитная")&gt;0),1,0)</f>
        <v/>
      </c>
    </row>
    <row r="204" ht="19" customHeight="1">
      <c r="B204" s="53">
        <f>IF(AND($C204="",$F204=""),"",ROW()-9)</f>
        <v/>
      </c>
      <c r="C204" s="213" t="n"/>
      <c r="D204" s="55" t="n"/>
      <c r="E204" s="55" t="n"/>
      <c r="F204" s="56" t="n"/>
      <c r="G204" s="196" t="n"/>
      <c r="H204" s="196" t="n"/>
      <c r="I204" s="55" t="n"/>
      <c r="J204" s="55" t="n"/>
      <c r="K204" s="55" t="n"/>
      <c r="L204" s="100">
        <f>IF(OR($C204="",$I204="Оплачено",$I204="Отменено",$H204&lt;&gt;""),"",$C204-TODAY())</f>
        <v/>
      </c>
      <c r="M204" s="101">
        <f>IF($C204="","",INDEX(Настройки!$V$6:$V$17,MONTH($C204))&amp;" "&amp;YEAR($C204))</f>
        <v/>
      </c>
      <c r="N204" s="57">
        <f>IF($F204="","",IF(COUNTIF(Постоянные!$C$8:$C$37,$F204)&gt;0,"есть в Постоянных",IF(COUNTIF(Покупки!$C$7:$C$18,$F204)&gt;0,"есть в Покупках","")))</f>
        <v/>
      </c>
      <c r="P204">
        <f>IF($H204&lt;&gt;"",$H204,IF($I204="Оплачено",N($G204),0))</f>
        <v/>
      </c>
      <c r="Q204">
        <f>IF($I204="Отменено",0,IF($G204&lt;&gt;"",$G204,N($H204)))</f>
        <v/>
      </c>
      <c r="R204">
        <f>IF($C204="","",IFERROR(DATE(Настройки!$C$8,Настройки!$D$9+MATCH($M204,Настройки!$X$6:$X$17,0)-1,1),DATE(YEAR($C204),MONTH($C204),1)))</f>
        <v/>
      </c>
      <c r="S204">
        <f>IF(OR($I204="Оплачено",$H204&lt;&gt;""),$P204,$Q204)</f>
        <v/>
      </c>
      <c r="T204">
        <f>IF(OR($C204="",$D204="Доход",$I204="Оплачено",$I204="Отменено",$H204&lt;&gt;"",$C204&lt;TODAY()),"",$C204)</f>
        <v/>
      </c>
      <c r="U204">
        <f>IF(AND($D204&lt;&gt;"Доход",COUNTIFS(Счета!$B$10:$B$21,$J204,Счета!$C$10:$C$21,"Кредитная")&gt;0),1,0)</f>
        <v/>
      </c>
    </row>
    <row r="205" ht="19" customHeight="1">
      <c r="B205" s="53">
        <f>IF(AND($C205="",$F205=""),"",ROW()-9)</f>
        <v/>
      </c>
      <c r="C205" s="213" t="n"/>
      <c r="D205" s="55" t="n"/>
      <c r="E205" s="55" t="n"/>
      <c r="F205" s="56" t="n"/>
      <c r="G205" s="196" t="n"/>
      <c r="H205" s="196" t="n"/>
      <c r="I205" s="55" t="n"/>
      <c r="J205" s="55" t="n"/>
      <c r="K205" s="55" t="n"/>
      <c r="L205" s="100">
        <f>IF(OR($C205="",$I205="Оплачено",$I205="Отменено",$H205&lt;&gt;""),"",$C205-TODAY())</f>
        <v/>
      </c>
      <c r="M205" s="101">
        <f>IF($C205="","",INDEX(Настройки!$V$6:$V$17,MONTH($C205))&amp;" "&amp;YEAR($C205))</f>
        <v/>
      </c>
      <c r="N205" s="57">
        <f>IF($F205="","",IF(COUNTIF(Постоянные!$C$8:$C$37,$F205)&gt;0,"есть в Постоянных",IF(COUNTIF(Покупки!$C$7:$C$18,$F205)&gt;0,"есть в Покупках","")))</f>
        <v/>
      </c>
      <c r="P205">
        <f>IF($H205&lt;&gt;"",$H205,IF($I205="Оплачено",N($G205),0))</f>
        <v/>
      </c>
      <c r="Q205">
        <f>IF($I205="Отменено",0,IF($G205&lt;&gt;"",$G205,N($H205)))</f>
        <v/>
      </c>
      <c r="R205">
        <f>IF($C205="","",IFERROR(DATE(Настройки!$C$8,Настройки!$D$9+MATCH($M205,Настройки!$X$6:$X$17,0)-1,1),DATE(YEAR($C205),MONTH($C205),1)))</f>
        <v/>
      </c>
      <c r="S205">
        <f>IF(OR($I205="Оплачено",$H205&lt;&gt;""),$P205,$Q205)</f>
        <v/>
      </c>
      <c r="T205">
        <f>IF(OR($C205="",$D205="Доход",$I205="Оплачено",$I205="Отменено",$H205&lt;&gt;"",$C205&lt;TODAY()),"",$C205)</f>
        <v/>
      </c>
      <c r="U205">
        <f>IF(AND($D205&lt;&gt;"Доход",COUNTIFS(Счета!$B$10:$B$21,$J205,Счета!$C$10:$C$21,"Кредитная")&gt;0),1,0)</f>
        <v/>
      </c>
    </row>
    <row r="206" ht="19" customHeight="1">
      <c r="B206" s="53">
        <f>IF(AND($C206="",$F206=""),"",ROW()-9)</f>
        <v/>
      </c>
      <c r="C206" s="213" t="n"/>
      <c r="D206" s="55" t="n"/>
      <c r="E206" s="55" t="n"/>
      <c r="F206" s="56" t="n"/>
      <c r="G206" s="196" t="n"/>
      <c r="H206" s="196" t="n"/>
      <c r="I206" s="55" t="n"/>
      <c r="J206" s="55" t="n"/>
      <c r="K206" s="55" t="n"/>
      <c r="L206" s="100">
        <f>IF(OR($C206="",$I206="Оплачено",$I206="Отменено",$H206&lt;&gt;""),"",$C206-TODAY())</f>
        <v/>
      </c>
      <c r="M206" s="101">
        <f>IF($C206="","",INDEX(Настройки!$V$6:$V$17,MONTH($C206))&amp;" "&amp;YEAR($C206))</f>
        <v/>
      </c>
      <c r="N206" s="57">
        <f>IF($F206="","",IF(COUNTIF(Постоянные!$C$8:$C$37,$F206)&gt;0,"есть в Постоянных",IF(COUNTIF(Покупки!$C$7:$C$18,$F206)&gt;0,"есть в Покупках","")))</f>
        <v/>
      </c>
      <c r="P206">
        <f>IF($H206&lt;&gt;"",$H206,IF($I206="Оплачено",N($G206),0))</f>
        <v/>
      </c>
      <c r="Q206">
        <f>IF($I206="Отменено",0,IF($G206&lt;&gt;"",$G206,N($H206)))</f>
        <v/>
      </c>
      <c r="R206">
        <f>IF($C206="","",IFERROR(DATE(Настройки!$C$8,Настройки!$D$9+MATCH($M206,Настройки!$X$6:$X$17,0)-1,1),DATE(YEAR($C206),MONTH($C206),1)))</f>
        <v/>
      </c>
      <c r="S206">
        <f>IF(OR($I206="Оплачено",$H206&lt;&gt;""),$P206,$Q206)</f>
        <v/>
      </c>
      <c r="T206">
        <f>IF(OR($C206="",$D206="Доход",$I206="Оплачено",$I206="Отменено",$H206&lt;&gt;"",$C206&lt;TODAY()),"",$C206)</f>
        <v/>
      </c>
      <c r="U206">
        <f>IF(AND($D206&lt;&gt;"Доход",COUNTIFS(Счета!$B$10:$B$21,$J206,Счета!$C$10:$C$21,"Кредитная")&gt;0),1,0)</f>
        <v/>
      </c>
    </row>
    <row r="207" ht="19" customHeight="1">
      <c r="B207" s="53">
        <f>IF(AND($C207="",$F207=""),"",ROW()-9)</f>
        <v/>
      </c>
      <c r="C207" s="213" t="n"/>
      <c r="D207" s="55" t="n"/>
      <c r="E207" s="55" t="n"/>
      <c r="F207" s="56" t="n"/>
      <c r="G207" s="196" t="n"/>
      <c r="H207" s="196" t="n"/>
      <c r="I207" s="55" t="n"/>
      <c r="J207" s="55" t="n"/>
      <c r="K207" s="55" t="n"/>
      <c r="L207" s="100">
        <f>IF(OR($C207="",$I207="Оплачено",$I207="Отменено",$H207&lt;&gt;""),"",$C207-TODAY())</f>
        <v/>
      </c>
      <c r="M207" s="101">
        <f>IF($C207="","",INDEX(Настройки!$V$6:$V$17,MONTH($C207))&amp;" "&amp;YEAR($C207))</f>
        <v/>
      </c>
      <c r="N207" s="57">
        <f>IF($F207="","",IF(COUNTIF(Постоянные!$C$8:$C$37,$F207)&gt;0,"есть в Постоянных",IF(COUNTIF(Покупки!$C$7:$C$18,$F207)&gt;0,"есть в Покупках","")))</f>
        <v/>
      </c>
      <c r="P207">
        <f>IF($H207&lt;&gt;"",$H207,IF($I207="Оплачено",N($G207),0))</f>
        <v/>
      </c>
      <c r="Q207">
        <f>IF($I207="Отменено",0,IF($G207&lt;&gt;"",$G207,N($H207)))</f>
        <v/>
      </c>
      <c r="R207">
        <f>IF($C207="","",IFERROR(DATE(Настройки!$C$8,Настройки!$D$9+MATCH($M207,Настройки!$X$6:$X$17,0)-1,1),DATE(YEAR($C207),MONTH($C207),1)))</f>
        <v/>
      </c>
      <c r="S207">
        <f>IF(OR($I207="Оплачено",$H207&lt;&gt;""),$P207,$Q207)</f>
        <v/>
      </c>
      <c r="T207">
        <f>IF(OR($C207="",$D207="Доход",$I207="Оплачено",$I207="Отменено",$H207&lt;&gt;"",$C207&lt;TODAY()),"",$C207)</f>
        <v/>
      </c>
      <c r="U207">
        <f>IF(AND($D207&lt;&gt;"Доход",COUNTIFS(Счета!$B$10:$B$21,$J207,Счета!$C$10:$C$21,"Кредитная")&gt;0),1,0)</f>
        <v/>
      </c>
    </row>
    <row r="208" ht="19" customHeight="1">
      <c r="B208" s="53">
        <f>IF(AND($C208="",$F208=""),"",ROW()-9)</f>
        <v/>
      </c>
      <c r="C208" s="213" t="n"/>
      <c r="D208" s="55" t="n"/>
      <c r="E208" s="55" t="n"/>
      <c r="F208" s="56" t="n"/>
      <c r="G208" s="196" t="n"/>
      <c r="H208" s="196" t="n"/>
      <c r="I208" s="55" t="n"/>
      <c r="J208" s="55" t="n"/>
      <c r="K208" s="55" t="n"/>
      <c r="L208" s="100">
        <f>IF(OR($C208="",$I208="Оплачено",$I208="Отменено",$H208&lt;&gt;""),"",$C208-TODAY())</f>
        <v/>
      </c>
      <c r="M208" s="101">
        <f>IF($C208="","",INDEX(Настройки!$V$6:$V$17,MONTH($C208))&amp;" "&amp;YEAR($C208))</f>
        <v/>
      </c>
      <c r="N208" s="57">
        <f>IF($F208="","",IF(COUNTIF(Постоянные!$C$8:$C$37,$F208)&gt;0,"есть в Постоянных",IF(COUNTIF(Покупки!$C$7:$C$18,$F208)&gt;0,"есть в Покупках","")))</f>
        <v/>
      </c>
      <c r="P208">
        <f>IF($H208&lt;&gt;"",$H208,IF($I208="Оплачено",N($G208),0))</f>
        <v/>
      </c>
      <c r="Q208">
        <f>IF($I208="Отменено",0,IF($G208&lt;&gt;"",$G208,N($H208)))</f>
        <v/>
      </c>
      <c r="R208">
        <f>IF($C208="","",IFERROR(DATE(Настройки!$C$8,Настройки!$D$9+MATCH($M208,Настройки!$X$6:$X$17,0)-1,1),DATE(YEAR($C208),MONTH($C208),1)))</f>
        <v/>
      </c>
      <c r="S208">
        <f>IF(OR($I208="Оплачено",$H208&lt;&gt;""),$P208,$Q208)</f>
        <v/>
      </c>
      <c r="T208">
        <f>IF(OR($C208="",$D208="Доход",$I208="Оплачено",$I208="Отменено",$H208&lt;&gt;"",$C208&lt;TODAY()),"",$C208)</f>
        <v/>
      </c>
      <c r="U208">
        <f>IF(AND($D208&lt;&gt;"Доход",COUNTIFS(Счета!$B$10:$B$21,$J208,Счета!$C$10:$C$21,"Кредитная")&gt;0),1,0)</f>
        <v/>
      </c>
    </row>
    <row r="209" ht="19" customHeight="1">
      <c r="B209" s="53">
        <f>IF(AND($C209="",$F209=""),"",ROW()-9)</f>
        <v/>
      </c>
      <c r="C209" s="213" t="n"/>
      <c r="D209" s="55" t="n"/>
      <c r="E209" s="55" t="n"/>
      <c r="F209" s="56" t="n"/>
      <c r="G209" s="196" t="n"/>
      <c r="H209" s="196" t="n"/>
      <c r="I209" s="55" t="n"/>
      <c r="J209" s="55" t="n"/>
      <c r="K209" s="55" t="n"/>
      <c r="L209" s="100">
        <f>IF(OR($C209="",$I209="Оплачено",$I209="Отменено",$H209&lt;&gt;""),"",$C209-TODAY())</f>
        <v/>
      </c>
      <c r="M209" s="101">
        <f>IF($C209="","",INDEX(Настройки!$V$6:$V$17,MONTH($C209))&amp;" "&amp;YEAR($C209))</f>
        <v/>
      </c>
      <c r="N209" s="57">
        <f>IF($F209="","",IF(COUNTIF(Постоянные!$C$8:$C$37,$F209)&gt;0,"есть в Постоянных",IF(COUNTIF(Покупки!$C$7:$C$18,$F209)&gt;0,"есть в Покупках","")))</f>
        <v/>
      </c>
      <c r="P209">
        <f>IF($H209&lt;&gt;"",$H209,IF($I209="Оплачено",N($G209),0))</f>
        <v/>
      </c>
      <c r="Q209">
        <f>IF($I209="Отменено",0,IF($G209&lt;&gt;"",$G209,N($H209)))</f>
        <v/>
      </c>
      <c r="R209">
        <f>IF($C209="","",IFERROR(DATE(Настройки!$C$8,Настройки!$D$9+MATCH($M209,Настройки!$X$6:$X$17,0)-1,1),DATE(YEAR($C209),MONTH($C209),1)))</f>
        <v/>
      </c>
      <c r="S209">
        <f>IF(OR($I209="Оплачено",$H209&lt;&gt;""),$P209,$Q209)</f>
        <v/>
      </c>
      <c r="T209">
        <f>IF(OR($C209="",$D209="Доход",$I209="Оплачено",$I209="Отменено",$H209&lt;&gt;"",$C209&lt;TODAY()),"",$C209)</f>
        <v/>
      </c>
      <c r="U209">
        <f>IF(AND($D209&lt;&gt;"Доход",COUNTIFS(Счета!$B$10:$B$21,$J209,Счета!$C$10:$C$21,"Кредитная")&gt;0),1,0)</f>
        <v/>
      </c>
    </row>
    <row r="210" ht="19" customHeight="1">
      <c r="B210" s="53">
        <f>IF(AND($C210="",$F210=""),"",ROW()-9)</f>
        <v/>
      </c>
      <c r="C210" s="213" t="n"/>
      <c r="D210" s="55" t="n"/>
      <c r="E210" s="55" t="n"/>
      <c r="F210" s="56" t="n"/>
      <c r="G210" s="196" t="n"/>
      <c r="H210" s="196" t="n"/>
      <c r="I210" s="55" t="n"/>
      <c r="J210" s="55" t="n"/>
      <c r="K210" s="55" t="n"/>
      <c r="L210" s="100">
        <f>IF(OR($C210="",$I210="Оплачено",$I210="Отменено",$H210&lt;&gt;""),"",$C210-TODAY())</f>
        <v/>
      </c>
      <c r="M210" s="101">
        <f>IF($C210="","",INDEX(Настройки!$V$6:$V$17,MONTH($C210))&amp;" "&amp;YEAR($C210))</f>
        <v/>
      </c>
      <c r="N210" s="57">
        <f>IF($F210="","",IF(COUNTIF(Постоянные!$C$8:$C$37,$F210)&gt;0,"есть в Постоянных",IF(COUNTIF(Покупки!$C$7:$C$18,$F210)&gt;0,"есть в Покупках","")))</f>
        <v/>
      </c>
      <c r="P210">
        <f>IF($H210&lt;&gt;"",$H210,IF($I210="Оплачено",N($G210),0))</f>
        <v/>
      </c>
      <c r="Q210">
        <f>IF($I210="Отменено",0,IF($G210&lt;&gt;"",$G210,N($H210)))</f>
        <v/>
      </c>
      <c r="R210">
        <f>IF($C210="","",IFERROR(DATE(Настройки!$C$8,Настройки!$D$9+MATCH($M210,Настройки!$X$6:$X$17,0)-1,1),DATE(YEAR($C210),MONTH($C210),1)))</f>
        <v/>
      </c>
      <c r="S210">
        <f>IF(OR($I210="Оплачено",$H210&lt;&gt;""),$P210,$Q210)</f>
        <v/>
      </c>
      <c r="T210">
        <f>IF(OR($C210="",$D210="Доход",$I210="Оплачено",$I210="Отменено",$H210&lt;&gt;"",$C210&lt;TODAY()),"",$C210)</f>
        <v/>
      </c>
      <c r="U210">
        <f>IF(AND($D210&lt;&gt;"Доход",COUNTIFS(Счета!$B$10:$B$21,$J210,Счета!$C$10:$C$21,"Кредитная")&gt;0),1,0)</f>
        <v/>
      </c>
    </row>
    <row r="211" ht="19" customHeight="1">
      <c r="B211" s="53">
        <f>IF(AND($C211="",$F211=""),"",ROW()-9)</f>
        <v/>
      </c>
      <c r="C211" s="213" t="n"/>
      <c r="D211" s="55" t="n"/>
      <c r="E211" s="55" t="n"/>
      <c r="F211" s="56" t="n"/>
      <c r="G211" s="196" t="n"/>
      <c r="H211" s="196" t="n"/>
      <c r="I211" s="55" t="n"/>
      <c r="J211" s="55" t="n"/>
      <c r="K211" s="55" t="n"/>
      <c r="L211" s="100">
        <f>IF(OR($C211="",$I211="Оплачено",$I211="Отменено",$H211&lt;&gt;""),"",$C211-TODAY())</f>
        <v/>
      </c>
      <c r="M211" s="101">
        <f>IF($C211="","",INDEX(Настройки!$V$6:$V$17,MONTH($C211))&amp;" "&amp;YEAR($C211))</f>
        <v/>
      </c>
      <c r="N211" s="57">
        <f>IF($F211="","",IF(COUNTIF(Постоянные!$C$8:$C$37,$F211)&gt;0,"есть в Постоянных",IF(COUNTIF(Покупки!$C$7:$C$18,$F211)&gt;0,"есть в Покупках","")))</f>
        <v/>
      </c>
      <c r="P211">
        <f>IF($H211&lt;&gt;"",$H211,IF($I211="Оплачено",N($G211),0))</f>
        <v/>
      </c>
      <c r="Q211">
        <f>IF($I211="Отменено",0,IF($G211&lt;&gt;"",$G211,N($H211)))</f>
        <v/>
      </c>
      <c r="R211">
        <f>IF($C211="","",IFERROR(DATE(Настройки!$C$8,Настройки!$D$9+MATCH($M211,Настройки!$X$6:$X$17,0)-1,1),DATE(YEAR($C211),MONTH($C211),1)))</f>
        <v/>
      </c>
      <c r="S211">
        <f>IF(OR($I211="Оплачено",$H211&lt;&gt;""),$P211,$Q211)</f>
        <v/>
      </c>
      <c r="T211">
        <f>IF(OR($C211="",$D211="Доход",$I211="Оплачено",$I211="Отменено",$H211&lt;&gt;"",$C211&lt;TODAY()),"",$C211)</f>
        <v/>
      </c>
      <c r="U211">
        <f>IF(AND($D211&lt;&gt;"Доход",COUNTIFS(Счета!$B$10:$B$21,$J211,Счета!$C$10:$C$21,"Кредитная")&gt;0),1,0)</f>
        <v/>
      </c>
    </row>
    <row r="212" ht="19" customHeight="1">
      <c r="B212" s="53">
        <f>IF(AND($C212="",$F212=""),"",ROW()-9)</f>
        <v/>
      </c>
      <c r="C212" s="213" t="n"/>
      <c r="D212" s="55" t="n"/>
      <c r="E212" s="55" t="n"/>
      <c r="F212" s="56" t="n"/>
      <c r="G212" s="196" t="n"/>
      <c r="H212" s="196" t="n"/>
      <c r="I212" s="55" t="n"/>
      <c r="J212" s="55" t="n"/>
      <c r="K212" s="55" t="n"/>
      <c r="L212" s="100">
        <f>IF(OR($C212="",$I212="Оплачено",$I212="Отменено",$H212&lt;&gt;""),"",$C212-TODAY())</f>
        <v/>
      </c>
      <c r="M212" s="101">
        <f>IF($C212="","",INDEX(Настройки!$V$6:$V$17,MONTH($C212))&amp;" "&amp;YEAR($C212))</f>
        <v/>
      </c>
      <c r="N212" s="57">
        <f>IF($F212="","",IF(COUNTIF(Постоянные!$C$8:$C$37,$F212)&gt;0,"есть в Постоянных",IF(COUNTIF(Покупки!$C$7:$C$18,$F212)&gt;0,"есть в Покупках","")))</f>
        <v/>
      </c>
      <c r="P212">
        <f>IF($H212&lt;&gt;"",$H212,IF($I212="Оплачено",N($G212),0))</f>
        <v/>
      </c>
      <c r="Q212">
        <f>IF($I212="Отменено",0,IF($G212&lt;&gt;"",$G212,N($H212)))</f>
        <v/>
      </c>
      <c r="R212">
        <f>IF($C212="","",IFERROR(DATE(Настройки!$C$8,Настройки!$D$9+MATCH($M212,Настройки!$X$6:$X$17,0)-1,1),DATE(YEAR($C212),MONTH($C212),1)))</f>
        <v/>
      </c>
      <c r="S212">
        <f>IF(OR($I212="Оплачено",$H212&lt;&gt;""),$P212,$Q212)</f>
        <v/>
      </c>
      <c r="T212">
        <f>IF(OR($C212="",$D212="Доход",$I212="Оплачено",$I212="Отменено",$H212&lt;&gt;"",$C212&lt;TODAY()),"",$C212)</f>
        <v/>
      </c>
      <c r="U212">
        <f>IF(AND($D212&lt;&gt;"Доход",COUNTIFS(Счета!$B$10:$B$21,$J212,Счета!$C$10:$C$21,"Кредитная")&gt;0),1,0)</f>
        <v/>
      </c>
    </row>
    <row r="213" ht="19" customHeight="1">
      <c r="B213" s="53">
        <f>IF(AND($C213="",$F213=""),"",ROW()-9)</f>
        <v/>
      </c>
      <c r="C213" s="213" t="n"/>
      <c r="D213" s="55" t="n"/>
      <c r="E213" s="55" t="n"/>
      <c r="F213" s="56" t="n"/>
      <c r="G213" s="196" t="n"/>
      <c r="H213" s="196" t="n"/>
      <c r="I213" s="55" t="n"/>
      <c r="J213" s="55" t="n"/>
      <c r="K213" s="55" t="n"/>
      <c r="L213" s="100">
        <f>IF(OR($C213="",$I213="Оплачено",$I213="Отменено",$H213&lt;&gt;""),"",$C213-TODAY())</f>
        <v/>
      </c>
      <c r="M213" s="101">
        <f>IF($C213="","",INDEX(Настройки!$V$6:$V$17,MONTH($C213))&amp;" "&amp;YEAR($C213))</f>
        <v/>
      </c>
      <c r="N213" s="57">
        <f>IF($F213="","",IF(COUNTIF(Постоянные!$C$8:$C$37,$F213)&gt;0,"есть в Постоянных",IF(COUNTIF(Покупки!$C$7:$C$18,$F213)&gt;0,"есть в Покупках","")))</f>
        <v/>
      </c>
      <c r="P213">
        <f>IF($H213&lt;&gt;"",$H213,IF($I213="Оплачено",N($G213),0))</f>
        <v/>
      </c>
      <c r="Q213">
        <f>IF($I213="Отменено",0,IF($G213&lt;&gt;"",$G213,N($H213)))</f>
        <v/>
      </c>
      <c r="R213">
        <f>IF($C213="","",IFERROR(DATE(Настройки!$C$8,Настройки!$D$9+MATCH($M213,Настройки!$X$6:$X$17,0)-1,1),DATE(YEAR($C213),MONTH($C213),1)))</f>
        <v/>
      </c>
      <c r="S213">
        <f>IF(OR($I213="Оплачено",$H213&lt;&gt;""),$P213,$Q213)</f>
        <v/>
      </c>
      <c r="T213">
        <f>IF(OR($C213="",$D213="Доход",$I213="Оплачено",$I213="Отменено",$H213&lt;&gt;"",$C213&lt;TODAY()),"",$C213)</f>
        <v/>
      </c>
      <c r="U213">
        <f>IF(AND($D213&lt;&gt;"Доход",COUNTIFS(Счета!$B$10:$B$21,$J213,Счета!$C$10:$C$21,"Кредитная")&gt;0),1,0)</f>
        <v/>
      </c>
    </row>
    <row r="214" ht="19" customHeight="1">
      <c r="B214" s="53">
        <f>IF(AND($C214="",$F214=""),"",ROW()-9)</f>
        <v/>
      </c>
      <c r="C214" s="213" t="n"/>
      <c r="D214" s="55" t="n"/>
      <c r="E214" s="55" t="n"/>
      <c r="F214" s="56" t="n"/>
      <c r="G214" s="196" t="n"/>
      <c r="H214" s="196" t="n"/>
      <c r="I214" s="55" t="n"/>
      <c r="J214" s="55" t="n"/>
      <c r="K214" s="55" t="n"/>
      <c r="L214" s="100">
        <f>IF(OR($C214="",$I214="Оплачено",$I214="Отменено",$H214&lt;&gt;""),"",$C214-TODAY())</f>
        <v/>
      </c>
      <c r="M214" s="101">
        <f>IF($C214="","",INDEX(Настройки!$V$6:$V$17,MONTH($C214))&amp;" "&amp;YEAR($C214))</f>
        <v/>
      </c>
      <c r="N214" s="57">
        <f>IF($F214="","",IF(COUNTIF(Постоянные!$C$8:$C$37,$F214)&gt;0,"есть в Постоянных",IF(COUNTIF(Покупки!$C$7:$C$18,$F214)&gt;0,"есть в Покупках","")))</f>
        <v/>
      </c>
      <c r="P214">
        <f>IF($H214&lt;&gt;"",$H214,IF($I214="Оплачено",N($G214),0))</f>
        <v/>
      </c>
      <c r="Q214">
        <f>IF($I214="Отменено",0,IF($G214&lt;&gt;"",$G214,N($H214)))</f>
        <v/>
      </c>
      <c r="R214">
        <f>IF($C214="","",IFERROR(DATE(Настройки!$C$8,Настройки!$D$9+MATCH($M214,Настройки!$X$6:$X$17,0)-1,1),DATE(YEAR($C214),MONTH($C214),1)))</f>
        <v/>
      </c>
      <c r="S214">
        <f>IF(OR($I214="Оплачено",$H214&lt;&gt;""),$P214,$Q214)</f>
        <v/>
      </c>
      <c r="T214">
        <f>IF(OR($C214="",$D214="Доход",$I214="Оплачено",$I214="Отменено",$H214&lt;&gt;"",$C214&lt;TODAY()),"",$C214)</f>
        <v/>
      </c>
      <c r="U214">
        <f>IF(AND($D214&lt;&gt;"Доход",COUNTIFS(Счета!$B$10:$B$21,$J214,Счета!$C$10:$C$21,"Кредитная")&gt;0),1,0)</f>
        <v/>
      </c>
    </row>
    <row r="215" ht="19" customHeight="1">
      <c r="B215" s="53">
        <f>IF(AND($C215="",$F215=""),"",ROW()-9)</f>
        <v/>
      </c>
      <c r="C215" s="213" t="n"/>
      <c r="D215" s="55" t="n"/>
      <c r="E215" s="55" t="n"/>
      <c r="F215" s="56" t="n"/>
      <c r="G215" s="196" t="n"/>
      <c r="H215" s="196" t="n"/>
      <c r="I215" s="55" t="n"/>
      <c r="J215" s="55" t="n"/>
      <c r="K215" s="55" t="n"/>
      <c r="L215" s="100">
        <f>IF(OR($C215="",$I215="Оплачено",$I215="Отменено",$H215&lt;&gt;""),"",$C215-TODAY())</f>
        <v/>
      </c>
      <c r="M215" s="101">
        <f>IF($C215="","",INDEX(Настройки!$V$6:$V$17,MONTH($C215))&amp;" "&amp;YEAR($C215))</f>
        <v/>
      </c>
      <c r="N215" s="57">
        <f>IF($F215="","",IF(COUNTIF(Постоянные!$C$8:$C$37,$F215)&gt;0,"есть в Постоянных",IF(COUNTIF(Покупки!$C$7:$C$18,$F215)&gt;0,"есть в Покупках","")))</f>
        <v/>
      </c>
      <c r="P215">
        <f>IF($H215&lt;&gt;"",$H215,IF($I215="Оплачено",N($G215),0))</f>
        <v/>
      </c>
      <c r="Q215">
        <f>IF($I215="Отменено",0,IF($G215&lt;&gt;"",$G215,N($H215)))</f>
        <v/>
      </c>
      <c r="R215">
        <f>IF($C215="","",IFERROR(DATE(Настройки!$C$8,Настройки!$D$9+MATCH($M215,Настройки!$X$6:$X$17,0)-1,1),DATE(YEAR($C215),MONTH($C215),1)))</f>
        <v/>
      </c>
      <c r="S215">
        <f>IF(OR($I215="Оплачено",$H215&lt;&gt;""),$P215,$Q215)</f>
        <v/>
      </c>
      <c r="T215">
        <f>IF(OR($C215="",$D215="Доход",$I215="Оплачено",$I215="Отменено",$H215&lt;&gt;"",$C215&lt;TODAY()),"",$C215)</f>
        <v/>
      </c>
      <c r="U215">
        <f>IF(AND($D215&lt;&gt;"Доход",COUNTIFS(Счета!$B$10:$B$21,$J215,Счета!$C$10:$C$21,"Кредитная")&gt;0),1,0)</f>
        <v/>
      </c>
    </row>
    <row r="216" ht="19" customHeight="1">
      <c r="B216" s="53">
        <f>IF(AND($C216="",$F216=""),"",ROW()-9)</f>
        <v/>
      </c>
      <c r="C216" s="213" t="n"/>
      <c r="D216" s="55" t="n"/>
      <c r="E216" s="55" t="n"/>
      <c r="F216" s="56" t="n"/>
      <c r="G216" s="196" t="n"/>
      <c r="H216" s="196" t="n"/>
      <c r="I216" s="55" t="n"/>
      <c r="J216" s="55" t="n"/>
      <c r="K216" s="55" t="n"/>
      <c r="L216" s="100">
        <f>IF(OR($C216="",$I216="Оплачено",$I216="Отменено",$H216&lt;&gt;""),"",$C216-TODAY())</f>
        <v/>
      </c>
      <c r="M216" s="101">
        <f>IF($C216="","",INDEX(Настройки!$V$6:$V$17,MONTH($C216))&amp;" "&amp;YEAR($C216))</f>
        <v/>
      </c>
      <c r="N216" s="57">
        <f>IF($F216="","",IF(COUNTIF(Постоянные!$C$8:$C$37,$F216)&gt;0,"есть в Постоянных",IF(COUNTIF(Покупки!$C$7:$C$18,$F216)&gt;0,"есть в Покупках","")))</f>
        <v/>
      </c>
      <c r="P216">
        <f>IF($H216&lt;&gt;"",$H216,IF($I216="Оплачено",N($G216),0))</f>
        <v/>
      </c>
      <c r="Q216">
        <f>IF($I216="Отменено",0,IF($G216&lt;&gt;"",$G216,N($H216)))</f>
        <v/>
      </c>
      <c r="R216">
        <f>IF($C216="","",IFERROR(DATE(Настройки!$C$8,Настройки!$D$9+MATCH($M216,Настройки!$X$6:$X$17,0)-1,1),DATE(YEAR($C216),MONTH($C216),1)))</f>
        <v/>
      </c>
      <c r="S216">
        <f>IF(OR($I216="Оплачено",$H216&lt;&gt;""),$P216,$Q216)</f>
        <v/>
      </c>
      <c r="T216">
        <f>IF(OR($C216="",$D216="Доход",$I216="Оплачено",$I216="Отменено",$H216&lt;&gt;"",$C216&lt;TODAY()),"",$C216)</f>
        <v/>
      </c>
      <c r="U216">
        <f>IF(AND($D216&lt;&gt;"Доход",COUNTIFS(Счета!$B$10:$B$21,$J216,Счета!$C$10:$C$21,"Кредитная")&gt;0),1,0)</f>
        <v/>
      </c>
    </row>
    <row r="217" ht="19" customHeight="1">
      <c r="B217" s="53">
        <f>IF(AND($C217="",$F217=""),"",ROW()-9)</f>
        <v/>
      </c>
      <c r="C217" s="213" t="n"/>
      <c r="D217" s="55" t="n"/>
      <c r="E217" s="55" t="n"/>
      <c r="F217" s="56" t="n"/>
      <c r="G217" s="196" t="n"/>
      <c r="H217" s="196" t="n"/>
      <c r="I217" s="55" t="n"/>
      <c r="J217" s="55" t="n"/>
      <c r="K217" s="55" t="n"/>
      <c r="L217" s="100">
        <f>IF(OR($C217="",$I217="Оплачено",$I217="Отменено",$H217&lt;&gt;""),"",$C217-TODAY())</f>
        <v/>
      </c>
      <c r="M217" s="101">
        <f>IF($C217="","",INDEX(Настройки!$V$6:$V$17,MONTH($C217))&amp;" "&amp;YEAR($C217))</f>
        <v/>
      </c>
      <c r="N217" s="57">
        <f>IF($F217="","",IF(COUNTIF(Постоянные!$C$8:$C$37,$F217)&gt;0,"есть в Постоянных",IF(COUNTIF(Покупки!$C$7:$C$18,$F217)&gt;0,"есть в Покупках","")))</f>
        <v/>
      </c>
      <c r="P217">
        <f>IF($H217&lt;&gt;"",$H217,IF($I217="Оплачено",N($G217),0))</f>
        <v/>
      </c>
      <c r="Q217">
        <f>IF($I217="Отменено",0,IF($G217&lt;&gt;"",$G217,N($H217)))</f>
        <v/>
      </c>
      <c r="R217">
        <f>IF($C217="","",IFERROR(DATE(Настройки!$C$8,Настройки!$D$9+MATCH($M217,Настройки!$X$6:$X$17,0)-1,1),DATE(YEAR($C217),MONTH($C217),1)))</f>
        <v/>
      </c>
      <c r="S217">
        <f>IF(OR($I217="Оплачено",$H217&lt;&gt;""),$P217,$Q217)</f>
        <v/>
      </c>
      <c r="T217">
        <f>IF(OR($C217="",$D217="Доход",$I217="Оплачено",$I217="Отменено",$H217&lt;&gt;"",$C217&lt;TODAY()),"",$C217)</f>
        <v/>
      </c>
      <c r="U217">
        <f>IF(AND($D217&lt;&gt;"Доход",COUNTIFS(Счета!$B$10:$B$21,$J217,Счета!$C$10:$C$21,"Кредитная")&gt;0),1,0)</f>
        <v/>
      </c>
    </row>
    <row r="218" ht="19" customHeight="1">
      <c r="B218" s="53">
        <f>IF(AND($C218="",$F218=""),"",ROW()-9)</f>
        <v/>
      </c>
      <c r="C218" s="213" t="n"/>
      <c r="D218" s="55" t="n"/>
      <c r="E218" s="55" t="n"/>
      <c r="F218" s="56" t="n"/>
      <c r="G218" s="196" t="n"/>
      <c r="H218" s="196" t="n"/>
      <c r="I218" s="55" t="n"/>
      <c r="J218" s="55" t="n"/>
      <c r="K218" s="55" t="n"/>
      <c r="L218" s="100">
        <f>IF(OR($C218="",$I218="Оплачено",$I218="Отменено",$H218&lt;&gt;""),"",$C218-TODAY())</f>
        <v/>
      </c>
      <c r="M218" s="101">
        <f>IF($C218="","",INDEX(Настройки!$V$6:$V$17,MONTH($C218))&amp;" "&amp;YEAR($C218))</f>
        <v/>
      </c>
      <c r="N218" s="57">
        <f>IF($F218="","",IF(COUNTIF(Постоянные!$C$8:$C$37,$F218)&gt;0,"есть в Постоянных",IF(COUNTIF(Покупки!$C$7:$C$18,$F218)&gt;0,"есть в Покупках","")))</f>
        <v/>
      </c>
      <c r="P218">
        <f>IF($H218&lt;&gt;"",$H218,IF($I218="Оплачено",N($G218),0))</f>
        <v/>
      </c>
      <c r="Q218">
        <f>IF($I218="Отменено",0,IF($G218&lt;&gt;"",$G218,N($H218)))</f>
        <v/>
      </c>
      <c r="R218">
        <f>IF($C218="","",IFERROR(DATE(Настройки!$C$8,Настройки!$D$9+MATCH($M218,Настройки!$X$6:$X$17,0)-1,1),DATE(YEAR($C218),MONTH($C218),1)))</f>
        <v/>
      </c>
      <c r="S218">
        <f>IF(OR($I218="Оплачено",$H218&lt;&gt;""),$P218,$Q218)</f>
        <v/>
      </c>
      <c r="T218">
        <f>IF(OR($C218="",$D218="Доход",$I218="Оплачено",$I218="Отменено",$H218&lt;&gt;"",$C218&lt;TODAY()),"",$C218)</f>
        <v/>
      </c>
      <c r="U218">
        <f>IF(AND($D218&lt;&gt;"Доход",COUNTIFS(Счета!$B$10:$B$21,$J218,Счета!$C$10:$C$21,"Кредитная")&gt;0),1,0)</f>
        <v/>
      </c>
    </row>
    <row r="219" ht="19" customHeight="1">
      <c r="B219" s="53">
        <f>IF(AND($C219="",$F219=""),"",ROW()-9)</f>
        <v/>
      </c>
      <c r="C219" s="213" t="n"/>
      <c r="D219" s="55" t="n"/>
      <c r="E219" s="55" t="n"/>
      <c r="F219" s="56" t="n"/>
      <c r="G219" s="196" t="n"/>
      <c r="H219" s="196" t="n"/>
      <c r="I219" s="55" t="n"/>
      <c r="J219" s="55" t="n"/>
      <c r="K219" s="55" t="n"/>
      <c r="L219" s="100">
        <f>IF(OR($C219="",$I219="Оплачено",$I219="Отменено",$H219&lt;&gt;""),"",$C219-TODAY())</f>
        <v/>
      </c>
      <c r="M219" s="101">
        <f>IF($C219="","",INDEX(Настройки!$V$6:$V$17,MONTH($C219))&amp;" "&amp;YEAR($C219))</f>
        <v/>
      </c>
      <c r="N219" s="57">
        <f>IF($F219="","",IF(COUNTIF(Постоянные!$C$8:$C$37,$F219)&gt;0,"есть в Постоянных",IF(COUNTIF(Покупки!$C$7:$C$18,$F219)&gt;0,"есть в Покупках","")))</f>
        <v/>
      </c>
      <c r="P219">
        <f>IF($H219&lt;&gt;"",$H219,IF($I219="Оплачено",N($G219),0))</f>
        <v/>
      </c>
      <c r="Q219">
        <f>IF($I219="Отменено",0,IF($G219&lt;&gt;"",$G219,N($H219)))</f>
        <v/>
      </c>
      <c r="R219">
        <f>IF($C219="","",IFERROR(DATE(Настройки!$C$8,Настройки!$D$9+MATCH($M219,Настройки!$X$6:$X$17,0)-1,1),DATE(YEAR($C219),MONTH($C219),1)))</f>
        <v/>
      </c>
      <c r="S219">
        <f>IF(OR($I219="Оплачено",$H219&lt;&gt;""),$P219,$Q219)</f>
        <v/>
      </c>
      <c r="T219">
        <f>IF(OR($C219="",$D219="Доход",$I219="Оплачено",$I219="Отменено",$H219&lt;&gt;"",$C219&lt;TODAY()),"",$C219)</f>
        <v/>
      </c>
      <c r="U219">
        <f>IF(AND($D219&lt;&gt;"Доход",COUNTIFS(Счета!$B$10:$B$21,$J219,Счета!$C$10:$C$21,"Кредитная")&gt;0),1,0)</f>
        <v/>
      </c>
    </row>
    <row r="220" ht="19" customHeight="1">
      <c r="B220" s="53">
        <f>IF(AND($C220="",$F220=""),"",ROW()-9)</f>
        <v/>
      </c>
      <c r="C220" s="213" t="n"/>
      <c r="D220" s="55" t="n"/>
      <c r="E220" s="55" t="n"/>
      <c r="F220" s="56" t="n"/>
      <c r="G220" s="196" t="n"/>
      <c r="H220" s="196" t="n"/>
      <c r="I220" s="55" t="n"/>
      <c r="J220" s="55" t="n"/>
      <c r="K220" s="55" t="n"/>
      <c r="L220" s="100">
        <f>IF(OR($C220="",$I220="Оплачено",$I220="Отменено",$H220&lt;&gt;""),"",$C220-TODAY())</f>
        <v/>
      </c>
      <c r="M220" s="101">
        <f>IF($C220="","",INDEX(Настройки!$V$6:$V$17,MONTH($C220))&amp;" "&amp;YEAR($C220))</f>
        <v/>
      </c>
      <c r="N220" s="57">
        <f>IF($F220="","",IF(COUNTIF(Постоянные!$C$8:$C$37,$F220)&gt;0,"есть в Постоянных",IF(COUNTIF(Покупки!$C$7:$C$18,$F220)&gt;0,"есть в Покупках","")))</f>
        <v/>
      </c>
      <c r="P220">
        <f>IF($H220&lt;&gt;"",$H220,IF($I220="Оплачено",N($G220),0))</f>
        <v/>
      </c>
      <c r="Q220">
        <f>IF($I220="Отменено",0,IF($G220&lt;&gt;"",$G220,N($H220)))</f>
        <v/>
      </c>
      <c r="R220">
        <f>IF($C220="","",IFERROR(DATE(Настройки!$C$8,Настройки!$D$9+MATCH($M220,Настройки!$X$6:$X$17,0)-1,1),DATE(YEAR($C220),MONTH($C220),1)))</f>
        <v/>
      </c>
      <c r="S220">
        <f>IF(OR($I220="Оплачено",$H220&lt;&gt;""),$P220,$Q220)</f>
        <v/>
      </c>
      <c r="T220">
        <f>IF(OR($C220="",$D220="Доход",$I220="Оплачено",$I220="Отменено",$H220&lt;&gt;"",$C220&lt;TODAY()),"",$C220)</f>
        <v/>
      </c>
      <c r="U220">
        <f>IF(AND($D220&lt;&gt;"Доход",COUNTIFS(Счета!$B$10:$B$21,$J220,Счета!$C$10:$C$21,"Кредитная")&gt;0),1,0)</f>
        <v/>
      </c>
    </row>
    <row r="221" ht="19" customHeight="1">
      <c r="B221" s="53">
        <f>IF(AND($C221="",$F221=""),"",ROW()-9)</f>
        <v/>
      </c>
      <c r="C221" s="213" t="n"/>
      <c r="D221" s="55" t="n"/>
      <c r="E221" s="55" t="n"/>
      <c r="F221" s="56" t="n"/>
      <c r="G221" s="196" t="n"/>
      <c r="H221" s="196" t="n"/>
      <c r="I221" s="55" t="n"/>
      <c r="J221" s="55" t="n"/>
      <c r="K221" s="55" t="n"/>
      <c r="L221" s="100">
        <f>IF(OR($C221="",$I221="Оплачено",$I221="Отменено",$H221&lt;&gt;""),"",$C221-TODAY())</f>
        <v/>
      </c>
      <c r="M221" s="101">
        <f>IF($C221="","",INDEX(Настройки!$V$6:$V$17,MONTH($C221))&amp;" "&amp;YEAR($C221))</f>
        <v/>
      </c>
      <c r="N221" s="57">
        <f>IF($F221="","",IF(COUNTIF(Постоянные!$C$8:$C$37,$F221)&gt;0,"есть в Постоянных",IF(COUNTIF(Покупки!$C$7:$C$18,$F221)&gt;0,"есть в Покупках","")))</f>
        <v/>
      </c>
      <c r="P221">
        <f>IF($H221&lt;&gt;"",$H221,IF($I221="Оплачено",N($G221),0))</f>
        <v/>
      </c>
      <c r="Q221">
        <f>IF($I221="Отменено",0,IF($G221&lt;&gt;"",$G221,N($H221)))</f>
        <v/>
      </c>
      <c r="R221">
        <f>IF($C221="","",IFERROR(DATE(Настройки!$C$8,Настройки!$D$9+MATCH($M221,Настройки!$X$6:$X$17,0)-1,1),DATE(YEAR($C221),MONTH($C221),1)))</f>
        <v/>
      </c>
      <c r="S221">
        <f>IF(OR($I221="Оплачено",$H221&lt;&gt;""),$P221,$Q221)</f>
        <v/>
      </c>
      <c r="T221">
        <f>IF(OR($C221="",$D221="Доход",$I221="Оплачено",$I221="Отменено",$H221&lt;&gt;"",$C221&lt;TODAY()),"",$C221)</f>
        <v/>
      </c>
      <c r="U221">
        <f>IF(AND($D221&lt;&gt;"Доход",COUNTIFS(Счета!$B$10:$B$21,$J221,Счета!$C$10:$C$21,"Кредитная")&gt;0),1,0)</f>
        <v/>
      </c>
    </row>
    <row r="222" ht="19" customHeight="1">
      <c r="B222" s="53">
        <f>IF(AND($C222="",$F222=""),"",ROW()-9)</f>
        <v/>
      </c>
      <c r="C222" s="213" t="n"/>
      <c r="D222" s="55" t="n"/>
      <c r="E222" s="55" t="n"/>
      <c r="F222" s="56" t="n"/>
      <c r="G222" s="196" t="n"/>
      <c r="H222" s="196" t="n"/>
      <c r="I222" s="55" t="n"/>
      <c r="J222" s="55" t="n"/>
      <c r="K222" s="55" t="n"/>
      <c r="L222" s="100">
        <f>IF(OR($C222="",$I222="Оплачено",$I222="Отменено",$H222&lt;&gt;""),"",$C222-TODAY())</f>
        <v/>
      </c>
      <c r="M222" s="101">
        <f>IF($C222="","",INDEX(Настройки!$V$6:$V$17,MONTH($C222))&amp;" "&amp;YEAR($C222))</f>
        <v/>
      </c>
      <c r="N222" s="57">
        <f>IF($F222="","",IF(COUNTIF(Постоянные!$C$8:$C$37,$F222)&gt;0,"есть в Постоянных",IF(COUNTIF(Покупки!$C$7:$C$18,$F222)&gt;0,"есть в Покупках","")))</f>
        <v/>
      </c>
      <c r="P222">
        <f>IF($H222&lt;&gt;"",$H222,IF($I222="Оплачено",N($G222),0))</f>
        <v/>
      </c>
      <c r="Q222">
        <f>IF($I222="Отменено",0,IF($G222&lt;&gt;"",$G222,N($H222)))</f>
        <v/>
      </c>
      <c r="R222">
        <f>IF($C222="","",IFERROR(DATE(Настройки!$C$8,Настройки!$D$9+MATCH($M222,Настройки!$X$6:$X$17,0)-1,1),DATE(YEAR($C222),MONTH($C222),1)))</f>
        <v/>
      </c>
      <c r="S222">
        <f>IF(OR($I222="Оплачено",$H222&lt;&gt;""),$P222,$Q222)</f>
        <v/>
      </c>
      <c r="T222">
        <f>IF(OR($C222="",$D222="Доход",$I222="Оплачено",$I222="Отменено",$H222&lt;&gt;"",$C222&lt;TODAY()),"",$C222)</f>
        <v/>
      </c>
      <c r="U222">
        <f>IF(AND($D222&lt;&gt;"Доход",COUNTIFS(Счета!$B$10:$B$21,$J222,Счета!$C$10:$C$21,"Кредитная")&gt;0),1,0)</f>
        <v/>
      </c>
    </row>
    <row r="223" ht="19" customHeight="1">
      <c r="B223" s="53">
        <f>IF(AND($C223="",$F223=""),"",ROW()-9)</f>
        <v/>
      </c>
      <c r="C223" s="213" t="n"/>
      <c r="D223" s="55" t="n"/>
      <c r="E223" s="55" t="n"/>
      <c r="F223" s="56" t="n"/>
      <c r="G223" s="196" t="n"/>
      <c r="H223" s="196" t="n"/>
      <c r="I223" s="55" t="n"/>
      <c r="J223" s="55" t="n"/>
      <c r="K223" s="55" t="n"/>
      <c r="L223" s="100">
        <f>IF(OR($C223="",$I223="Оплачено",$I223="Отменено",$H223&lt;&gt;""),"",$C223-TODAY())</f>
        <v/>
      </c>
      <c r="M223" s="101">
        <f>IF($C223="","",INDEX(Настройки!$V$6:$V$17,MONTH($C223))&amp;" "&amp;YEAR($C223))</f>
        <v/>
      </c>
      <c r="N223" s="57">
        <f>IF($F223="","",IF(COUNTIF(Постоянные!$C$8:$C$37,$F223)&gt;0,"есть в Постоянных",IF(COUNTIF(Покупки!$C$7:$C$18,$F223)&gt;0,"есть в Покупках","")))</f>
        <v/>
      </c>
      <c r="P223">
        <f>IF($H223&lt;&gt;"",$H223,IF($I223="Оплачено",N($G223),0))</f>
        <v/>
      </c>
      <c r="Q223">
        <f>IF($I223="Отменено",0,IF($G223&lt;&gt;"",$G223,N($H223)))</f>
        <v/>
      </c>
      <c r="R223">
        <f>IF($C223="","",IFERROR(DATE(Настройки!$C$8,Настройки!$D$9+MATCH($M223,Настройки!$X$6:$X$17,0)-1,1),DATE(YEAR($C223),MONTH($C223),1)))</f>
        <v/>
      </c>
      <c r="S223">
        <f>IF(OR($I223="Оплачено",$H223&lt;&gt;""),$P223,$Q223)</f>
        <v/>
      </c>
      <c r="T223">
        <f>IF(OR($C223="",$D223="Доход",$I223="Оплачено",$I223="Отменено",$H223&lt;&gt;"",$C223&lt;TODAY()),"",$C223)</f>
        <v/>
      </c>
      <c r="U223">
        <f>IF(AND($D223&lt;&gt;"Доход",COUNTIFS(Счета!$B$10:$B$21,$J223,Счета!$C$10:$C$21,"Кредитная")&gt;0),1,0)</f>
        <v/>
      </c>
    </row>
    <row r="224" ht="19" customHeight="1">
      <c r="B224" s="53">
        <f>IF(AND($C224="",$F224=""),"",ROW()-9)</f>
        <v/>
      </c>
      <c r="C224" s="213" t="n"/>
      <c r="D224" s="55" t="n"/>
      <c r="E224" s="55" t="n"/>
      <c r="F224" s="56" t="n"/>
      <c r="G224" s="196" t="n"/>
      <c r="H224" s="196" t="n"/>
      <c r="I224" s="55" t="n"/>
      <c r="J224" s="55" t="n"/>
      <c r="K224" s="55" t="n"/>
      <c r="L224" s="100">
        <f>IF(OR($C224="",$I224="Оплачено",$I224="Отменено",$H224&lt;&gt;""),"",$C224-TODAY())</f>
        <v/>
      </c>
      <c r="M224" s="101">
        <f>IF($C224="","",INDEX(Настройки!$V$6:$V$17,MONTH($C224))&amp;" "&amp;YEAR($C224))</f>
        <v/>
      </c>
      <c r="N224" s="57">
        <f>IF($F224="","",IF(COUNTIF(Постоянные!$C$8:$C$37,$F224)&gt;0,"есть в Постоянных",IF(COUNTIF(Покупки!$C$7:$C$18,$F224)&gt;0,"есть в Покупках","")))</f>
        <v/>
      </c>
      <c r="P224">
        <f>IF($H224&lt;&gt;"",$H224,IF($I224="Оплачено",N($G224),0))</f>
        <v/>
      </c>
      <c r="Q224">
        <f>IF($I224="Отменено",0,IF($G224&lt;&gt;"",$G224,N($H224)))</f>
        <v/>
      </c>
      <c r="R224">
        <f>IF($C224="","",IFERROR(DATE(Настройки!$C$8,Настройки!$D$9+MATCH($M224,Настройки!$X$6:$X$17,0)-1,1),DATE(YEAR($C224),MONTH($C224),1)))</f>
        <v/>
      </c>
      <c r="S224">
        <f>IF(OR($I224="Оплачено",$H224&lt;&gt;""),$P224,$Q224)</f>
        <v/>
      </c>
      <c r="T224">
        <f>IF(OR($C224="",$D224="Доход",$I224="Оплачено",$I224="Отменено",$H224&lt;&gt;"",$C224&lt;TODAY()),"",$C224)</f>
        <v/>
      </c>
      <c r="U224">
        <f>IF(AND($D224&lt;&gt;"Доход",COUNTIFS(Счета!$B$10:$B$21,$J224,Счета!$C$10:$C$21,"Кредитная")&gt;0),1,0)</f>
        <v/>
      </c>
    </row>
    <row r="225" ht="19" customHeight="1">
      <c r="B225" s="53">
        <f>IF(AND($C225="",$F225=""),"",ROW()-9)</f>
        <v/>
      </c>
      <c r="C225" s="213" t="n"/>
      <c r="D225" s="55" t="n"/>
      <c r="E225" s="55" t="n"/>
      <c r="F225" s="56" t="n"/>
      <c r="G225" s="196" t="n"/>
      <c r="H225" s="196" t="n"/>
      <c r="I225" s="55" t="n"/>
      <c r="J225" s="55" t="n"/>
      <c r="K225" s="55" t="n"/>
      <c r="L225" s="100">
        <f>IF(OR($C225="",$I225="Оплачено",$I225="Отменено",$H225&lt;&gt;""),"",$C225-TODAY())</f>
        <v/>
      </c>
      <c r="M225" s="101">
        <f>IF($C225="","",INDEX(Настройки!$V$6:$V$17,MONTH($C225))&amp;" "&amp;YEAR($C225))</f>
        <v/>
      </c>
      <c r="N225" s="57">
        <f>IF($F225="","",IF(COUNTIF(Постоянные!$C$8:$C$37,$F225)&gt;0,"есть в Постоянных",IF(COUNTIF(Покупки!$C$7:$C$18,$F225)&gt;0,"есть в Покупках","")))</f>
        <v/>
      </c>
      <c r="P225">
        <f>IF($H225&lt;&gt;"",$H225,IF($I225="Оплачено",N($G225),0))</f>
        <v/>
      </c>
      <c r="Q225">
        <f>IF($I225="Отменено",0,IF($G225&lt;&gt;"",$G225,N($H225)))</f>
        <v/>
      </c>
      <c r="R225">
        <f>IF($C225="","",IFERROR(DATE(Настройки!$C$8,Настройки!$D$9+MATCH($M225,Настройки!$X$6:$X$17,0)-1,1),DATE(YEAR($C225),MONTH($C225),1)))</f>
        <v/>
      </c>
      <c r="S225">
        <f>IF(OR($I225="Оплачено",$H225&lt;&gt;""),$P225,$Q225)</f>
        <v/>
      </c>
      <c r="T225">
        <f>IF(OR($C225="",$D225="Доход",$I225="Оплачено",$I225="Отменено",$H225&lt;&gt;"",$C225&lt;TODAY()),"",$C225)</f>
        <v/>
      </c>
      <c r="U225">
        <f>IF(AND($D225&lt;&gt;"Доход",COUNTIFS(Счета!$B$10:$B$21,$J225,Счета!$C$10:$C$21,"Кредитная")&gt;0),1,0)</f>
        <v/>
      </c>
    </row>
    <row r="226" ht="19" customHeight="1">
      <c r="B226" s="53">
        <f>IF(AND($C226="",$F226=""),"",ROW()-9)</f>
        <v/>
      </c>
      <c r="C226" s="213" t="n"/>
      <c r="D226" s="55" t="n"/>
      <c r="E226" s="55" t="n"/>
      <c r="F226" s="56" t="n"/>
      <c r="G226" s="196" t="n"/>
      <c r="H226" s="196" t="n"/>
      <c r="I226" s="55" t="n"/>
      <c r="J226" s="55" t="n"/>
      <c r="K226" s="55" t="n"/>
      <c r="L226" s="100">
        <f>IF(OR($C226="",$I226="Оплачено",$I226="Отменено",$H226&lt;&gt;""),"",$C226-TODAY())</f>
        <v/>
      </c>
      <c r="M226" s="101">
        <f>IF($C226="","",INDEX(Настройки!$V$6:$V$17,MONTH($C226))&amp;" "&amp;YEAR($C226))</f>
        <v/>
      </c>
      <c r="N226" s="57">
        <f>IF($F226="","",IF(COUNTIF(Постоянные!$C$8:$C$37,$F226)&gt;0,"есть в Постоянных",IF(COUNTIF(Покупки!$C$7:$C$18,$F226)&gt;0,"есть в Покупках","")))</f>
        <v/>
      </c>
      <c r="P226">
        <f>IF($H226&lt;&gt;"",$H226,IF($I226="Оплачено",N($G226),0))</f>
        <v/>
      </c>
      <c r="Q226">
        <f>IF($I226="Отменено",0,IF($G226&lt;&gt;"",$G226,N($H226)))</f>
        <v/>
      </c>
      <c r="R226">
        <f>IF($C226="","",IFERROR(DATE(Настройки!$C$8,Настройки!$D$9+MATCH($M226,Настройки!$X$6:$X$17,0)-1,1),DATE(YEAR($C226),MONTH($C226),1)))</f>
        <v/>
      </c>
      <c r="S226">
        <f>IF(OR($I226="Оплачено",$H226&lt;&gt;""),$P226,$Q226)</f>
        <v/>
      </c>
      <c r="T226">
        <f>IF(OR($C226="",$D226="Доход",$I226="Оплачено",$I226="Отменено",$H226&lt;&gt;"",$C226&lt;TODAY()),"",$C226)</f>
        <v/>
      </c>
      <c r="U226">
        <f>IF(AND($D226&lt;&gt;"Доход",COUNTIFS(Счета!$B$10:$B$21,$J226,Счета!$C$10:$C$21,"Кредитная")&gt;0),1,0)</f>
        <v/>
      </c>
    </row>
    <row r="227" ht="19" customHeight="1">
      <c r="B227" s="53">
        <f>IF(AND($C227="",$F227=""),"",ROW()-9)</f>
        <v/>
      </c>
      <c r="C227" s="213" t="n"/>
      <c r="D227" s="55" t="n"/>
      <c r="E227" s="55" t="n"/>
      <c r="F227" s="56" t="n"/>
      <c r="G227" s="196" t="n"/>
      <c r="H227" s="196" t="n"/>
      <c r="I227" s="55" t="n"/>
      <c r="J227" s="55" t="n"/>
      <c r="K227" s="55" t="n"/>
      <c r="L227" s="100">
        <f>IF(OR($C227="",$I227="Оплачено",$I227="Отменено",$H227&lt;&gt;""),"",$C227-TODAY())</f>
        <v/>
      </c>
      <c r="M227" s="101">
        <f>IF($C227="","",INDEX(Настройки!$V$6:$V$17,MONTH($C227))&amp;" "&amp;YEAR($C227))</f>
        <v/>
      </c>
      <c r="N227" s="57">
        <f>IF($F227="","",IF(COUNTIF(Постоянные!$C$8:$C$37,$F227)&gt;0,"есть в Постоянных",IF(COUNTIF(Покупки!$C$7:$C$18,$F227)&gt;0,"есть в Покупках","")))</f>
        <v/>
      </c>
      <c r="P227">
        <f>IF($H227&lt;&gt;"",$H227,IF($I227="Оплачено",N($G227),0))</f>
        <v/>
      </c>
      <c r="Q227">
        <f>IF($I227="Отменено",0,IF($G227&lt;&gt;"",$G227,N($H227)))</f>
        <v/>
      </c>
      <c r="R227">
        <f>IF($C227="","",IFERROR(DATE(Настройки!$C$8,Настройки!$D$9+MATCH($M227,Настройки!$X$6:$X$17,0)-1,1),DATE(YEAR($C227),MONTH($C227),1)))</f>
        <v/>
      </c>
      <c r="S227">
        <f>IF(OR($I227="Оплачено",$H227&lt;&gt;""),$P227,$Q227)</f>
        <v/>
      </c>
      <c r="T227">
        <f>IF(OR($C227="",$D227="Доход",$I227="Оплачено",$I227="Отменено",$H227&lt;&gt;"",$C227&lt;TODAY()),"",$C227)</f>
        <v/>
      </c>
      <c r="U227">
        <f>IF(AND($D227&lt;&gt;"Доход",COUNTIFS(Счета!$B$10:$B$21,$J227,Счета!$C$10:$C$21,"Кредитная")&gt;0),1,0)</f>
        <v/>
      </c>
    </row>
    <row r="228" ht="19" customHeight="1">
      <c r="B228" s="53">
        <f>IF(AND($C228="",$F228=""),"",ROW()-9)</f>
        <v/>
      </c>
      <c r="C228" s="213" t="n"/>
      <c r="D228" s="55" t="n"/>
      <c r="E228" s="55" t="n"/>
      <c r="F228" s="56" t="n"/>
      <c r="G228" s="196" t="n"/>
      <c r="H228" s="196" t="n"/>
      <c r="I228" s="55" t="n"/>
      <c r="J228" s="55" t="n"/>
      <c r="K228" s="55" t="n"/>
      <c r="L228" s="100">
        <f>IF(OR($C228="",$I228="Оплачено",$I228="Отменено",$H228&lt;&gt;""),"",$C228-TODAY())</f>
        <v/>
      </c>
      <c r="M228" s="101">
        <f>IF($C228="","",INDEX(Настройки!$V$6:$V$17,MONTH($C228))&amp;" "&amp;YEAR($C228))</f>
        <v/>
      </c>
      <c r="N228" s="57">
        <f>IF($F228="","",IF(COUNTIF(Постоянные!$C$8:$C$37,$F228)&gt;0,"есть в Постоянных",IF(COUNTIF(Покупки!$C$7:$C$18,$F228)&gt;0,"есть в Покупках","")))</f>
        <v/>
      </c>
      <c r="P228">
        <f>IF($H228&lt;&gt;"",$H228,IF($I228="Оплачено",N($G228),0))</f>
        <v/>
      </c>
      <c r="Q228">
        <f>IF($I228="Отменено",0,IF($G228&lt;&gt;"",$G228,N($H228)))</f>
        <v/>
      </c>
      <c r="R228">
        <f>IF($C228="","",IFERROR(DATE(Настройки!$C$8,Настройки!$D$9+MATCH($M228,Настройки!$X$6:$X$17,0)-1,1),DATE(YEAR($C228),MONTH($C228),1)))</f>
        <v/>
      </c>
      <c r="S228">
        <f>IF(OR($I228="Оплачено",$H228&lt;&gt;""),$P228,$Q228)</f>
        <v/>
      </c>
      <c r="T228">
        <f>IF(OR($C228="",$D228="Доход",$I228="Оплачено",$I228="Отменено",$H228&lt;&gt;"",$C228&lt;TODAY()),"",$C228)</f>
        <v/>
      </c>
      <c r="U228">
        <f>IF(AND($D228&lt;&gt;"Доход",COUNTIFS(Счета!$B$10:$B$21,$J228,Счета!$C$10:$C$21,"Кредитная")&gt;0),1,0)</f>
        <v/>
      </c>
    </row>
    <row r="229" ht="19" customHeight="1">
      <c r="B229" s="53">
        <f>IF(AND($C229="",$F229=""),"",ROW()-9)</f>
        <v/>
      </c>
      <c r="C229" s="213" t="n"/>
      <c r="D229" s="55" t="n"/>
      <c r="E229" s="55" t="n"/>
      <c r="F229" s="56" t="n"/>
      <c r="G229" s="196" t="n"/>
      <c r="H229" s="196" t="n"/>
      <c r="I229" s="55" t="n"/>
      <c r="J229" s="55" t="n"/>
      <c r="K229" s="55" t="n"/>
      <c r="L229" s="100">
        <f>IF(OR($C229="",$I229="Оплачено",$I229="Отменено",$H229&lt;&gt;""),"",$C229-TODAY())</f>
        <v/>
      </c>
      <c r="M229" s="101">
        <f>IF($C229="","",INDEX(Настройки!$V$6:$V$17,MONTH($C229))&amp;" "&amp;YEAR($C229))</f>
        <v/>
      </c>
      <c r="N229" s="57">
        <f>IF($F229="","",IF(COUNTIF(Постоянные!$C$8:$C$37,$F229)&gt;0,"есть в Постоянных",IF(COUNTIF(Покупки!$C$7:$C$18,$F229)&gt;0,"есть в Покупках","")))</f>
        <v/>
      </c>
      <c r="P229">
        <f>IF($H229&lt;&gt;"",$H229,IF($I229="Оплачено",N($G229),0))</f>
        <v/>
      </c>
      <c r="Q229">
        <f>IF($I229="Отменено",0,IF($G229&lt;&gt;"",$G229,N($H229)))</f>
        <v/>
      </c>
      <c r="R229">
        <f>IF($C229="","",IFERROR(DATE(Настройки!$C$8,Настройки!$D$9+MATCH($M229,Настройки!$X$6:$X$17,0)-1,1),DATE(YEAR($C229),MONTH($C229),1)))</f>
        <v/>
      </c>
      <c r="S229">
        <f>IF(OR($I229="Оплачено",$H229&lt;&gt;""),$P229,$Q229)</f>
        <v/>
      </c>
      <c r="T229">
        <f>IF(OR($C229="",$D229="Доход",$I229="Оплачено",$I229="Отменено",$H229&lt;&gt;"",$C229&lt;TODAY()),"",$C229)</f>
        <v/>
      </c>
      <c r="U229">
        <f>IF(AND($D229&lt;&gt;"Доход",COUNTIFS(Счета!$B$10:$B$21,$J229,Счета!$C$10:$C$21,"Кредитная")&gt;0),1,0)</f>
        <v/>
      </c>
    </row>
    <row r="230" ht="19" customHeight="1">
      <c r="B230" s="53">
        <f>IF(AND($C230="",$F230=""),"",ROW()-9)</f>
        <v/>
      </c>
      <c r="C230" s="213" t="n"/>
      <c r="D230" s="55" t="n"/>
      <c r="E230" s="55" t="n"/>
      <c r="F230" s="56" t="n"/>
      <c r="G230" s="196" t="n"/>
      <c r="H230" s="196" t="n"/>
      <c r="I230" s="55" t="n"/>
      <c r="J230" s="55" t="n"/>
      <c r="K230" s="55" t="n"/>
      <c r="L230" s="100">
        <f>IF(OR($C230="",$I230="Оплачено",$I230="Отменено",$H230&lt;&gt;""),"",$C230-TODAY())</f>
        <v/>
      </c>
      <c r="M230" s="101">
        <f>IF($C230="","",INDEX(Настройки!$V$6:$V$17,MONTH($C230))&amp;" "&amp;YEAR($C230))</f>
        <v/>
      </c>
      <c r="N230" s="57">
        <f>IF($F230="","",IF(COUNTIF(Постоянные!$C$8:$C$37,$F230)&gt;0,"есть в Постоянных",IF(COUNTIF(Покупки!$C$7:$C$18,$F230)&gt;0,"есть в Покупках","")))</f>
        <v/>
      </c>
      <c r="P230">
        <f>IF($H230&lt;&gt;"",$H230,IF($I230="Оплачено",N($G230),0))</f>
        <v/>
      </c>
      <c r="Q230">
        <f>IF($I230="Отменено",0,IF($G230&lt;&gt;"",$G230,N($H230)))</f>
        <v/>
      </c>
      <c r="R230">
        <f>IF($C230="","",IFERROR(DATE(Настройки!$C$8,Настройки!$D$9+MATCH($M230,Настройки!$X$6:$X$17,0)-1,1),DATE(YEAR($C230),MONTH($C230),1)))</f>
        <v/>
      </c>
      <c r="S230">
        <f>IF(OR($I230="Оплачено",$H230&lt;&gt;""),$P230,$Q230)</f>
        <v/>
      </c>
      <c r="T230">
        <f>IF(OR($C230="",$D230="Доход",$I230="Оплачено",$I230="Отменено",$H230&lt;&gt;"",$C230&lt;TODAY()),"",$C230)</f>
        <v/>
      </c>
      <c r="U230">
        <f>IF(AND($D230&lt;&gt;"Доход",COUNTIFS(Счета!$B$10:$B$21,$J230,Счета!$C$10:$C$21,"Кредитная")&gt;0),1,0)</f>
        <v/>
      </c>
    </row>
    <row r="231" ht="19" customHeight="1">
      <c r="B231" s="53">
        <f>IF(AND($C231="",$F231=""),"",ROW()-9)</f>
        <v/>
      </c>
      <c r="C231" s="213" t="n"/>
      <c r="D231" s="55" t="n"/>
      <c r="E231" s="55" t="n"/>
      <c r="F231" s="56" t="n"/>
      <c r="G231" s="196" t="n"/>
      <c r="H231" s="196" t="n"/>
      <c r="I231" s="55" t="n"/>
      <c r="J231" s="55" t="n"/>
      <c r="K231" s="55" t="n"/>
      <c r="L231" s="100">
        <f>IF(OR($C231="",$I231="Оплачено",$I231="Отменено",$H231&lt;&gt;""),"",$C231-TODAY())</f>
        <v/>
      </c>
      <c r="M231" s="101">
        <f>IF($C231="","",INDEX(Настройки!$V$6:$V$17,MONTH($C231))&amp;" "&amp;YEAR($C231))</f>
        <v/>
      </c>
      <c r="N231" s="57">
        <f>IF($F231="","",IF(COUNTIF(Постоянные!$C$8:$C$37,$F231)&gt;0,"есть в Постоянных",IF(COUNTIF(Покупки!$C$7:$C$18,$F231)&gt;0,"есть в Покупках","")))</f>
        <v/>
      </c>
      <c r="P231">
        <f>IF($H231&lt;&gt;"",$H231,IF($I231="Оплачено",N($G231),0))</f>
        <v/>
      </c>
      <c r="Q231">
        <f>IF($I231="Отменено",0,IF($G231&lt;&gt;"",$G231,N($H231)))</f>
        <v/>
      </c>
      <c r="R231">
        <f>IF($C231="","",IFERROR(DATE(Настройки!$C$8,Настройки!$D$9+MATCH($M231,Настройки!$X$6:$X$17,0)-1,1),DATE(YEAR($C231),MONTH($C231),1)))</f>
        <v/>
      </c>
      <c r="S231">
        <f>IF(OR($I231="Оплачено",$H231&lt;&gt;""),$P231,$Q231)</f>
        <v/>
      </c>
      <c r="T231">
        <f>IF(OR($C231="",$D231="Доход",$I231="Оплачено",$I231="Отменено",$H231&lt;&gt;"",$C231&lt;TODAY()),"",$C231)</f>
        <v/>
      </c>
      <c r="U231">
        <f>IF(AND($D231&lt;&gt;"Доход",COUNTIFS(Счета!$B$10:$B$21,$J231,Счета!$C$10:$C$21,"Кредитная")&gt;0),1,0)</f>
        <v/>
      </c>
    </row>
    <row r="232" ht="19" customHeight="1">
      <c r="B232" s="53">
        <f>IF(AND($C232="",$F232=""),"",ROW()-9)</f>
        <v/>
      </c>
      <c r="C232" s="213" t="n"/>
      <c r="D232" s="55" t="n"/>
      <c r="E232" s="55" t="n"/>
      <c r="F232" s="56" t="n"/>
      <c r="G232" s="196" t="n"/>
      <c r="H232" s="196" t="n"/>
      <c r="I232" s="55" t="n"/>
      <c r="J232" s="55" t="n"/>
      <c r="K232" s="55" t="n"/>
      <c r="L232" s="100">
        <f>IF(OR($C232="",$I232="Оплачено",$I232="Отменено",$H232&lt;&gt;""),"",$C232-TODAY())</f>
        <v/>
      </c>
      <c r="M232" s="101">
        <f>IF($C232="","",INDEX(Настройки!$V$6:$V$17,MONTH($C232))&amp;" "&amp;YEAR($C232))</f>
        <v/>
      </c>
      <c r="N232" s="57">
        <f>IF($F232="","",IF(COUNTIF(Постоянные!$C$8:$C$37,$F232)&gt;0,"есть в Постоянных",IF(COUNTIF(Покупки!$C$7:$C$18,$F232)&gt;0,"есть в Покупках","")))</f>
        <v/>
      </c>
      <c r="P232">
        <f>IF($H232&lt;&gt;"",$H232,IF($I232="Оплачено",N($G232),0))</f>
        <v/>
      </c>
      <c r="Q232">
        <f>IF($I232="Отменено",0,IF($G232&lt;&gt;"",$G232,N($H232)))</f>
        <v/>
      </c>
      <c r="R232">
        <f>IF($C232="","",IFERROR(DATE(Настройки!$C$8,Настройки!$D$9+MATCH($M232,Настройки!$X$6:$X$17,0)-1,1),DATE(YEAR($C232),MONTH($C232),1)))</f>
        <v/>
      </c>
      <c r="S232">
        <f>IF(OR($I232="Оплачено",$H232&lt;&gt;""),$P232,$Q232)</f>
        <v/>
      </c>
      <c r="T232">
        <f>IF(OR($C232="",$D232="Доход",$I232="Оплачено",$I232="Отменено",$H232&lt;&gt;"",$C232&lt;TODAY()),"",$C232)</f>
        <v/>
      </c>
      <c r="U232">
        <f>IF(AND($D232&lt;&gt;"Доход",COUNTIFS(Счета!$B$10:$B$21,$J232,Счета!$C$10:$C$21,"Кредитная")&gt;0),1,0)</f>
        <v/>
      </c>
    </row>
    <row r="233" ht="19" customHeight="1">
      <c r="B233" s="53">
        <f>IF(AND($C233="",$F233=""),"",ROW()-9)</f>
        <v/>
      </c>
      <c r="C233" s="213" t="n"/>
      <c r="D233" s="55" t="n"/>
      <c r="E233" s="55" t="n"/>
      <c r="F233" s="56" t="n"/>
      <c r="G233" s="196" t="n"/>
      <c r="H233" s="196" t="n"/>
      <c r="I233" s="55" t="n"/>
      <c r="J233" s="55" t="n"/>
      <c r="K233" s="55" t="n"/>
      <c r="L233" s="100">
        <f>IF(OR($C233="",$I233="Оплачено",$I233="Отменено",$H233&lt;&gt;""),"",$C233-TODAY())</f>
        <v/>
      </c>
      <c r="M233" s="101">
        <f>IF($C233="","",INDEX(Настройки!$V$6:$V$17,MONTH($C233))&amp;" "&amp;YEAR($C233))</f>
        <v/>
      </c>
      <c r="N233" s="57">
        <f>IF($F233="","",IF(COUNTIF(Постоянные!$C$8:$C$37,$F233)&gt;0,"есть в Постоянных",IF(COUNTIF(Покупки!$C$7:$C$18,$F233)&gt;0,"есть в Покупках","")))</f>
        <v/>
      </c>
      <c r="P233">
        <f>IF($H233&lt;&gt;"",$H233,IF($I233="Оплачено",N($G233),0))</f>
        <v/>
      </c>
      <c r="Q233">
        <f>IF($I233="Отменено",0,IF($G233&lt;&gt;"",$G233,N($H233)))</f>
        <v/>
      </c>
      <c r="R233">
        <f>IF($C233="","",IFERROR(DATE(Настройки!$C$8,Настройки!$D$9+MATCH($M233,Настройки!$X$6:$X$17,0)-1,1),DATE(YEAR($C233),MONTH($C233),1)))</f>
        <v/>
      </c>
      <c r="S233">
        <f>IF(OR($I233="Оплачено",$H233&lt;&gt;""),$P233,$Q233)</f>
        <v/>
      </c>
      <c r="T233">
        <f>IF(OR($C233="",$D233="Доход",$I233="Оплачено",$I233="Отменено",$H233&lt;&gt;"",$C233&lt;TODAY()),"",$C233)</f>
        <v/>
      </c>
      <c r="U233">
        <f>IF(AND($D233&lt;&gt;"Доход",COUNTIFS(Счета!$B$10:$B$21,$J233,Счета!$C$10:$C$21,"Кредитная")&gt;0),1,0)</f>
        <v/>
      </c>
    </row>
    <row r="234" ht="19" customHeight="1">
      <c r="B234" s="53">
        <f>IF(AND($C234="",$F234=""),"",ROW()-9)</f>
        <v/>
      </c>
      <c r="C234" s="213" t="n"/>
      <c r="D234" s="55" t="n"/>
      <c r="E234" s="55" t="n"/>
      <c r="F234" s="56" t="n"/>
      <c r="G234" s="196" t="n"/>
      <c r="H234" s="196" t="n"/>
      <c r="I234" s="55" t="n"/>
      <c r="J234" s="55" t="n"/>
      <c r="K234" s="55" t="n"/>
      <c r="L234" s="100">
        <f>IF(OR($C234="",$I234="Оплачено",$I234="Отменено",$H234&lt;&gt;""),"",$C234-TODAY())</f>
        <v/>
      </c>
      <c r="M234" s="101">
        <f>IF($C234="","",INDEX(Настройки!$V$6:$V$17,MONTH($C234))&amp;" "&amp;YEAR($C234))</f>
        <v/>
      </c>
      <c r="N234" s="57">
        <f>IF($F234="","",IF(COUNTIF(Постоянные!$C$8:$C$37,$F234)&gt;0,"есть в Постоянных",IF(COUNTIF(Покупки!$C$7:$C$18,$F234)&gt;0,"есть в Покупках","")))</f>
        <v/>
      </c>
      <c r="P234">
        <f>IF($H234&lt;&gt;"",$H234,IF($I234="Оплачено",N($G234),0))</f>
        <v/>
      </c>
      <c r="Q234">
        <f>IF($I234="Отменено",0,IF($G234&lt;&gt;"",$G234,N($H234)))</f>
        <v/>
      </c>
      <c r="R234">
        <f>IF($C234="","",IFERROR(DATE(Настройки!$C$8,Настройки!$D$9+MATCH($M234,Настройки!$X$6:$X$17,0)-1,1),DATE(YEAR($C234),MONTH($C234),1)))</f>
        <v/>
      </c>
      <c r="S234">
        <f>IF(OR($I234="Оплачено",$H234&lt;&gt;""),$P234,$Q234)</f>
        <v/>
      </c>
      <c r="T234">
        <f>IF(OR($C234="",$D234="Доход",$I234="Оплачено",$I234="Отменено",$H234&lt;&gt;"",$C234&lt;TODAY()),"",$C234)</f>
        <v/>
      </c>
      <c r="U234">
        <f>IF(AND($D234&lt;&gt;"Доход",COUNTIFS(Счета!$B$10:$B$21,$J234,Счета!$C$10:$C$21,"Кредитная")&gt;0),1,0)</f>
        <v/>
      </c>
    </row>
    <row r="235" ht="19" customHeight="1">
      <c r="B235" s="53">
        <f>IF(AND($C235="",$F235=""),"",ROW()-9)</f>
        <v/>
      </c>
      <c r="C235" s="213" t="n"/>
      <c r="D235" s="55" t="n"/>
      <c r="E235" s="55" t="n"/>
      <c r="F235" s="56" t="n"/>
      <c r="G235" s="196" t="n"/>
      <c r="H235" s="196" t="n"/>
      <c r="I235" s="55" t="n"/>
      <c r="J235" s="55" t="n"/>
      <c r="K235" s="55" t="n"/>
      <c r="L235" s="100">
        <f>IF(OR($C235="",$I235="Оплачено",$I235="Отменено",$H235&lt;&gt;""),"",$C235-TODAY())</f>
        <v/>
      </c>
      <c r="M235" s="101">
        <f>IF($C235="","",INDEX(Настройки!$V$6:$V$17,MONTH($C235))&amp;" "&amp;YEAR($C235))</f>
        <v/>
      </c>
      <c r="N235" s="57">
        <f>IF($F235="","",IF(COUNTIF(Постоянные!$C$8:$C$37,$F235)&gt;0,"есть в Постоянных",IF(COUNTIF(Покупки!$C$7:$C$18,$F235)&gt;0,"есть в Покупках","")))</f>
        <v/>
      </c>
      <c r="P235">
        <f>IF($H235&lt;&gt;"",$H235,IF($I235="Оплачено",N($G235),0))</f>
        <v/>
      </c>
      <c r="Q235">
        <f>IF($I235="Отменено",0,IF($G235&lt;&gt;"",$G235,N($H235)))</f>
        <v/>
      </c>
      <c r="R235">
        <f>IF($C235="","",IFERROR(DATE(Настройки!$C$8,Настройки!$D$9+MATCH($M235,Настройки!$X$6:$X$17,0)-1,1),DATE(YEAR($C235),MONTH($C235),1)))</f>
        <v/>
      </c>
      <c r="S235">
        <f>IF(OR($I235="Оплачено",$H235&lt;&gt;""),$P235,$Q235)</f>
        <v/>
      </c>
      <c r="T235">
        <f>IF(OR($C235="",$D235="Доход",$I235="Оплачено",$I235="Отменено",$H235&lt;&gt;"",$C235&lt;TODAY()),"",$C235)</f>
        <v/>
      </c>
      <c r="U235">
        <f>IF(AND($D235&lt;&gt;"Доход",COUNTIFS(Счета!$B$10:$B$21,$J235,Счета!$C$10:$C$21,"Кредитная")&gt;0),1,0)</f>
        <v/>
      </c>
    </row>
    <row r="236" ht="19" customHeight="1">
      <c r="B236" s="53">
        <f>IF(AND($C236="",$F236=""),"",ROW()-9)</f>
        <v/>
      </c>
      <c r="C236" s="213" t="n"/>
      <c r="D236" s="55" t="n"/>
      <c r="E236" s="55" t="n"/>
      <c r="F236" s="56" t="n"/>
      <c r="G236" s="196" t="n"/>
      <c r="H236" s="196" t="n"/>
      <c r="I236" s="55" t="n"/>
      <c r="J236" s="55" t="n"/>
      <c r="K236" s="55" t="n"/>
      <c r="L236" s="100">
        <f>IF(OR($C236="",$I236="Оплачено",$I236="Отменено",$H236&lt;&gt;""),"",$C236-TODAY())</f>
        <v/>
      </c>
      <c r="M236" s="101">
        <f>IF($C236="","",INDEX(Настройки!$V$6:$V$17,MONTH($C236))&amp;" "&amp;YEAR($C236))</f>
        <v/>
      </c>
      <c r="N236" s="57">
        <f>IF($F236="","",IF(COUNTIF(Постоянные!$C$8:$C$37,$F236)&gt;0,"есть в Постоянных",IF(COUNTIF(Покупки!$C$7:$C$18,$F236)&gt;0,"есть в Покупках","")))</f>
        <v/>
      </c>
      <c r="P236">
        <f>IF($H236&lt;&gt;"",$H236,IF($I236="Оплачено",N($G236),0))</f>
        <v/>
      </c>
      <c r="Q236">
        <f>IF($I236="Отменено",0,IF($G236&lt;&gt;"",$G236,N($H236)))</f>
        <v/>
      </c>
      <c r="R236">
        <f>IF($C236="","",IFERROR(DATE(Настройки!$C$8,Настройки!$D$9+MATCH($M236,Настройки!$X$6:$X$17,0)-1,1),DATE(YEAR($C236),MONTH($C236),1)))</f>
        <v/>
      </c>
      <c r="S236">
        <f>IF(OR($I236="Оплачено",$H236&lt;&gt;""),$P236,$Q236)</f>
        <v/>
      </c>
      <c r="T236">
        <f>IF(OR($C236="",$D236="Доход",$I236="Оплачено",$I236="Отменено",$H236&lt;&gt;"",$C236&lt;TODAY()),"",$C236)</f>
        <v/>
      </c>
      <c r="U236">
        <f>IF(AND($D236&lt;&gt;"Доход",COUNTIFS(Счета!$B$10:$B$21,$J236,Счета!$C$10:$C$21,"Кредитная")&gt;0),1,0)</f>
        <v/>
      </c>
    </row>
    <row r="237" ht="19" customHeight="1">
      <c r="B237" s="53">
        <f>IF(AND($C237="",$F237=""),"",ROW()-9)</f>
        <v/>
      </c>
      <c r="C237" s="213" t="n"/>
      <c r="D237" s="55" t="n"/>
      <c r="E237" s="55" t="n"/>
      <c r="F237" s="56" t="n"/>
      <c r="G237" s="196" t="n"/>
      <c r="H237" s="196" t="n"/>
      <c r="I237" s="55" t="n"/>
      <c r="J237" s="55" t="n"/>
      <c r="K237" s="55" t="n"/>
      <c r="L237" s="100">
        <f>IF(OR($C237="",$I237="Оплачено",$I237="Отменено",$H237&lt;&gt;""),"",$C237-TODAY())</f>
        <v/>
      </c>
      <c r="M237" s="101">
        <f>IF($C237="","",INDEX(Настройки!$V$6:$V$17,MONTH($C237))&amp;" "&amp;YEAR($C237))</f>
        <v/>
      </c>
      <c r="N237" s="57">
        <f>IF($F237="","",IF(COUNTIF(Постоянные!$C$8:$C$37,$F237)&gt;0,"есть в Постоянных",IF(COUNTIF(Покупки!$C$7:$C$18,$F237)&gt;0,"есть в Покупках","")))</f>
        <v/>
      </c>
      <c r="P237">
        <f>IF($H237&lt;&gt;"",$H237,IF($I237="Оплачено",N($G237),0))</f>
        <v/>
      </c>
      <c r="Q237">
        <f>IF($I237="Отменено",0,IF($G237&lt;&gt;"",$G237,N($H237)))</f>
        <v/>
      </c>
      <c r="R237">
        <f>IF($C237="","",IFERROR(DATE(Настройки!$C$8,Настройки!$D$9+MATCH($M237,Настройки!$X$6:$X$17,0)-1,1),DATE(YEAR($C237),MONTH($C237),1)))</f>
        <v/>
      </c>
      <c r="S237">
        <f>IF(OR($I237="Оплачено",$H237&lt;&gt;""),$P237,$Q237)</f>
        <v/>
      </c>
      <c r="T237">
        <f>IF(OR($C237="",$D237="Доход",$I237="Оплачено",$I237="Отменено",$H237&lt;&gt;"",$C237&lt;TODAY()),"",$C237)</f>
        <v/>
      </c>
      <c r="U237">
        <f>IF(AND($D237&lt;&gt;"Доход",COUNTIFS(Счета!$B$10:$B$21,$J237,Счета!$C$10:$C$21,"Кредитная")&gt;0),1,0)</f>
        <v/>
      </c>
    </row>
    <row r="238" ht="19" customHeight="1">
      <c r="B238" s="53">
        <f>IF(AND($C238="",$F238=""),"",ROW()-9)</f>
        <v/>
      </c>
      <c r="C238" s="213" t="n"/>
      <c r="D238" s="55" t="n"/>
      <c r="E238" s="55" t="n"/>
      <c r="F238" s="56" t="n"/>
      <c r="G238" s="196" t="n"/>
      <c r="H238" s="196" t="n"/>
      <c r="I238" s="55" t="n"/>
      <c r="J238" s="55" t="n"/>
      <c r="K238" s="55" t="n"/>
      <c r="L238" s="100">
        <f>IF(OR($C238="",$I238="Оплачено",$I238="Отменено",$H238&lt;&gt;""),"",$C238-TODAY())</f>
        <v/>
      </c>
      <c r="M238" s="101">
        <f>IF($C238="","",INDEX(Настройки!$V$6:$V$17,MONTH($C238))&amp;" "&amp;YEAR($C238))</f>
        <v/>
      </c>
      <c r="N238" s="57">
        <f>IF($F238="","",IF(COUNTIF(Постоянные!$C$8:$C$37,$F238)&gt;0,"есть в Постоянных",IF(COUNTIF(Покупки!$C$7:$C$18,$F238)&gt;0,"есть в Покупках","")))</f>
        <v/>
      </c>
      <c r="P238">
        <f>IF($H238&lt;&gt;"",$H238,IF($I238="Оплачено",N($G238),0))</f>
        <v/>
      </c>
      <c r="Q238">
        <f>IF($I238="Отменено",0,IF($G238&lt;&gt;"",$G238,N($H238)))</f>
        <v/>
      </c>
      <c r="R238">
        <f>IF($C238="","",IFERROR(DATE(Настройки!$C$8,Настройки!$D$9+MATCH($M238,Настройки!$X$6:$X$17,0)-1,1),DATE(YEAR($C238),MONTH($C238),1)))</f>
        <v/>
      </c>
      <c r="S238">
        <f>IF(OR($I238="Оплачено",$H238&lt;&gt;""),$P238,$Q238)</f>
        <v/>
      </c>
      <c r="T238">
        <f>IF(OR($C238="",$D238="Доход",$I238="Оплачено",$I238="Отменено",$H238&lt;&gt;"",$C238&lt;TODAY()),"",$C238)</f>
        <v/>
      </c>
      <c r="U238">
        <f>IF(AND($D238&lt;&gt;"Доход",COUNTIFS(Счета!$B$10:$B$21,$J238,Счета!$C$10:$C$21,"Кредитная")&gt;0),1,0)</f>
        <v/>
      </c>
    </row>
    <row r="239" ht="19" customHeight="1">
      <c r="B239" s="53">
        <f>IF(AND($C239="",$F239=""),"",ROW()-9)</f>
        <v/>
      </c>
      <c r="C239" s="213" t="n"/>
      <c r="D239" s="55" t="n"/>
      <c r="E239" s="55" t="n"/>
      <c r="F239" s="56" t="n"/>
      <c r="G239" s="196" t="n"/>
      <c r="H239" s="196" t="n"/>
      <c r="I239" s="55" t="n"/>
      <c r="J239" s="55" t="n"/>
      <c r="K239" s="55" t="n"/>
      <c r="L239" s="100">
        <f>IF(OR($C239="",$I239="Оплачено",$I239="Отменено",$H239&lt;&gt;""),"",$C239-TODAY())</f>
        <v/>
      </c>
      <c r="M239" s="101">
        <f>IF($C239="","",INDEX(Настройки!$V$6:$V$17,MONTH($C239))&amp;" "&amp;YEAR($C239))</f>
        <v/>
      </c>
      <c r="N239" s="57">
        <f>IF($F239="","",IF(COUNTIF(Постоянные!$C$8:$C$37,$F239)&gt;0,"есть в Постоянных",IF(COUNTIF(Покупки!$C$7:$C$18,$F239)&gt;0,"есть в Покупках","")))</f>
        <v/>
      </c>
      <c r="P239">
        <f>IF($H239&lt;&gt;"",$H239,IF($I239="Оплачено",N($G239),0))</f>
        <v/>
      </c>
      <c r="Q239">
        <f>IF($I239="Отменено",0,IF($G239&lt;&gt;"",$G239,N($H239)))</f>
        <v/>
      </c>
      <c r="R239">
        <f>IF($C239="","",IFERROR(DATE(Настройки!$C$8,Настройки!$D$9+MATCH($M239,Настройки!$X$6:$X$17,0)-1,1),DATE(YEAR($C239),MONTH($C239),1)))</f>
        <v/>
      </c>
      <c r="S239">
        <f>IF(OR($I239="Оплачено",$H239&lt;&gt;""),$P239,$Q239)</f>
        <v/>
      </c>
      <c r="T239">
        <f>IF(OR($C239="",$D239="Доход",$I239="Оплачено",$I239="Отменено",$H239&lt;&gt;"",$C239&lt;TODAY()),"",$C239)</f>
        <v/>
      </c>
      <c r="U239">
        <f>IF(AND($D239&lt;&gt;"Доход",COUNTIFS(Счета!$B$10:$B$21,$J239,Счета!$C$10:$C$21,"Кредитная")&gt;0),1,0)</f>
        <v/>
      </c>
    </row>
    <row r="240" ht="19" customHeight="1">
      <c r="B240" s="53">
        <f>IF(AND($C240="",$F240=""),"",ROW()-9)</f>
        <v/>
      </c>
      <c r="C240" s="213" t="n"/>
      <c r="D240" s="55" t="n"/>
      <c r="E240" s="55" t="n"/>
      <c r="F240" s="56" t="n"/>
      <c r="G240" s="196" t="n"/>
      <c r="H240" s="196" t="n"/>
      <c r="I240" s="55" t="n"/>
      <c r="J240" s="55" t="n"/>
      <c r="K240" s="55" t="n"/>
      <c r="L240" s="100">
        <f>IF(OR($C240="",$I240="Оплачено",$I240="Отменено",$H240&lt;&gt;""),"",$C240-TODAY())</f>
        <v/>
      </c>
      <c r="M240" s="101">
        <f>IF($C240="","",INDEX(Настройки!$V$6:$V$17,MONTH($C240))&amp;" "&amp;YEAR($C240))</f>
        <v/>
      </c>
      <c r="N240" s="57">
        <f>IF($F240="","",IF(COUNTIF(Постоянные!$C$8:$C$37,$F240)&gt;0,"есть в Постоянных",IF(COUNTIF(Покупки!$C$7:$C$18,$F240)&gt;0,"есть в Покупках","")))</f>
        <v/>
      </c>
      <c r="P240">
        <f>IF($H240&lt;&gt;"",$H240,IF($I240="Оплачено",N($G240),0))</f>
        <v/>
      </c>
      <c r="Q240">
        <f>IF($I240="Отменено",0,IF($G240&lt;&gt;"",$G240,N($H240)))</f>
        <v/>
      </c>
      <c r="R240">
        <f>IF($C240="","",IFERROR(DATE(Настройки!$C$8,Настройки!$D$9+MATCH($M240,Настройки!$X$6:$X$17,0)-1,1),DATE(YEAR($C240),MONTH($C240),1)))</f>
        <v/>
      </c>
      <c r="S240">
        <f>IF(OR($I240="Оплачено",$H240&lt;&gt;""),$P240,$Q240)</f>
        <v/>
      </c>
      <c r="T240">
        <f>IF(OR($C240="",$D240="Доход",$I240="Оплачено",$I240="Отменено",$H240&lt;&gt;"",$C240&lt;TODAY()),"",$C240)</f>
        <v/>
      </c>
      <c r="U240">
        <f>IF(AND($D240&lt;&gt;"Доход",COUNTIFS(Счета!$B$10:$B$21,$J240,Счета!$C$10:$C$21,"Кредитная")&gt;0),1,0)</f>
        <v/>
      </c>
    </row>
    <row r="241" ht="19" customHeight="1">
      <c r="B241" s="53">
        <f>IF(AND($C241="",$F241=""),"",ROW()-9)</f>
        <v/>
      </c>
      <c r="C241" s="213" t="n"/>
      <c r="D241" s="55" t="n"/>
      <c r="E241" s="55" t="n"/>
      <c r="F241" s="56" t="n"/>
      <c r="G241" s="196" t="n"/>
      <c r="H241" s="196" t="n"/>
      <c r="I241" s="55" t="n"/>
      <c r="J241" s="55" t="n"/>
      <c r="K241" s="55" t="n"/>
      <c r="L241" s="100">
        <f>IF(OR($C241="",$I241="Оплачено",$I241="Отменено",$H241&lt;&gt;""),"",$C241-TODAY())</f>
        <v/>
      </c>
      <c r="M241" s="101">
        <f>IF($C241="","",INDEX(Настройки!$V$6:$V$17,MONTH($C241))&amp;" "&amp;YEAR($C241))</f>
        <v/>
      </c>
      <c r="N241" s="57">
        <f>IF($F241="","",IF(COUNTIF(Постоянные!$C$8:$C$37,$F241)&gt;0,"есть в Постоянных",IF(COUNTIF(Покупки!$C$7:$C$18,$F241)&gt;0,"есть в Покупках","")))</f>
        <v/>
      </c>
      <c r="P241">
        <f>IF($H241&lt;&gt;"",$H241,IF($I241="Оплачено",N($G241),0))</f>
        <v/>
      </c>
      <c r="Q241">
        <f>IF($I241="Отменено",0,IF($G241&lt;&gt;"",$G241,N($H241)))</f>
        <v/>
      </c>
      <c r="R241">
        <f>IF($C241="","",IFERROR(DATE(Настройки!$C$8,Настройки!$D$9+MATCH($M241,Настройки!$X$6:$X$17,0)-1,1),DATE(YEAR($C241),MONTH($C241),1)))</f>
        <v/>
      </c>
      <c r="S241">
        <f>IF(OR($I241="Оплачено",$H241&lt;&gt;""),$P241,$Q241)</f>
        <v/>
      </c>
      <c r="T241">
        <f>IF(OR($C241="",$D241="Доход",$I241="Оплачено",$I241="Отменено",$H241&lt;&gt;"",$C241&lt;TODAY()),"",$C241)</f>
        <v/>
      </c>
      <c r="U241">
        <f>IF(AND($D241&lt;&gt;"Доход",COUNTIFS(Счета!$B$10:$B$21,$J241,Счета!$C$10:$C$21,"Кредитная")&gt;0),1,0)</f>
        <v/>
      </c>
    </row>
    <row r="242" ht="19" customHeight="1">
      <c r="B242" s="53">
        <f>IF(AND($C242="",$F242=""),"",ROW()-9)</f>
        <v/>
      </c>
      <c r="C242" s="213" t="n"/>
      <c r="D242" s="55" t="n"/>
      <c r="E242" s="55" t="n"/>
      <c r="F242" s="56" t="n"/>
      <c r="G242" s="196" t="n"/>
      <c r="H242" s="196" t="n"/>
      <c r="I242" s="55" t="n"/>
      <c r="J242" s="55" t="n"/>
      <c r="K242" s="55" t="n"/>
      <c r="L242" s="100">
        <f>IF(OR($C242="",$I242="Оплачено",$I242="Отменено",$H242&lt;&gt;""),"",$C242-TODAY())</f>
        <v/>
      </c>
      <c r="M242" s="101">
        <f>IF($C242="","",INDEX(Настройки!$V$6:$V$17,MONTH($C242))&amp;" "&amp;YEAR($C242))</f>
        <v/>
      </c>
      <c r="N242" s="57">
        <f>IF($F242="","",IF(COUNTIF(Постоянные!$C$8:$C$37,$F242)&gt;0,"есть в Постоянных",IF(COUNTIF(Покупки!$C$7:$C$18,$F242)&gt;0,"есть в Покупках","")))</f>
        <v/>
      </c>
      <c r="P242">
        <f>IF($H242&lt;&gt;"",$H242,IF($I242="Оплачено",N($G242),0))</f>
        <v/>
      </c>
      <c r="Q242">
        <f>IF($I242="Отменено",0,IF($G242&lt;&gt;"",$G242,N($H242)))</f>
        <v/>
      </c>
      <c r="R242">
        <f>IF($C242="","",IFERROR(DATE(Настройки!$C$8,Настройки!$D$9+MATCH($M242,Настройки!$X$6:$X$17,0)-1,1),DATE(YEAR($C242),MONTH($C242),1)))</f>
        <v/>
      </c>
      <c r="S242">
        <f>IF(OR($I242="Оплачено",$H242&lt;&gt;""),$P242,$Q242)</f>
        <v/>
      </c>
      <c r="T242">
        <f>IF(OR($C242="",$D242="Доход",$I242="Оплачено",$I242="Отменено",$H242&lt;&gt;"",$C242&lt;TODAY()),"",$C242)</f>
        <v/>
      </c>
      <c r="U242">
        <f>IF(AND($D242&lt;&gt;"Доход",COUNTIFS(Счета!$B$10:$B$21,$J242,Счета!$C$10:$C$21,"Кредитная")&gt;0),1,0)</f>
        <v/>
      </c>
    </row>
    <row r="243" ht="19" customHeight="1">
      <c r="B243" s="53">
        <f>IF(AND($C243="",$F243=""),"",ROW()-9)</f>
        <v/>
      </c>
      <c r="C243" s="213" t="n"/>
      <c r="D243" s="55" t="n"/>
      <c r="E243" s="55" t="n"/>
      <c r="F243" s="56" t="n"/>
      <c r="G243" s="196" t="n"/>
      <c r="H243" s="196" t="n"/>
      <c r="I243" s="55" t="n"/>
      <c r="J243" s="55" t="n"/>
      <c r="K243" s="55" t="n"/>
      <c r="L243" s="100">
        <f>IF(OR($C243="",$I243="Оплачено",$I243="Отменено",$H243&lt;&gt;""),"",$C243-TODAY())</f>
        <v/>
      </c>
      <c r="M243" s="101">
        <f>IF($C243="","",INDEX(Настройки!$V$6:$V$17,MONTH($C243))&amp;" "&amp;YEAR($C243))</f>
        <v/>
      </c>
      <c r="N243" s="57">
        <f>IF($F243="","",IF(COUNTIF(Постоянные!$C$8:$C$37,$F243)&gt;0,"есть в Постоянных",IF(COUNTIF(Покупки!$C$7:$C$18,$F243)&gt;0,"есть в Покупках","")))</f>
        <v/>
      </c>
      <c r="P243">
        <f>IF($H243&lt;&gt;"",$H243,IF($I243="Оплачено",N($G243),0))</f>
        <v/>
      </c>
      <c r="Q243">
        <f>IF($I243="Отменено",0,IF($G243&lt;&gt;"",$G243,N($H243)))</f>
        <v/>
      </c>
      <c r="R243">
        <f>IF($C243="","",IFERROR(DATE(Настройки!$C$8,Настройки!$D$9+MATCH($M243,Настройки!$X$6:$X$17,0)-1,1),DATE(YEAR($C243),MONTH($C243),1)))</f>
        <v/>
      </c>
      <c r="S243">
        <f>IF(OR($I243="Оплачено",$H243&lt;&gt;""),$P243,$Q243)</f>
        <v/>
      </c>
      <c r="T243">
        <f>IF(OR($C243="",$D243="Доход",$I243="Оплачено",$I243="Отменено",$H243&lt;&gt;"",$C243&lt;TODAY()),"",$C243)</f>
        <v/>
      </c>
      <c r="U243">
        <f>IF(AND($D243&lt;&gt;"Доход",COUNTIFS(Счета!$B$10:$B$21,$J243,Счета!$C$10:$C$21,"Кредитная")&gt;0),1,0)</f>
        <v/>
      </c>
    </row>
    <row r="244" ht="19" customHeight="1">
      <c r="B244" s="53">
        <f>IF(AND($C244="",$F244=""),"",ROW()-9)</f>
        <v/>
      </c>
      <c r="C244" s="213" t="n"/>
      <c r="D244" s="55" t="n"/>
      <c r="E244" s="55" t="n"/>
      <c r="F244" s="56" t="n"/>
      <c r="G244" s="196" t="n"/>
      <c r="H244" s="196" t="n"/>
      <c r="I244" s="55" t="n"/>
      <c r="J244" s="55" t="n"/>
      <c r="K244" s="55" t="n"/>
      <c r="L244" s="100">
        <f>IF(OR($C244="",$I244="Оплачено",$I244="Отменено",$H244&lt;&gt;""),"",$C244-TODAY())</f>
        <v/>
      </c>
      <c r="M244" s="101">
        <f>IF($C244="","",INDEX(Настройки!$V$6:$V$17,MONTH($C244))&amp;" "&amp;YEAR($C244))</f>
        <v/>
      </c>
      <c r="N244" s="57">
        <f>IF($F244="","",IF(COUNTIF(Постоянные!$C$8:$C$37,$F244)&gt;0,"есть в Постоянных",IF(COUNTIF(Покупки!$C$7:$C$18,$F244)&gt;0,"есть в Покупках","")))</f>
        <v/>
      </c>
      <c r="P244">
        <f>IF($H244&lt;&gt;"",$H244,IF($I244="Оплачено",N($G244),0))</f>
        <v/>
      </c>
      <c r="Q244">
        <f>IF($I244="Отменено",0,IF($G244&lt;&gt;"",$G244,N($H244)))</f>
        <v/>
      </c>
      <c r="R244">
        <f>IF($C244="","",IFERROR(DATE(Настройки!$C$8,Настройки!$D$9+MATCH($M244,Настройки!$X$6:$X$17,0)-1,1),DATE(YEAR($C244),MONTH($C244),1)))</f>
        <v/>
      </c>
      <c r="S244">
        <f>IF(OR($I244="Оплачено",$H244&lt;&gt;""),$P244,$Q244)</f>
        <v/>
      </c>
      <c r="T244">
        <f>IF(OR($C244="",$D244="Доход",$I244="Оплачено",$I244="Отменено",$H244&lt;&gt;"",$C244&lt;TODAY()),"",$C244)</f>
        <v/>
      </c>
      <c r="U244">
        <f>IF(AND($D244&lt;&gt;"Доход",COUNTIFS(Счета!$B$10:$B$21,$J244,Счета!$C$10:$C$21,"Кредитная")&gt;0),1,0)</f>
        <v/>
      </c>
    </row>
    <row r="245" ht="19" customHeight="1">
      <c r="B245" s="53">
        <f>IF(AND($C245="",$F245=""),"",ROW()-9)</f>
        <v/>
      </c>
      <c r="C245" s="213" t="n"/>
      <c r="D245" s="55" t="n"/>
      <c r="E245" s="55" t="n"/>
      <c r="F245" s="56" t="n"/>
      <c r="G245" s="196" t="n"/>
      <c r="H245" s="196" t="n"/>
      <c r="I245" s="55" t="n"/>
      <c r="J245" s="55" t="n"/>
      <c r="K245" s="55" t="n"/>
      <c r="L245" s="100">
        <f>IF(OR($C245="",$I245="Оплачено",$I245="Отменено",$H245&lt;&gt;""),"",$C245-TODAY())</f>
        <v/>
      </c>
      <c r="M245" s="101">
        <f>IF($C245="","",INDEX(Настройки!$V$6:$V$17,MONTH($C245))&amp;" "&amp;YEAR($C245))</f>
        <v/>
      </c>
      <c r="N245" s="57">
        <f>IF($F245="","",IF(COUNTIF(Постоянные!$C$8:$C$37,$F245)&gt;0,"есть в Постоянных",IF(COUNTIF(Покупки!$C$7:$C$18,$F245)&gt;0,"есть в Покупках","")))</f>
        <v/>
      </c>
      <c r="P245">
        <f>IF($H245&lt;&gt;"",$H245,IF($I245="Оплачено",N($G245),0))</f>
        <v/>
      </c>
      <c r="Q245">
        <f>IF($I245="Отменено",0,IF($G245&lt;&gt;"",$G245,N($H245)))</f>
        <v/>
      </c>
      <c r="R245">
        <f>IF($C245="","",IFERROR(DATE(Настройки!$C$8,Настройки!$D$9+MATCH($M245,Настройки!$X$6:$X$17,0)-1,1),DATE(YEAR($C245),MONTH($C245),1)))</f>
        <v/>
      </c>
      <c r="S245">
        <f>IF(OR($I245="Оплачено",$H245&lt;&gt;""),$P245,$Q245)</f>
        <v/>
      </c>
      <c r="T245">
        <f>IF(OR($C245="",$D245="Доход",$I245="Оплачено",$I245="Отменено",$H245&lt;&gt;"",$C245&lt;TODAY()),"",$C245)</f>
        <v/>
      </c>
      <c r="U245">
        <f>IF(AND($D245&lt;&gt;"Доход",COUNTIFS(Счета!$B$10:$B$21,$J245,Счета!$C$10:$C$21,"Кредитная")&gt;0),1,0)</f>
        <v/>
      </c>
    </row>
    <row r="246" ht="19" customHeight="1">
      <c r="B246" s="53">
        <f>IF(AND($C246="",$F246=""),"",ROW()-9)</f>
        <v/>
      </c>
      <c r="C246" s="213" t="n"/>
      <c r="D246" s="55" t="n"/>
      <c r="E246" s="55" t="n"/>
      <c r="F246" s="56" t="n"/>
      <c r="G246" s="196" t="n"/>
      <c r="H246" s="196" t="n"/>
      <c r="I246" s="55" t="n"/>
      <c r="J246" s="55" t="n"/>
      <c r="K246" s="55" t="n"/>
      <c r="L246" s="100">
        <f>IF(OR($C246="",$I246="Оплачено",$I246="Отменено",$H246&lt;&gt;""),"",$C246-TODAY())</f>
        <v/>
      </c>
      <c r="M246" s="101">
        <f>IF($C246="","",INDEX(Настройки!$V$6:$V$17,MONTH($C246))&amp;" "&amp;YEAR($C246))</f>
        <v/>
      </c>
      <c r="N246" s="57">
        <f>IF($F246="","",IF(COUNTIF(Постоянные!$C$8:$C$37,$F246)&gt;0,"есть в Постоянных",IF(COUNTIF(Покупки!$C$7:$C$18,$F246)&gt;0,"есть в Покупках","")))</f>
        <v/>
      </c>
      <c r="P246">
        <f>IF($H246&lt;&gt;"",$H246,IF($I246="Оплачено",N($G246),0))</f>
        <v/>
      </c>
      <c r="Q246">
        <f>IF($I246="Отменено",0,IF($G246&lt;&gt;"",$G246,N($H246)))</f>
        <v/>
      </c>
      <c r="R246">
        <f>IF($C246="","",IFERROR(DATE(Настройки!$C$8,Настройки!$D$9+MATCH($M246,Настройки!$X$6:$X$17,0)-1,1),DATE(YEAR($C246),MONTH($C246),1)))</f>
        <v/>
      </c>
      <c r="S246">
        <f>IF(OR($I246="Оплачено",$H246&lt;&gt;""),$P246,$Q246)</f>
        <v/>
      </c>
      <c r="T246">
        <f>IF(OR($C246="",$D246="Доход",$I246="Оплачено",$I246="Отменено",$H246&lt;&gt;"",$C246&lt;TODAY()),"",$C246)</f>
        <v/>
      </c>
      <c r="U246">
        <f>IF(AND($D246&lt;&gt;"Доход",COUNTIFS(Счета!$B$10:$B$21,$J246,Счета!$C$10:$C$21,"Кредитная")&gt;0),1,0)</f>
        <v/>
      </c>
    </row>
    <row r="247" ht="19" customHeight="1">
      <c r="B247" s="53">
        <f>IF(AND($C247="",$F247=""),"",ROW()-9)</f>
        <v/>
      </c>
      <c r="C247" s="213" t="n"/>
      <c r="D247" s="55" t="n"/>
      <c r="E247" s="55" t="n"/>
      <c r="F247" s="56" t="n"/>
      <c r="G247" s="196" t="n"/>
      <c r="H247" s="196" t="n"/>
      <c r="I247" s="55" t="n"/>
      <c r="J247" s="55" t="n"/>
      <c r="K247" s="55" t="n"/>
      <c r="L247" s="100">
        <f>IF(OR($C247="",$I247="Оплачено",$I247="Отменено",$H247&lt;&gt;""),"",$C247-TODAY())</f>
        <v/>
      </c>
      <c r="M247" s="101">
        <f>IF($C247="","",INDEX(Настройки!$V$6:$V$17,MONTH($C247))&amp;" "&amp;YEAR($C247))</f>
        <v/>
      </c>
      <c r="N247" s="57">
        <f>IF($F247="","",IF(COUNTIF(Постоянные!$C$8:$C$37,$F247)&gt;0,"есть в Постоянных",IF(COUNTIF(Покупки!$C$7:$C$18,$F247)&gt;0,"есть в Покупках","")))</f>
        <v/>
      </c>
      <c r="P247">
        <f>IF($H247&lt;&gt;"",$H247,IF($I247="Оплачено",N($G247),0))</f>
        <v/>
      </c>
      <c r="Q247">
        <f>IF($I247="Отменено",0,IF($G247&lt;&gt;"",$G247,N($H247)))</f>
        <v/>
      </c>
      <c r="R247">
        <f>IF($C247="","",IFERROR(DATE(Настройки!$C$8,Настройки!$D$9+MATCH($M247,Настройки!$X$6:$X$17,0)-1,1),DATE(YEAR($C247),MONTH($C247),1)))</f>
        <v/>
      </c>
      <c r="S247">
        <f>IF(OR($I247="Оплачено",$H247&lt;&gt;""),$P247,$Q247)</f>
        <v/>
      </c>
      <c r="T247">
        <f>IF(OR($C247="",$D247="Доход",$I247="Оплачено",$I247="Отменено",$H247&lt;&gt;"",$C247&lt;TODAY()),"",$C247)</f>
        <v/>
      </c>
      <c r="U247">
        <f>IF(AND($D247&lt;&gt;"Доход",COUNTIFS(Счета!$B$10:$B$21,$J247,Счета!$C$10:$C$21,"Кредитная")&gt;0),1,0)</f>
        <v/>
      </c>
    </row>
    <row r="248" ht="19" customHeight="1">
      <c r="B248" s="53">
        <f>IF(AND($C248="",$F248=""),"",ROW()-9)</f>
        <v/>
      </c>
      <c r="C248" s="213" t="n"/>
      <c r="D248" s="55" t="n"/>
      <c r="E248" s="55" t="n"/>
      <c r="F248" s="56" t="n"/>
      <c r="G248" s="196" t="n"/>
      <c r="H248" s="196" t="n"/>
      <c r="I248" s="55" t="n"/>
      <c r="J248" s="55" t="n"/>
      <c r="K248" s="55" t="n"/>
      <c r="L248" s="100">
        <f>IF(OR($C248="",$I248="Оплачено",$I248="Отменено",$H248&lt;&gt;""),"",$C248-TODAY())</f>
        <v/>
      </c>
      <c r="M248" s="101">
        <f>IF($C248="","",INDEX(Настройки!$V$6:$V$17,MONTH($C248))&amp;" "&amp;YEAR($C248))</f>
        <v/>
      </c>
      <c r="N248" s="57">
        <f>IF($F248="","",IF(COUNTIF(Постоянные!$C$8:$C$37,$F248)&gt;0,"есть в Постоянных",IF(COUNTIF(Покупки!$C$7:$C$18,$F248)&gt;0,"есть в Покупках","")))</f>
        <v/>
      </c>
      <c r="P248">
        <f>IF($H248&lt;&gt;"",$H248,IF($I248="Оплачено",N($G248),0))</f>
        <v/>
      </c>
      <c r="Q248">
        <f>IF($I248="Отменено",0,IF($G248&lt;&gt;"",$G248,N($H248)))</f>
        <v/>
      </c>
      <c r="R248">
        <f>IF($C248="","",IFERROR(DATE(Настройки!$C$8,Настройки!$D$9+MATCH($M248,Настройки!$X$6:$X$17,0)-1,1),DATE(YEAR($C248),MONTH($C248),1)))</f>
        <v/>
      </c>
      <c r="S248">
        <f>IF(OR($I248="Оплачено",$H248&lt;&gt;""),$P248,$Q248)</f>
        <v/>
      </c>
      <c r="T248">
        <f>IF(OR($C248="",$D248="Доход",$I248="Оплачено",$I248="Отменено",$H248&lt;&gt;"",$C248&lt;TODAY()),"",$C248)</f>
        <v/>
      </c>
      <c r="U248">
        <f>IF(AND($D248&lt;&gt;"Доход",COUNTIFS(Счета!$B$10:$B$21,$J248,Счета!$C$10:$C$21,"Кредитная")&gt;0),1,0)</f>
        <v/>
      </c>
    </row>
    <row r="249" ht="19" customHeight="1">
      <c r="B249" s="53">
        <f>IF(AND($C249="",$F249=""),"",ROW()-9)</f>
        <v/>
      </c>
      <c r="C249" s="213" t="n"/>
      <c r="D249" s="55" t="n"/>
      <c r="E249" s="55" t="n"/>
      <c r="F249" s="56" t="n"/>
      <c r="G249" s="196" t="n"/>
      <c r="H249" s="196" t="n"/>
      <c r="I249" s="55" t="n"/>
      <c r="J249" s="55" t="n"/>
      <c r="K249" s="55" t="n"/>
      <c r="L249" s="100">
        <f>IF(OR($C249="",$I249="Оплачено",$I249="Отменено",$H249&lt;&gt;""),"",$C249-TODAY())</f>
        <v/>
      </c>
      <c r="M249" s="101">
        <f>IF($C249="","",INDEX(Настройки!$V$6:$V$17,MONTH($C249))&amp;" "&amp;YEAR($C249))</f>
        <v/>
      </c>
      <c r="N249" s="57">
        <f>IF($F249="","",IF(COUNTIF(Постоянные!$C$8:$C$37,$F249)&gt;0,"есть в Постоянных",IF(COUNTIF(Покупки!$C$7:$C$18,$F249)&gt;0,"есть в Покупках","")))</f>
        <v/>
      </c>
      <c r="P249">
        <f>IF($H249&lt;&gt;"",$H249,IF($I249="Оплачено",N($G249),0))</f>
        <v/>
      </c>
      <c r="Q249">
        <f>IF($I249="Отменено",0,IF($G249&lt;&gt;"",$G249,N($H249)))</f>
        <v/>
      </c>
      <c r="R249">
        <f>IF($C249="","",IFERROR(DATE(Настройки!$C$8,Настройки!$D$9+MATCH($M249,Настройки!$X$6:$X$17,0)-1,1),DATE(YEAR($C249),MONTH($C249),1)))</f>
        <v/>
      </c>
      <c r="S249">
        <f>IF(OR($I249="Оплачено",$H249&lt;&gt;""),$P249,$Q249)</f>
        <v/>
      </c>
      <c r="T249">
        <f>IF(OR($C249="",$D249="Доход",$I249="Оплачено",$I249="Отменено",$H249&lt;&gt;"",$C249&lt;TODAY()),"",$C249)</f>
        <v/>
      </c>
      <c r="U249">
        <f>IF(AND($D249&lt;&gt;"Доход",COUNTIFS(Счета!$B$10:$B$21,$J249,Счета!$C$10:$C$21,"Кредитная")&gt;0),1,0)</f>
        <v/>
      </c>
    </row>
    <row r="250" ht="19" customHeight="1">
      <c r="B250" s="53">
        <f>IF(AND($C250="",$F250=""),"",ROW()-9)</f>
        <v/>
      </c>
      <c r="C250" s="213" t="n"/>
      <c r="D250" s="55" t="n"/>
      <c r="E250" s="55" t="n"/>
      <c r="F250" s="56" t="n"/>
      <c r="G250" s="196" t="n"/>
      <c r="H250" s="196" t="n"/>
      <c r="I250" s="55" t="n"/>
      <c r="J250" s="55" t="n"/>
      <c r="K250" s="55" t="n"/>
      <c r="L250" s="100">
        <f>IF(OR($C250="",$I250="Оплачено",$I250="Отменено",$H250&lt;&gt;""),"",$C250-TODAY())</f>
        <v/>
      </c>
      <c r="M250" s="101">
        <f>IF($C250="","",INDEX(Настройки!$V$6:$V$17,MONTH($C250))&amp;" "&amp;YEAR($C250))</f>
        <v/>
      </c>
      <c r="N250" s="57">
        <f>IF($F250="","",IF(COUNTIF(Постоянные!$C$8:$C$37,$F250)&gt;0,"есть в Постоянных",IF(COUNTIF(Покупки!$C$7:$C$18,$F250)&gt;0,"есть в Покупках","")))</f>
        <v/>
      </c>
      <c r="P250">
        <f>IF($H250&lt;&gt;"",$H250,IF($I250="Оплачено",N($G250),0))</f>
        <v/>
      </c>
      <c r="Q250">
        <f>IF($I250="Отменено",0,IF($G250&lt;&gt;"",$G250,N($H250)))</f>
        <v/>
      </c>
      <c r="R250">
        <f>IF($C250="","",IFERROR(DATE(Настройки!$C$8,Настройки!$D$9+MATCH($M250,Настройки!$X$6:$X$17,0)-1,1),DATE(YEAR($C250),MONTH($C250),1)))</f>
        <v/>
      </c>
      <c r="S250">
        <f>IF(OR($I250="Оплачено",$H250&lt;&gt;""),$P250,$Q250)</f>
        <v/>
      </c>
      <c r="T250">
        <f>IF(OR($C250="",$D250="Доход",$I250="Оплачено",$I250="Отменено",$H250&lt;&gt;"",$C250&lt;TODAY()),"",$C250)</f>
        <v/>
      </c>
      <c r="U250">
        <f>IF(AND($D250&lt;&gt;"Доход",COUNTIFS(Счета!$B$10:$B$21,$J250,Счета!$C$10:$C$21,"Кредитная")&gt;0),1,0)</f>
        <v/>
      </c>
    </row>
    <row r="251" ht="19" customHeight="1">
      <c r="B251" s="53">
        <f>IF(AND($C251="",$F251=""),"",ROW()-9)</f>
        <v/>
      </c>
      <c r="C251" s="213" t="n"/>
      <c r="D251" s="55" t="n"/>
      <c r="E251" s="55" t="n"/>
      <c r="F251" s="56" t="n"/>
      <c r="G251" s="196" t="n"/>
      <c r="H251" s="196" t="n"/>
      <c r="I251" s="55" t="n"/>
      <c r="J251" s="55" t="n"/>
      <c r="K251" s="55" t="n"/>
      <c r="L251" s="100">
        <f>IF(OR($C251="",$I251="Оплачено",$I251="Отменено",$H251&lt;&gt;""),"",$C251-TODAY())</f>
        <v/>
      </c>
      <c r="M251" s="101">
        <f>IF($C251="","",INDEX(Настройки!$V$6:$V$17,MONTH($C251))&amp;" "&amp;YEAR($C251))</f>
        <v/>
      </c>
      <c r="N251" s="57">
        <f>IF($F251="","",IF(COUNTIF(Постоянные!$C$8:$C$37,$F251)&gt;0,"есть в Постоянных",IF(COUNTIF(Покупки!$C$7:$C$18,$F251)&gt;0,"есть в Покупках","")))</f>
        <v/>
      </c>
      <c r="P251">
        <f>IF($H251&lt;&gt;"",$H251,IF($I251="Оплачено",N($G251),0))</f>
        <v/>
      </c>
      <c r="Q251">
        <f>IF($I251="Отменено",0,IF($G251&lt;&gt;"",$G251,N($H251)))</f>
        <v/>
      </c>
      <c r="R251">
        <f>IF($C251="","",IFERROR(DATE(Настройки!$C$8,Настройки!$D$9+MATCH($M251,Настройки!$X$6:$X$17,0)-1,1),DATE(YEAR($C251),MONTH($C251),1)))</f>
        <v/>
      </c>
      <c r="S251">
        <f>IF(OR($I251="Оплачено",$H251&lt;&gt;""),$P251,$Q251)</f>
        <v/>
      </c>
      <c r="T251">
        <f>IF(OR($C251="",$D251="Доход",$I251="Оплачено",$I251="Отменено",$H251&lt;&gt;"",$C251&lt;TODAY()),"",$C251)</f>
        <v/>
      </c>
      <c r="U251">
        <f>IF(AND($D251&lt;&gt;"Доход",COUNTIFS(Счета!$B$10:$B$21,$J251,Счета!$C$10:$C$21,"Кредитная")&gt;0),1,0)</f>
        <v/>
      </c>
    </row>
    <row r="252" ht="19" customHeight="1">
      <c r="B252" s="53">
        <f>IF(AND($C252="",$F252=""),"",ROW()-9)</f>
        <v/>
      </c>
      <c r="C252" s="213" t="n"/>
      <c r="D252" s="55" t="n"/>
      <c r="E252" s="55" t="n"/>
      <c r="F252" s="56" t="n"/>
      <c r="G252" s="196" t="n"/>
      <c r="H252" s="196" t="n"/>
      <c r="I252" s="55" t="n"/>
      <c r="J252" s="55" t="n"/>
      <c r="K252" s="55" t="n"/>
      <c r="L252" s="100">
        <f>IF(OR($C252="",$I252="Оплачено",$I252="Отменено",$H252&lt;&gt;""),"",$C252-TODAY())</f>
        <v/>
      </c>
      <c r="M252" s="101">
        <f>IF($C252="","",INDEX(Настройки!$V$6:$V$17,MONTH($C252))&amp;" "&amp;YEAR($C252))</f>
        <v/>
      </c>
      <c r="N252" s="57">
        <f>IF($F252="","",IF(COUNTIF(Постоянные!$C$8:$C$37,$F252)&gt;0,"есть в Постоянных",IF(COUNTIF(Покупки!$C$7:$C$18,$F252)&gt;0,"есть в Покупках","")))</f>
        <v/>
      </c>
      <c r="P252">
        <f>IF($H252&lt;&gt;"",$H252,IF($I252="Оплачено",N($G252),0))</f>
        <v/>
      </c>
      <c r="Q252">
        <f>IF($I252="Отменено",0,IF($G252&lt;&gt;"",$G252,N($H252)))</f>
        <v/>
      </c>
      <c r="R252">
        <f>IF($C252="","",IFERROR(DATE(Настройки!$C$8,Настройки!$D$9+MATCH($M252,Настройки!$X$6:$X$17,0)-1,1),DATE(YEAR($C252),MONTH($C252),1)))</f>
        <v/>
      </c>
      <c r="S252">
        <f>IF(OR($I252="Оплачено",$H252&lt;&gt;""),$P252,$Q252)</f>
        <v/>
      </c>
      <c r="T252">
        <f>IF(OR($C252="",$D252="Доход",$I252="Оплачено",$I252="Отменено",$H252&lt;&gt;"",$C252&lt;TODAY()),"",$C252)</f>
        <v/>
      </c>
      <c r="U252">
        <f>IF(AND($D252&lt;&gt;"Доход",COUNTIFS(Счета!$B$10:$B$21,$J252,Счета!$C$10:$C$21,"Кредитная")&gt;0),1,0)</f>
        <v/>
      </c>
    </row>
    <row r="253" ht="19" customHeight="1">
      <c r="B253" s="53">
        <f>IF(AND($C253="",$F253=""),"",ROW()-9)</f>
        <v/>
      </c>
      <c r="C253" s="213" t="n"/>
      <c r="D253" s="55" t="n"/>
      <c r="E253" s="55" t="n"/>
      <c r="F253" s="56" t="n"/>
      <c r="G253" s="196" t="n"/>
      <c r="H253" s="196" t="n"/>
      <c r="I253" s="55" t="n"/>
      <c r="J253" s="55" t="n"/>
      <c r="K253" s="55" t="n"/>
      <c r="L253" s="100">
        <f>IF(OR($C253="",$I253="Оплачено",$I253="Отменено",$H253&lt;&gt;""),"",$C253-TODAY())</f>
        <v/>
      </c>
      <c r="M253" s="101">
        <f>IF($C253="","",INDEX(Настройки!$V$6:$V$17,MONTH($C253))&amp;" "&amp;YEAR($C253))</f>
        <v/>
      </c>
      <c r="N253" s="57">
        <f>IF($F253="","",IF(COUNTIF(Постоянные!$C$8:$C$37,$F253)&gt;0,"есть в Постоянных",IF(COUNTIF(Покупки!$C$7:$C$18,$F253)&gt;0,"есть в Покупках","")))</f>
        <v/>
      </c>
      <c r="P253">
        <f>IF($H253&lt;&gt;"",$H253,IF($I253="Оплачено",N($G253),0))</f>
        <v/>
      </c>
      <c r="Q253">
        <f>IF($I253="Отменено",0,IF($G253&lt;&gt;"",$G253,N($H253)))</f>
        <v/>
      </c>
      <c r="R253">
        <f>IF($C253="","",IFERROR(DATE(Настройки!$C$8,Настройки!$D$9+MATCH($M253,Настройки!$X$6:$X$17,0)-1,1),DATE(YEAR($C253),MONTH($C253),1)))</f>
        <v/>
      </c>
      <c r="S253">
        <f>IF(OR($I253="Оплачено",$H253&lt;&gt;""),$P253,$Q253)</f>
        <v/>
      </c>
      <c r="T253">
        <f>IF(OR($C253="",$D253="Доход",$I253="Оплачено",$I253="Отменено",$H253&lt;&gt;"",$C253&lt;TODAY()),"",$C253)</f>
        <v/>
      </c>
      <c r="U253">
        <f>IF(AND($D253&lt;&gt;"Доход",COUNTIFS(Счета!$B$10:$B$21,$J253,Счета!$C$10:$C$21,"Кредитная")&gt;0),1,0)</f>
        <v/>
      </c>
    </row>
    <row r="254" ht="19" customHeight="1">
      <c r="B254" s="53">
        <f>IF(AND($C254="",$F254=""),"",ROW()-9)</f>
        <v/>
      </c>
      <c r="C254" s="213" t="n"/>
      <c r="D254" s="55" t="n"/>
      <c r="E254" s="55" t="n"/>
      <c r="F254" s="56" t="n"/>
      <c r="G254" s="196" t="n"/>
      <c r="H254" s="196" t="n"/>
      <c r="I254" s="55" t="n"/>
      <c r="J254" s="55" t="n"/>
      <c r="K254" s="55" t="n"/>
      <c r="L254" s="100">
        <f>IF(OR($C254="",$I254="Оплачено",$I254="Отменено",$H254&lt;&gt;""),"",$C254-TODAY())</f>
        <v/>
      </c>
      <c r="M254" s="101">
        <f>IF($C254="","",INDEX(Настройки!$V$6:$V$17,MONTH($C254))&amp;" "&amp;YEAR($C254))</f>
        <v/>
      </c>
      <c r="N254" s="57">
        <f>IF($F254="","",IF(COUNTIF(Постоянные!$C$8:$C$37,$F254)&gt;0,"есть в Постоянных",IF(COUNTIF(Покупки!$C$7:$C$18,$F254)&gt;0,"есть в Покупках","")))</f>
        <v/>
      </c>
      <c r="P254">
        <f>IF($H254&lt;&gt;"",$H254,IF($I254="Оплачено",N($G254),0))</f>
        <v/>
      </c>
      <c r="Q254">
        <f>IF($I254="Отменено",0,IF($G254&lt;&gt;"",$G254,N($H254)))</f>
        <v/>
      </c>
      <c r="R254">
        <f>IF($C254="","",IFERROR(DATE(Настройки!$C$8,Настройки!$D$9+MATCH($M254,Настройки!$X$6:$X$17,0)-1,1),DATE(YEAR($C254),MONTH($C254),1)))</f>
        <v/>
      </c>
      <c r="S254">
        <f>IF(OR($I254="Оплачено",$H254&lt;&gt;""),$P254,$Q254)</f>
        <v/>
      </c>
      <c r="T254">
        <f>IF(OR($C254="",$D254="Доход",$I254="Оплачено",$I254="Отменено",$H254&lt;&gt;"",$C254&lt;TODAY()),"",$C254)</f>
        <v/>
      </c>
      <c r="U254">
        <f>IF(AND($D254&lt;&gt;"Доход",COUNTIFS(Счета!$B$10:$B$21,$J254,Счета!$C$10:$C$21,"Кредитная")&gt;0),1,0)</f>
        <v/>
      </c>
    </row>
    <row r="255" ht="19" customHeight="1">
      <c r="B255" s="53">
        <f>IF(AND($C255="",$F255=""),"",ROW()-9)</f>
        <v/>
      </c>
      <c r="C255" s="213" t="n"/>
      <c r="D255" s="55" t="n"/>
      <c r="E255" s="55" t="n"/>
      <c r="F255" s="56" t="n"/>
      <c r="G255" s="196" t="n"/>
      <c r="H255" s="196" t="n"/>
      <c r="I255" s="55" t="n"/>
      <c r="J255" s="55" t="n"/>
      <c r="K255" s="55" t="n"/>
      <c r="L255" s="100">
        <f>IF(OR($C255="",$I255="Оплачено",$I255="Отменено",$H255&lt;&gt;""),"",$C255-TODAY())</f>
        <v/>
      </c>
      <c r="M255" s="101">
        <f>IF($C255="","",INDEX(Настройки!$V$6:$V$17,MONTH($C255))&amp;" "&amp;YEAR($C255))</f>
        <v/>
      </c>
      <c r="N255" s="57">
        <f>IF($F255="","",IF(COUNTIF(Постоянные!$C$8:$C$37,$F255)&gt;0,"есть в Постоянных",IF(COUNTIF(Покупки!$C$7:$C$18,$F255)&gt;0,"есть в Покупках","")))</f>
        <v/>
      </c>
      <c r="P255">
        <f>IF($H255&lt;&gt;"",$H255,IF($I255="Оплачено",N($G255),0))</f>
        <v/>
      </c>
      <c r="Q255">
        <f>IF($I255="Отменено",0,IF($G255&lt;&gt;"",$G255,N($H255)))</f>
        <v/>
      </c>
      <c r="R255">
        <f>IF($C255="","",IFERROR(DATE(Настройки!$C$8,Настройки!$D$9+MATCH($M255,Настройки!$X$6:$X$17,0)-1,1),DATE(YEAR($C255),MONTH($C255),1)))</f>
        <v/>
      </c>
      <c r="S255">
        <f>IF(OR($I255="Оплачено",$H255&lt;&gt;""),$P255,$Q255)</f>
        <v/>
      </c>
      <c r="T255">
        <f>IF(OR($C255="",$D255="Доход",$I255="Оплачено",$I255="Отменено",$H255&lt;&gt;"",$C255&lt;TODAY()),"",$C255)</f>
        <v/>
      </c>
      <c r="U255">
        <f>IF(AND($D255&lt;&gt;"Доход",COUNTIFS(Счета!$B$10:$B$21,$J255,Счета!$C$10:$C$21,"Кредитная")&gt;0),1,0)</f>
        <v/>
      </c>
    </row>
    <row r="256" ht="19" customHeight="1">
      <c r="B256" s="53">
        <f>IF(AND($C256="",$F256=""),"",ROW()-9)</f>
        <v/>
      </c>
      <c r="C256" s="213" t="n"/>
      <c r="D256" s="55" t="n"/>
      <c r="E256" s="55" t="n"/>
      <c r="F256" s="56" t="n"/>
      <c r="G256" s="196" t="n"/>
      <c r="H256" s="196" t="n"/>
      <c r="I256" s="55" t="n"/>
      <c r="J256" s="55" t="n"/>
      <c r="K256" s="55" t="n"/>
      <c r="L256" s="100">
        <f>IF(OR($C256="",$I256="Оплачено",$I256="Отменено",$H256&lt;&gt;""),"",$C256-TODAY())</f>
        <v/>
      </c>
      <c r="M256" s="101">
        <f>IF($C256="","",INDEX(Настройки!$V$6:$V$17,MONTH($C256))&amp;" "&amp;YEAR($C256))</f>
        <v/>
      </c>
      <c r="N256" s="57">
        <f>IF($F256="","",IF(COUNTIF(Постоянные!$C$8:$C$37,$F256)&gt;0,"есть в Постоянных",IF(COUNTIF(Покупки!$C$7:$C$18,$F256)&gt;0,"есть в Покупках","")))</f>
        <v/>
      </c>
      <c r="P256">
        <f>IF($H256&lt;&gt;"",$H256,IF($I256="Оплачено",N($G256),0))</f>
        <v/>
      </c>
      <c r="Q256">
        <f>IF($I256="Отменено",0,IF($G256&lt;&gt;"",$G256,N($H256)))</f>
        <v/>
      </c>
      <c r="R256">
        <f>IF($C256="","",IFERROR(DATE(Настройки!$C$8,Настройки!$D$9+MATCH($M256,Настройки!$X$6:$X$17,0)-1,1),DATE(YEAR($C256),MONTH($C256),1)))</f>
        <v/>
      </c>
      <c r="S256">
        <f>IF(OR($I256="Оплачено",$H256&lt;&gt;""),$P256,$Q256)</f>
        <v/>
      </c>
      <c r="T256">
        <f>IF(OR($C256="",$D256="Доход",$I256="Оплачено",$I256="Отменено",$H256&lt;&gt;"",$C256&lt;TODAY()),"",$C256)</f>
        <v/>
      </c>
      <c r="U256">
        <f>IF(AND($D256&lt;&gt;"Доход",COUNTIFS(Счета!$B$10:$B$21,$J256,Счета!$C$10:$C$21,"Кредитная")&gt;0),1,0)</f>
        <v/>
      </c>
    </row>
    <row r="257" ht="19" customHeight="1">
      <c r="B257" s="53">
        <f>IF(AND($C257="",$F257=""),"",ROW()-9)</f>
        <v/>
      </c>
      <c r="C257" s="213" t="n"/>
      <c r="D257" s="55" t="n"/>
      <c r="E257" s="55" t="n"/>
      <c r="F257" s="56" t="n"/>
      <c r="G257" s="196" t="n"/>
      <c r="H257" s="196" t="n"/>
      <c r="I257" s="55" t="n"/>
      <c r="J257" s="55" t="n"/>
      <c r="K257" s="55" t="n"/>
      <c r="L257" s="100">
        <f>IF(OR($C257="",$I257="Оплачено",$I257="Отменено",$H257&lt;&gt;""),"",$C257-TODAY())</f>
        <v/>
      </c>
      <c r="M257" s="101">
        <f>IF($C257="","",INDEX(Настройки!$V$6:$V$17,MONTH($C257))&amp;" "&amp;YEAR($C257))</f>
        <v/>
      </c>
      <c r="N257" s="57">
        <f>IF($F257="","",IF(COUNTIF(Постоянные!$C$8:$C$37,$F257)&gt;0,"есть в Постоянных",IF(COUNTIF(Покупки!$C$7:$C$18,$F257)&gt;0,"есть в Покупках","")))</f>
        <v/>
      </c>
      <c r="P257">
        <f>IF($H257&lt;&gt;"",$H257,IF($I257="Оплачено",N($G257),0))</f>
        <v/>
      </c>
      <c r="Q257">
        <f>IF($I257="Отменено",0,IF($G257&lt;&gt;"",$G257,N($H257)))</f>
        <v/>
      </c>
      <c r="R257">
        <f>IF($C257="","",IFERROR(DATE(Настройки!$C$8,Настройки!$D$9+MATCH($M257,Настройки!$X$6:$X$17,0)-1,1),DATE(YEAR($C257),MONTH($C257),1)))</f>
        <v/>
      </c>
      <c r="S257">
        <f>IF(OR($I257="Оплачено",$H257&lt;&gt;""),$P257,$Q257)</f>
        <v/>
      </c>
      <c r="T257">
        <f>IF(OR($C257="",$D257="Доход",$I257="Оплачено",$I257="Отменено",$H257&lt;&gt;"",$C257&lt;TODAY()),"",$C257)</f>
        <v/>
      </c>
      <c r="U257">
        <f>IF(AND($D257&lt;&gt;"Доход",COUNTIFS(Счета!$B$10:$B$21,$J257,Счета!$C$10:$C$21,"Кредитная")&gt;0),1,0)</f>
        <v/>
      </c>
    </row>
    <row r="258" ht="19" customHeight="1">
      <c r="B258" s="53">
        <f>IF(AND($C258="",$F258=""),"",ROW()-9)</f>
        <v/>
      </c>
      <c r="C258" s="213" t="n"/>
      <c r="D258" s="55" t="n"/>
      <c r="E258" s="55" t="n"/>
      <c r="F258" s="56" t="n"/>
      <c r="G258" s="196" t="n"/>
      <c r="H258" s="196" t="n"/>
      <c r="I258" s="55" t="n"/>
      <c r="J258" s="55" t="n"/>
      <c r="K258" s="55" t="n"/>
      <c r="L258" s="100">
        <f>IF(OR($C258="",$I258="Оплачено",$I258="Отменено",$H258&lt;&gt;""),"",$C258-TODAY())</f>
        <v/>
      </c>
      <c r="M258" s="101">
        <f>IF($C258="","",INDEX(Настройки!$V$6:$V$17,MONTH($C258))&amp;" "&amp;YEAR($C258))</f>
        <v/>
      </c>
      <c r="N258" s="57">
        <f>IF($F258="","",IF(COUNTIF(Постоянные!$C$8:$C$37,$F258)&gt;0,"есть в Постоянных",IF(COUNTIF(Покупки!$C$7:$C$18,$F258)&gt;0,"есть в Покупках","")))</f>
        <v/>
      </c>
      <c r="P258">
        <f>IF($H258&lt;&gt;"",$H258,IF($I258="Оплачено",N($G258),0))</f>
        <v/>
      </c>
      <c r="Q258">
        <f>IF($I258="Отменено",0,IF($G258&lt;&gt;"",$G258,N($H258)))</f>
        <v/>
      </c>
      <c r="R258">
        <f>IF($C258="","",IFERROR(DATE(Настройки!$C$8,Настройки!$D$9+MATCH($M258,Настройки!$X$6:$X$17,0)-1,1),DATE(YEAR($C258),MONTH($C258),1)))</f>
        <v/>
      </c>
      <c r="S258">
        <f>IF(OR($I258="Оплачено",$H258&lt;&gt;""),$P258,$Q258)</f>
        <v/>
      </c>
      <c r="T258">
        <f>IF(OR($C258="",$D258="Доход",$I258="Оплачено",$I258="Отменено",$H258&lt;&gt;"",$C258&lt;TODAY()),"",$C258)</f>
        <v/>
      </c>
      <c r="U258">
        <f>IF(AND($D258&lt;&gt;"Доход",COUNTIFS(Счета!$B$10:$B$21,$J258,Счета!$C$10:$C$21,"Кредитная")&gt;0),1,0)</f>
        <v/>
      </c>
    </row>
    <row r="259" ht="19" customHeight="1">
      <c r="B259" s="53">
        <f>IF(AND($C259="",$F259=""),"",ROW()-9)</f>
        <v/>
      </c>
      <c r="C259" s="213" t="n"/>
      <c r="D259" s="55" t="n"/>
      <c r="E259" s="55" t="n"/>
      <c r="F259" s="56" t="n"/>
      <c r="G259" s="196" t="n"/>
      <c r="H259" s="196" t="n"/>
      <c r="I259" s="55" t="n"/>
      <c r="J259" s="55" t="n"/>
      <c r="K259" s="55" t="n"/>
      <c r="L259" s="100">
        <f>IF(OR($C259="",$I259="Оплачено",$I259="Отменено",$H259&lt;&gt;""),"",$C259-TODAY())</f>
        <v/>
      </c>
      <c r="M259" s="101">
        <f>IF($C259="","",INDEX(Настройки!$V$6:$V$17,MONTH($C259))&amp;" "&amp;YEAR($C259))</f>
        <v/>
      </c>
      <c r="N259" s="57">
        <f>IF($F259="","",IF(COUNTIF(Постоянные!$C$8:$C$37,$F259)&gt;0,"есть в Постоянных",IF(COUNTIF(Покупки!$C$7:$C$18,$F259)&gt;0,"есть в Покупках","")))</f>
        <v/>
      </c>
      <c r="P259">
        <f>IF($H259&lt;&gt;"",$H259,IF($I259="Оплачено",N($G259),0))</f>
        <v/>
      </c>
      <c r="Q259">
        <f>IF($I259="Отменено",0,IF($G259&lt;&gt;"",$G259,N($H259)))</f>
        <v/>
      </c>
      <c r="R259">
        <f>IF($C259="","",IFERROR(DATE(Настройки!$C$8,Настройки!$D$9+MATCH($M259,Настройки!$X$6:$X$17,0)-1,1),DATE(YEAR($C259),MONTH($C259),1)))</f>
        <v/>
      </c>
      <c r="S259">
        <f>IF(OR($I259="Оплачено",$H259&lt;&gt;""),$P259,$Q259)</f>
        <v/>
      </c>
      <c r="T259">
        <f>IF(OR($C259="",$D259="Доход",$I259="Оплачено",$I259="Отменено",$H259&lt;&gt;"",$C259&lt;TODAY()),"",$C259)</f>
        <v/>
      </c>
      <c r="U259">
        <f>IF(AND($D259&lt;&gt;"Доход",COUNTIFS(Счета!$B$10:$B$21,$J259,Счета!$C$10:$C$21,"Кредитная")&gt;0),1,0)</f>
        <v/>
      </c>
    </row>
    <row r="260" ht="19" customHeight="1">
      <c r="B260" s="53">
        <f>IF(AND($C260="",$F260=""),"",ROW()-9)</f>
        <v/>
      </c>
      <c r="C260" s="213" t="n"/>
      <c r="D260" s="55" t="n"/>
      <c r="E260" s="55" t="n"/>
      <c r="F260" s="56" t="n"/>
      <c r="G260" s="196" t="n"/>
      <c r="H260" s="196" t="n"/>
      <c r="I260" s="55" t="n"/>
      <c r="J260" s="55" t="n"/>
      <c r="K260" s="55" t="n"/>
      <c r="L260" s="100">
        <f>IF(OR($C260="",$I260="Оплачено",$I260="Отменено",$H260&lt;&gt;""),"",$C260-TODAY())</f>
        <v/>
      </c>
      <c r="M260" s="101">
        <f>IF($C260="","",INDEX(Настройки!$V$6:$V$17,MONTH($C260))&amp;" "&amp;YEAR($C260))</f>
        <v/>
      </c>
      <c r="N260" s="57">
        <f>IF($F260="","",IF(COUNTIF(Постоянные!$C$8:$C$37,$F260)&gt;0,"есть в Постоянных",IF(COUNTIF(Покупки!$C$7:$C$18,$F260)&gt;0,"есть в Покупках","")))</f>
        <v/>
      </c>
      <c r="P260">
        <f>IF($H260&lt;&gt;"",$H260,IF($I260="Оплачено",N($G260),0))</f>
        <v/>
      </c>
      <c r="Q260">
        <f>IF($I260="Отменено",0,IF($G260&lt;&gt;"",$G260,N($H260)))</f>
        <v/>
      </c>
      <c r="R260">
        <f>IF($C260="","",IFERROR(DATE(Настройки!$C$8,Настройки!$D$9+MATCH($M260,Настройки!$X$6:$X$17,0)-1,1),DATE(YEAR($C260),MONTH($C260),1)))</f>
        <v/>
      </c>
      <c r="S260">
        <f>IF(OR($I260="Оплачено",$H260&lt;&gt;""),$P260,$Q260)</f>
        <v/>
      </c>
      <c r="T260">
        <f>IF(OR($C260="",$D260="Доход",$I260="Оплачено",$I260="Отменено",$H260&lt;&gt;"",$C260&lt;TODAY()),"",$C260)</f>
        <v/>
      </c>
      <c r="U260">
        <f>IF(AND($D260&lt;&gt;"Доход",COUNTIFS(Счета!$B$10:$B$21,$J260,Счета!$C$10:$C$21,"Кредитная")&gt;0),1,0)</f>
        <v/>
      </c>
    </row>
    <row r="261" ht="19" customHeight="1">
      <c r="B261" s="53">
        <f>IF(AND($C261="",$F261=""),"",ROW()-9)</f>
        <v/>
      </c>
      <c r="C261" s="213" t="n"/>
      <c r="D261" s="55" t="n"/>
      <c r="E261" s="55" t="n"/>
      <c r="F261" s="56" t="n"/>
      <c r="G261" s="196" t="n"/>
      <c r="H261" s="196" t="n"/>
      <c r="I261" s="55" t="n"/>
      <c r="J261" s="55" t="n"/>
      <c r="K261" s="55" t="n"/>
      <c r="L261" s="100">
        <f>IF(OR($C261="",$I261="Оплачено",$I261="Отменено",$H261&lt;&gt;""),"",$C261-TODAY())</f>
        <v/>
      </c>
      <c r="M261" s="101">
        <f>IF($C261="","",INDEX(Настройки!$V$6:$V$17,MONTH($C261))&amp;" "&amp;YEAR($C261))</f>
        <v/>
      </c>
      <c r="N261" s="57">
        <f>IF($F261="","",IF(COUNTIF(Постоянные!$C$8:$C$37,$F261)&gt;0,"есть в Постоянных",IF(COUNTIF(Покупки!$C$7:$C$18,$F261)&gt;0,"есть в Покупках","")))</f>
        <v/>
      </c>
      <c r="P261">
        <f>IF($H261&lt;&gt;"",$H261,IF($I261="Оплачено",N($G261),0))</f>
        <v/>
      </c>
      <c r="Q261">
        <f>IF($I261="Отменено",0,IF($G261&lt;&gt;"",$G261,N($H261)))</f>
        <v/>
      </c>
      <c r="R261">
        <f>IF($C261="","",IFERROR(DATE(Настройки!$C$8,Настройки!$D$9+MATCH($M261,Настройки!$X$6:$X$17,0)-1,1),DATE(YEAR($C261),MONTH($C261),1)))</f>
        <v/>
      </c>
      <c r="S261">
        <f>IF(OR($I261="Оплачено",$H261&lt;&gt;""),$P261,$Q261)</f>
        <v/>
      </c>
      <c r="T261">
        <f>IF(OR($C261="",$D261="Доход",$I261="Оплачено",$I261="Отменено",$H261&lt;&gt;"",$C261&lt;TODAY()),"",$C261)</f>
        <v/>
      </c>
      <c r="U261">
        <f>IF(AND($D261&lt;&gt;"Доход",COUNTIFS(Счета!$B$10:$B$21,$J261,Счета!$C$10:$C$21,"Кредитная")&gt;0),1,0)</f>
        <v/>
      </c>
    </row>
    <row r="262" ht="19" customHeight="1">
      <c r="B262" s="53">
        <f>IF(AND($C262="",$F262=""),"",ROW()-9)</f>
        <v/>
      </c>
      <c r="C262" s="213" t="n"/>
      <c r="D262" s="55" t="n"/>
      <c r="E262" s="55" t="n"/>
      <c r="F262" s="56" t="n"/>
      <c r="G262" s="196" t="n"/>
      <c r="H262" s="196" t="n"/>
      <c r="I262" s="55" t="n"/>
      <c r="J262" s="55" t="n"/>
      <c r="K262" s="55" t="n"/>
      <c r="L262" s="100">
        <f>IF(OR($C262="",$I262="Оплачено",$I262="Отменено",$H262&lt;&gt;""),"",$C262-TODAY())</f>
        <v/>
      </c>
      <c r="M262" s="101">
        <f>IF($C262="","",INDEX(Настройки!$V$6:$V$17,MONTH($C262))&amp;" "&amp;YEAR($C262))</f>
        <v/>
      </c>
      <c r="N262" s="57">
        <f>IF($F262="","",IF(COUNTIF(Постоянные!$C$8:$C$37,$F262)&gt;0,"есть в Постоянных",IF(COUNTIF(Покупки!$C$7:$C$18,$F262)&gt;0,"есть в Покупках","")))</f>
        <v/>
      </c>
      <c r="P262">
        <f>IF($H262&lt;&gt;"",$H262,IF($I262="Оплачено",N($G262),0))</f>
        <v/>
      </c>
      <c r="Q262">
        <f>IF($I262="Отменено",0,IF($G262&lt;&gt;"",$G262,N($H262)))</f>
        <v/>
      </c>
      <c r="R262">
        <f>IF($C262="","",IFERROR(DATE(Настройки!$C$8,Настройки!$D$9+MATCH($M262,Настройки!$X$6:$X$17,0)-1,1),DATE(YEAR($C262),MONTH($C262),1)))</f>
        <v/>
      </c>
      <c r="S262">
        <f>IF(OR($I262="Оплачено",$H262&lt;&gt;""),$P262,$Q262)</f>
        <v/>
      </c>
      <c r="T262">
        <f>IF(OR($C262="",$D262="Доход",$I262="Оплачено",$I262="Отменено",$H262&lt;&gt;"",$C262&lt;TODAY()),"",$C262)</f>
        <v/>
      </c>
      <c r="U262">
        <f>IF(AND($D262&lt;&gt;"Доход",COUNTIFS(Счета!$B$10:$B$21,$J262,Счета!$C$10:$C$21,"Кредитная")&gt;0),1,0)</f>
        <v/>
      </c>
    </row>
    <row r="263" ht="19" customHeight="1">
      <c r="B263" s="53">
        <f>IF(AND($C263="",$F263=""),"",ROW()-9)</f>
        <v/>
      </c>
      <c r="C263" s="213" t="n"/>
      <c r="D263" s="55" t="n"/>
      <c r="E263" s="55" t="n"/>
      <c r="F263" s="56" t="n"/>
      <c r="G263" s="196" t="n"/>
      <c r="H263" s="196" t="n"/>
      <c r="I263" s="55" t="n"/>
      <c r="J263" s="55" t="n"/>
      <c r="K263" s="55" t="n"/>
      <c r="L263" s="100">
        <f>IF(OR($C263="",$I263="Оплачено",$I263="Отменено",$H263&lt;&gt;""),"",$C263-TODAY())</f>
        <v/>
      </c>
      <c r="M263" s="101">
        <f>IF($C263="","",INDEX(Настройки!$V$6:$V$17,MONTH($C263))&amp;" "&amp;YEAR($C263))</f>
        <v/>
      </c>
      <c r="N263" s="57">
        <f>IF($F263="","",IF(COUNTIF(Постоянные!$C$8:$C$37,$F263)&gt;0,"есть в Постоянных",IF(COUNTIF(Покупки!$C$7:$C$18,$F263)&gt;0,"есть в Покупках","")))</f>
        <v/>
      </c>
      <c r="P263">
        <f>IF($H263&lt;&gt;"",$H263,IF($I263="Оплачено",N($G263),0))</f>
        <v/>
      </c>
      <c r="Q263">
        <f>IF($I263="Отменено",0,IF($G263&lt;&gt;"",$G263,N($H263)))</f>
        <v/>
      </c>
      <c r="R263">
        <f>IF($C263="","",IFERROR(DATE(Настройки!$C$8,Настройки!$D$9+MATCH($M263,Настройки!$X$6:$X$17,0)-1,1),DATE(YEAR($C263),MONTH($C263),1)))</f>
        <v/>
      </c>
      <c r="S263">
        <f>IF(OR($I263="Оплачено",$H263&lt;&gt;""),$P263,$Q263)</f>
        <v/>
      </c>
      <c r="T263">
        <f>IF(OR($C263="",$D263="Доход",$I263="Оплачено",$I263="Отменено",$H263&lt;&gt;"",$C263&lt;TODAY()),"",$C263)</f>
        <v/>
      </c>
      <c r="U263">
        <f>IF(AND($D263&lt;&gt;"Доход",COUNTIFS(Счета!$B$10:$B$21,$J263,Счета!$C$10:$C$21,"Кредитная")&gt;0),1,0)</f>
        <v/>
      </c>
    </row>
    <row r="264" ht="19" customHeight="1">
      <c r="B264" s="53">
        <f>IF(AND($C264="",$F264=""),"",ROW()-9)</f>
        <v/>
      </c>
      <c r="C264" s="213" t="n"/>
      <c r="D264" s="55" t="n"/>
      <c r="E264" s="55" t="n"/>
      <c r="F264" s="56" t="n"/>
      <c r="G264" s="196" t="n"/>
      <c r="H264" s="196" t="n"/>
      <c r="I264" s="55" t="n"/>
      <c r="J264" s="55" t="n"/>
      <c r="K264" s="55" t="n"/>
      <c r="L264" s="100">
        <f>IF(OR($C264="",$I264="Оплачено",$I264="Отменено",$H264&lt;&gt;""),"",$C264-TODAY())</f>
        <v/>
      </c>
      <c r="M264" s="101">
        <f>IF($C264="","",INDEX(Настройки!$V$6:$V$17,MONTH($C264))&amp;" "&amp;YEAR($C264))</f>
        <v/>
      </c>
      <c r="N264" s="57">
        <f>IF($F264="","",IF(COUNTIF(Постоянные!$C$8:$C$37,$F264)&gt;0,"есть в Постоянных",IF(COUNTIF(Покупки!$C$7:$C$18,$F264)&gt;0,"есть в Покупках","")))</f>
        <v/>
      </c>
      <c r="P264">
        <f>IF($H264&lt;&gt;"",$H264,IF($I264="Оплачено",N($G264),0))</f>
        <v/>
      </c>
      <c r="Q264">
        <f>IF($I264="Отменено",0,IF($G264&lt;&gt;"",$G264,N($H264)))</f>
        <v/>
      </c>
      <c r="R264">
        <f>IF($C264="","",IFERROR(DATE(Настройки!$C$8,Настройки!$D$9+MATCH($M264,Настройки!$X$6:$X$17,0)-1,1),DATE(YEAR($C264),MONTH($C264),1)))</f>
        <v/>
      </c>
      <c r="S264">
        <f>IF(OR($I264="Оплачено",$H264&lt;&gt;""),$P264,$Q264)</f>
        <v/>
      </c>
      <c r="T264">
        <f>IF(OR($C264="",$D264="Доход",$I264="Оплачено",$I264="Отменено",$H264&lt;&gt;"",$C264&lt;TODAY()),"",$C264)</f>
        <v/>
      </c>
      <c r="U264">
        <f>IF(AND($D264&lt;&gt;"Доход",COUNTIFS(Счета!$B$10:$B$21,$J264,Счета!$C$10:$C$21,"Кредитная")&gt;0),1,0)</f>
        <v/>
      </c>
    </row>
    <row r="265" ht="19" customHeight="1">
      <c r="B265" s="53">
        <f>IF(AND($C265="",$F265=""),"",ROW()-9)</f>
        <v/>
      </c>
      <c r="C265" s="213" t="n"/>
      <c r="D265" s="55" t="n"/>
      <c r="E265" s="55" t="n"/>
      <c r="F265" s="56" t="n"/>
      <c r="G265" s="196" t="n"/>
      <c r="H265" s="196" t="n"/>
      <c r="I265" s="55" t="n"/>
      <c r="J265" s="55" t="n"/>
      <c r="K265" s="55" t="n"/>
      <c r="L265" s="100">
        <f>IF(OR($C265="",$I265="Оплачено",$I265="Отменено",$H265&lt;&gt;""),"",$C265-TODAY())</f>
        <v/>
      </c>
      <c r="M265" s="101">
        <f>IF($C265="","",INDEX(Настройки!$V$6:$V$17,MONTH($C265))&amp;" "&amp;YEAR($C265))</f>
        <v/>
      </c>
      <c r="N265" s="57">
        <f>IF($F265="","",IF(COUNTIF(Постоянные!$C$8:$C$37,$F265)&gt;0,"есть в Постоянных",IF(COUNTIF(Покупки!$C$7:$C$18,$F265)&gt;0,"есть в Покупках","")))</f>
        <v/>
      </c>
      <c r="P265">
        <f>IF($H265&lt;&gt;"",$H265,IF($I265="Оплачено",N($G265),0))</f>
        <v/>
      </c>
      <c r="Q265">
        <f>IF($I265="Отменено",0,IF($G265&lt;&gt;"",$G265,N($H265)))</f>
        <v/>
      </c>
      <c r="R265">
        <f>IF($C265="","",IFERROR(DATE(Настройки!$C$8,Настройки!$D$9+MATCH($M265,Настройки!$X$6:$X$17,0)-1,1),DATE(YEAR($C265),MONTH($C265),1)))</f>
        <v/>
      </c>
      <c r="S265">
        <f>IF(OR($I265="Оплачено",$H265&lt;&gt;""),$P265,$Q265)</f>
        <v/>
      </c>
      <c r="T265">
        <f>IF(OR($C265="",$D265="Доход",$I265="Оплачено",$I265="Отменено",$H265&lt;&gt;"",$C265&lt;TODAY()),"",$C265)</f>
        <v/>
      </c>
      <c r="U265">
        <f>IF(AND($D265&lt;&gt;"Доход",COUNTIFS(Счета!$B$10:$B$21,$J265,Счета!$C$10:$C$21,"Кредитная")&gt;0),1,0)</f>
        <v/>
      </c>
    </row>
    <row r="266" ht="19" customHeight="1">
      <c r="B266" s="53">
        <f>IF(AND($C266="",$F266=""),"",ROW()-9)</f>
        <v/>
      </c>
      <c r="C266" s="213" t="n"/>
      <c r="D266" s="55" t="n"/>
      <c r="E266" s="55" t="n"/>
      <c r="F266" s="56" t="n"/>
      <c r="G266" s="196" t="n"/>
      <c r="H266" s="196" t="n"/>
      <c r="I266" s="55" t="n"/>
      <c r="J266" s="55" t="n"/>
      <c r="K266" s="55" t="n"/>
      <c r="L266" s="100">
        <f>IF(OR($C266="",$I266="Оплачено",$I266="Отменено",$H266&lt;&gt;""),"",$C266-TODAY())</f>
        <v/>
      </c>
      <c r="M266" s="101">
        <f>IF($C266="","",INDEX(Настройки!$V$6:$V$17,MONTH($C266))&amp;" "&amp;YEAR($C266))</f>
        <v/>
      </c>
      <c r="N266" s="57">
        <f>IF($F266="","",IF(COUNTIF(Постоянные!$C$8:$C$37,$F266)&gt;0,"есть в Постоянных",IF(COUNTIF(Покупки!$C$7:$C$18,$F266)&gt;0,"есть в Покупках","")))</f>
        <v/>
      </c>
      <c r="P266">
        <f>IF($H266&lt;&gt;"",$H266,IF($I266="Оплачено",N($G266),0))</f>
        <v/>
      </c>
      <c r="Q266">
        <f>IF($I266="Отменено",0,IF($G266&lt;&gt;"",$G266,N($H266)))</f>
        <v/>
      </c>
      <c r="R266">
        <f>IF($C266="","",IFERROR(DATE(Настройки!$C$8,Настройки!$D$9+MATCH($M266,Настройки!$X$6:$X$17,0)-1,1),DATE(YEAR($C266),MONTH($C266),1)))</f>
        <v/>
      </c>
      <c r="S266">
        <f>IF(OR($I266="Оплачено",$H266&lt;&gt;""),$P266,$Q266)</f>
        <v/>
      </c>
      <c r="T266">
        <f>IF(OR($C266="",$D266="Доход",$I266="Оплачено",$I266="Отменено",$H266&lt;&gt;"",$C266&lt;TODAY()),"",$C266)</f>
        <v/>
      </c>
      <c r="U266">
        <f>IF(AND($D266&lt;&gt;"Доход",COUNTIFS(Счета!$B$10:$B$21,$J266,Счета!$C$10:$C$21,"Кредитная")&gt;0),1,0)</f>
        <v/>
      </c>
    </row>
    <row r="267" ht="19" customHeight="1">
      <c r="B267" s="53">
        <f>IF(AND($C267="",$F267=""),"",ROW()-9)</f>
        <v/>
      </c>
      <c r="C267" s="213" t="n"/>
      <c r="D267" s="55" t="n"/>
      <c r="E267" s="55" t="n"/>
      <c r="F267" s="56" t="n"/>
      <c r="G267" s="196" t="n"/>
      <c r="H267" s="196" t="n"/>
      <c r="I267" s="55" t="n"/>
      <c r="J267" s="55" t="n"/>
      <c r="K267" s="55" t="n"/>
      <c r="L267" s="100">
        <f>IF(OR($C267="",$I267="Оплачено",$I267="Отменено",$H267&lt;&gt;""),"",$C267-TODAY())</f>
        <v/>
      </c>
      <c r="M267" s="101">
        <f>IF($C267="","",INDEX(Настройки!$V$6:$V$17,MONTH($C267))&amp;" "&amp;YEAR($C267))</f>
        <v/>
      </c>
      <c r="N267" s="57">
        <f>IF($F267="","",IF(COUNTIF(Постоянные!$C$8:$C$37,$F267)&gt;0,"есть в Постоянных",IF(COUNTIF(Покупки!$C$7:$C$18,$F267)&gt;0,"есть в Покупках","")))</f>
        <v/>
      </c>
      <c r="P267">
        <f>IF($H267&lt;&gt;"",$H267,IF($I267="Оплачено",N($G267),0))</f>
        <v/>
      </c>
      <c r="Q267">
        <f>IF($I267="Отменено",0,IF($G267&lt;&gt;"",$G267,N($H267)))</f>
        <v/>
      </c>
      <c r="R267">
        <f>IF($C267="","",IFERROR(DATE(Настройки!$C$8,Настройки!$D$9+MATCH($M267,Настройки!$X$6:$X$17,0)-1,1),DATE(YEAR($C267),MONTH($C267),1)))</f>
        <v/>
      </c>
      <c r="S267">
        <f>IF(OR($I267="Оплачено",$H267&lt;&gt;""),$P267,$Q267)</f>
        <v/>
      </c>
      <c r="T267">
        <f>IF(OR($C267="",$D267="Доход",$I267="Оплачено",$I267="Отменено",$H267&lt;&gt;"",$C267&lt;TODAY()),"",$C267)</f>
        <v/>
      </c>
      <c r="U267">
        <f>IF(AND($D267&lt;&gt;"Доход",COUNTIFS(Счета!$B$10:$B$21,$J267,Счета!$C$10:$C$21,"Кредитная")&gt;0),1,0)</f>
        <v/>
      </c>
    </row>
    <row r="268" ht="19" customHeight="1">
      <c r="B268" s="53">
        <f>IF(AND($C268="",$F268=""),"",ROW()-9)</f>
        <v/>
      </c>
      <c r="C268" s="213" t="n"/>
      <c r="D268" s="55" t="n"/>
      <c r="E268" s="55" t="n"/>
      <c r="F268" s="56" t="n"/>
      <c r="G268" s="196" t="n"/>
      <c r="H268" s="196" t="n"/>
      <c r="I268" s="55" t="n"/>
      <c r="J268" s="55" t="n"/>
      <c r="K268" s="55" t="n"/>
      <c r="L268" s="100">
        <f>IF(OR($C268="",$I268="Оплачено",$I268="Отменено",$H268&lt;&gt;""),"",$C268-TODAY())</f>
        <v/>
      </c>
      <c r="M268" s="101">
        <f>IF($C268="","",INDEX(Настройки!$V$6:$V$17,MONTH($C268))&amp;" "&amp;YEAR($C268))</f>
        <v/>
      </c>
      <c r="N268" s="57">
        <f>IF($F268="","",IF(COUNTIF(Постоянные!$C$8:$C$37,$F268)&gt;0,"есть в Постоянных",IF(COUNTIF(Покупки!$C$7:$C$18,$F268)&gt;0,"есть в Покупках","")))</f>
        <v/>
      </c>
      <c r="P268">
        <f>IF($H268&lt;&gt;"",$H268,IF($I268="Оплачено",N($G268),0))</f>
        <v/>
      </c>
      <c r="Q268">
        <f>IF($I268="Отменено",0,IF($G268&lt;&gt;"",$G268,N($H268)))</f>
        <v/>
      </c>
      <c r="R268">
        <f>IF($C268="","",IFERROR(DATE(Настройки!$C$8,Настройки!$D$9+MATCH($M268,Настройки!$X$6:$X$17,0)-1,1),DATE(YEAR($C268),MONTH($C268),1)))</f>
        <v/>
      </c>
      <c r="S268">
        <f>IF(OR($I268="Оплачено",$H268&lt;&gt;""),$P268,$Q268)</f>
        <v/>
      </c>
      <c r="T268">
        <f>IF(OR($C268="",$D268="Доход",$I268="Оплачено",$I268="Отменено",$H268&lt;&gt;"",$C268&lt;TODAY()),"",$C268)</f>
        <v/>
      </c>
      <c r="U268">
        <f>IF(AND($D268&lt;&gt;"Доход",COUNTIFS(Счета!$B$10:$B$21,$J268,Счета!$C$10:$C$21,"Кредитная")&gt;0),1,0)</f>
        <v/>
      </c>
    </row>
    <row r="269" ht="19" customHeight="1">
      <c r="B269" s="53">
        <f>IF(AND($C269="",$F269=""),"",ROW()-9)</f>
        <v/>
      </c>
      <c r="C269" s="213" t="n"/>
      <c r="D269" s="55" t="n"/>
      <c r="E269" s="55" t="n"/>
      <c r="F269" s="56" t="n"/>
      <c r="G269" s="196" t="n"/>
      <c r="H269" s="196" t="n"/>
      <c r="I269" s="55" t="n"/>
      <c r="J269" s="55" t="n"/>
      <c r="K269" s="55" t="n"/>
      <c r="L269" s="100">
        <f>IF(OR($C269="",$I269="Оплачено",$I269="Отменено",$H269&lt;&gt;""),"",$C269-TODAY())</f>
        <v/>
      </c>
      <c r="M269" s="101">
        <f>IF($C269="","",INDEX(Настройки!$V$6:$V$17,MONTH($C269))&amp;" "&amp;YEAR($C269))</f>
        <v/>
      </c>
      <c r="N269" s="57">
        <f>IF($F269="","",IF(COUNTIF(Постоянные!$C$8:$C$37,$F269)&gt;0,"есть в Постоянных",IF(COUNTIF(Покупки!$C$7:$C$18,$F269)&gt;0,"есть в Покупках","")))</f>
        <v/>
      </c>
      <c r="P269">
        <f>IF($H269&lt;&gt;"",$H269,IF($I269="Оплачено",N($G269),0))</f>
        <v/>
      </c>
      <c r="Q269">
        <f>IF($I269="Отменено",0,IF($G269&lt;&gt;"",$G269,N($H269)))</f>
        <v/>
      </c>
      <c r="R269">
        <f>IF($C269="","",IFERROR(DATE(Настройки!$C$8,Настройки!$D$9+MATCH($M269,Настройки!$X$6:$X$17,0)-1,1),DATE(YEAR($C269),MONTH($C269),1)))</f>
        <v/>
      </c>
      <c r="S269">
        <f>IF(OR($I269="Оплачено",$H269&lt;&gt;""),$P269,$Q269)</f>
        <v/>
      </c>
      <c r="T269">
        <f>IF(OR($C269="",$D269="Доход",$I269="Оплачено",$I269="Отменено",$H269&lt;&gt;"",$C269&lt;TODAY()),"",$C269)</f>
        <v/>
      </c>
      <c r="U269">
        <f>IF(AND($D269&lt;&gt;"Доход",COUNTIFS(Счета!$B$10:$B$21,$J269,Счета!$C$10:$C$21,"Кредитная")&gt;0),1,0)</f>
        <v/>
      </c>
    </row>
    <row r="270" ht="19" customHeight="1">
      <c r="B270" s="53">
        <f>IF(AND($C270="",$F270=""),"",ROW()-9)</f>
        <v/>
      </c>
      <c r="C270" s="213" t="n"/>
      <c r="D270" s="55" t="n"/>
      <c r="E270" s="55" t="n"/>
      <c r="F270" s="56" t="n"/>
      <c r="G270" s="196" t="n"/>
      <c r="H270" s="196" t="n"/>
      <c r="I270" s="55" t="n"/>
      <c r="J270" s="55" t="n"/>
      <c r="K270" s="55" t="n"/>
      <c r="L270" s="100">
        <f>IF(OR($C270="",$I270="Оплачено",$I270="Отменено",$H270&lt;&gt;""),"",$C270-TODAY())</f>
        <v/>
      </c>
      <c r="M270" s="101">
        <f>IF($C270="","",INDEX(Настройки!$V$6:$V$17,MONTH($C270))&amp;" "&amp;YEAR($C270))</f>
        <v/>
      </c>
      <c r="N270" s="57">
        <f>IF($F270="","",IF(COUNTIF(Постоянные!$C$8:$C$37,$F270)&gt;0,"есть в Постоянных",IF(COUNTIF(Покупки!$C$7:$C$18,$F270)&gt;0,"есть в Покупках","")))</f>
        <v/>
      </c>
      <c r="P270">
        <f>IF($H270&lt;&gt;"",$H270,IF($I270="Оплачено",N($G270),0))</f>
        <v/>
      </c>
      <c r="Q270">
        <f>IF($I270="Отменено",0,IF($G270&lt;&gt;"",$G270,N($H270)))</f>
        <v/>
      </c>
      <c r="R270">
        <f>IF($C270="","",IFERROR(DATE(Настройки!$C$8,Настройки!$D$9+MATCH($M270,Настройки!$X$6:$X$17,0)-1,1),DATE(YEAR($C270),MONTH($C270),1)))</f>
        <v/>
      </c>
      <c r="S270">
        <f>IF(OR($I270="Оплачено",$H270&lt;&gt;""),$P270,$Q270)</f>
        <v/>
      </c>
      <c r="T270">
        <f>IF(OR($C270="",$D270="Доход",$I270="Оплачено",$I270="Отменено",$H270&lt;&gt;"",$C270&lt;TODAY()),"",$C270)</f>
        <v/>
      </c>
      <c r="U270">
        <f>IF(AND($D270&lt;&gt;"Доход",COUNTIFS(Счета!$B$10:$B$21,$J270,Счета!$C$10:$C$21,"Кредитная")&gt;0),1,0)</f>
        <v/>
      </c>
    </row>
    <row r="271" ht="19" customHeight="1">
      <c r="B271" s="53">
        <f>IF(AND($C271="",$F271=""),"",ROW()-9)</f>
        <v/>
      </c>
      <c r="C271" s="213" t="n"/>
      <c r="D271" s="55" t="n"/>
      <c r="E271" s="55" t="n"/>
      <c r="F271" s="56" t="n"/>
      <c r="G271" s="196" t="n"/>
      <c r="H271" s="196" t="n"/>
      <c r="I271" s="55" t="n"/>
      <c r="J271" s="55" t="n"/>
      <c r="K271" s="55" t="n"/>
      <c r="L271" s="100">
        <f>IF(OR($C271="",$I271="Оплачено",$I271="Отменено",$H271&lt;&gt;""),"",$C271-TODAY())</f>
        <v/>
      </c>
      <c r="M271" s="101">
        <f>IF($C271="","",INDEX(Настройки!$V$6:$V$17,MONTH($C271))&amp;" "&amp;YEAR($C271))</f>
        <v/>
      </c>
      <c r="N271" s="57">
        <f>IF($F271="","",IF(COUNTIF(Постоянные!$C$8:$C$37,$F271)&gt;0,"есть в Постоянных",IF(COUNTIF(Покупки!$C$7:$C$18,$F271)&gt;0,"есть в Покупках","")))</f>
        <v/>
      </c>
      <c r="P271">
        <f>IF($H271&lt;&gt;"",$H271,IF($I271="Оплачено",N($G271),0))</f>
        <v/>
      </c>
      <c r="Q271">
        <f>IF($I271="Отменено",0,IF($G271&lt;&gt;"",$G271,N($H271)))</f>
        <v/>
      </c>
      <c r="R271">
        <f>IF($C271="","",IFERROR(DATE(Настройки!$C$8,Настройки!$D$9+MATCH($M271,Настройки!$X$6:$X$17,0)-1,1),DATE(YEAR($C271),MONTH($C271),1)))</f>
        <v/>
      </c>
      <c r="S271">
        <f>IF(OR($I271="Оплачено",$H271&lt;&gt;""),$P271,$Q271)</f>
        <v/>
      </c>
      <c r="T271">
        <f>IF(OR($C271="",$D271="Доход",$I271="Оплачено",$I271="Отменено",$H271&lt;&gt;"",$C271&lt;TODAY()),"",$C271)</f>
        <v/>
      </c>
      <c r="U271">
        <f>IF(AND($D271&lt;&gt;"Доход",COUNTIFS(Счета!$B$10:$B$21,$J271,Счета!$C$10:$C$21,"Кредитная")&gt;0),1,0)</f>
        <v/>
      </c>
    </row>
    <row r="272" ht="19" customHeight="1">
      <c r="B272" s="53">
        <f>IF(AND($C272="",$F272=""),"",ROW()-9)</f>
        <v/>
      </c>
      <c r="C272" s="213" t="n"/>
      <c r="D272" s="55" t="n"/>
      <c r="E272" s="55" t="n"/>
      <c r="F272" s="56" t="n"/>
      <c r="G272" s="196" t="n"/>
      <c r="H272" s="196" t="n"/>
      <c r="I272" s="55" t="n"/>
      <c r="J272" s="55" t="n"/>
      <c r="K272" s="55" t="n"/>
      <c r="L272" s="100">
        <f>IF(OR($C272="",$I272="Оплачено",$I272="Отменено",$H272&lt;&gt;""),"",$C272-TODAY())</f>
        <v/>
      </c>
      <c r="M272" s="101">
        <f>IF($C272="","",INDEX(Настройки!$V$6:$V$17,MONTH($C272))&amp;" "&amp;YEAR($C272))</f>
        <v/>
      </c>
      <c r="N272" s="57">
        <f>IF($F272="","",IF(COUNTIF(Постоянные!$C$8:$C$37,$F272)&gt;0,"есть в Постоянных",IF(COUNTIF(Покупки!$C$7:$C$18,$F272)&gt;0,"есть в Покупках","")))</f>
        <v/>
      </c>
      <c r="P272">
        <f>IF($H272&lt;&gt;"",$H272,IF($I272="Оплачено",N($G272),0))</f>
        <v/>
      </c>
      <c r="Q272">
        <f>IF($I272="Отменено",0,IF($G272&lt;&gt;"",$G272,N($H272)))</f>
        <v/>
      </c>
      <c r="R272">
        <f>IF($C272="","",IFERROR(DATE(Настройки!$C$8,Настройки!$D$9+MATCH($M272,Настройки!$X$6:$X$17,0)-1,1),DATE(YEAR($C272),MONTH($C272),1)))</f>
        <v/>
      </c>
      <c r="S272">
        <f>IF(OR($I272="Оплачено",$H272&lt;&gt;""),$P272,$Q272)</f>
        <v/>
      </c>
      <c r="T272">
        <f>IF(OR($C272="",$D272="Доход",$I272="Оплачено",$I272="Отменено",$H272&lt;&gt;"",$C272&lt;TODAY()),"",$C272)</f>
        <v/>
      </c>
      <c r="U272">
        <f>IF(AND($D272&lt;&gt;"Доход",COUNTIFS(Счета!$B$10:$B$21,$J272,Счета!$C$10:$C$21,"Кредитная")&gt;0),1,0)</f>
        <v/>
      </c>
    </row>
    <row r="273" ht="19" customHeight="1">
      <c r="B273" s="53">
        <f>IF(AND($C273="",$F273=""),"",ROW()-9)</f>
        <v/>
      </c>
      <c r="C273" s="213" t="n"/>
      <c r="D273" s="55" t="n"/>
      <c r="E273" s="55" t="n"/>
      <c r="F273" s="56" t="n"/>
      <c r="G273" s="196" t="n"/>
      <c r="H273" s="196" t="n"/>
      <c r="I273" s="55" t="n"/>
      <c r="J273" s="55" t="n"/>
      <c r="K273" s="55" t="n"/>
      <c r="L273" s="100">
        <f>IF(OR($C273="",$I273="Оплачено",$I273="Отменено",$H273&lt;&gt;""),"",$C273-TODAY())</f>
        <v/>
      </c>
      <c r="M273" s="101">
        <f>IF($C273="","",INDEX(Настройки!$V$6:$V$17,MONTH($C273))&amp;" "&amp;YEAR($C273))</f>
        <v/>
      </c>
      <c r="N273" s="57">
        <f>IF($F273="","",IF(COUNTIF(Постоянные!$C$8:$C$37,$F273)&gt;0,"есть в Постоянных",IF(COUNTIF(Покупки!$C$7:$C$18,$F273)&gt;0,"есть в Покупках","")))</f>
        <v/>
      </c>
      <c r="P273">
        <f>IF($H273&lt;&gt;"",$H273,IF($I273="Оплачено",N($G273),0))</f>
        <v/>
      </c>
      <c r="Q273">
        <f>IF($I273="Отменено",0,IF($G273&lt;&gt;"",$G273,N($H273)))</f>
        <v/>
      </c>
      <c r="R273">
        <f>IF($C273="","",IFERROR(DATE(Настройки!$C$8,Настройки!$D$9+MATCH($M273,Настройки!$X$6:$X$17,0)-1,1),DATE(YEAR($C273),MONTH($C273),1)))</f>
        <v/>
      </c>
      <c r="S273">
        <f>IF(OR($I273="Оплачено",$H273&lt;&gt;""),$P273,$Q273)</f>
        <v/>
      </c>
      <c r="T273">
        <f>IF(OR($C273="",$D273="Доход",$I273="Оплачено",$I273="Отменено",$H273&lt;&gt;"",$C273&lt;TODAY()),"",$C273)</f>
        <v/>
      </c>
      <c r="U273">
        <f>IF(AND($D273&lt;&gt;"Доход",COUNTIFS(Счета!$B$10:$B$21,$J273,Счета!$C$10:$C$21,"Кредитная")&gt;0),1,0)</f>
        <v/>
      </c>
    </row>
    <row r="274" ht="19" customHeight="1">
      <c r="B274" s="53">
        <f>IF(AND($C274="",$F274=""),"",ROW()-9)</f>
        <v/>
      </c>
      <c r="C274" s="213" t="n"/>
      <c r="D274" s="55" t="n"/>
      <c r="E274" s="55" t="n"/>
      <c r="F274" s="56" t="n"/>
      <c r="G274" s="196" t="n"/>
      <c r="H274" s="196" t="n"/>
      <c r="I274" s="55" t="n"/>
      <c r="J274" s="55" t="n"/>
      <c r="K274" s="55" t="n"/>
      <c r="L274" s="100">
        <f>IF(OR($C274="",$I274="Оплачено",$I274="Отменено",$H274&lt;&gt;""),"",$C274-TODAY())</f>
        <v/>
      </c>
      <c r="M274" s="101">
        <f>IF($C274="","",INDEX(Настройки!$V$6:$V$17,MONTH($C274))&amp;" "&amp;YEAR($C274))</f>
        <v/>
      </c>
      <c r="N274" s="57">
        <f>IF($F274="","",IF(COUNTIF(Постоянные!$C$8:$C$37,$F274)&gt;0,"есть в Постоянных",IF(COUNTIF(Покупки!$C$7:$C$18,$F274)&gt;0,"есть в Покупках","")))</f>
        <v/>
      </c>
      <c r="P274">
        <f>IF($H274&lt;&gt;"",$H274,IF($I274="Оплачено",N($G274),0))</f>
        <v/>
      </c>
      <c r="Q274">
        <f>IF($I274="Отменено",0,IF($G274&lt;&gt;"",$G274,N($H274)))</f>
        <v/>
      </c>
      <c r="R274">
        <f>IF($C274="","",IFERROR(DATE(Настройки!$C$8,Настройки!$D$9+MATCH($M274,Настройки!$X$6:$X$17,0)-1,1),DATE(YEAR($C274),MONTH($C274),1)))</f>
        <v/>
      </c>
      <c r="S274">
        <f>IF(OR($I274="Оплачено",$H274&lt;&gt;""),$P274,$Q274)</f>
        <v/>
      </c>
      <c r="T274">
        <f>IF(OR($C274="",$D274="Доход",$I274="Оплачено",$I274="Отменено",$H274&lt;&gt;"",$C274&lt;TODAY()),"",$C274)</f>
        <v/>
      </c>
      <c r="U274">
        <f>IF(AND($D274&lt;&gt;"Доход",COUNTIFS(Счета!$B$10:$B$21,$J274,Счета!$C$10:$C$21,"Кредитная")&gt;0),1,0)</f>
        <v/>
      </c>
    </row>
    <row r="275" ht="19" customHeight="1">
      <c r="B275" s="53">
        <f>IF(AND($C275="",$F275=""),"",ROW()-9)</f>
        <v/>
      </c>
      <c r="C275" s="213" t="n"/>
      <c r="D275" s="55" t="n"/>
      <c r="E275" s="55" t="n"/>
      <c r="F275" s="56" t="n"/>
      <c r="G275" s="196" t="n"/>
      <c r="H275" s="196" t="n"/>
      <c r="I275" s="55" t="n"/>
      <c r="J275" s="55" t="n"/>
      <c r="K275" s="55" t="n"/>
      <c r="L275" s="100">
        <f>IF(OR($C275="",$I275="Оплачено",$I275="Отменено",$H275&lt;&gt;""),"",$C275-TODAY())</f>
        <v/>
      </c>
      <c r="M275" s="101">
        <f>IF($C275="","",INDEX(Настройки!$V$6:$V$17,MONTH($C275))&amp;" "&amp;YEAR($C275))</f>
        <v/>
      </c>
      <c r="N275" s="57">
        <f>IF($F275="","",IF(COUNTIF(Постоянные!$C$8:$C$37,$F275)&gt;0,"есть в Постоянных",IF(COUNTIF(Покупки!$C$7:$C$18,$F275)&gt;0,"есть в Покупках","")))</f>
        <v/>
      </c>
      <c r="P275">
        <f>IF($H275&lt;&gt;"",$H275,IF($I275="Оплачено",N($G275),0))</f>
        <v/>
      </c>
      <c r="Q275">
        <f>IF($I275="Отменено",0,IF($G275&lt;&gt;"",$G275,N($H275)))</f>
        <v/>
      </c>
      <c r="R275">
        <f>IF($C275="","",IFERROR(DATE(Настройки!$C$8,Настройки!$D$9+MATCH($M275,Настройки!$X$6:$X$17,0)-1,1),DATE(YEAR($C275),MONTH($C275),1)))</f>
        <v/>
      </c>
      <c r="S275">
        <f>IF(OR($I275="Оплачено",$H275&lt;&gt;""),$P275,$Q275)</f>
        <v/>
      </c>
      <c r="T275">
        <f>IF(OR($C275="",$D275="Доход",$I275="Оплачено",$I275="Отменено",$H275&lt;&gt;"",$C275&lt;TODAY()),"",$C275)</f>
        <v/>
      </c>
      <c r="U275">
        <f>IF(AND($D275&lt;&gt;"Доход",COUNTIFS(Счета!$B$10:$B$21,$J275,Счета!$C$10:$C$21,"Кредитная")&gt;0),1,0)</f>
        <v/>
      </c>
    </row>
    <row r="276" ht="19" customHeight="1">
      <c r="B276" s="53">
        <f>IF(AND($C276="",$F276=""),"",ROW()-9)</f>
        <v/>
      </c>
      <c r="C276" s="213" t="n"/>
      <c r="D276" s="55" t="n"/>
      <c r="E276" s="55" t="n"/>
      <c r="F276" s="56" t="n"/>
      <c r="G276" s="196" t="n"/>
      <c r="H276" s="196" t="n"/>
      <c r="I276" s="55" t="n"/>
      <c r="J276" s="55" t="n"/>
      <c r="K276" s="55" t="n"/>
      <c r="L276" s="100">
        <f>IF(OR($C276="",$I276="Оплачено",$I276="Отменено",$H276&lt;&gt;""),"",$C276-TODAY())</f>
        <v/>
      </c>
      <c r="M276" s="101">
        <f>IF($C276="","",INDEX(Настройки!$V$6:$V$17,MONTH($C276))&amp;" "&amp;YEAR($C276))</f>
        <v/>
      </c>
      <c r="N276" s="57">
        <f>IF($F276="","",IF(COUNTIF(Постоянные!$C$8:$C$37,$F276)&gt;0,"есть в Постоянных",IF(COUNTIF(Покупки!$C$7:$C$18,$F276)&gt;0,"есть в Покупках","")))</f>
        <v/>
      </c>
      <c r="P276">
        <f>IF($H276&lt;&gt;"",$H276,IF($I276="Оплачено",N($G276),0))</f>
        <v/>
      </c>
      <c r="Q276">
        <f>IF($I276="Отменено",0,IF($G276&lt;&gt;"",$G276,N($H276)))</f>
        <v/>
      </c>
      <c r="R276">
        <f>IF($C276="","",IFERROR(DATE(Настройки!$C$8,Настройки!$D$9+MATCH($M276,Настройки!$X$6:$X$17,0)-1,1),DATE(YEAR($C276),MONTH($C276),1)))</f>
        <v/>
      </c>
      <c r="S276">
        <f>IF(OR($I276="Оплачено",$H276&lt;&gt;""),$P276,$Q276)</f>
        <v/>
      </c>
      <c r="T276">
        <f>IF(OR($C276="",$D276="Доход",$I276="Оплачено",$I276="Отменено",$H276&lt;&gt;"",$C276&lt;TODAY()),"",$C276)</f>
        <v/>
      </c>
      <c r="U276">
        <f>IF(AND($D276&lt;&gt;"Доход",COUNTIFS(Счета!$B$10:$B$21,$J276,Счета!$C$10:$C$21,"Кредитная")&gt;0),1,0)</f>
        <v/>
      </c>
    </row>
    <row r="277" ht="19" customHeight="1">
      <c r="B277" s="53">
        <f>IF(AND($C277="",$F277=""),"",ROW()-9)</f>
        <v/>
      </c>
      <c r="C277" s="213" t="n"/>
      <c r="D277" s="55" t="n"/>
      <c r="E277" s="55" t="n"/>
      <c r="F277" s="56" t="n"/>
      <c r="G277" s="196" t="n"/>
      <c r="H277" s="196" t="n"/>
      <c r="I277" s="55" t="n"/>
      <c r="J277" s="55" t="n"/>
      <c r="K277" s="55" t="n"/>
      <c r="L277" s="100">
        <f>IF(OR($C277="",$I277="Оплачено",$I277="Отменено",$H277&lt;&gt;""),"",$C277-TODAY())</f>
        <v/>
      </c>
      <c r="M277" s="101">
        <f>IF($C277="","",INDEX(Настройки!$V$6:$V$17,MONTH($C277))&amp;" "&amp;YEAR($C277))</f>
        <v/>
      </c>
      <c r="N277" s="57">
        <f>IF($F277="","",IF(COUNTIF(Постоянные!$C$8:$C$37,$F277)&gt;0,"есть в Постоянных",IF(COUNTIF(Покупки!$C$7:$C$18,$F277)&gt;0,"есть в Покупках","")))</f>
        <v/>
      </c>
      <c r="P277">
        <f>IF($H277&lt;&gt;"",$H277,IF($I277="Оплачено",N($G277),0))</f>
        <v/>
      </c>
      <c r="Q277">
        <f>IF($I277="Отменено",0,IF($G277&lt;&gt;"",$G277,N($H277)))</f>
        <v/>
      </c>
      <c r="R277">
        <f>IF($C277="","",IFERROR(DATE(Настройки!$C$8,Настройки!$D$9+MATCH($M277,Настройки!$X$6:$X$17,0)-1,1),DATE(YEAR($C277),MONTH($C277),1)))</f>
        <v/>
      </c>
      <c r="S277">
        <f>IF(OR($I277="Оплачено",$H277&lt;&gt;""),$P277,$Q277)</f>
        <v/>
      </c>
      <c r="T277">
        <f>IF(OR($C277="",$D277="Доход",$I277="Оплачено",$I277="Отменено",$H277&lt;&gt;"",$C277&lt;TODAY()),"",$C277)</f>
        <v/>
      </c>
      <c r="U277">
        <f>IF(AND($D277&lt;&gt;"Доход",COUNTIFS(Счета!$B$10:$B$21,$J277,Счета!$C$10:$C$21,"Кредитная")&gt;0),1,0)</f>
        <v/>
      </c>
    </row>
    <row r="278" ht="19" customHeight="1">
      <c r="B278" s="53">
        <f>IF(AND($C278="",$F278=""),"",ROW()-9)</f>
        <v/>
      </c>
      <c r="C278" s="213" t="n"/>
      <c r="D278" s="55" t="n"/>
      <c r="E278" s="55" t="n"/>
      <c r="F278" s="56" t="n"/>
      <c r="G278" s="196" t="n"/>
      <c r="H278" s="196" t="n"/>
      <c r="I278" s="55" t="n"/>
      <c r="J278" s="55" t="n"/>
      <c r="K278" s="55" t="n"/>
      <c r="L278" s="100">
        <f>IF(OR($C278="",$I278="Оплачено",$I278="Отменено",$H278&lt;&gt;""),"",$C278-TODAY())</f>
        <v/>
      </c>
      <c r="M278" s="101">
        <f>IF($C278="","",INDEX(Настройки!$V$6:$V$17,MONTH($C278))&amp;" "&amp;YEAR($C278))</f>
        <v/>
      </c>
      <c r="N278" s="57">
        <f>IF($F278="","",IF(COUNTIF(Постоянные!$C$8:$C$37,$F278)&gt;0,"есть в Постоянных",IF(COUNTIF(Покупки!$C$7:$C$18,$F278)&gt;0,"есть в Покупках","")))</f>
        <v/>
      </c>
      <c r="P278">
        <f>IF($H278&lt;&gt;"",$H278,IF($I278="Оплачено",N($G278),0))</f>
        <v/>
      </c>
      <c r="Q278">
        <f>IF($I278="Отменено",0,IF($G278&lt;&gt;"",$G278,N($H278)))</f>
        <v/>
      </c>
      <c r="R278">
        <f>IF($C278="","",IFERROR(DATE(Настройки!$C$8,Настройки!$D$9+MATCH($M278,Настройки!$X$6:$X$17,0)-1,1),DATE(YEAR($C278),MONTH($C278),1)))</f>
        <v/>
      </c>
      <c r="S278">
        <f>IF(OR($I278="Оплачено",$H278&lt;&gt;""),$P278,$Q278)</f>
        <v/>
      </c>
      <c r="T278">
        <f>IF(OR($C278="",$D278="Доход",$I278="Оплачено",$I278="Отменено",$H278&lt;&gt;"",$C278&lt;TODAY()),"",$C278)</f>
        <v/>
      </c>
      <c r="U278">
        <f>IF(AND($D278&lt;&gt;"Доход",COUNTIFS(Счета!$B$10:$B$21,$J278,Счета!$C$10:$C$21,"Кредитная")&gt;0),1,0)</f>
        <v/>
      </c>
    </row>
    <row r="279" ht="19" customHeight="1">
      <c r="B279" s="53">
        <f>IF(AND($C279="",$F279=""),"",ROW()-9)</f>
        <v/>
      </c>
      <c r="C279" s="213" t="n"/>
      <c r="D279" s="55" t="n"/>
      <c r="E279" s="55" t="n"/>
      <c r="F279" s="56" t="n"/>
      <c r="G279" s="196" t="n"/>
      <c r="H279" s="196" t="n"/>
      <c r="I279" s="55" t="n"/>
      <c r="J279" s="55" t="n"/>
      <c r="K279" s="55" t="n"/>
      <c r="L279" s="100">
        <f>IF(OR($C279="",$I279="Оплачено",$I279="Отменено",$H279&lt;&gt;""),"",$C279-TODAY())</f>
        <v/>
      </c>
      <c r="M279" s="101">
        <f>IF($C279="","",INDEX(Настройки!$V$6:$V$17,MONTH($C279))&amp;" "&amp;YEAR($C279))</f>
        <v/>
      </c>
      <c r="N279" s="57">
        <f>IF($F279="","",IF(COUNTIF(Постоянные!$C$8:$C$37,$F279)&gt;0,"есть в Постоянных",IF(COUNTIF(Покупки!$C$7:$C$18,$F279)&gt;0,"есть в Покупках","")))</f>
        <v/>
      </c>
      <c r="P279">
        <f>IF($H279&lt;&gt;"",$H279,IF($I279="Оплачено",N($G279),0))</f>
        <v/>
      </c>
      <c r="Q279">
        <f>IF($I279="Отменено",0,IF($G279&lt;&gt;"",$G279,N($H279)))</f>
        <v/>
      </c>
      <c r="R279">
        <f>IF($C279="","",IFERROR(DATE(Настройки!$C$8,Настройки!$D$9+MATCH($M279,Настройки!$X$6:$X$17,0)-1,1),DATE(YEAR($C279),MONTH($C279),1)))</f>
        <v/>
      </c>
      <c r="S279">
        <f>IF(OR($I279="Оплачено",$H279&lt;&gt;""),$P279,$Q279)</f>
        <v/>
      </c>
      <c r="T279">
        <f>IF(OR($C279="",$D279="Доход",$I279="Оплачено",$I279="Отменено",$H279&lt;&gt;"",$C279&lt;TODAY()),"",$C279)</f>
        <v/>
      </c>
      <c r="U279">
        <f>IF(AND($D279&lt;&gt;"Доход",COUNTIFS(Счета!$B$10:$B$21,$J279,Счета!$C$10:$C$21,"Кредитная")&gt;0),1,0)</f>
        <v/>
      </c>
    </row>
    <row r="280" ht="19" customHeight="1">
      <c r="B280" s="53">
        <f>IF(AND($C280="",$F280=""),"",ROW()-9)</f>
        <v/>
      </c>
      <c r="C280" s="213" t="n"/>
      <c r="D280" s="55" t="n"/>
      <c r="E280" s="55" t="n"/>
      <c r="F280" s="56" t="n"/>
      <c r="G280" s="196" t="n"/>
      <c r="H280" s="196" t="n"/>
      <c r="I280" s="55" t="n"/>
      <c r="J280" s="55" t="n"/>
      <c r="K280" s="55" t="n"/>
      <c r="L280" s="100">
        <f>IF(OR($C280="",$I280="Оплачено",$I280="Отменено",$H280&lt;&gt;""),"",$C280-TODAY())</f>
        <v/>
      </c>
      <c r="M280" s="101">
        <f>IF($C280="","",INDEX(Настройки!$V$6:$V$17,MONTH($C280))&amp;" "&amp;YEAR($C280))</f>
        <v/>
      </c>
      <c r="N280" s="57">
        <f>IF($F280="","",IF(COUNTIF(Постоянные!$C$8:$C$37,$F280)&gt;0,"есть в Постоянных",IF(COUNTIF(Покупки!$C$7:$C$18,$F280)&gt;0,"есть в Покупках","")))</f>
        <v/>
      </c>
      <c r="P280">
        <f>IF($H280&lt;&gt;"",$H280,IF($I280="Оплачено",N($G280),0))</f>
        <v/>
      </c>
      <c r="Q280">
        <f>IF($I280="Отменено",0,IF($G280&lt;&gt;"",$G280,N($H280)))</f>
        <v/>
      </c>
      <c r="R280">
        <f>IF($C280="","",IFERROR(DATE(Настройки!$C$8,Настройки!$D$9+MATCH($M280,Настройки!$X$6:$X$17,0)-1,1),DATE(YEAR($C280),MONTH($C280),1)))</f>
        <v/>
      </c>
      <c r="S280">
        <f>IF(OR($I280="Оплачено",$H280&lt;&gt;""),$P280,$Q280)</f>
        <v/>
      </c>
      <c r="T280">
        <f>IF(OR($C280="",$D280="Доход",$I280="Оплачено",$I280="Отменено",$H280&lt;&gt;"",$C280&lt;TODAY()),"",$C280)</f>
        <v/>
      </c>
      <c r="U280">
        <f>IF(AND($D280&lt;&gt;"Доход",COUNTIFS(Счета!$B$10:$B$21,$J280,Счета!$C$10:$C$21,"Кредитная")&gt;0),1,0)</f>
        <v/>
      </c>
    </row>
    <row r="281" ht="19" customHeight="1">
      <c r="B281" s="53">
        <f>IF(AND($C281="",$F281=""),"",ROW()-9)</f>
        <v/>
      </c>
      <c r="C281" s="213" t="n"/>
      <c r="D281" s="55" t="n"/>
      <c r="E281" s="55" t="n"/>
      <c r="F281" s="56" t="n"/>
      <c r="G281" s="196" t="n"/>
      <c r="H281" s="196" t="n"/>
      <c r="I281" s="55" t="n"/>
      <c r="J281" s="55" t="n"/>
      <c r="K281" s="55" t="n"/>
      <c r="L281" s="100">
        <f>IF(OR($C281="",$I281="Оплачено",$I281="Отменено",$H281&lt;&gt;""),"",$C281-TODAY())</f>
        <v/>
      </c>
      <c r="M281" s="101">
        <f>IF($C281="","",INDEX(Настройки!$V$6:$V$17,MONTH($C281))&amp;" "&amp;YEAR($C281))</f>
        <v/>
      </c>
      <c r="N281" s="57">
        <f>IF($F281="","",IF(COUNTIF(Постоянные!$C$8:$C$37,$F281)&gt;0,"есть в Постоянных",IF(COUNTIF(Покупки!$C$7:$C$18,$F281)&gt;0,"есть в Покупках","")))</f>
        <v/>
      </c>
      <c r="P281">
        <f>IF($H281&lt;&gt;"",$H281,IF($I281="Оплачено",N($G281),0))</f>
        <v/>
      </c>
      <c r="Q281">
        <f>IF($I281="Отменено",0,IF($G281&lt;&gt;"",$G281,N($H281)))</f>
        <v/>
      </c>
      <c r="R281">
        <f>IF($C281="","",IFERROR(DATE(Настройки!$C$8,Настройки!$D$9+MATCH($M281,Настройки!$X$6:$X$17,0)-1,1),DATE(YEAR($C281),MONTH($C281),1)))</f>
        <v/>
      </c>
      <c r="S281">
        <f>IF(OR($I281="Оплачено",$H281&lt;&gt;""),$P281,$Q281)</f>
        <v/>
      </c>
      <c r="T281">
        <f>IF(OR($C281="",$D281="Доход",$I281="Оплачено",$I281="Отменено",$H281&lt;&gt;"",$C281&lt;TODAY()),"",$C281)</f>
        <v/>
      </c>
      <c r="U281">
        <f>IF(AND($D281&lt;&gt;"Доход",COUNTIFS(Счета!$B$10:$B$21,$J281,Счета!$C$10:$C$21,"Кредитная")&gt;0),1,0)</f>
        <v/>
      </c>
    </row>
    <row r="282" ht="19" customHeight="1">
      <c r="B282" s="53">
        <f>IF(AND($C282="",$F282=""),"",ROW()-9)</f>
        <v/>
      </c>
      <c r="C282" s="213" t="n"/>
      <c r="D282" s="55" t="n"/>
      <c r="E282" s="55" t="n"/>
      <c r="F282" s="56" t="n"/>
      <c r="G282" s="196" t="n"/>
      <c r="H282" s="196" t="n"/>
      <c r="I282" s="55" t="n"/>
      <c r="J282" s="55" t="n"/>
      <c r="K282" s="55" t="n"/>
      <c r="L282" s="100">
        <f>IF(OR($C282="",$I282="Оплачено",$I282="Отменено",$H282&lt;&gt;""),"",$C282-TODAY())</f>
        <v/>
      </c>
      <c r="M282" s="101">
        <f>IF($C282="","",INDEX(Настройки!$V$6:$V$17,MONTH($C282))&amp;" "&amp;YEAR($C282))</f>
        <v/>
      </c>
      <c r="N282" s="57">
        <f>IF($F282="","",IF(COUNTIF(Постоянные!$C$8:$C$37,$F282)&gt;0,"есть в Постоянных",IF(COUNTIF(Покупки!$C$7:$C$18,$F282)&gt;0,"есть в Покупках","")))</f>
        <v/>
      </c>
      <c r="P282">
        <f>IF($H282&lt;&gt;"",$H282,IF($I282="Оплачено",N($G282),0))</f>
        <v/>
      </c>
      <c r="Q282">
        <f>IF($I282="Отменено",0,IF($G282&lt;&gt;"",$G282,N($H282)))</f>
        <v/>
      </c>
      <c r="R282">
        <f>IF($C282="","",IFERROR(DATE(Настройки!$C$8,Настройки!$D$9+MATCH($M282,Настройки!$X$6:$X$17,0)-1,1),DATE(YEAR($C282),MONTH($C282),1)))</f>
        <v/>
      </c>
      <c r="S282">
        <f>IF(OR($I282="Оплачено",$H282&lt;&gt;""),$P282,$Q282)</f>
        <v/>
      </c>
      <c r="T282">
        <f>IF(OR($C282="",$D282="Доход",$I282="Оплачено",$I282="Отменено",$H282&lt;&gt;"",$C282&lt;TODAY()),"",$C282)</f>
        <v/>
      </c>
      <c r="U282">
        <f>IF(AND($D282&lt;&gt;"Доход",COUNTIFS(Счета!$B$10:$B$21,$J282,Счета!$C$10:$C$21,"Кредитная")&gt;0),1,0)</f>
        <v/>
      </c>
    </row>
    <row r="283" ht="19" customHeight="1">
      <c r="B283" s="53">
        <f>IF(AND($C283="",$F283=""),"",ROW()-9)</f>
        <v/>
      </c>
      <c r="C283" s="213" t="n"/>
      <c r="D283" s="55" t="n"/>
      <c r="E283" s="55" t="n"/>
      <c r="F283" s="56" t="n"/>
      <c r="G283" s="196" t="n"/>
      <c r="H283" s="196" t="n"/>
      <c r="I283" s="55" t="n"/>
      <c r="J283" s="55" t="n"/>
      <c r="K283" s="55" t="n"/>
      <c r="L283" s="100">
        <f>IF(OR($C283="",$I283="Оплачено",$I283="Отменено",$H283&lt;&gt;""),"",$C283-TODAY())</f>
        <v/>
      </c>
      <c r="M283" s="101">
        <f>IF($C283="","",INDEX(Настройки!$V$6:$V$17,MONTH($C283))&amp;" "&amp;YEAR($C283))</f>
        <v/>
      </c>
      <c r="N283" s="57">
        <f>IF($F283="","",IF(COUNTIF(Постоянные!$C$8:$C$37,$F283)&gt;0,"есть в Постоянных",IF(COUNTIF(Покупки!$C$7:$C$18,$F283)&gt;0,"есть в Покупках","")))</f>
        <v/>
      </c>
      <c r="P283">
        <f>IF($H283&lt;&gt;"",$H283,IF($I283="Оплачено",N($G283),0))</f>
        <v/>
      </c>
      <c r="Q283">
        <f>IF($I283="Отменено",0,IF($G283&lt;&gt;"",$G283,N($H283)))</f>
        <v/>
      </c>
      <c r="R283">
        <f>IF($C283="","",IFERROR(DATE(Настройки!$C$8,Настройки!$D$9+MATCH($M283,Настройки!$X$6:$X$17,0)-1,1),DATE(YEAR($C283),MONTH($C283),1)))</f>
        <v/>
      </c>
      <c r="S283">
        <f>IF(OR($I283="Оплачено",$H283&lt;&gt;""),$P283,$Q283)</f>
        <v/>
      </c>
      <c r="T283">
        <f>IF(OR($C283="",$D283="Доход",$I283="Оплачено",$I283="Отменено",$H283&lt;&gt;"",$C283&lt;TODAY()),"",$C283)</f>
        <v/>
      </c>
      <c r="U283">
        <f>IF(AND($D283&lt;&gt;"Доход",COUNTIFS(Счета!$B$10:$B$21,$J283,Счета!$C$10:$C$21,"Кредитная")&gt;0),1,0)</f>
        <v/>
      </c>
    </row>
    <row r="284" ht="19" customHeight="1">
      <c r="B284" s="53">
        <f>IF(AND($C284="",$F284=""),"",ROW()-9)</f>
        <v/>
      </c>
      <c r="C284" s="213" t="n"/>
      <c r="D284" s="55" t="n"/>
      <c r="E284" s="55" t="n"/>
      <c r="F284" s="56" t="n"/>
      <c r="G284" s="196" t="n"/>
      <c r="H284" s="196" t="n"/>
      <c r="I284" s="55" t="n"/>
      <c r="J284" s="55" t="n"/>
      <c r="K284" s="55" t="n"/>
      <c r="L284" s="100">
        <f>IF(OR($C284="",$I284="Оплачено",$I284="Отменено",$H284&lt;&gt;""),"",$C284-TODAY())</f>
        <v/>
      </c>
      <c r="M284" s="101">
        <f>IF($C284="","",INDEX(Настройки!$V$6:$V$17,MONTH($C284))&amp;" "&amp;YEAR($C284))</f>
        <v/>
      </c>
      <c r="N284" s="57">
        <f>IF($F284="","",IF(COUNTIF(Постоянные!$C$8:$C$37,$F284)&gt;0,"есть в Постоянных",IF(COUNTIF(Покупки!$C$7:$C$18,$F284)&gt;0,"есть в Покупках","")))</f>
        <v/>
      </c>
      <c r="P284">
        <f>IF($H284&lt;&gt;"",$H284,IF($I284="Оплачено",N($G284),0))</f>
        <v/>
      </c>
      <c r="Q284">
        <f>IF($I284="Отменено",0,IF($G284&lt;&gt;"",$G284,N($H284)))</f>
        <v/>
      </c>
      <c r="R284">
        <f>IF($C284="","",IFERROR(DATE(Настройки!$C$8,Настройки!$D$9+MATCH($M284,Настройки!$X$6:$X$17,0)-1,1),DATE(YEAR($C284),MONTH($C284),1)))</f>
        <v/>
      </c>
      <c r="S284">
        <f>IF(OR($I284="Оплачено",$H284&lt;&gt;""),$P284,$Q284)</f>
        <v/>
      </c>
      <c r="T284">
        <f>IF(OR($C284="",$D284="Доход",$I284="Оплачено",$I284="Отменено",$H284&lt;&gt;"",$C284&lt;TODAY()),"",$C284)</f>
        <v/>
      </c>
      <c r="U284">
        <f>IF(AND($D284&lt;&gt;"Доход",COUNTIFS(Счета!$B$10:$B$21,$J284,Счета!$C$10:$C$21,"Кредитная")&gt;0),1,0)</f>
        <v/>
      </c>
    </row>
    <row r="285" ht="19" customHeight="1">
      <c r="B285" s="53">
        <f>IF(AND($C285="",$F285=""),"",ROW()-9)</f>
        <v/>
      </c>
      <c r="C285" s="213" t="n"/>
      <c r="D285" s="55" t="n"/>
      <c r="E285" s="55" t="n"/>
      <c r="F285" s="56" t="n"/>
      <c r="G285" s="196" t="n"/>
      <c r="H285" s="196" t="n"/>
      <c r="I285" s="55" t="n"/>
      <c r="J285" s="55" t="n"/>
      <c r="K285" s="55" t="n"/>
      <c r="L285" s="100">
        <f>IF(OR($C285="",$I285="Оплачено",$I285="Отменено",$H285&lt;&gt;""),"",$C285-TODAY())</f>
        <v/>
      </c>
      <c r="M285" s="101">
        <f>IF($C285="","",INDEX(Настройки!$V$6:$V$17,MONTH($C285))&amp;" "&amp;YEAR($C285))</f>
        <v/>
      </c>
      <c r="N285" s="57">
        <f>IF($F285="","",IF(COUNTIF(Постоянные!$C$8:$C$37,$F285)&gt;0,"есть в Постоянных",IF(COUNTIF(Покупки!$C$7:$C$18,$F285)&gt;0,"есть в Покупках","")))</f>
        <v/>
      </c>
      <c r="P285">
        <f>IF($H285&lt;&gt;"",$H285,IF($I285="Оплачено",N($G285),0))</f>
        <v/>
      </c>
      <c r="Q285">
        <f>IF($I285="Отменено",0,IF($G285&lt;&gt;"",$G285,N($H285)))</f>
        <v/>
      </c>
      <c r="R285">
        <f>IF($C285="","",IFERROR(DATE(Настройки!$C$8,Настройки!$D$9+MATCH($M285,Настройки!$X$6:$X$17,0)-1,1),DATE(YEAR($C285),MONTH($C285),1)))</f>
        <v/>
      </c>
      <c r="S285">
        <f>IF(OR($I285="Оплачено",$H285&lt;&gt;""),$P285,$Q285)</f>
        <v/>
      </c>
      <c r="T285">
        <f>IF(OR($C285="",$D285="Доход",$I285="Оплачено",$I285="Отменено",$H285&lt;&gt;"",$C285&lt;TODAY()),"",$C285)</f>
        <v/>
      </c>
      <c r="U285">
        <f>IF(AND($D285&lt;&gt;"Доход",COUNTIFS(Счета!$B$10:$B$21,$J285,Счета!$C$10:$C$21,"Кредитная")&gt;0),1,0)</f>
        <v/>
      </c>
    </row>
    <row r="286" ht="19" customHeight="1">
      <c r="B286" s="53">
        <f>IF(AND($C286="",$F286=""),"",ROW()-9)</f>
        <v/>
      </c>
      <c r="C286" s="213" t="n"/>
      <c r="D286" s="55" t="n"/>
      <c r="E286" s="55" t="n"/>
      <c r="F286" s="56" t="n"/>
      <c r="G286" s="196" t="n"/>
      <c r="H286" s="196" t="n"/>
      <c r="I286" s="55" t="n"/>
      <c r="J286" s="55" t="n"/>
      <c r="K286" s="55" t="n"/>
      <c r="L286" s="100">
        <f>IF(OR($C286="",$I286="Оплачено",$I286="Отменено",$H286&lt;&gt;""),"",$C286-TODAY())</f>
        <v/>
      </c>
      <c r="M286" s="101">
        <f>IF($C286="","",INDEX(Настройки!$V$6:$V$17,MONTH($C286))&amp;" "&amp;YEAR($C286))</f>
        <v/>
      </c>
      <c r="N286" s="57">
        <f>IF($F286="","",IF(COUNTIF(Постоянные!$C$8:$C$37,$F286)&gt;0,"есть в Постоянных",IF(COUNTIF(Покупки!$C$7:$C$18,$F286)&gt;0,"есть в Покупках","")))</f>
        <v/>
      </c>
      <c r="P286">
        <f>IF($H286&lt;&gt;"",$H286,IF($I286="Оплачено",N($G286),0))</f>
        <v/>
      </c>
      <c r="Q286">
        <f>IF($I286="Отменено",0,IF($G286&lt;&gt;"",$G286,N($H286)))</f>
        <v/>
      </c>
      <c r="R286">
        <f>IF($C286="","",IFERROR(DATE(Настройки!$C$8,Настройки!$D$9+MATCH($M286,Настройки!$X$6:$X$17,0)-1,1),DATE(YEAR($C286),MONTH($C286),1)))</f>
        <v/>
      </c>
      <c r="S286">
        <f>IF(OR($I286="Оплачено",$H286&lt;&gt;""),$P286,$Q286)</f>
        <v/>
      </c>
      <c r="T286">
        <f>IF(OR($C286="",$D286="Доход",$I286="Оплачено",$I286="Отменено",$H286&lt;&gt;"",$C286&lt;TODAY()),"",$C286)</f>
        <v/>
      </c>
      <c r="U286">
        <f>IF(AND($D286&lt;&gt;"Доход",COUNTIFS(Счета!$B$10:$B$21,$J286,Счета!$C$10:$C$21,"Кредитная")&gt;0),1,0)</f>
        <v/>
      </c>
    </row>
    <row r="287" ht="19" customHeight="1">
      <c r="B287" s="53">
        <f>IF(AND($C287="",$F287=""),"",ROW()-9)</f>
        <v/>
      </c>
      <c r="C287" s="213" t="n"/>
      <c r="D287" s="55" t="n"/>
      <c r="E287" s="55" t="n"/>
      <c r="F287" s="56" t="n"/>
      <c r="G287" s="196" t="n"/>
      <c r="H287" s="196" t="n"/>
      <c r="I287" s="55" t="n"/>
      <c r="J287" s="55" t="n"/>
      <c r="K287" s="55" t="n"/>
      <c r="L287" s="100">
        <f>IF(OR($C287="",$I287="Оплачено",$I287="Отменено",$H287&lt;&gt;""),"",$C287-TODAY())</f>
        <v/>
      </c>
      <c r="M287" s="101">
        <f>IF($C287="","",INDEX(Настройки!$V$6:$V$17,MONTH($C287))&amp;" "&amp;YEAR($C287))</f>
        <v/>
      </c>
      <c r="N287" s="57">
        <f>IF($F287="","",IF(COUNTIF(Постоянные!$C$8:$C$37,$F287)&gt;0,"есть в Постоянных",IF(COUNTIF(Покупки!$C$7:$C$18,$F287)&gt;0,"есть в Покупках","")))</f>
        <v/>
      </c>
      <c r="P287">
        <f>IF($H287&lt;&gt;"",$H287,IF($I287="Оплачено",N($G287),0))</f>
        <v/>
      </c>
      <c r="Q287">
        <f>IF($I287="Отменено",0,IF($G287&lt;&gt;"",$G287,N($H287)))</f>
        <v/>
      </c>
      <c r="R287">
        <f>IF($C287="","",IFERROR(DATE(Настройки!$C$8,Настройки!$D$9+MATCH($M287,Настройки!$X$6:$X$17,0)-1,1),DATE(YEAR($C287),MONTH($C287),1)))</f>
        <v/>
      </c>
      <c r="S287">
        <f>IF(OR($I287="Оплачено",$H287&lt;&gt;""),$P287,$Q287)</f>
        <v/>
      </c>
      <c r="T287">
        <f>IF(OR($C287="",$D287="Доход",$I287="Оплачено",$I287="Отменено",$H287&lt;&gt;"",$C287&lt;TODAY()),"",$C287)</f>
        <v/>
      </c>
      <c r="U287">
        <f>IF(AND($D287&lt;&gt;"Доход",COUNTIFS(Счета!$B$10:$B$21,$J287,Счета!$C$10:$C$21,"Кредитная")&gt;0),1,0)</f>
        <v/>
      </c>
    </row>
    <row r="288" ht="19" customHeight="1">
      <c r="B288" s="53">
        <f>IF(AND($C288="",$F288=""),"",ROW()-9)</f>
        <v/>
      </c>
      <c r="C288" s="213" t="n"/>
      <c r="D288" s="55" t="n"/>
      <c r="E288" s="55" t="n"/>
      <c r="F288" s="56" t="n"/>
      <c r="G288" s="196" t="n"/>
      <c r="H288" s="196" t="n"/>
      <c r="I288" s="55" t="n"/>
      <c r="J288" s="55" t="n"/>
      <c r="K288" s="55" t="n"/>
      <c r="L288" s="100">
        <f>IF(OR($C288="",$I288="Оплачено",$I288="Отменено",$H288&lt;&gt;""),"",$C288-TODAY())</f>
        <v/>
      </c>
      <c r="M288" s="101">
        <f>IF($C288="","",INDEX(Настройки!$V$6:$V$17,MONTH($C288))&amp;" "&amp;YEAR($C288))</f>
        <v/>
      </c>
      <c r="N288" s="57">
        <f>IF($F288="","",IF(COUNTIF(Постоянные!$C$8:$C$37,$F288)&gt;0,"есть в Постоянных",IF(COUNTIF(Покупки!$C$7:$C$18,$F288)&gt;0,"есть в Покупках","")))</f>
        <v/>
      </c>
      <c r="P288">
        <f>IF($H288&lt;&gt;"",$H288,IF($I288="Оплачено",N($G288),0))</f>
        <v/>
      </c>
      <c r="Q288">
        <f>IF($I288="Отменено",0,IF($G288&lt;&gt;"",$G288,N($H288)))</f>
        <v/>
      </c>
      <c r="R288">
        <f>IF($C288="","",IFERROR(DATE(Настройки!$C$8,Настройки!$D$9+MATCH($M288,Настройки!$X$6:$X$17,0)-1,1),DATE(YEAR($C288),MONTH($C288),1)))</f>
        <v/>
      </c>
      <c r="S288">
        <f>IF(OR($I288="Оплачено",$H288&lt;&gt;""),$P288,$Q288)</f>
        <v/>
      </c>
      <c r="T288">
        <f>IF(OR($C288="",$D288="Доход",$I288="Оплачено",$I288="Отменено",$H288&lt;&gt;"",$C288&lt;TODAY()),"",$C288)</f>
        <v/>
      </c>
      <c r="U288">
        <f>IF(AND($D288&lt;&gt;"Доход",COUNTIFS(Счета!$B$10:$B$21,$J288,Счета!$C$10:$C$21,"Кредитная")&gt;0),1,0)</f>
        <v/>
      </c>
    </row>
    <row r="289" ht="19" customHeight="1">
      <c r="B289" s="53">
        <f>IF(AND($C289="",$F289=""),"",ROW()-9)</f>
        <v/>
      </c>
      <c r="C289" s="213" t="n"/>
      <c r="D289" s="55" t="n"/>
      <c r="E289" s="55" t="n"/>
      <c r="F289" s="56" t="n"/>
      <c r="G289" s="196" t="n"/>
      <c r="H289" s="196" t="n"/>
      <c r="I289" s="55" t="n"/>
      <c r="J289" s="55" t="n"/>
      <c r="K289" s="55" t="n"/>
      <c r="L289" s="100">
        <f>IF(OR($C289="",$I289="Оплачено",$I289="Отменено",$H289&lt;&gt;""),"",$C289-TODAY())</f>
        <v/>
      </c>
      <c r="M289" s="101">
        <f>IF($C289="","",INDEX(Настройки!$V$6:$V$17,MONTH($C289))&amp;" "&amp;YEAR($C289))</f>
        <v/>
      </c>
      <c r="N289" s="57">
        <f>IF($F289="","",IF(COUNTIF(Постоянные!$C$8:$C$37,$F289)&gt;0,"есть в Постоянных",IF(COUNTIF(Покупки!$C$7:$C$18,$F289)&gt;0,"есть в Покупках","")))</f>
        <v/>
      </c>
      <c r="P289">
        <f>IF($H289&lt;&gt;"",$H289,IF($I289="Оплачено",N($G289),0))</f>
        <v/>
      </c>
      <c r="Q289">
        <f>IF($I289="Отменено",0,IF($G289&lt;&gt;"",$G289,N($H289)))</f>
        <v/>
      </c>
      <c r="R289">
        <f>IF($C289="","",IFERROR(DATE(Настройки!$C$8,Настройки!$D$9+MATCH($M289,Настройки!$X$6:$X$17,0)-1,1),DATE(YEAR($C289),MONTH($C289),1)))</f>
        <v/>
      </c>
      <c r="S289">
        <f>IF(OR($I289="Оплачено",$H289&lt;&gt;""),$P289,$Q289)</f>
        <v/>
      </c>
      <c r="T289">
        <f>IF(OR($C289="",$D289="Доход",$I289="Оплачено",$I289="Отменено",$H289&lt;&gt;"",$C289&lt;TODAY()),"",$C289)</f>
        <v/>
      </c>
      <c r="U289">
        <f>IF(AND($D289&lt;&gt;"Доход",COUNTIFS(Счета!$B$10:$B$21,$J289,Счета!$C$10:$C$21,"Кредитная")&gt;0),1,0)</f>
        <v/>
      </c>
    </row>
    <row r="290" ht="19" customHeight="1">
      <c r="B290" s="53">
        <f>IF(AND($C290="",$F290=""),"",ROW()-9)</f>
        <v/>
      </c>
      <c r="C290" s="213" t="n"/>
      <c r="D290" s="55" t="n"/>
      <c r="E290" s="55" t="n"/>
      <c r="F290" s="56" t="n"/>
      <c r="G290" s="196" t="n"/>
      <c r="H290" s="196" t="n"/>
      <c r="I290" s="55" t="n"/>
      <c r="J290" s="55" t="n"/>
      <c r="K290" s="55" t="n"/>
      <c r="L290" s="100">
        <f>IF(OR($C290="",$I290="Оплачено",$I290="Отменено",$H290&lt;&gt;""),"",$C290-TODAY())</f>
        <v/>
      </c>
      <c r="M290" s="101">
        <f>IF($C290="","",INDEX(Настройки!$V$6:$V$17,MONTH($C290))&amp;" "&amp;YEAR($C290))</f>
        <v/>
      </c>
      <c r="N290" s="57">
        <f>IF($F290="","",IF(COUNTIF(Постоянные!$C$8:$C$37,$F290)&gt;0,"есть в Постоянных",IF(COUNTIF(Покупки!$C$7:$C$18,$F290)&gt;0,"есть в Покупках","")))</f>
        <v/>
      </c>
      <c r="P290">
        <f>IF($H290&lt;&gt;"",$H290,IF($I290="Оплачено",N($G290),0))</f>
        <v/>
      </c>
      <c r="Q290">
        <f>IF($I290="Отменено",0,IF($G290&lt;&gt;"",$G290,N($H290)))</f>
        <v/>
      </c>
      <c r="R290">
        <f>IF($C290="","",IFERROR(DATE(Настройки!$C$8,Настройки!$D$9+MATCH($M290,Настройки!$X$6:$X$17,0)-1,1),DATE(YEAR($C290),MONTH($C290),1)))</f>
        <v/>
      </c>
      <c r="S290">
        <f>IF(OR($I290="Оплачено",$H290&lt;&gt;""),$P290,$Q290)</f>
        <v/>
      </c>
      <c r="T290">
        <f>IF(OR($C290="",$D290="Доход",$I290="Оплачено",$I290="Отменено",$H290&lt;&gt;"",$C290&lt;TODAY()),"",$C290)</f>
        <v/>
      </c>
      <c r="U290">
        <f>IF(AND($D290&lt;&gt;"Доход",COUNTIFS(Счета!$B$10:$B$21,$J290,Счета!$C$10:$C$21,"Кредитная")&gt;0),1,0)</f>
        <v/>
      </c>
    </row>
    <row r="291" ht="19" customHeight="1">
      <c r="B291" s="53">
        <f>IF(AND($C291="",$F291=""),"",ROW()-9)</f>
        <v/>
      </c>
      <c r="C291" s="213" t="n"/>
      <c r="D291" s="55" t="n"/>
      <c r="E291" s="55" t="n"/>
      <c r="F291" s="56" t="n"/>
      <c r="G291" s="196" t="n"/>
      <c r="H291" s="196" t="n"/>
      <c r="I291" s="55" t="n"/>
      <c r="J291" s="55" t="n"/>
      <c r="K291" s="55" t="n"/>
      <c r="L291" s="100">
        <f>IF(OR($C291="",$I291="Оплачено",$I291="Отменено",$H291&lt;&gt;""),"",$C291-TODAY())</f>
        <v/>
      </c>
      <c r="M291" s="101">
        <f>IF($C291="","",INDEX(Настройки!$V$6:$V$17,MONTH($C291))&amp;" "&amp;YEAR($C291))</f>
        <v/>
      </c>
      <c r="N291" s="57">
        <f>IF($F291="","",IF(COUNTIF(Постоянные!$C$8:$C$37,$F291)&gt;0,"есть в Постоянных",IF(COUNTIF(Покупки!$C$7:$C$18,$F291)&gt;0,"есть в Покупках","")))</f>
        <v/>
      </c>
      <c r="P291">
        <f>IF($H291&lt;&gt;"",$H291,IF($I291="Оплачено",N($G291),0))</f>
        <v/>
      </c>
      <c r="Q291">
        <f>IF($I291="Отменено",0,IF($G291&lt;&gt;"",$G291,N($H291)))</f>
        <v/>
      </c>
      <c r="R291">
        <f>IF($C291="","",IFERROR(DATE(Настройки!$C$8,Настройки!$D$9+MATCH($M291,Настройки!$X$6:$X$17,0)-1,1),DATE(YEAR($C291),MONTH($C291),1)))</f>
        <v/>
      </c>
      <c r="S291">
        <f>IF(OR($I291="Оплачено",$H291&lt;&gt;""),$P291,$Q291)</f>
        <v/>
      </c>
      <c r="T291">
        <f>IF(OR($C291="",$D291="Доход",$I291="Оплачено",$I291="Отменено",$H291&lt;&gt;"",$C291&lt;TODAY()),"",$C291)</f>
        <v/>
      </c>
      <c r="U291">
        <f>IF(AND($D291&lt;&gt;"Доход",COUNTIFS(Счета!$B$10:$B$21,$J291,Счета!$C$10:$C$21,"Кредитная")&gt;0),1,0)</f>
        <v/>
      </c>
    </row>
    <row r="292" ht="19" customHeight="1">
      <c r="B292" s="53">
        <f>IF(AND($C292="",$F292=""),"",ROW()-9)</f>
        <v/>
      </c>
      <c r="C292" s="213" t="n"/>
      <c r="D292" s="55" t="n"/>
      <c r="E292" s="55" t="n"/>
      <c r="F292" s="56" t="n"/>
      <c r="G292" s="196" t="n"/>
      <c r="H292" s="196" t="n"/>
      <c r="I292" s="55" t="n"/>
      <c r="J292" s="55" t="n"/>
      <c r="K292" s="55" t="n"/>
      <c r="L292" s="100">
        <f>IF(OR($C292="",$I292="Оплачено",$I292="Отменено",$H292&lt;&gt;""),"",$C292-TODAY())</f>
        <v/>
      </c>
      <c r="M292" s="101">
        <f>IF($C292="","",INDEX(Настройки!$V$6:$V$17,MONTH($C292))&amp;" "&amp;YEAR($C292))</f>
        <v/>
      </c>
      <c r="N292" s="57">
        <f>IF($F292="","",IF(COUNTIF(Постоянные!$C$8:$C$37,$F292)&gt;0,"есть в Постоянных",IF(COUNTIF(Покупки!$C$7:$C$18,$F292)&gt;0,"есть в Покупках","")))</f>
        <v/>
      </c>
      <c r="P292">
        <f>IF($H292&lt;&gt;"",$H292,IF($I292="Оплачено",N($G292),0))</f>
        <v/>
      </c>
      <c r="Q292">
        <f>IF($I292="Отменено",0,IF($G292&lt;&gt;"",$G292,N($H292)))</f>
        <v/>
      </c>
      <c r="R292">
        <f>IF($C292="","",IFERROR(DATE(Настройки!$C$8,Настройки!$D$9+MATCH($M292,Настройки!$X$6:$X$17,0)-1,1),DATE(YEAR($C292),MONTH($C292),1)))</f>
        <v/>
      </c>
      <c r="S292">
        <f>IF(OR($I292="Оплачено",$H292&lt;&gt;""),$P292,$Q292)</f>
        <v/>
      </c>
      <c r="T292">
        <f>IF(OR($C292="",$D292="Доход",$I292="Оплачено",$I292="Отменено",$H292&lt;&gt;"",$C292&lt;TODAY()),"",$C292)</f>
        <v/>
      </c>
      <c r="U292">
        <f>IF(AND($D292&lt;&gt;"Доход",COUNTIFS(Счета!$B$10:$B$21,$J292,Счета!$C$10:$C$21,"Кредитная")&gt;0),1,0)</f>
        <v/>
      </c>
    </row>
    <row r="293" ht="19" customHeight="1">
      <c r="B293" s="53">
        <f>IF(AND($C293="",$F293=""),"",ROW()-9)</f>
        <v/>
      </c>
      <c r="C293" s="213" t="n"/>
      <c r="D293" s="55" t="n"/>
      <c r="E293" s="55" t="n"/>
      <c r="F293" s="56" t="n"/>
      <c r="G293" s="196" t="n"/>
      <c r="H293" s="196" t="n"/>
      <c r="I293" s="55" t="n"/>
      <c r="J293" s="55" t="n"/>
      <c r="K293" s="55" t="n"/>
      <c r="L293" s="100">
        <f>IF(OR($C293="",$I293="Оплачено",$I293="Отменено",$H293&lt;&gt;""),"",$C293-TODAY())</f>
        <v/>
      </c>
      <c r="M293" s="101">
        <f>IF($C293="","",INDEX(Настройки!$V$6:$V$17,MONTH($C293))&amp;" "&amp;YEAR($C293))</f>
        <v/>
      </c>
      <c r="N293" s="57">
        <f>IF($F293="","",IF(COUNTIF(Постоянные!$C$8:$C$37,$F293)&gt;0,"есть в Постоянных",IF(COUNTIF(Покупки!$C$7:$C$18,$F293)&gt;0,"есть в Покупках","")))</f>
        <v/>
      </c>
      <c r="P293">
        <f>IF($H293&lt;&gt;"",$H293,IF($I293="Оплачено",N($G293),0))</f>
        <v/>
      </c>
      <c r="Q293">
        <f>IF($I293="Отменено",0,IF($G293&lt;&gt;"",$G293,N($H293)))</f>
        <v/>
      </c>
      <c r="R293">
        <f>IF($C293="","",IFERROR(DATE(Настройки!$C$8,Настройки!$D$9+MATCH($M293,Настройки!$X$6:$X$17,0)-1,1),DATE(YEAR($C293),MONTH($C293),1)))</f>
        <v/>
      </c>
      <c r="S293">
        <f>IF(OR($I293="Оплачено",$H293&lt;&gt;""),$P293,$Q293)</f>
        <v/>
      </c>
      <c r="T293">
        <f>IF(OR($C293="",$D293="Доход",$I293="Оплачено",$I293="Отменено",$H293&lt;&gt;"",$C293&lt;TODAY()),"",$C293)</f>
        <v/>
      </c>
      <c r="U293">
        <f>IF(AND($D293&lt;&gt;"Доход",COUNTIFS(Счета!$B$10:$B$21,$J293,Счета!$C$10:$C$21,"Кредитная")&gt;0),1,0)</f>
        <v/>
      </c>
    </row>
    <row r="294" ht="19" customHeight="1">
      <c r="B294" s="53">
        <f>IF(AND($C294="",$F294=""),"",ROW()-9)</f>
        <v/>
      </c>
      <c r="C294" s="213" t="n"/>
      <c r="D294" s="55" t="n"/>
      <c r="E294" s="55" t="n"/>
      <c r="F294" s="56" t="n"/>
      <c r="G294" s="196" t="n"/>
      <c r="H294" s="196" t="n"/>
      <c r="I294" s="55" t="n"/>
      <c r="J294" s="55" t="n"/>
      <c r="K294" s="55" t="n"/>
      <c r="L294" s="100">
        <f>IF(OR($C294="",$I294="Оплачено",$I294="Отменено",$H294&lt;&gt;""),"",$C294-TODAY())</f>
        <v/>
      </c>
      <c r="M294" s="101">
        <f>IF($C294="","",INDEX(Настройки!$V$6:$V$17,MONTH($C294))&amp;" "&amp;YEAR($C294))</f>
        <v/>
      </c>
      <c r="N294" s="57">
        <f>IF($F294="","",IF(COUNTIF(Постоянные!$C$8:$C$37,$F294)&gt;0,"есть в Постоянных",IF(COUNTIF(Покупки!$C$7:$C$18,$F294)&gt;0,"есть в Покупках","")))</f>
        <v/>
      </c>
      <c r="P294">
        <f>IF($H294&lt;&gt;"",$H294,IF($I294="Оплачено",N($G294),0))</f>
        <v/>
      </c>
      <c r="Q294">
        <f>IF($I294="Отменено",0,IF($G294&lt;&gt;"",$G294,N($H294)))</f>
        <v/>
      </c>
      <c r="R294">
        <f>IF($C294="","",IFERROR(DATE(Настройки!$C$8,Настройки!$D$9+MATCH($M294,Настройки!$X$6:$X$17,0)-1,1),DATE(YEAR($C294),MONTH($C294),1)))</f>
        <v/>
      </c>
      <c r="S294">
        <f>IF(OR($I294="Оплачено",$H294&lt;&gt;""),$P294,$Q294)</f>
        <v/>
      </c>
      <c r="T294">
        <f>IF(OR($C294="",$D294="Доход",$I294="Оплачено",$I294="Отменено",$H294&lt;&gt;"",$C294&lt;TODAY()),"",$C294)</f>
        <v/>
      </c>
      <c r="U294">
        <f>IF(AND($D294&lt;&gt;"Доход",COUNTIFS(Счета!$B$10:$B$21,$J294,Счета!$C$10:$C$21,"Кредитная")&gt;0),1,0)</f>
        <v/>
      </c>
    </row>
    <row r="295" ht="19" customHeight="1">
      <c r="B295" s="53">
        <f>IF(AND($C295="",$F295=""),"",ROW()-9)</f>
        <v/>
      </c>
      <c r="C295" s="213" t="n"/>
      <c r="D295" s="55" t="n"/>
      <c r="E295" s="55" t="n"/>
      <c r="F295" s="56" t="n"/>
      <c r="G295" s="196" t="n"/>
      <c r="H295" s="196" t="n"/>
      <c r="I295" s="55" t="n"/>
      <c r="J295" s="55" t="n"/>
      <c r="K295" s="55" t="n"/>
      <c r="L295" s="100">
        <f>IF(OR($C295="",$I295="Оплачено",$I295="Отменено",$H295&lt;&gt;""),"",$C295-TODAY())</f>
        <v/>
      </c>
      <c r="M295" s="101">
        <f>IF($C295="","",INDEX(Настройки!$V$6:$V$17,MONTH($C295))&amp;" "&amp;YEAR($C295))</f>
        <v/>
      </c>
      <c r="N295" s="57">
        <f>IF($F295="","",IF(COUNTIF(Постоянные!$C$8:$C$37,$F295)&gt;0,"есть в Постоянных",IF(COUNTIF(Покупки!$C$7:$C$18,$F295)&gt;0,"есть в Покупках","")))</f>
        <v/>
      </c>
      <c r="P295">
        <f>IF($H295&lt;&gt;"",$H295,IF($I295="Оплачено",N($G295),0))</f>
        <v/>
      </c>
      <c r="Q295">
        <f>IF($I295="Отменено",0,IF($G295&lt;&gt;"",$G295,N($H295)))</f>
        <v/>
      </c>
      <c r="R295">
        <f>IF($C295="","",IFERROR(DATE(Настройки!$C$8,Настройки!$D$9+MATCH($M295,Настройки!$X$6:$X$17,0)-1,1),DATE(YEAR($C295),MONTH($C295),1)))</f>
        <v/>
      </c>
      <c r="S295">
        <f>IF(OR($I295="Оплачено",$H295&lt;&gt;""),$P295,$Q295)</f>
        <v/>
      </c>
      <c r="T295">
        <f>IF(OR($C295="",$D295="Доход",$I295="Оплачено",$I295="Отменено",$H295&lt;&gt;"",$C295&lt;TODAY()),"",$C295)</f>
        <v/>
      </c>
      <c r="U295">
        <f>IF(AND($D295&lt;&gt;"Доход",COUNTIFS(Счета!$B$10:$B$21,$J295,Счета!$C$10:$C$21,"Кредитная")&gt;0),1,0)</f>
        <v/>
      </c>
    </row>
    <row r="296" ht="19" customHeight="1">
      <c r="B296" s="53">
        <f>IF(AND($C296="",$F296=""),"",ROW()-9)</f>
        <v/>
      </c>
      <c r="C296" s="213" t="n"/>
      <c r="D296" s="55" t="n"/>
      <c r="E296" s="55" t="n"/>
      <c r="F296" s="56" t="n"/>
      <c r="G296" s="196" t="n"/>
      <c r="H296" s="196" t="n"/>
      <c r="I296" s="55" t="n"/>
      <c r="J296" s="55" t="n"/>
      <c r="K296" s="55" t="n"/>
      <c r="L296" s="100">
        <f>IF(OR($C296="",$I296="Оплачено",$I296="Отменено",$H296&lt;&gt;""),"",$C296-TODAY())</f>
        <v/>
      </c>
      <c r="M296" s="101">
        <f>IF($C296="","",INDEX(Настройки!$V$6:$V$17,MONTH($C296))&amp;" "&amp;YEAR($C296))</f>
        <v/>
      </c>
      <c r="N296" s="57">
        <f>IF($F296="","",IF(COUNTIF(Постоянные!$C$8:$C$37,$F296)&gt;0,"есть в Постоянных",IF(COUNTIF(Покупки!$C$7:$C$18,$F296)&gt;0,"есть в Покупках","")))</f>
        <v/>
      </c>
      <c r="P296">
        <f>IF($H296&lt;&gt;"",$H296,IF($I296="Оплачено",N($G296),0))</f>
        <v/>
      </c>
      <c r="Q296">
        <f>IF($I296="Отменено",0,IF($G296&lt;&gt;"",$G296,N($H296)))</f>
        <v/>
      </c>
      <c r="R296">
        <f>IF($C296="","",IFERROR(DATE(Настройки!$C$8,Настройки!$D$9+MATCH($M296,Настройки!$X$6:$X$17,0)-1,1),DATE(YEAR($C296),MONTH($C296),1)))</f>
        <v/>
      </c>
      <c r="S296">
        <f>IF(OR($I296="Оплачено",$H296&lt;&gt;""),$P296,$Q296)</f>
        <v/>
      </c>
      <c r="T296">
        <f>IF(OR($C296="",$D296="Доход",$I296="Оплачено",$I296="Отменено",$H296&lt;&gt;"",$C296&lt;TODAY()),"",$C296)</f>
        <v/>
      </c>
      <c r="U296">
        <f>IF(AND($D296&lt;&gt;"Доход",COUNTIFS(Счета!$B$10:$B$21,$J296,Счета!$C$10:$C$21,"Кредитная")&gt;0),1,0)</f>
        <v/>
      </c>
    </row>
    <row r="297" ht="19" customHeight="1">
      <c r="B297" s="53">
        <f>IF(AND($C297="",$F297=""),"",ROW()-9)</f>
        <v/>
      </c>
      <c r="C297" s="213" t="n"/>
      <c r="D297" s="55" t="n"/>
      <c r="E297" s="55" t="n"/>
      <c r="F297" s="56" t="n"/>
      <c r="G297" s="196" t="n"/>
      <c r="H297" s="196" t="n"/>
      <c r="I297" s="55" t="n"/>
      <c r="J297" s="55" t="n"/>
      <c r="K297" s="55" t="n"/>
      <c r="L297" s="100">
        <f>IF(OR($C297="",$I297="Оплачено",$I297="Отменено",$H297&lt;&gt;""),"",$C297-TODAY())</f>
        <v/>
      </c>
      <c r="M297" s="101">
        <f>IF($C297="","",INDEX(Настройки!$V$6:$V$17,MONTH($C297))&amp;" "&amp;YEAR($C297))</f>
        <v/>
      </c>
      <c r="N297" s="57">
        <f>IF($F297="","",IF(COUNTIF(Постоянные!$C$8:$C$37,$F297)&gt;0,"есть в Постоянных",IF(COUNTIF(Покупки!$C$7:$C$18,$F297)&gt;0,"есть в Покупках","")))</f>
        <v/>
      </c>
      <c r="P297">
        <f>IF($H297&lt;&gt;"",$H297,IF($I297="Оплачено",N($G297),0))</f>
        <v/>
      </c>
      <c r="Q297">
        <f>IF($I297="Отменено",0,IF($G297&lt;&gt;"",$G297,N($H297)))</f>
        <v/>
      </c>
      <c r="R297">
        <f>IF($C297="","",IFERROR(DATE(Настройки!$C$8,Настройки!$D$9+MATCH($M297,Настройки!$X$6:$X$17,0)-1,1),DATE(YEAR($C297),MONTH($C297),1)))</f>
        <v/>
      </c>
      <c r="S297">
        <f>IF(OR($I297="Оплачено",$H297&lt;&gt;""),$P297,$Q297)</f>
        <v/>
      </c>
      <c r="T297">
        <f>IF(OR($C297="",$D297="Доход",$I297="Оплачено",$I297="Отменено",$H297&lt;&gt;"",$C297&lt;TODAY()),"",$C297)</f>
        <v/>
      </c>
      <c r="U297">
        <f>IF(AND($D297&lt;&gt;"Доход",COUNTIFS(Счета!$B$10:$B$21,$J297,Счета!$C$10:$C$21,"Кредитная")&gt;0),1,0)</f>
        <v/>
      </c>
    </row>
    <row r="298" ht="19" customHeight="1">
      <c r="B298" s="53">
        <f>IF(AND($C298="",$F298=""),"",ROW()-9)</f>
        <v/>
      </c>
      <c r="C298" s="213" t="n"/>
      <c r="D298" s="55" t="n"/>
      <c r="E298" s="55" t="n"/>
      <c r="F298" s="56" t="n"/>
      <c r="G298" s="196" t="n"/>
      <c r="H298" s="196" t="n"/>
      <c r="I298" s="55" t="n"/>
      <c r="J298" s="55" t="n"/>
      <c r="K298" s="55" t="n"/>
      <c r="L298" s="100">
        <f>IF(OR($C298="",$I298="Оплачено",$I298="Отменено",$H298&lt;&gt;""),"",$C298-TODAY())</f>
        <v/>
      </c>
      <c r="M298" s="101">
        <f>IF($C298="","",INDEX(Настройки!$V$6:$V$17,MONTH($C298))&amp;" "&amp;YEAR($C298))</f>
        <v/>
      </c>
      <c r="N298" s="57">
        <f>IF($F298="","",IF(COUNTIF(Постоянные!$C$8:$C$37,$F298)&gt;0,"есть в Постоянных",IF(COUNTIF(Покупки!$C$7:$C$18,$F298)&gt;0,"есть в Покупках","")))</f>
        <v/>
      </c>
      <c r="P298">
        <f>IF($H298&lt;&gt;"",$H298,IF($I298="Оплачено",N($G298),0))</f>
        <v/>
      </c>
      <c r="Q298">
        <f>IF($I298="Отменено",0,IF($G298&lt;&gt;"",$G298,N($H298)))</f>
        <v/>
      </c>
      <c r="R298">
        <f>IF($C298="","",IFERROR(DATE(Настройки!$C$8,Настройки!$D$9+MATCH($M298,Настройки!$X$6:$X$17,0)-1,1),DATE(YEAR($C298),MONTH($C298),1)))</f>
        <v/>
      </c>
      <c r="S298">
        <f>IF(OR($I298="Оплачено",$H298&lt;&gt;""),$P298,$Q298)</f>
        <v/>
      </c>
      <c r="T298">
        <f>IF(OR($C298="",$D298="Доход",$I298="Оплачено",$I298="Отменено",$H298&lt;&gt;"",$C298&lt;TODAY()),"",$C298)</f>
        <v/>
      </c>
      <c r="U298">
        <f>IF(AND($D298&lt;&gt;"Доход",COUNTIFS(Счета!$B$10:$B$21,$J298,Счета!$C$10:$C$21,"Кредитная")&gt;0),1,0)</f>
        <v/>
      </c>
    </row>
    <row r="299" ht="19" customHeight="1">
      <c r="B299" s="53">
        <f>IF(AND($C299="",$F299=""),"",ROW()-9)</f>
        <v/>
      </c>
      <c r="C299" s="213" t="n"/>
      <c r="D299" s="55" t="n"/>
      <c r="E299" s="55" t="n"/>
      <c r="F299" s="56" t="n"/>
      <c r="G299" s="196" t="n"/>
      <c r="H299" s="196" t="n"/>
      <c r="I299" s="55" t="n"/>
      <c r="J299" s="55" t="n"/>
      <c r="K299" s="55" t="n"/>
      <c r="L299" s="100">
        <f>IF(OR($C299="",$I299="Оплачено",$I299="Отменено",$H299&lt;&gt;""),"",$C299-TODAY())</f>
        <v/>
      </c>
      <c r="M299" s="101">
        <f>IF($C299="","",INDEX(Настройки!$V$6:$V$17,MONTH($C299))&amp;" "&amp;YEAR($C299))</f>
        <v/>
      </c>
      <c r="N299" s="57">
        <f>IF($F299="","",IF(COUNTIF(Постоянные!$C$8:$C$37,$F299)&gt;0,"есть в Постоянных",IF(COUNTIF(Покупки!$C$7:$C$18,$F299)&gt;0,"есть в Покупках","")))</f>
        <v/>
      </c>
      <c r="P299">
        <f>IF($H299&lt;&gt;"",$H299,IF($I299="Оплачено",N($G299),0))</f>
        <v/>
      </c>
      <c r="Q299">
        <f>IF($I299="Отменено",0,IF($G299&lt;&gt;"",$G299,N($H299)))</f>
        <v/>
      </c>
      <c r="R299">
        <f>IF($C299="","",IFERROR(DATE(Настройки!$C$8,Настройки!$D$9+MATCH($M299,Настройки!$X$6:$X$17,0)-1,1),DATE(YEAR($C299),MONTH($C299),1)))</f>
        <v/>
      </c>
      <c r="S299">
        <f>IF(OR($I299="Оплачено",$H299&lt;&gt;""),$P299,$Q299)</f>
        <v/>
      </c>
      <c r="T299">
        <f>IF(OR($C299="",$D299="Доход",$I299="Оплачено",$I299="Отменено",$H299&lt;&gt;"",$C299&lt;TODAY()),"",$C299)</f>
        <v/>
      </c>
      <c r="U299">
        <f>IF(AND($D299&lt;&gt;"Доход",COUNTIFS(Счета!$B$10:$B$21,$J299,Счета!$C$10:$C$21,"Кредитная")&gt;0),1,0)</f>
        <v/>
      </c>
    </row>
    <row r="300" ht="19" customHeight="1">
      <c r="B300" s="53">
        <f>IF(AND($C300="",$F300=""),"",ROW()-9)</f>
        <v/>
      </c>
      <c r="C300" s="213" t="n"/>
      <c r="D300" s="55" t="n"/>
      <c r="E300" s="55" t="n"/>
      <c r="F300" s="56" t="n"/>
      <c r="G300" s="196" t="n"/>
      <c r="H300" s="196" t="n"/>
      <c r="I300" s="55" t="n"/>
      <c r="J300" s="55" t="n"/>
      <c r="K300" s="55" t="n"/>
      <c r="L300" s="100">
        <f>IF(OR($C300="",$I300="Оплачено",$I300="Отменено",$H300&lt;&gt;""),"",$C300-TODAY())</f>
        <v/>
      </c>
      <c r="M300" s="101">
        <f>IF($C300="","",INDEX(Настройки!$V$6:$V$17,MONTH($C300))&amp;" "&amp;YEAR($C300))</f>
        <v/>
      </c>
      <c r="N300" s="57">
        <f>IF($F300="","",IF(COUNTIF(Постоянные!$C$8:$C$37,$F300)&gt;0,"есть в Постоянных",IF(COUNTIF(Покупки!$C$7:$C$18,$F300)&gt;0,"есть в Покупках","")))</f>
        <v/>
      </c>
      <c r="P300">
        <f>IF($H300&lt;&gt;"",$H300,IF($I300="Оплачено",N($G300),0))</f>
        <v/>
      </c>
      <c r="Q300">
        <f>IF($I300="Отменено",0,IF($G300&lt;&gt;"",$G300,N($H300)))</f>
        <v/>
      </c>
      <c r="R300">
        <f>IF($C300="","",IFERROR(DATE(Настройки!$C$8,Настройки!$D$9+MATCH($M300,Настройки!$X$6:$X$17,0)-1,1),DATE(YEAR($C300),MONTH($C300),1)))</f>
        <v/>
      </c>
      <c r="S300">
        <f>IF(OR($I300="Оплачено",$H300&lt;&gt;""),$P300,$Q300)</f>
        <v/>
      </c>
      <c r="T300">
        <f>IF(OR($C300="",$D300="Доход",$I300="Оплачено",$I300="Отменено",$H300&lt;&gt;"",$C300&lt;TODAY()),"",$C300)</f>
        <v/>
      </c>
      <c r="U300">
        <f>IF(AND($D300&lt;&gt;"Доход",COUNTIFS(Счета!$B$10:$B$21,$J300,Счета!$C$10:$C$21,"Кредитная")&gt;0),1,0)</f>
        <v/>
      </c>
    </row>
    <row r="301" ht="19" customHeight="1">
      <c r="B301" s="53">
        <f>IF(AND($C301="",$F301=""),"",ROW()-9)</f>
        <v/>
      </c>
      <c r="C301" s="213" t="n"/>
      <c r="D301" s="55" t="n"/>
      <c r="E301" s="55" t="n"/>
      <c r="F301" s="56" t="n"/>
      <c r="G301" s="196" t="n"/>
      <c r="H301" s="196" t="n"/>
      <c r="I301" s="55" t="n"/>
      <c r="J301" s="55" t="n"/>
      <c r="K301" s="55" t="n"/>
      <c r="L301" s="100">
        <f>IF(OR($C301="",$I301="Оплачено",$I301="Отменено",$H301&lt;&gt;""),"",$C301-TODAY())</f>
        <v/>
      </c>
      <c r="M301" s="101">
        <f>IF($C301="","",INDEX(Настройки!$V$6:$V$17,MONTH($C301))&amp;" "&amp;YEAR($C301))</f>
        <v/>
      </c>
      <c r="N301" s="57">
        <f>IF($F301="","",IF(COUNTIF(Постоянные!$C$8:$C$37,$F301)&gt;0,"есть в Постоянных",IF(COUNTIF(Покупки!$C$7:$C$18,$F301)&gt;0,"есть в Покупках","")))</f>
        <v/>
      </c>
      <c r="P301">
        <f>IF($H301&lt;&gt;"",$H301,IF($I301="Оплачено",N($G301),0))</f>
        <v/>
      </c>
      <c r="Q301">
        <f>IF($I301="Отменено",0,IF($G301&lt;&gt;"",$G301,N($H301)))</f>
        <v/>
      </c>
      <c r="R301">
        <f>IF($C301="","",IFERROR(DATE(Настройки!$C$8,Настройки!$D$9+MATCH($M301,Настройки!$X$6:$X$17,0)-1,1),DATE(YEAR($C301),MONTH($C301),1)))</f>
        <v/>
      </c>
      <c r="S301">
        <f>IF(OR($I301="Оплачено",$H301&lt;&gt;""),$P301,$Q301)</f>
        <v/>
      </c>
      <c r="T301">
        <f>IF(OR($C301="",$D301="Доход",$I301="Оплачено",$I301="Отменено",$H301&lt;&gt;"",$C301&lt;TODAY()),"",$C301)</f>
        <v/>
      </c>
      <c r="U301">
        <f>IF(AND($D301&lt;&gt;"Доход",COUNTIFS(Счета!$B$10:$B$21,$J301,Счета!$C$10:$C$21,"Кредитная")&gt;0),1,0)</f>
        <v/>
      </c>
    </row>
    <row r="302" ht="19" customHeight="1">
      <c r="B302" s="53">
        <f>IF(AND($C302="",$F302=""),"",ROW()-9)</f>
        <v/>
      </c>
      <c r="C302" s="213" t="n"/>
      <c r="D302" s="55" t="n"/>
      <c r="E302" s="55" t="n"/>
      <c r="F302" s="56" t="n"/>
      <c r="G302" s="196" t="n"/>
      <c r="H302" s="196" t="n"/>
      <c r="I302" s="55" t="n"/>
      <c r="J302" s="55" t="n"/>
      <c r="K302" s="55" t="n"/>
      <c r="L302" s="100">
        <f>IF(OR($C302="",$I302="Оплачено",$I302="Отменено",$H302&lt;&gt;""),"",$C302-TODAY())</f>
        <v/>
      </c>
      <c r="M302" s="101">
        <f>IF($C302="","",INDEX(Настройки!$V$6:$V$17,MONTH($C302))&amp;" "&amp;YEAR($C302))</f>
        <v/>
      </c>
      <c r="N302" s="57">
        <f>IF($F302="","",IF(COUNTIF(Постоянные!$C$8:$C$37,$F302)&gt;0,"есть в Постоянных",IF(COUNTIF(Покупки!$C$7:$C$18,$F302)&gt;0,"есть в Покупках","")))</f>
        <v/>
      </c>
      <c r="P302">
        <f>IF($H302&lt;&gt;"",$H302,IF($I302="Оплачено",N($G302),0))</f>
        <v/>
      </c>
      <c r="Q302">
        <f>IF($I302="Отменено",0,IF($G302&lt;&gt;"",$G302,N($H302)))</f>
        <v/>
      </c>
      <c r="R302">
        <f>IF($C302="","",IFERROR(DATE(Настройки!$C$8,Настройки!$D$9+MATCH($M302,Настройки!$X$6:$X$17,0)-1,1),DATE(YEAR($C302),MONTH($C302),1)))</f>
        <v/>
      </c>
      <c r="S302">
        <f>IF(OR($I302="Оплачено",$H302&lt;&gt;""),$P302,$Q302)</f>
        <v/>
      </c>
      <c r="T302">
        <f>IF(OR($C302="",$D302="Доход",$I302="Оплачено",$I302="Отменено",$H302&lt;&gt;"",$C302&lt;TODAY()),"",$C302)</f>
        <v/>
      </c>
      <c r="U302">
        <f>IF(AND($D302&lt;&gt;"Доход",COUNTIFS(Счета!$B$10:$B$21,$J302,Счета!$C$10:$C$21,"Кредитная")&gt;0),1,0)</f>
        <v/>
      </c>
    </row>
    <row r="303" ht="19" customHeight="1">
      <c r="B303" s="53">
        <f>IF(AND($C303="",$F303=""),"",ROW()-9)</f>
        <v/>
      </c>
      <c r="C303" s="213" t="n"/>
      <c r="D303" s="55" t="n"/>
      <c r="E303" s="55" t="n"/>
      <c r="F303" s="56" t="n"/>
      <c r="G303" s="196" t="n"/>
      <c r="H303" s="196" t="n"/>
      <c r="I303" s="55" t="n"/>
      <c r="J303" s="55" t="n"/>
      <c r="K303" s="55" t="n"/>
      <c r="L303" s="100">
        <f>IF(OR($C303="",$I303="Оплачено",$I303="Отменено",$H303&lt;&gt;""),"",$C303-TODAY())</f>
        <v/>
      </c>
      <c r="M303" s="101">
        <f>IF($C303="","",INDEX(Настройки!$V$6:$V$17,MONTH($C303))&amp;" "&amp;YEAR($C303))</f>
        <v/>
      </c>
      <c r="N303" s="57">
        <f>IF($F303="","",IF(COUNTIF(Постоянные!$C$8:$C$37,$F303)&gt;0,"есть в Постоянных",IF(COUNTIF(Покупки!$C$7:$C$18,$F303)&gt;0,"есть в Покупках","")))</f>
        <v/>
      </c>
      <c r="P303">
        <f>IF($H303&lt;&gt;"",$H303,IF($I303="Оплачено",N($G303),0))</f>
        <v/>
      </c>
      <c r="Q303">
        <f>IF($I303="Отменено",0,IF($G303&lt;&gt;"",$G303,N($H303)))</f>
        <v/>
      </c>
      <c r="R303">
        <f>IF($C303="","",IFERROR(DATE(Настройки!$C$8,Настройки!$D$9+MATCH($M303,Настройки!$X$6:$X$17,0)-1,1),DATE(YEAR($C303),MONTH($C303),1)))</f>
        <v/>
      </c>
      <c r="S303">
        <f>IF(OR($I303="Оплачено",$H303&lt;&gt;""),$P303,$Q303)</f>
        <v/>
      </c>
      <c r="T303">
        <f>IF(OR($C303="",$D303="Доход",$I303="Оплачено",$I303="Отменено",$H303&lt;&gt;"",$C303&lt;TODAY()),"",$C303)</f>
        <v/>
      </c>
      <c r="U303">
        <f>IF(AND($D303&lt;&gt;"Доход",COUNTIFS(Счета!$B$10:$B$21,$J303,Счета!$C$10:$C$21,"Кредитная")&gt;0),1,0)</f>
        <v/>
      </c>
    </row>
    <row r="304" ht="19" customHeight="1">
      <c r="B304" s="53">
        <f>IF(AND($C304="",$F304=""),"",ROW()-9)</f>
        <v/>
      </c>
      <c r="C304" s="213" t="n"/>
      <c r="D304" s="55" t="n"/>
      <c r="E304" s="55" t="n"/>
      <c r="F304" s="56" t="n"/>
      <c r="G304" s="196" t="n"/>
      <c r="H304" s="196" t="n"/>
      <c r="I304" s="55" t="n"/>
      <c r="J304" s="55" t="n"/>
      <c r="K304" s="55" t="n"/>
      <c r="L304" s="100">
        <f>IF(OR($C304="",$I304="Оплачено",$I304="Отменено",$H304&lt;&gt;""),"",$C304-TODAY())</f>
        <v/>
      </c>
      <c r="M304" s="101">
        <f>IF($C304="","",INDEX(Настройки!$V$6:$V$17,MONTH($C304))&amp;" "&amp;YEAR($C304))</f>
        <v/>
      </c>
      <c r="N304" s="57">
        <f>IF($F304="","",IF(COUNTIF(Постоянные!$C$8:$C$37,$F304)&gt;0,"есть в Постоянных",IF(COUNTIF(Покупки!$C$7:$C$18,$F304)&gt;0,"есть в Покупках","")))</f>
        <v/>
      </c>
      <c r="P304">
        <f>IF($H304&lt;&gt;"",$H304,IF($I304="Оплачено",N($G304),0))</f>
        <v/>
      </c>
      <c r="Q304">
        <f>IF($I304="Отменено",0,IF($G304&lt;&gt;"",$G304,N($H304)))</f>
        <v/>
      </c>
      <c r="R304">
        <f>IF($C304="","",IFERROR(DATE(Настройки!$C$8,Настройки!$D$9+MATCH($M304,Настройки!$X$6:$X$17,0)-1,1),DATE(YEAR($C304),MONTH($C304),1)))</f>
        <v/>
      </c>
      <c r="S304">
        <f>IF(OR($I304="Оплачено",$H304&lt;&gt;""),$P304,$Q304)</f>
        <v/>
      </c>
      <c r="T304">
        <f>IF(OR($C304="",$D304="Доход",$I304="Оплачено",$I304="Отменено",$H304&lt;&gt;"",$C304&lt;TODAY()),"",$C304)</f>
        <v/>
      </c>
      <c r="U304">
        <f>IF(AND($D304&lt;&gt;"Доход",COUNTIFS(Счета!$B$10:$B$21,$J304,Счета!$C$10:$C$21,"Кредитная")&gt;0),1,0)</f>
        <v/>
      </c>
    </row>
    <row r="305" ht="19" customHeight="1">
      <c r="B305" s="53">
        <f>IF(AND($C305="",$F305=""),"",ROW()-9)</f>
        <v/>
      </c>
      <c r="C305" s="213" t="n"/>
      <c r="D305" s="55" t="n"/>
      <c r="E305" s="55" t="n"/>
      <c r="F305" s="56" t="n"/>
      <c r="G305" s="196" t="n"/>
      <c r="H305" s="196" t="n"/>
      <c r="I305" s="55" t="n"/>
      <c r="J305" s="55" t="n"/>
      <c r="K305" s="55" t="n"/>
      <c r="L305" s="100">
        <f>IF(OR($C305="",$I305="Оплачено",$I305="Отменено",$H305&lt;&gt;""),"",$C305-TODAY())</f>
        <v/>
      </c>
      <c r="M305" s="101">
        <f>IF($C305="","",INDEX(Настройки!$V$6:$V$17,MONTH($C305))&amp;" "&amp;YEAR($C305))</f>
        <v/>
      </c>
      <c r="N305" s="57">
        <f>IF($F305="","",IF(COUNTIF(Постоянные!$C$8:$C$37,$F305)&gt;0,"есть в Постоянных",IF(COUNTIF(Покупки!$C$7:$C$18,$F305)&gt;0,"есть в Покупках","")))</f>
        <v/>
      </c>
      <c r="P305">
        <f>IF($H305&lt;&gt;"",$H305,IF($I305="Оплачено",N($G305),0))</f>
        <v/>
      </c>
      <c r="Q305">
        <f>IF($I305="Отменено",0,IF($G305&lt;&gt;"",$G305,N($H305)))</f>
        <v/>
      </c>
      <c r="R305">
        <f>IF($C305="","",IFERROR(DATE(Настройки!$C$8,Настройки!$D$9+MATCH($M305,Настройки!$X$6:$X$17,0)-1,1),DATE(YEAR($C305),MONTH($C305),1)))</f>
        <v/>
      </c>
      <c r="S305">
        <f>IF(OR($I305="Оплачено",$H305&lt;&gt;""),$P305,$Q305)</f>
        <v/>
      </c>
      <c r="T305">
        <f>IF(OR($C305="",$D305="Доход",$I305="Оплачено",$I305="Отменено",$H305&lt;&gt;"",$C305&lt;TODAY()),"",$C305)</f>
        <v/>
      </c>
      <c r="U305">
        <f>IF(AND($D305&lt;&gt;"Доход",COUNTIFS(Счета!$B$10:$B$21,$J305,Счета!$C$10:$C$21,"Кредитная")&gt;0),1,0)</f>
        <v/>
      </c>
    </row>
    <row r="306" ht="19" customHeight="1">
      <c r="B306" s="53">
        <f>IF(AND($C306="",$F306=""),"",ROW()-9)</f>
        <v/>
      </c>
      <c r="C306" s="213" t="n"/>
      <c r="D306" s="55" t="n"/>
      <c r="E306" s="55" t="n"/>
      <c r="F306" s="56" t="n"/>
      <c r="G306" s="196" t="n"/>
      <c r="H306" s="196" t="n"/>
      <c r="I306" s="55" t="n"/>
      <c r="J306" s="55" t="n"/>
      <c r="K306" s="55" t="n"/>
      <c r="L306" s="100">
        <f>IF(OR($C306="",$I306="Оплачено",$I306="Отменено",$H306&lt;&gt;""),"",$C306-TODAY())</f>
        <v/>
      </c>
      <c r="M306" s="101">
        <f>IF($C306="","",INDEX(Настройки!$V$6:$V$17,MONTH($C306))&amp;" "&amp;YEAR($C306))</f>
        <v/>
      </c>
      <c r="N306" s="57">
        <f>IF($F306="","",IF(COUNTIF(Постоянные!$C$8:$C$37,$F306)&gt;0,"есть в Постоянных",IF(COUNTIF(Покупки!$C$7:$C$18,$F306)&gt;0,"есть в Покупках","")))</f>
        <v/>
      </c>
      <c r="P306">
        <f>IF($H306&lt;&gt;"",$H306,IF($I306="Оплачено",N($G306),0))</f>
        <v/>
      </c>
      <c r="Q306">
        <f>IF($I306="Отменено",0,IF($G306&lt;&gt;"",$G306,N($H306)))</f>
        <v/>
      </c>
      <c r="R306">
        <f>IF($C306="","",IFERROR(DATE(Настройки!$C$8,Настройки!$D$9+MATCH($M306,Настройки!$X$6:$X$17,0)-1,1),DATE(YEAR($C306),MONTH($C306),1)))</f>
        <v/>
      </c>
      <c r="S306">
        <f>IF(OR($I306="Оплачено",$H306&lt;&gt;""),$P306,$Q306)</f>
        <v/>
      </c>
      <c r="T306">
        <f>IF(OR($C306="",$D306="Доход",$I306="Оплачено",$I306="Отменено",$H306&lt;&gt;"",$C306&lt;TODAY()),"",$C306)</f>
        <v/>
      </c>
      <c r="U306">
        <f>IF(AND($D306&lt;&gt;"Доход",COUNTIFS(Счета!$B$10:$B$21,$J306,Счета!$C$10:$C$21,"Кредитная")&gt;0),1,0)</f>
        <v/>
      </c>
    </row>
    <row r="307" ht="19" customHeight="1">
      <c r="B307" s="53">
        <f>IF(AND($C307="",$F307=""),"",ROW()-9)</f>
        <v/>
      </c>
      <c r="C307" s="213" t="n"/>
      <c r="D307" s="55" t="n"/>
      <c r="E307" s="55" t="n"/>
      <c r="F307" s="56" t="n"/>
      <c r="G307" s="196" t="n"/>
      <c r="H307" s="196" t="n"/>
      <c r="I307" s="55" t="n"/>
      <c r="J307" s="55" t="n"/>
      <c r="K307" s="55" t="n"/>
      <c r="L307" s="100">
        <f>IF(OR($C307="",$I307="Оплачено",$I307="Отменено",$H307&lt;&gt;""),"",$C307-TODAY())</f>
        <v/>
      </c>
      <c r="M307" s="101">
        <f>IF($C307="","",INDEX(Настройки!$V$6:$V$17,MONTH($C307))&amp;" "&amp;YEAR($C307))</f>
        <v/>
      </c>
      <c r="N307" s="57">
        <f>IF($F307="","",IF(COUNTIF(Постоянные!$C$8:$C$37,$F307)&gt;0,"есть в Постоянных",IF(COUNTIF(Покупки!$C$7:$C$18,$F307)&gt;0,"есть в Покупках","")))</f>
        <v/>
      </c>
      <c r="P307">
        <f>IF($H307&lt;&gt;"",$H307,IF($I307="Оплачено",N($G307),0))</f>
        <v/>
      </c>
      <c r="Q307">
        <f>IF($I307="Отменено",0,IF($G307&lt;&gt;"",$G307,N($H307)))</f>
        <v/>
      </c>
      <c r="R307">
        <f>IF($C307="","",IFERROR(DATE(Настройки!$C$8,Настройки!$D$9+MATCH($M307,Настройки!$X$6:$X$17,0)-1,1),DATE(YEAR($C307),MONTH($C307),1)))</f>
        <v/>
      </c>
      <c r="S307">
        <f>IF(OR($I307="Оплачено",$H307&lt;&gt;""),$P307,$Q307)</f>
        <v/>
      </c>
      <c r="T307">
        <f>IF(OR($C307="",$D307="Доход",$I307="Оплачено",$I307="Отменено",$H307&lt;&gt;"",$C307&lt;TODAY()),"",$C307)</f>
        <v/>
      </c>
      <c r="U307">
        <f>IF(AND($D307&lt;&gt;"Доход",COUNTIFS(Счета!$B$10:$B$21,$J307,Счета!$C$10:$C$21,"Кредитная")&gt;0),1,0)</f>
        <v/>
      </c>
    </row>
    <row r="308" ht="19" customHeight="1">
      <c r="B308" s="53">
        <f>IF(AND($C308="",$F308=""),"",ROW()-9)</f>
        <v/>
      </c>
      <c r="C308" s="213" t="n"/>
      <c r="D308" s="55" t="n"/>
      <c r="E308" s="55" t="n"/>
      <c r="F308" s="56" t="n"/>
      <c r="G308" s="196" t="n"/>
      <c r="H308" s="196" t="n"/>
      <c r="I308" s="55" t="n"/>
      <c r="J308" s="55" t="n"/>
      <c r="K308" s="55" t="n"/>
      <c r="L308" s="100">
        <f>IF(OR($C308="",$I308="Оплачено",$I308="Отменено",$H308&lt;&gt;""),"",$C308-TODAY())</f>
        <v/>
      </c>
      <c r="M308" s="101">
        <f>IF($C308="","",INDEX(Настройки!$V$6:$V$17,MONTH($C308))&amp;" "&amp;YEAR($C308))</f>
        <v/>
      </c>
      <c r="N308" s="57">
        <f>IF($F308="","",IF(COUNTIF(Постоянные!$C$8:$C$37,$F308)&gt;0,"есть в Постоянных",IF(COUNTIF(Покупки!$C$7:$C$18,$F308)&gt;0,"есть в Покупках","")))</f>
        <v/>
      </c>
      <c r="P308">
        <f>IF($H308&lt;&gt;"",$H308,IF($I308="Оплачено",N($G308),0))</f>
        <v/>
      </c>
      <c r="Q308">
        <f>IF($I308="Отменено",0,IF($G308&lt;&gt;"",$G308,N($H308)))</f>
        <v/>
      </c>
      <c r="R308">
        <f>IF($C308="","",IFERROR(DATE(Настройки!$C$8,Настройки!$D$9+MATCH($M308,Настройки!$X$6:$X$17,0)-1,1),DATE(YEAR($C308),MONTH($C308),1)))</f>
        <v/>
      </c>
      <c r="S308">
        <f>IF(OR($I308="Оплачено",$H308&lt;&gt;""),$P308,$Q308)</f>
        <v/>
      </c>
      <c r="T308">
        <f>IF(OR($C308="",$D308="Доход",$I308="Оплачено",$I308="Отменено",$H308&lt;&gt;"",$C308&lt;TODAY()),"",$C308)</f>
        <v/>
      </c>
      <c r="U308">
        <f>IF(AND($D308&lt;&gt;"Доход",COUNTIFS(Счета!$B$10:$B$21,$J308,Счета!$C$10:$C$21,"Кредитная")&gt;0),1,0)</f>
        <v/>
      </c>
    </row>
    <row r="309" ht="19" customHeight="1">
      <c r="B309" s="53">
        <f>IF(AND($C309="",$F309=""),"",ROW()-9)</f>
        <v/>
      </c>
      <c r="C309" s="213" t="n"/>
      <c r="D309" s="55" t="n"/>
      <c r="E309" s="55" t="n"/>
      <c r="F309" s="56" t="n"/>
      <c r="G309" s="196" t="n"/>
      <c r="H309" s="196" t="n"/>
      <c r="I309" s="55" t="n"/>
      <c r="J309" s="55" t="n"/>
      <c r="K309" s="55" t="n"/>
      <c r="L309" s="100">
        <f>IF(OR($C309="",$I309="Оплачено",$I309="Отменено",$H309&lt;&gt;""),"",$C309-TODAY())</f>
        <v/>
      </c>
      <c r="M309" s="101">
        <f>IF($C309="","",INDEX(Настройки!$V$6:$V$17,MONTH($C309))&amp;" "&amp;YEAR($C309))</f>
        <v/>
      </c>
      <c r="N309" s="57">
        <f>IF($F309="","",IF(COUNTIF(Постоянные!$C$8:$C$37,$F309)&gt;0,"есть в Постоянных",IF(COUNTIF(Покупки!$C$7:$C$18,$F309)&gt;0,"есть в Покупках","")))</f>
        <v/>
      </c>
      <c r="P309">
        <f>IF($H309&lt;&gt;"",$H309,IF($I309="Оплачено",N($G309),0))</f>
        <v/>
      </c>
      <c r="Q309">
        <f>IF($I309="Отменено",0,IF($G309&lt;&gt;"",$G309,N($H309)))</f>
        <v/>
      </c>
      <c r="R309">
        <f>IF($C309="","",IFERROR(DATE(Настройки!$C$8,Настройки!$D$9+MATCH($M309,Настройки!$X$6:$X$17,0)-1,1),DATE(YEAR($C309),MONTH($C309),1)))</f>
        <v/>
      </c>
      <c r="S309">
        <f>IF(OR($I309="Оплачено",$H309&lt;&gt;""),$P309,$Q309)</f>
        <v/>
      </c>
      <c r="T309">
        <f>IF(OR($C309="",$D309="Доход",$I309="Оплачено",$I309="Отменено",$H309&lt;&gt;"",$C309&lt;TODAY()),"",$C309)</f>
        <v/>
      </c>
      <c r="U309">
        <f>IF(AND($D309&lt;&gt;"Доход",COUNTIFS(Счета!$B$10:$B$21,$J309,Счета!$C$10:$C$21,"Кредитная")&gt;0),1,0)</f>
        <v/>
      </c>
    </row>
    <row r="310" ht="19" customHeight="1">
      <c r="B310" s="53">
        <f>IF(AND($C310="",$F310=""),"",ROW()-9)</f>
        <v/>
      </c>
      <c r="C310" s="213" t="n"/>
      <c r="D310" s="55" t="n"/>
      <c r="E310" s="55" t="n"/>
      <c r="F310" s="56" t="n"/>
      <c r="G310" s="196" t="n"/>
      <c r="H310" s="196" t="n"/>
      <c r="I310" s="55" t="n"/>
      <c r="J310" s="55" t="n"/>
      <c r="K310" s="55" t="n"/>
      <c r="L310" s="100">
        <f>IF(OR($C310="",$I310="Оплачено",$I310="Отменено",$H310&lt;&gt;""),"",$C310-TODAY())</f>
        <v/>
      </c>
      <c r="M310" s="101">
        <f>IF($C310="","",INDEX(Настройки!$V$6:$V$17,MONTH($C310))&amp;" "&amp;YEAR($C310))</f>
        <v/>
      </c>
      <c r="N310" s="57">
        <f>IF($F310="","",IF(COUNTIF(Постоянные!$C$8:$C$37,$F310)&gt;0,"есть в Постоянных",IF(COUNTIF(Покупки!$C$7:$C$18,$F310)&gt;0,"есть в Покупках","")))</f>
        <v/>
      </c>
      <c r="P310">
        <f>IF($H310&lt;&gt;"",$H310,IF($I310="Оплачено",N($G310),0))</f>
        <v/>
      </c>
      <c r="Q310">
        <f>IF($I310="Отменено",0,IF($G310&lt;&gt;"",$G310,N($H310)))</f>
        <v/>
      </c>
      <c r="R310">
        <f>IF($C310="","",IFERROR(DATE(Настройки!$C$8,Настройки!$D$9+MATCH($M310,Настройки!$X$6:$X$17,0)-1,1),DATE(YEAR($C310),MONTH($C310),1)))</f>
        <v/>
      </c>
      <c r="S310">
        <f>IF(OR($I310="Оплачено",$H310&lt;&gt;""),$P310,$Q310)</f>
        <v/>
      </c>
      <c r="T310">
        <f>IF(OR($C310="",$D310="Доход",$I310="Оплачено",$I310="Отменено",$H310&lt;&gt;"",$C310&lt;TODAY()),"",$C310)</f>
        <v/>
      </c>
      <c r="U310">
        <f>IF(AND($D310&lt;&gt;"Доход",COUNTIFS(Счета!$B$10:$B$21,$J310,Счета!$C$10:$C$21,"Кредитная")&gt;0),1,0)</f>
        <v/>
      </c>
    </row>
    <row r="311" ht="19" customHeight="1">
      <c r="B311" s="53">
        <f>IF(AND($C311="",$F311=""),"",ROW()-9)</f>
        <v/>
      </c>
      <c r="C311" s="213" t="n"/>
      <c r="D311" s="55" t="n"/>
      <c r="E311" s="55" t="n"/>
      <c r="F311" s="56" t="n"/>
      <c r="G311" s="196" t="n"/>
      <c r="H311" s="196" t="n"/>
      <c r="I311" s="55" t="n"/>
      <c r="J311" s="55" t="n"/>
      <c r="K311" s="55" t="n"/>
      <c r="L311" s="100">
        <f>IF(OR($C311="",$I311="Оплачено",$I311="Отменено",$H311&lt;&gt;""),"",$C311-TODAY())</f>
        <v/>
      </c>
      <c r="M311" s="101">
        <f>IF($C311="","",INDEX(Настройки!$V$6:$V$17,MONTH($C311))&amp;" "&amp;YEAR($C311))</f>
        <v/>
      </c>
      <c r="N311" s="57">
        <f>IF($F311="","",IF(COUNTIF(Постоянные!$C$8:$C$37,$F311)&gt;0,"есть в Постоянных",IF(COUNTIF(Покупки!$C$7:$C$18,$F311)&gt;0,"есть в Покупках","")))</f>
        <v/>
      </c>
      <c r="P311">
        <f>IF($H311&lt;&gt;"",$H311,IF($I311="Оплачено",N($G311),0))</f>
        <v/>
      </c>
      <c r="Q311">
        <f>IF($I311="Отменено",0,IF($G311&lt;&gt;"",$G311,N($H311)))</f>
        <v/>
      </c>
      <c r="R311">
        <f>IF($C311="","",IFERROR(DATE(Настройки!$C$8,Настройки!$D$9+MATCH($M311,Настройки!$X$6:$X$17,0)-1,1),DATE(YEAR($C311),MONTH($C311),1)))</f>
        <v/>
      </c>
      <c r="S311">
        <f>IF(OR($I311="Оплачено",$H311&lt;&gt;""),$P311,$Q311)</f>
        <v/>
      </c>
      <c r="T311">
        <f>IF(OR($C311="",$D311="Доход",$I311="Оплачено",$I311="Отменено",$H311&lt;&gt;"",$C311&lt;TODAY()),"",$C311)</f>
        <v/>
      </c>
      <c r="U311">
        <f>IF(AND($D311&lt;&gt;"Доход",COUNTIFS(Счета!$B$10:$B$21,$J311,Счета!$C$10:$C$21,"Кредитная")&gt;0),1,0)</f>
        <v/>
      </c>
    </row>
    <row r="312" ht="19" customHeight="1">
      <c r="B312" s="53">
        <f>IF(AND($C312="",$F312=""),"",ROW()-9)</f>
        <v/>
      </c>
      <c r="C312" s="213" t="n"/>
      <c r="D312" s="55" t="n"/>
      <c r="E312" s="55" t="n"/>
      <c r="F312" s="56" t="n"/>
      <c r="G312" s="196" t="n"/>
      <c r="H312" s="196" t="n"/>
      <c r="I312" s="55" t="n"/>
      <c r="J312" s="55" t="n"/>
      <c r="K312" s="55" t="n"/>
      <c r="L312" s="100">
        <f>IF(OR($C312="",$I312="Оплачено",$I312="Отменено",$H312&lt;&gt;""),"",$C312-TODAY())</f>
        <v/>
      </c>
      <c r="M312" s="101">
        <f>IF($C312="","",INDEX(Настройки!$V$6:$V$17,MONTH($C312))&amp;" "&amp;YEAR($C312))</f>
        <v/>
      </c>
      <c r="N312" s="57">
        <f>IF($F312="","",IF(COUNTIF(Постоянные!$C$8:$C$37,$F312)&gt;0,"есть в Постоянных",IF(COUNTIF(Покупки!$C$7:$C$18,$F312)&gt;0,"есть в Покупках","")))</f>
        <v/>
      </c>
      <c r="P312">
        <f>IF($H312&lt;&gt;"",$H312,IF($I312="Оплачено",N($G312),0))</f>
        <v/>
      </c>
      <c r="Q312">
        <f>IF($I312="Отменено",0,IF($G312&lt;&gt;"",$G312,N($H312)))</f>
        <v/>
      </c>
      <c r="R312">
        <f>IF($C312="","",IFERROR(DATE(Настройки!$C$8,Настройки!$D$9+MATCH($M312,Настройки!$X$6:$X$17,0)-1,1),DATE(YEAR($C312),MONTH($C312),1)))</f>
        <v/>
      </c>
      <c r="S312">
        <f>IF(OR($I312="Оплачено",$H312&lt;&gt;""),$P312,$Q312)</f>
        <v/>
      </c>
      <c r="T312">
        <f>IF(OR($C312="",$D312="Доход",$I312="Оплачено",$I312="Отменено",$H312&lt;&gt;"",$C312&lt;TODAY()),"",$C312)</f>
        <v/>
      </c>
      <c r="U312">
        <f>IF(AND($D312&lt;&gt;"Доход",COUNTIFS(Счета!$B$10:$B$21,$J312,Счета!$C$10:$C$21,"Кредитная")&gt;0),1,0)</f>
        <v/>
      </c>
    </row>
    <row r="313" ht="19" customHeight="1">
      <c r="B313" s="53">
        <f>IF(AND($C313="",$F313=""),"",ROW()-9)</f>
        <v/>
      </c>
      <c r="C313" s="213" t="n"/>
      <c r="D313" s="55" t="n"/>
      <c r="E313" s="55" t="n"/>
      <c r="F313" s="56" t="n"/>
      <c r="G313" s="196" t="n"/>
      <c r="H313" s="196" t="n"/>
      <c r="I313" s="55" t="n"/>
      <c r="J313" s="55" t="n"/>
      <c r="K313" s="55" t="n"/>
      <c r="L313" s="100">
        <f>IF(OR($C313="",$I313="Оплачено",$I313="Отменено",$H313&lt;&gt;""),"",$C313-TODAY())</f>
        <v/>
      </c>
      <c r="M313" s="101">
        <f>IF($C313="","",INDEX(Настройки!$V$6:$V$17,MONTH($C313))&amp;" "&amp;YEAR($C313))</f>
        <v/>
      </c>
      <c r="N313" s="57">
        <f>IF($F313="","",IF(COUNTIF(Постоянные!$C$8:$C$37,$F313)&gt;0,"есть в Постоянных",IF(COUNTIF(Покупки!$C$7:$C$18,$F313)&gt;0,"есть в Покупках","")))</f>
        <v/>
      </c>
      <c r="P313">
        <f>IF($H313&lt;&gt;"",$H313,IF($I313="Оплачено",N($G313),0))</f>
        <v/>
      </c>
      <c r="Q313">
        <f>IF($I313="Отменено",0,IF($G313&lt;&gt;"",$G313,N($H313)))</f>
        <v/>
      </c>
      <c r="R313">
        <f>IF($C313="","",IFERROR(DATE(Настройки!$C$8,Настройки!$D$9+MATCH($M313,Настройки!$X$6:$X$17,0)-1,1),DATE(YEAR($C313),MONTH($C313),1)))</f>
        <v/>
      </c>
      <c r="S313">
        <f>IF(OR($I313="Оплачено",$H313&lt;&gt;""),$P313,$Q313)</f>
        <v/>
      </c>
      <c r="T313">
        <f>IF(OR($C313="",$D313="Доход",$I313="Оплачено",$I313="Отменено",$H313&lt;&gt;"",$C313&lt;TODAY()),"",$C313)</f>
        <v/>
      </c>
      <c r="U313">
        <f>IF(AND($D313&lt;&gt;"Доход",COUNTIFS(Счета!$B$10:$B$21,$J313,Счета!$C$10:$C$21,"Кредитная")&gt;0),1,0)</f>
        <v/>
      </c>
    </row>
    <row r="314" ht="19" customHeight="1">
      <c r="B314" s="53">
        <f>IF(AND($C314="",$F314=""),"",ROW()-9)</f>
        <v/>
      </c>
      <c r="C314" s="213" t="n"/>
      <c r="D314" s="55" t="n"/>
      <c r="E314" s="55" t="n"/>
      <c r="F314" s="56" t="n"/>
      <c r="G314" s="196" t="n"/>
      <c r="H314" s="196" t="n"/>
      <c r="I314" s="55" t="n"/>
      <c r="J314" s="55" t="n"/>
      <c r="K314" s="55" t="n"/>
      <c r="L314" s="100">
        <f>IF(OR($C314="",$I314="Оплачено",$I314="Отменено",$H314&lt;&gt;""),"",$C314-TODAY())</f>
        <v/>
      </c>
      <c r="M314" s="101">
        <f>IF($C314="","",INDEX(Настройки!$V$6:$V$17,MONTH($C314))&amp;" "&amp;YEAR($C314))</f>
        <v/>
      </c>
      <c r="N314" s="57">
        <f>IF($F314="","",IF(COUNTIF(Постоянные!$C$8:$C$37,$F314)&gt;0,"есть в Постоянных",IF(COUNTIF(Покупки!$C$7:$C$18,$F314)&gt;0,"есть в Покупках","")))</f>
        <v/>
      </c>
      <c r="P314">
        <f>IF($H314&lt;&gt;"",$H314,IF($I314="Оплачено",N($G314),0))</f>
        <v/>
      </c>
      <c r="Q314">
        <f>IF($I314="Отменено",0,IF($G314&lt;&gt;"",$G314,N($H314)))</f>
        <v/>
      </c>
      <c r="R314">
        <f>IF($C314="","",IFERROR(DATE(Настройки!$C$8,Настройки!$D$9+MATCH($M314,Настройки!$X$6:$X$17,0)-1,1),DATE(YEAR($C314),MONTH($C314),1)))</f>
        <v/>
      </c>
      <c r="S314">
        <f>IF(OR($I314="Оплачено",$H314&lt;&gt;""),$P314,$Q314)</f>
        <v/>
      </c>
      <c r="T314">
        <f>IF(OR($C314="",$D314="Доход",$I314="Оплачено",$I314="Отменено",$H314&lt;&gt;"",$C314&lt;TODAY()),"",$C314)</f>
        <v/>
      </c>
      <c r="U314">
        <f>IF(AND($D314&lt;&gt;"Доход",COUNTIFS(Счета!$B$10:$B$21,$J314,Счета!$C$10:$C$21,"Кредитная")&gt;0),1,0)</f>
        <v/>
      </c>
    </row>
    <row r="315" ht="19" customHeight="1">
      <c r="B315" s="53">
        <f>IF(AND($C315="",$F315=""),"",ROW()-9)</f>
        <v/>
      </c>
      <c r="C315" s="213" t="n"/>
      <c r="D315" s="55" t="n"/>
      <c r="E315" s="55" t="n"/>
      <c r="F315" s="56" t="n"/>
      <c r="G315" s="196" t="n"/>
      <c r="H315" s="196" t="n"/>
      <c r="I315" s="55" t="n"/>
      <c r="J315" s="55" t="n"/>
      <c r="K315" s="55" t="n"/>
      <c r="L315" s="100">
        <f>IF(OR($C315="",$I315="Оплачено",$I315="Отменено",$H315&lt;&gt;""),"",$C315-TODAY())</f>
        <v/>
      </c>
      <c r="M315" s="101">
        <f>IF($C315="","",INDEX(Настройки!$V$6:$V$17,MONTH($C315))&amp;" "&amp;YEAR($C315))</f>
        <v/>
      </c>
      <c r="N315" s="57">
        <f>IF($F315="","",IF(COUNTIF(Постоянные!$C$8:$C$37,$F315)&gt;0,"есть в Постоянных",IF(COUNTIF(Покупки!$C$7:$C$18,$F315)&gt;0,"есть в Покупках","")))</f>
        <v/>
      </c>
      <c r="P315">
        <f>IF($H315&lt;&gt;"",$H315,IF($I315="Оплачено",N($G315),0))</f>
        <v/>
      </c>
      <c r="Q315">
        <f>IF($I315="Отменено",0,IF($G315&lt;&gt;"",$G315,N($H315)))</f>
        <v/>
      </c>
      <c r="R315">
        <f>IF($C315="","",IFERROR(DATE(Настройки!$C$8,Настройки!$D$9+MATCH($M315,Настройки!$X$6:$X$17,0)-1,1),DATE(YEAR($C315),MONTH($C315),1)))</f>
        <v/>
      </c>
      <c r="S315">
        <f>IF(OR($I315="Оплачено",$H315&lt;&gt;""),$P315,$Q315)</f>
        <v/>
      </c>
      <c r="T315">
        <f>IF(OR($C315="",$D315="Доход",$I315="Оплачено",$I315="Отменено",$H315&lt;&gt;"",$C315&lt;TODAY()),"",$C315)</f>
        <v/>
      </c>
      <c r="U315">
        <f>IF(AND($D315&lt;&gt;"Доход",COUNTIFS(Счета!$B$10:$B$21,$J315,Счета!$C$10:$C$21,"Кредитная")&gt;0),1,0)</f>
        <v/>
      </c>
    </row>
    <row r="316" ht="19" customHeight="1">
      <c r="B316" s="53">
        <f>IF(AND($C316="",$F316=""),"",ROW()-9)</f>
        <v/>
      </c>
      <c r="C316" s="213" t="n"/>
      <c r="D316" s="55" t="n"/>
      <c r="E316" s="55" t="n"/>
      <c r="F316" s="56" t="n"/>
      <c r="G316" s="196" t="n"/>
      <c r="H316" s="196" t="n"/>
      <c r="I316" s="55" t="n"/>
      <c r="J316" s="55" t="n"/>
      <c r="K316" s="55" t="n"/>
      <c r="L316" s="100">
        <f>IF(OR($C316="",$I316="Оплачено",$I316="Отменено",$H316&lt;&gt;""),"",$C316-TODAY())</f>
        <v/>
      </c>
      <c r="M316" s="101">
        <f>IF($C316="","",INDEX(Настройки!$V$6:$V$17,MONTH($C316))&amp;" "&amp;YEAR($C316))</f>
        <v/>
      </c>
      <c r="N316" s="57">
        <f>IF($F316="","",IF(COUNTIF(Постоянные!$C$8:$C$37,$F316)&gt;0,"есть в Постоянных",IF(COUNTIF(Покупки!$C$7:$C$18,$F316)&gt;0,"есть в Покупках","")))</f>
        <v/>
      </c>
      <c r="P316">
        <f>IF($H316&lt;&gt;"",$H316,IF($I316="Оплачено",N($G316),0))</f>
        <v/>
      </c>
      <c r="Q316">
        <f>IF($I316="Отменено",0,IF($G316&lt;&gt;"",$G316,N($H316)))</f>
        <v/>
      </c>
      <c r="R316">
        <f>IF($C316="","",IFERROR(DATE(Настройки!$C$8,Настройки!$D$9+MATCH($M316,Настройки!$X$6:$X$17,0)-1,1),DATE(YEAR($C316),MONTH($C316),1)))</f>
        <v/>
      </c>
      <c r="S316">
        <f>IF(OR($I316="Оплачено",$H316&lt;&gt;""),$P316,$Q316)</f>
        <v/>
      </c>
      <c r="T316">
        <f>IF(OR($C316="",$D316="Доход",$I316="Оплачено",$I316="Отменено",$H316&lt;&gt;"",$C316&lt;TODAY()),"",$C316)</f>
        <v/>
      </c>
      <c r="U316">
        <f>IF(AND($D316&lt;&gt;"Доход",COUNTIFS(Счета!$B$10:$B$21,$J316,Счета!$C$10:$C$21,"Кредитная")&gt;0),1,0)</f>
        <v/>
      </c>
    </row>
    <row r="317" ht="19" customHeight="1">
      <c r="B317" s="53">
        <f>IF(AND($C317="",$F317=""),"",ROW()-9)</f>
        <v/>
      </c>
      <c r="C317" s="213" t="n"/>
      <c r="D317" s="55" t="n"/>
      <c r="E317" s="55" t="n"/>
      <c r="F317" s="56" t="n"/>
      <c r="G317" s="196" t="n"/>
      <c r="H317" s="196" t="n"/>
      <c r="I317" s="55" t="n"/>
      <c r="J317" s="55" t="n"/>
      <c r="K317" s="55" t="n"/>
      <c r="L317" s="100">
        <f>IF(OR($C317="",$I317="Оплачено",$I317="Отменено",$H317&lt;&gt;""),"",$C317-TODAY())</f>
        <v/>
      </c>
      <c r="M317" s="101">
        <f>IF($C317="","",INDEX(Настройки!$V$6:$V$17,MONTH($C317))&amp;" "&amp;YEAR($C317))</f>
        <v/>
      </c>
      <c r="N317" s="57">
        <f>IF($F317="","",IF(COUNTIF(Постоянные!$C$8:$C$37,$F317)&gt;0,"есть в Постоянных",IF(COUNTIF(Покупки!$C$7:$C$18,$F317)&gt;0,"есть в Покупках","")))</f>
        <v/>
      </c>
      <c r="P317">
        <f>IF($H317&lt;&gt;"",$H317,IF($I317="Оплачено",N($G317),0))</f>
        <v/>
      </c>
      <c r="Q317">
        <f>IF($I317="Отменено",0,IF($G317&lt;&gt;"",$G317,N($H317)))</f>
        <v/>
      </c>
      <c r="R317">
        <f>IF($C317="","",IFERROR(DATE(Настройки!$C$8,Настройки!$D$9+MATCH($M317,Настройки!$X$6:$X$17,0)-1,1),DATE(YEAR($C317),MONTH($C317),1)))</f>
        <v/>
      </c>
      <c r="S317">
        <f>IF(OR($I317="Оплачено",$H317&lt;&gt;""),$P317,$Q317)</f>
        <v/>
      </c>
      <c r="T317">
        <f>IF(OR($C317="",$D317="Доход",$I317="Оплачено",$I317="Отменено",$H317&lt;&gt;"",$C317&lt;TODAY()),"",$C317)</f>
        <v/>
      </c>
      <c r="U317">
        <f>IF(AND($D317&lt;&gt;"Доход",COUNTIFS(Счета!$B$10:$B$21,$J317,Счета!$C$10:$C$21,"Кредитная")&gt;0),1,0)</f>
        <v/>
      </c>
    </row>
    <row r="318" ht="19" customHeight="1">
      <c r="B318" s="53">
        <f>IF(AND($C318="",$F318=""),"",ROW()-9)</f>
        <v/>
      </c>
      <c r="C318" s="213" t="n"/>
      <c r="D318" s="55" t="n"/>
      <c r="E318" s="55" t="n"/>
      <c r="F318" s="56" t="n"/>
      <c r="G318" s="196" t="n"/>
      <c r="H318" s="196" t="n"/>
      <c r="I318" s="55" t="n"/>
      <c r="J318" s="55" t="n"/>
      <c r="K318" s="55" t="n"/>
      <c r="L318" s="100">
        <f>IF(OR($C318="",$I318="Оплачено",$I318="Отменено",$H318&lt;&gt;""),"",$C318-TODAY())</f>
        <v/>
      </c>
      <c r="M318" s="101">
        <f>IF($C318="","",INDEX(Настройки!$V$6:$V$17,MONTH($C318))&amp;" "&amp;YEAR($C318))</f>
        <v/>
      </c>
      <c r="N318" s="57">
        <f>IF($F318="","",IF(COUNTIF(Постоянные!$C$8:$C$37,$F318)&gt;0,"есть в Постоянных",IF(COUNTIF(Покупки!$C$7:$C$18,$F318)&gt;0,"есть в Покупках","")))</f>
        <v/>
      </c>
      <c r="P318">
        <f>IF($H318&lt;&gt;"",$H318,IF($I318="Оплачено",N($G318),0))</f>
        <v/>
      </c>
      <c r="Q318">
        <f>IF($I318="Отменено",0,IF($G318&lt;&gt;"",$G318,N($H318)))</f>
        <v/>
      </c>
      <c r="R318">
        <f>IF($C318="","",IFERROR(DATE(Настройки!$C$8,Настройки!$D$9+MATCH($M318,Настройки!$X$6:$X$17,0)-1,1),DATE(YEAR($C318),MONTH($C318),1)))</f>
        <v/>
      </c>
      <c r="S318">
        <f>IF(OR($I318="Оплачено",$H318&lt;&gt;""),$P318,$Q318)</f>
        <v/>
      </c>
      <c r="T318">
        <f>IF(OR($C318="",$D318="Доход",$I318="Оплачено",$I318="Отменено",$H318&lt;&gt;"",$C318&lt;TODAY()),"",$C318)</f>
        <v/>
      </c>
      <c r="U318">
        <f>IF(AND($D318&lt;&gt;"Доход",COUNTIFS(Счета!$B$10:$B$21,$J318,Счета!$C$10:$C$21,"Кредитная")&gt;0),1,0)</f>
        <v/>
      </c>
    </row>
    <row r="319" ht="19" customHeight="1">
      <c r="B319" s="53">
        <f>IF(AND($C319="",$F319=""),"",ROW()-9)</f>
        <v/>
      </c>
      <c r="C319" s="213" t="n"/>
      <c r="D319" s="55" t="n"/>
      <c r="E319" s="55" t="n"/>
      <c r="F319" s="56" t="n"/>
      <c r="G319" s="196" t="n"/>
      <c r="H319" s="196" t="n"/>
      <c r="I319" s="55" t="n"/>
      <c r="J319" s="55" t="n"/>
      <c r="K319" s="55" t="n"/>
      <c r="L319" s="100">
        <f>IF(OR($C319="",$I319="Оплачено",$I319="Отменено",$H319&lt;&gt;""),"",$C319-TODAY())</f>
        <v/>
      </c>
      <c r="M319" s="101">
        <f>IF($C319="","",INDEX(Настройки!$V$6:$V$17,MONTH($C319))&amp;" "&amp;YEAR($C319))</f>
        <v/>
      </c>
      <c r="N319" s="57">
        <f>IF($F319="","",IF(COUNTIF(Постоянные!$C$8:$C$37,$F319)&gt;0,"есть в Постоянных",IF(COUNTIF(Покупки!$C$7:$C$18,$F319)&gt;0,"есть в Покупках","")))</f>
        <v/>
      </c>
      <c r="P319">
        <f>IF($H319&lt;&gt;"",$H319,IF($I319="Оплачено",N($G319),0))</f>
        <v/>
      </c>
      <c r="Q319">
        <f>IF($I319="Отменено",0,IF($G319&lt;&gt;"",$G319,N($H319)))</f>
        <v/>
      </c>
      <c r="R319">
        <f>IF($C319="","",IFERROR(DATE(Настройки!$C$8,Настройки!$D$9+MATCH($M319,Настройки!$X$6:$X$17,0)-1,1),DATE(YEAR($C319),MONTH($C319),1)))</f>
        <v/>
      </c>
      <c r="S319">
        <f>IF(OR($I319="Оплачено",$H319&lt;&gt;""),$P319,$Q319)</f>
        <v/>
      </c>
      <c r="T319">
        <f>IF(OR($C319="",$D319="Доход",$I319="Оплачено",$I319="Отменено",$H319&lt;&gt;"",$C319&lt;TODAY()),"",$C319)</f>
        <v/>
      </c>
      <c r="U319">
        <f>IF(AND($D319&lt;&gt;"Доход",COUNTIFS(Счета!$B$10:$B$21,$J319,Счета!$C$10:$C$21,"Кредитная")&gt;0),1,0)</f>
        <v/>
      </c>
    </row>
    <row r="320" ht="19" customHeight="1">
      <c r="B320" s="53">
        <f>IF(AND($C320="",$F320=""),"",ROW()-9)</f>
        <v/>
      </c>
      <c r="C320" s="213" t="n"/>
      <c r="D320" s="55" t="n"/>
      <c r="E320" s="55" t="n"/>
      <c r="F320" s="56" t="n"/>
      <c r="G320" s="196" t="n"/>
      <c r="H320" s="196" t="n"/>
      <c r="I320" s="55" t="n"/>
      <c r="J320" s="55" t="n"/>
      <c r="K320" s="55" t="n"/>
      <c r="L320" s="100">
        <f>IF(OR($C320="",$I320="Оплачено",$I320="Отменено",$H320&lt;&gt;""),"",$C320-TODAY())</f>
        <v/>
      </c>
      <c r="M320" s="101">
        <f>IF($C320="","",INDEX(Настройки!$V$6:$V$17,MONTH($C320))&amp;" "&amp;YEAR($C320))</f>
        <v/>
      </c>
      <c r="N320" s="57">
        <f>IF($F320="","",IF(COUNTIF(Постоянные!$C$8:$C$37,$F320)&gt;0,"есть в Постоянных",IF(COUNTIF(Покупки!$C$7:$C$18,$F320)&gt;0,"есть в Покупках","")))</f>
        <v/>
      </c>
      <c r="P320">
        <f>IF($H320&lt;&gt;"",$H320,IF($I320="Оплачено",N($G320),0))</f>
        <v/>
      </c>
      <c r="Q320">
        <f>IF($I320="Отменено",0,IF($G320&lt;&gt;"",$G320,N($H320)))</f>
        <v/>
      </c>
      <c r="R320">
        <f>IF($C320="","",IFERROR(DATE(Настройки!$C$8,Настройки!$D$9+MATCH($M320,Настройки!$X$6:$X$17,0)-1,1),DATE(YEAR($C320),MONTH($C320),1)))</f>
        <v/>
      </c>
      <c r="S320">
        <f>IF(OR($I320="Оплачено",$H320&lt;&gt;""),$P320,$Q320)</f>
        <v/>
      </c>
      <c r="T320">
        <f>IF(OR($C320="",$D320="Доход",$I320="Оплачено",$I320="Отменено",$H320&lt;&gt;"",$C320&lt;TODAY()),"",$C320)</f>
        <v/>
      </c>
      <c r="U320">
        <f>IF(AND($D320&lt;&gt;"Доход",COUNTIFS(Счета!$B$10:$B$21,$J320,Счета!$C$10:$C$21,"Кредитная")&gt;0),1,0)</f>
        <v/>
      </c>
    </row>
    <row r="321" ht="19" customHeight="1">
      <c r="B321" s="53">
        <f>IF(AND($C321="",$F321=""),"",ROW()-9)</f>
        <v/>
      </c>
      <c r="C321" s="213" t="n"/>
      <c r="D321" s="55" t="n"/>
      <c r="E321" s="55" t="n"/>
      <c r="F321" s="56" t="n"/>
      <c r="G321" s="196" t="n"/>
      <c r="H321" s="196" t="n"/>
      <c r="I321" s="55" t="n"/>
      <c r="J321" s="55" t="n"/>
      <c r="K321" s="55" t="n"/>
      <c r="L321" s="100">
        <f>IF(OR($C321="",$I321="Оплачено",$I321="Отменено",$H321&lt;&gt;""),"",$C321-TODAY())</f>
        <v/>
      </c>
      <c r="M321" s="101">
        <f>IF($C321="","",INDEX(Настройки!$V$6:$V$17,MONTH($C321))&amp;" "&amp;YEAR($C321))</f>
        <v/>
      </c>
      <c r="N321" s="57">
        <f>IF($F321="","",IF(COUNTIF(Постоянные!$C$8:$C$37,$F321)&gt;0,"есть в Постоянных",IF(COUNTIF(Покупки!$C$7:$C$18,$F321)&gt;0,"есть в Покупках","")))</f>
        <v/>
      </c>
      <c r="P321">
        <f>IF($H321&lt;&gt;"",$H321,IF($I321="Оплачено",N($G321),0))</f>
        <v/>
      </c>
      <c r="Q321">
        <f>IF($I321="Отменено",0,IF($G321&lt;&gt;"",$G321,N($H321)))</f>
        <v/>
      </c>
      <c r="R321">
        <f>IF($C321="","",IFERROR(DATE(Настройки!$C$8,Настройки!$D$9+MATCH($M321,Настройки!$X$6:$X$17,0)-1,1),DATE(YEAR($C321),MONTH($C321),1)))</f>
        <v/>
      </c>
      <c r="S321">
        <f>IF(OR($I321="Оплачено",$H321&lt;&gt;""),$P321,$Q321)</f>
        <v/>
      </c>
      <c r="T321">
        <f>IF(OR($C321="",$D321="Доход",$I321="Оплачено",$I321="Отменено",$H321&lt;&gt;"",$C321&lt;TODAY()),"",$C321)</f>
        <v/>
      </c>
      <c r="U321">
        <f>IF(AND($D321&lt;&gt;"Доход",COUNTIFS(Счета!$B$10:$B$21,$J321,Счета!$C$10:$C$21,"Кредитная")&gt;0),1,0)</f>
        <v/>
      </c>
    </row>
    <row r="322" ht="19" customHeight="1">
      <c r="B322" s="53">
        <f>IF(AND($C322="",$F322=""),"",ROW()-9)</f>
        <v/>
      </c>
      <c r="C322" s="213" t="n"/>
      <c r="D322" s="55" t="n"/>
      <c r="E322" s="55" t="n"/>
      <c r="F322" s="56" t="n"/>
      <c r="G322" s="196" t="n"/>
      <c r="H322" s="196" t="n"/>
      <c r="I322" s="55" t="n"/>
      <c r="J322" s="55" t="n"/>
      <c r="K322" s="55" t="n"/>
      <c r="L322" s="100">
        <f>IF(OR($C322="",$I322="Оплачено",$I322="Отменено",$H322&lt;&gt;""),"",$C322-TODAY())</f>
        <v/>
      </c>
      <c r="M322" s="101">
        <f>IF($C322="","",INDEX(Настройки!$V$6:$V$17,MONTH($C322))&amp;" "&amp;YEAR($C322))</f>
        <v/>
      </c>
      <c r="N322" s="57">
        <f>IF($F322="","",IF(COUNTIF(Постоянные!$C$8:$C$37,$F322)&gt;0,"есть в Постоянных",IF(COUNTIF(Покупки!$C$7:$C$18,$F322)&gt;0,"есть в Покупках","")))</f>
        <v/>
      </c>
      <c r="P322">
        <f>IF($H322&lt;&gt;"",$H322,IF($I322="Оплачено",N($G322),0))</f>
        <v/>
      </c>
      <c r="Q322">
        <f>IF($I322="Отменено",0,IF($G322&lt;&gt;"",$G322,N($H322)))</f>
        <v/>
      </c>
      <c r="R322">
        <f>IF($C322="","",IFERROR(DATE(Настройки!$C$8,Настройки!$D$9+MATCH($M322,Настройки!$X$6:$X$17,0)-1,1),DATE(YEAR($C322),MONTH($C322),1)))</f>
        <v/>
      </c>
      <c r="S322">
        <f>IF(OR($I322="Оплачено",$H322&lt;&gt;""),$P322,$Q322)</f>
        <v/>
      </c>
      <c r="T322">
        <f>IF(OR($C322="",$D322="Доход",$I322="Оплачено",$I322="Отменено",$H322&lt;&gt;"",$C322&lt;TODAY()),"",$C322)</f>
        <v/>
      </c>
      <c r="U322">
        <f>IF(AND($D322&lt;&gt;"Доход",COUNTIFS(Счета!$B$10:$B$21,$J322,Счета!$C$10:$C$21,"Кредитная")&gt;0),1,0)</f>
        <v/>
      </c>
    </row>
    <row r="323" ht="19" customHeight="1">
      <c r="B323" s="53">
        <f>IF(AND($C323="",$F323=""),"",ROW()-9)</f>
        <v/>
      </c>
      <c r="C323" s="213" t="n"/>
      <c r="D323" s="55" t="n"/>
      <c r="E323" s="55" t="n"/>
      <c r="F323" s="56" t="n"/>
      <c r="G323" s="196" t="n"/>
      <c r="H323" s="196" t="n"/>
      <c r="I323" s="55" t="n"/>
      <c r="J323" s="55" t="n"/>
      <c r="K323" s="55" t="n"/>
      <c r="L323" s="100">
        <f>IF(OR($C323="",$I323="Оплачено",$I323="Отменено",$H323&lt;&gt;""),"",$C323-TODAY())</f>
        <v/>
      </c>
      <c r="M323" s="101">
        <f>IF($C323="","",INDEX(Настройки!$V$6:$V$17,MONTH($C323))&amp;" "&amp;YEAR($C323))</f>
        <v/>
      </c>
      <c r="N323" s="57">
        <f>IF($F323="","",IF(COUNTIF(Постоянные!$C$8:$C$37,$F323)&gt;0,"есть в Постоянных",IF(COUNTIF(Покупки!$C$7:$C$18,$F323)&gt;0,"есть в Покупках","")))</f>
        <v/>
      </c>
      <c r="P323">
        <f>IF($H323&lt;&gt;"",$H323,IF($I323="Оплачено",N($G323),0))</f>
        <v/>
      </c>
      <c r="Q323">
        <f>IF($I323="Отменено",0,IF($G323&lt;&gt;"",$G323,N($H323)))</f>
        <v/>
      </c>
      <c r="R323">
        <f>IF($C323="","",IFERROR(DATE(Настройки!$C$8,Настройки!$D$9+MATCH($M323,Настройки!$X$6:$X$17,0)-1,1),DATE(YEAR($C323),MONTH($C323),1)))</f>
        <v/>
      </c>
      <c r="S323">
        <f>IF(OR($I323="Оплачено",$H323&lt;&gt;""),$P323,$Q323)</f>
        <v/>
      </c>
      <c r="T323">
        <f>IF(OR($C323="",$D323="Доход",$I323="Оплачено",$I323="Отменено",$H323&lt;&gt;"",$C323&lt;TODAY()),"",$C323)</f>
        <v/>
      </c>
      <c r="U323">
        <f>IF(AND($D323&lt;&gt;"Доход",COUNTIFS(Счета!$B$10:$B$21,$J323,Счета!$C$10:$C$21,"Кредитная")&gt;0),1,0)</f>
        <v/>
      </c>
    </row>
    <row r="324" ht="19" customHeight="1">
      <c r="B324" s="53">
        <f>IF(AND($C324="",$F324=""),"",ROW()-9)</f>
        <v/>
      </c>
      <c r="C324" s="213" t="n"/>
      <c r="D324" s="55" t="n"/>
      <c r="E324" s="55" t="n"/>
      <c r="F324" s="56" t="n"/>
      <c r="G324" s="196" t="n"/>
      <c r="H324" s="196" t="n"/>
      <c r="I324" s="55" t="n"/>
      <c r="J324" s="55" t="n"/>
      <c r="K324" s="55" t="n"/>
      <c r="L324" s="100">
        <f>IF(OR($C324="",$I324="Оплачено",$I324="Отменено",$H324&lt;&gt;""),"",$C324-TODAY())</f>
        <v/>
      </c>
      <c r="M324" s="101">
        <f>IF($C324="","",INDEX(Настройки!$V$6:$V$17,MONTH($C324))&amp;" "&amp;YEAR($C324))</f>
        <v/>
      </c>
      <c r="N324" s="57">
        <f>IF($F324="","",IF(COUNTIF(Постоянные!$C$8:$C$37,$F324)&gt;0,"есть в Постоянных",IF(COUNTIF(Покупки!$C$7:$C$18,$F324)&gt;0,"есть в Покупках","")))</f>
        <v/>
      </c>
      <c r="P324">
        <f>IF($H324&lt;&gt;"",$H324,IF($I324="Оплачено",N($G324),0))</f>
        <v/>
      </c>
      <c r="Q324">
        <f>IF($I324="Отменено",0,IF($G324&lt;&gt;"",$G324,N($H324)))</f>
        <v/>
      </c>
      <c r="R324">
        <f>IF($C324="","",IFERROR(DATE(Настройки!$C$8,Настройки!$D$9+MATCH($M324,Настройки!$X$6:$X$17,0)-1,1),DATE(YEAR($C324),MONTH($C324),1)))</f>
        <v/>
      </c>
      <c r="S324">
        <f>IF(OR($I324="Оплачено",$H324&lt;&gt;""),$P324,$Q324)</f>
        <v/>
      </c>
      <c r="T324">
        <f>IF(OR($C324="",$D324="Доход",$I324="Оплачено",$I324="Отменено",$H324&lt;&gt;"",$C324&lt;TODAY()),"",$C324)</f>
        <v/>
      </c>
      <c r="U324">
        <f>IF(AND($D324&lt;&gt;"Доход",COUNTIFS(Счета!$B$10:$B$21,$J324,Счета!$C$10:$C$21,"Кредитная")&gt;0),1,0)</f>
        <v/>
      </c>
    </row>
    <row r="325" ht="19" customHeight="1">
      <c r="B325" s="53">
        <f>IF(AND($C325="",$F325=""),"",ROW()-9)</f>
        <v/>
      </c>
      <c r="C325" s="213" t="n"/>
      <c r="D325" s="55" t="n"/>
      <c r="E325" s="55" t="n"/>
      <c r="F325" s="56" t="n"/>
      <c r="G325" s="196" t="n"/>
      <c r="H325" s="196" t="n"/>
      <c r="I325" s="55" t="n"/>
      <c r="J325" s="55" t="n"/>
      <c r="K325" s="55" t="n"/>
      <c r="L325" s="100">
        <f>IF(OR($C325="",$I325="Оплачено",$I325="Отменено",$H325&lt;&gt;""),"",$C325-TODAY())</f>
        <v/>
      </c>
      <c r="M325" s="101">
        <f>IF($C325="","",INDEX(Настройки!$V$6:$V$17,MONTH($C325))&amp;" "&amp;YEAR($C325))</f>
        <v/>
      </c>
      <c r="N325" s="57">
        <f>IF($F325="","",IF(COUNTIF(Постоянные!$C$8:$C$37,$F325)&gt;0,"есть в Постоянных",IF(COUNTIF(Покупки!$C$7:$C$18,$F325)&gt;0,"есть в Покупках","")))</f>
        <v/>
      </c>
      <c r="P325">
        <f>IF($H325&lt;&gt;"",$H325,IF($I325="Оплачено",N($G325),0))</f>
        <v/>
      </c>
      <c r="Q325">
        <f>IF($I325="Отменено",0,IF($G325&lt;&gt;"",$G325,N($H325)))</f>
        <v/>
      </c>
      <c r="R325">
        <f>IF($C325="","",IFERROR(DATE(Настройки!$C$8,Настройки!$D$9+MATCH($M325,Настройки!$X$6:$X$17,0)-1,1),DATE(YEAR($C325),MONTH($C325),1)))</f>
        <v/>
      </c>
      <c r="S325">
        <f>IF(OR($I325="Оплачено",$H325&lt;&gt;""),$P325,$Q325)</f>
        <v/>
      </c>
      <c r="T325">
        <f>IF(OR($C325="",$D325="Доход",$I325="Оплачено",$I325="Отменено",$H325&lt;&gt;"",$C325&lt;TODAY()),"",$C325)</f>
        <v/>
      </c>
      <c r="U325">
        <f>IF(AND($D325&lt;&gt;"Доход",COUNTIFS(Счета!$B$10:$B$21,$J325,Счета!$C$10:$C$21,"Кредитная")&gt;0),1,0)</f>
        <v/>
      </c>
    </row>
    <row r="326" ht="19" customHeight="1">
      <c r="B326" s="53">
        <f>IF(AND($C326="",$F326=""),"",ROW()-9)</f>
        <v/>
      </c>
      <c r="C326" s="213" t="n"/>
      <c r="D326" s="55" t="n"/>
      <c r="E326" s="55" t="n"/>
      <c r="F326" s="56" t="n"/>
      <c r="G326" s="196" t="n"/>
      <c r="H326" s="196" t="n"/>
      <c r="I326" s="55" t="n"/>
      <c r="J326" s="55" t="n"/>
      <c r="K326" s="55" t="n"/>
      <c r="L326" s="100">
        <f>IF(OR($C326="",$I326="Оплачено",$I326="Отменено",$H326&lt;&gt;""),"",$C326-TODAY())</f>
        <v/>
      </c>
      <c r="M326" s="101">
        <f>IF($C326="","",INDEX(Настройки!$V$6:$V$17,MONTH($C326))&amp;" "&amp;YEAR($C326))</f>
        <v/>
      </c>
      <c r="N326" s="57">
        <f>IF($F326="","",IF(COUNTIF(Постоянные!$C$8:$C$37,$F326)&gt;0,"есть в Постоянных",IF(COUNTIF(Покупки!$C$7:$C$18,$F326)&gt;0,"есть в Покупках","")))</f>
        <v/>
      </c>
      <c r="P326">
        <f>IF($H326&lt;&gt;"",$H326,IF($I326="Оплачено",N($G326),0))</f>
        <v/>
      </c>
      <c r="Q326">
        <f>IF($I326="Отменено",0,IF($G326&lt;&gt;"",$G326,N($H326)))</f>
        <v/>
      </c>
      <c r="R326">
        <f>IF($C326="","",IFERROR(DATE(Настройки!$C$8,Настройки!$D$9+MATCH($M326,Настройки!$X$6:$X$17,0)-1,1),DATE(YEAR($C326),MONTH($C326),1)))</f>
        <v/>
      </c>
      <c r="S326">
        <f>IF(OR($I326="Оплачено",$H326&lt;&gt;""),$P326,$Q326)</f>
        <v/>
      </c>
      <c r="T326">
        <f>IF(OR($C326="",$D326="Доход",$I326="Оплачено",$I326="Отменено",$H326&lt;&gt;"",$C326&lt;TODAY()),"",$C326)</f>
        <v/>
      </c>
      <c r="U326">
        <f>IF(AND($D326&lt;&gt;"Доход",COUNTIFS(Счета!$B$10:$B$21,$J326,Счета!$C$10:$C$21,"Кредитная")&gt;0),1,0)</f>
        <v/>
      </c>
    </row>
    <row r="327" ht="19" customHeight="1">
      <c r="B327" s="53">
        <f>IF(AND($C327="",$F327=""),"",ROW()-9)</f>
        <v/>
      </c>
      <c r="C327" s="213" t="n"/>
      <c r="D327" s="55" t="n"/>
      <c r="E327" s="55" t="n"/>
      <c r="F327" s="56" t="n"/>
      <c r="G327" s="196" t="n"/>
      <c r="H327" s="196" t="n"/>
      <c r="I327" s="55" t="n"/>
      <c r="J327" s="55" t="n"/>
      <c r="K327" s="55" t="n"/>
      <c r="L327" s="100">
        <f>IF(OR($C327="",$I327="Оплачено",$I327="Отменено",$H327&lt;&gt;""),"",$C327-TODAY())</f>
        <v/>
      </c>
      <c r="M327" s="101">
        <f>IF($C327="","",INDEX(Настройки!$V$6:$V$17,MONTH($C327))&amp;" "&amp;YEAR($C327))</f>
        <v/>
      </c>
      <c r="N327" s="57">
        <f>IF($F327="","",IF(COUNTIF(Постоянные!$C$8:$C$37,$F327)&gt;0,"есть в Постоянных",IF(COUNTIF(Покупки!$C$7:$C$18,$F327)&gt;0,"есть в Покупках","")))</f>
        <v/>
      </c>
      <c r="P327">
        <f>IF($H327&lt;&gt;"",$H327,IF($I327="Оплачено",N($G327),0))</f>
        <v/>
      </c>
      <c r="Q327">
        <f>IF($I327="Отменено",0,IF($G327&lt;&gt;"",$G327,N($H327)))</f>
        <v/>
      </c>
      <c r="R327">
        <f>IF($C327="","",IFERROR(DATE(Настройки!$C$8,Настройки!$D$9+MATCH($M327,Настройки!$X$6:$X$17,0)-1,1),DATE(YEAR($C327),MONTH($C327),1)))</f>
        <v/>
      </c>
      <c r="S327">
        <f>IF(OR($I327="Оплачено",$H327&lt;&gt;""),$P327,$Q327)</f>
        <v/>
      </c>
      <c r="T327">
        <f>IF(OR($C327="",$D327="Доход",$I327="Оплачено",$I327="Отменено",$H327&lt;&gt;"",$C327&lt;TODAY()),"",$C327)</f>
        <v/>
      </c>
      <c r="U327">
        <f>IF(AND($D327&lt;&gt;"Доход",COUNTIFS(Счета!$B$10:$B$21,$J327,Счета!$C$10:$C$21,"Кредитная")&gt;0),1,0)</f>
        <v/>
      </c>
    </row>
    <row r="328" ht="19" customHeight="1">
      <c r="B328" s="53">
        <f>IF(AND($C328="",$F328=""),"",ROW()-9)</f>
        <v/>
      </c>
      <c r="C328" s="213" t="n"/>
      <c r="D328" s="55" t="n"/>
      <c r="E328" s="55" t="n"/>
      <c r="F328" s="56" t="n"/>
      <c r="G328" s="196" t="n"/>
      <c r="H328" s="196" t="n"/>
      <c r="I328" s="55" t="n"/>
      <c r="J328" s="55" t="n"/>
      <c r="K328" s="55" t="n"/>
      <c r="L328" s="100">
        <f>IF(OR($C328="",$I328="Оплачено",$I328="Отменено",$H328&lt;&gt;""),"",$C328-TODAY())</f>
        <v/>
      </c>
      <c r="M328" s="101">
        <f>IF($C328="","",INDEX(Настройки!$V$6:$V$17,MONTH($C328))&amp;" "&amp;YEAR($C328))</f>
        <v/>
      </c>
      <c r="N328" s="57">
        <f>IF($F328="","",IF(COUNTIF(Постоянные!$C$8:$C$37,$F328)&gt;0,"есть в Постоянных",IF(COUNTIF(Покупки!$C$7:$C$18,$F328)&gt;0,"есть в Покупках","")))</f>
        <v/>
      </c>
      <c r="P328">
        <f>IF($H328&lt;&gt;"",$H328,IF($I328="Оплачено",N($G328),0))</f>
        <v/>
      </c>
      <c r="Q328">
        <f>IF($I328="Отменено",0,IF($G328&lt;&gt;"",$G328,N($H328)))</f>
        <v/>
      </c>
      <c r="R328">
        <f>IF($C328="","",IFERROR(DATE(Настройки!$C$8,Настройки!$D$9+MATCH($M328,Настройки!$X$6:$X$17,0)-1,1),DATE(YEAR($C328),MONTH($C328),1)))</f>
        <v/>
      </c>
      <c r="S328">
        <f>IF(OR($I328="Оплачено",$H328&lt;&gt;""),$P328,$Q328)</f>
        <v/>
      </c>
      <c r="T328">
        <f>IF(OR($C328="",$D328="Доход",$I328="Оплачено",$I328="Отменено",$H328&lt;&gt;"",$C328&lt;TODAY()),"",$C328)</f>
        <v/>
      </c>
      <c r="U328">
        <f>IF(AND($D328&lt;&gt;"Доход",COUNTIFS(Счета!$B$10:$B$21,$J328,Счета!$C$10:$C$21,"Кредитная")&gt;0),1,0)</f>
        <v/>
      </c>
    </row>
    <row r="329" ht="19" customHeight="1">
      <c r="B329" s="53">
        <f>IF(AND($C329="",$F329=""),"",ROW()-9)</f>
        <v/>
      </c>
      <c r="C329" s="213" t="n"/>
      <c r="D329" s="55" t="n"/>
      <c r="E329" s="55" t="n"/>
      <c r="F329" s="56" t="n"/>
      <c r="G329" s="196" t="n"/>
      <c r="H329" s="196" t="n"/>
      <c r="I329" s="55" t="n"/>
      <c r="J329" s="55" t="n"/>
      <c r="K329" s="55" t="n"/>
      <c r="L329" s="100">
        <f>IF(OR($C329="",$I329="Оплачено",$I329="Отменено",$H329&lt;&gt;""),"",$C329-TODAY())</f>
        <v/>
      </c>
      <c r="M329" s="101">
        <f>IF($C329="","",INDEX(Настройки!$V$6:$V$17,MONTH($C329))&amp;" "&amp;YEAR($C329))</f>
        <v/>
      </c>
      <c r="N329" s="57">
        <f>IF($F329="","",IF(COUNTIF(Постоянные!$C$8:$C$37,$F329)&gt;0,"есть в Постоянных",IF(COUNTIF(Покупки!$C$7:$C$18,$F329)&gt;0,"есть в Покупках","")))</f>
        <v/>
      </c>
      <c r="P329">
        <f>IF($H329&lt;&gt;"",$H329,IF($I329="Оплачено",N($G329),0))</f>
        <v/>
      </c>
      <c r="Q329">
        <f>IF($I329="Отменено",0,IF($G329&lt;&gt;"",$G329,N($H329)))</f>
        <v/>
      </c>
      <c r="R329">
        <f>IF($C329="","",IFERROR(DATE(Настройки!$C$8,Настройки!$D$9+MATCH($M329,Настройки!$X$6:$X$17,0)-1,1),DATE(YEAR($C329),MONTH($C329),1)))</f>
        <v/>
      </c>
      <c r="S329">
        <f>IF(OR($I329="Оплачено",$H329&lt;&gt;""),$P329,$Q329)</f>
        <v/>
      </c>
      <c r="T329">
        <f>IF(OR($C329="",$D329="Доход",$I329="Оплачено",$I329="Отменено",$H329&lt;&gt;"",$C329&lt;TODAY()),"",$C329)</f>
        <v/>
      </c>
      <c r="U329">
        <f>IF(AND($D329&lt;&gt;"Доход",COUNTIFS(Счета!$B$10:$B$21,$J329,Счета!$C$10:$C$21,"Кредитная")&gt;0),1,0)</f>
        <v/>
      </c>
    </row>
    <row r="330" ht="19" customHeight="1">
      <c r="B330" s="53">
        <f>IF(AND($C330="",$F330=""),"",ROW()-9)</f>
        <v/>
      </c>
      <c r="C330" s="213" t="n"/>
      <c r="D330" s="55" t="n"/>
      <c r="E330" s="55" t="n"/>
      <c r="F330" s="56" t="n"/>
      <c r="G330" s="196" t="n"/>
      <c r="H330" s="196" t="n"/>
      <c r="I330" s="55" t="n"/>
      <c r="J330" s="55" t="n"/>
      <c r="K330" s="55" t="n"/>
      <c r="L330" s="100">
        <f>IF(OR($C330="",$I330="Оплачено",$I330="Отменено",$H330&lt;&gt;""),"",$C330-TODAY())</f>
        <v/>
      </c>
      <c r="M330" s="101">
        <f>IF($C330="","",INDEX(Настройки!$V$6:$V$17,MONTH($C330))&amp;" "&amp;YEAR($C330))</f>
        <v/>
      </c>
      <c r="N330" s="57">
        <f>IF($F330="","",IF(COUNTIF(Постоянные!$C$8:$C$37,$F330)&gt;0,"есть в Постоянных",IF(COUNTIF(Покупки!$C$7:$C$18,$F330)&gt;0,"есть в Покупках","")))</f>
        <v/>
      </c>
      <c r="P330">
        <f>IF($H330&lt;&gt;"",$H330,IF($I330="Оплачено",N($G330),0))</f>
        <v/>
      </c>
      <c r="Q330">
        <f>IF($I330="Отменено",0,IF($G330&lt;&gt;"",$G330,N($H330)))</f>
        <v/>
      </c>
      <c r="R330">
        <f>IF($C330="","",IFERROR(DATE(Настройки!$C$8,Настройки!$D$9+MATCH($M330,Настройки!$X$6:$X$17,0)-1,1),DATE(YEAR($C330),MONTH($C330),1)))</f>
        <v/>
      </c>
      <c r="S330">
        <f>IF(OR($I330="Оплачено",$H330&lt;&gt;""),$P330,$Q330)</f>
        <v/>
      </c>
      <c r="T330">
        <f>IF(OR($C330="",$D330="Доход",$I330="Оплачено",$I330="Отменено",$H330&lt;&gt;"",$C330&lt;TODAY()),"",$C330)</f>
        <v/>
      </c>
      <c r="U330">
        <f>IF(AND($D330&lt;&gt;"Доход",COUNTIFS(Счета!$B$10:$B$21,$J330,Счета!$C$10:$C$21,"Кредитная")&gt;0),1,0)</f>
        <v/>
      </c>
    </row>
    <row r="331" ht="19" customHeight="1">
      <c r="B331" s="53">
        <f>IF(AND($C331="",$F331=""),"",ROW()-9)</f>
        <v/>
      </c>
      <c r="C331" s="213" t="n"/>
      <c r="D331" s="55" t="n"/>
      <c r="E331" s="55" t="n"/>
      <c r="F331" s="56" t="n"/>
      <c r="G331" s="196" t="n"/>
      <c r="H331" s="196" t="n"/>
      <c r="I331" s="55" t="n"/>
      <c r="J331" s="55" t="n"/>
      <c r="K331" s="55" t="n"/>
      <c r="L331" s="100">
        <f>IF(OR($C331="",$I331="Оплачено",$I331="Отменено",$H331&lt;&gt;""),"",$C331-TODAY())</f>
        <v/>
      </c>
      <c r="M331" s="101">
        <f>IF($C331="","",INDEX(Настройки!$V$6:$V$17,MONTH($C331))&amp;" "&amp;YEAR($C331))</f>
        <v/>
      </c>
      <c r="N331" s="57">
        <f>IF($F331="","",IF(COUNTIF(Постоянные!$C$8:$C$37,$F331)&gt;0,"есть в Постоянных",IF(COUNTIF(Покупки!$C$7:$C$18,$F331)&gt;0,"есть в Покупках","")))</f>
        <v/>
      </c>
      <c r="P331">
        <f>IF($H331&lt;&gt;"",$H331,IF($I331="Оплачено",N($G331),0))</f>
        <v/>
      </c>
      <c r="Q331">
        <f>IF($I331="Отменено",0,IF($G331&lt;&gt;"",$G331,N($H331)))</f>
        <v/>
      </c>
      <c r="R331">
        <f>IF($C331="","",IFERROR(DATE(Настройки!$C$8,Настройки!$D$9+MATCH($M331,Настройки!$X$6:$X$17,0)-1,1),DATE(YEAR($C331),MONTH($C331),1)))</f>
        <v/>
      </c>
      <c r="S331">
        <f>IF(OR($I331="Оплачено",$H331&lt;&gt;""),$P331,$Q331)</f>
        <v/>
      </c>
      <c r="T331">
        <f>IF(OR($C331="",$D331="Доход",$I331="Оплачено",$I331="Отменено",$H331&lt;&gt;"",$C331&lt;TODAY()),"",$C331)</f>
        <v/>
      </c>
      <c r="U331">
        <f>IF(AND($D331&lt;&gt;"Доход",COUNTIFS(Счета!$B$10:$B$21,$J331,Счета!$C$10:$C$21,"Кредитная")&gt;0),1,0)</f>
        <v/>
      </c>
    </row>
    <row r="332" ht="19" customHeight="1">
      <c r="B332" s="53">
        <f>IF(AND($C332="",$F332=""),"",ROW()-9)</f>
        <v/>
      </c>
      <c r="C332" s="213" t="n"/>
      <c r="D332" s="55" t="n"/>
      <c r="E332" s="55" t="n"/>
      <c r="F332" s="56" t="n"/>
      <c r="G332" s="196" t="n"/>
      <c r="H332" s="196" t="n"/>
      <c r="I332" s="55" t="n"/>
      <c r="J332" s="55" t="n"/>
      <c r="K332" s="55" t="n"/>
      <c r="L332" s="100">
        <f>IF(OR($C332="",$I332="Оплачено",$I332="Отменено",$H332&lt;&gt;""),"",$C332-TODAY())</f>
        <v/>
      </c>
      <c r="M332" s="101">
        <f>IF($C332="","",INDEX(Настройки!$V$6:$V$17,MONTH($C332))&amp;" "&amp;YEAR($C332))</f>
        <v/>
      </c>
      <c r="N332" s="57">
        <f>IF($F332="","",IF(COUNTIF(Постоянные!$C$8:$C$37,$F332)&gt;0,"есть в Постоянных",IF(COUNTIF(Покупки!$C$7:$C$18,$F332)&gt;0,"есть в Покупках","")))</f>
        <v/>
      </c>
      <c r="P332">
        <f>IF($H332&lt;&gt;"",$H332,IF($I332="Оплачено",N($G332),0))</f>
        <v/>
      </c>
      <c r="Q332">
        <f>IF($I332="Отменено",0,IF($G332&lt;&gt;"",$G332,N($H332)))</f>
        <v/>
      </c>
      <c r="R332">
        <f>IF($C332="","",IFERROR(DATE(Настройки!$C$8,Настройки!$D$9+MATCH($M332,Настройки!$X$6:$X$17,0)-1,1),DATE(YEAR($C332),MONTH($C332),1)))</f>
        <v/>
      </c>
      <c r="S332">
        <f>IF(OR($I332="Оплачено",$H332&lt;&gt;""),$P332,$Q332)</f>
        <v/>
      </c>
      <c r="T332">
        <f>IF(OR($C332="",$D332="Доход",$I332="Оплачено",$I332="Отменено",$H332&lt;&gt;"",$C332&lt;TODAY()),"",$C332)</f>
        <v/>
      </c>
      <c r="U332">
        <f>IF(AND($D332&lt;&gt;"Доход",COUNTIFS(Счета!$B$10:$B$21,$J332,Счета!$C$10:$C$21,"Кредитная")&gt;0),1,0)</f>
        <v/>
      </c>
    </row>
    <row r="333" ht="19" customHeight="1">
      <c r="B333" s="53">
        <f>IF(AND($C333="",$F333=""),"",ROW()-9)</f>
        <v/>
      </c>
      <c r="C333" s="213" t="n"/>
      <c r="D333" s="55" t="n"/>
      <c r="E333" s="55" t="n"/>
      <c r="F333" s="56" t="n"/>
      <c r="G333" s="196" t="n"/>
      <c r="H333" s="196" t="n"/>
      <c r="I333" s="55" t="n"/>
      <c r="J333" s="55" t="n"/>
      <c r="K333" s="55" t="n"/>
      <c r="L333" s="100">
        <f>IF(OR($C333="",$I333="Оплачено",$I333="Отменено",$H333&lt;&gt;""),"",$C333-TODAY())</f>
        <v/>
      </c>
      <c r="M333" s="101">
        <f>IF($C333="","",INDEX(Настройки!$V$6:$V$17,MONTH($C333))&amp;" "&amp;YEAR($C333))</f>
        <v/>
      </c>
      <c r="N333" s="57">
        <f>IF($F333="","",IF(COUNTIF(Постоянные!$C$8:$C$37,$F333)&gt;0,"есть в Постоянных",IF(COUNTIF(Покупки!$C$7:$C$18,$F333)&gt;0,"есть в Покупках","")))</f>
        <v/>
      </c>
      <c r="P333">
        <f>IF($H333&lt;&gt;"",$H333,IF($I333="Оплачено",N($G333),0))</f>
        <v/>
      </c>
      <c r="Q333">
        <f>IF($I333="Отменено",0,IF($G333&lt;&gt;"",$G333,N($H333)))</f>
        <v/>
      </c>
      <c r="R333">
        <f>IF($C333="","",IFERROR(DATE(Настройки!$C$8,Настройки!$D$9+MATCH($M333,Настройки!$X$6:$X$17,0)-1,1),DATE(YEAR($C333),MONTH($C333),1)))</f>
        <v/>
      </c>
      <c r="S333">
        <f>IF(OR($I333="Оплачено",$H333&lt;&gt;""),$P333,$Q333)</f>
        <v/>
      </c>
      <c r="T333">
        <f>IF(OR($C333="",$D333="Доход",$I333="Оплачено",$I333="Отменено",$H333&lt;&gt;"",$C333&lt;TODAY()),"",$C333)</f>
        <v/>
      </c>
      <c r="U333">
        <f>IF(AND($D333&lt;&gt;"Доход",COUNTIFS(Счета!$B$10:$B$21,$J333,Счета!$C$10:$C$21,"Кредитная")&gt;0),1,0)</f>
        <v/>
      </c>
    </row>
    <row r="334" ht="19" customHeight="1">
      <c r="B334" s="53">
        <f>IF(AND($C334="",$F334=""),"",ROW()-9)</f>
        <v/>
      </c>
      <c r="C334" s="213" t="n"/>
      <c r="D334" s="55" t="n"/>
      <c r="E334" s="55" t="n"/>
      <c r="F334" s="56" t="n"/>
      <c r="G334" s="196" t="n"/>
      <c r="H334" s="196" t="n"/>
      <c r="I334" s="55" t="n"/>
      <c r="J334" s="55" t="n"/>
      <c r="K334" s="55" t="n"/>
      <c r="L334" s="100">
        <f>IF(OR($C334="",$I334="Оплачено",$I334="Отменено",$H334&lt;&gt;""),"",$C334-TODAY())</f>
        <v/>
      </c>
      <c r="M334" s="101">
        <f>IF($C334="","",INDEX(Настройки!$V$6:$V$17,MONTH($C334))&amp;" "&amp;YEAR($C334))</f>
        <v/>
      </c>
      <c r="N334" s="57">
        <f>IF($F334="","",IF(COUNTIF(Постоянные!$C$8:$C$37,$F334)&gt;0,"есть в Постоянных",IF(COUNTIF(Покупки!$C$7:$C$18,$F334)&gt;0,"есть в Покупках","")))</f>
        <v/>
      </c>
      <c r="P334">
        <f>IF($H334&lt;&gt;"",$H334,IF($I334="Оплачено",N($G334),0))</f>
        <v/>
      </c>
      <c r="Q334">
        <f>IF($I334="Отменено",0,IF($G334&lt;&gt;"",$G334,N($H334)))</f>
        <v/>
      </c>
      <c r="R334">
        <f>IF($C334="","",IFERROR(DATE(Настройки!$C$8,Настройки!$D$9+MATCH($M334,Настройки!$X$6:$X$17,0)-1,1),DATE(YEAR($C334),MONTH($C334),1)))</f>
        <v/>
      </c>
      <c r="S334">
        <f>IF(OR($I334="Оплачено",$H334&lt;&gt;""),$P334,$Q334)</f>
        <v/>
      </c>
      <c r="T334">
        <f>IF(OR($C334="",$D334="Доход",$I334="Оплачено",$I334="Отменено",$H334&lt;&gt;"",$C334&lt;TODAY()),"",$C334)</f>
        <v/>
      </c>
      <c r="U334">
        <f>IF(AND($D334&lt;&gt;"Доход",COUNTIFS(Счета!$B$10:$B$21,$J334,Счета!$C$10:$C$21,"Кредитная")&gt;0),1,0)</f>
        <v/>
      </c>
    </row>
    <row r="335" ht="19" customHeight="1">
      <c r="B335" s="53">
        <f>IF(AND($C335="",$F335=""),"",ROW()-9)</f>
        <v/>
      </c>
      <c r="C335" s="213" t="n"/>
      <c r="D335" s="55" t="n"/>
      <c r="E335" s="55" t="n"/>
      <c r="F335" s="56" t="n"/>
      <c r="G335" s="196" t="n"/>
      <c r="H335" s="196" t="n"/>
      <c r="I335" s="55" t="n"/>
      <c r="J335" s="55" t="n"/>
      <c r="K335" s="55" t="n"/>
      <c r="L335" s="100">
        <f>IF(OR($C335="",$I335="Оплачено",$I335="Отменено",$H335&lt;&gt;""),"",$C335-TODAY())</f>
        <v/>
      </c>
      <c r="M335" s="101">
        <f>IF($C335="","",INDEX(Настройки!$V$6:$V$17,MONTH($C335))&amp;" "&amp;YEAR($C335))</f>
        <v/>
      </c>
      <c r="N335" s="57">
        <f>IF($F335="","",IF(COUNTIF(Постоянные!$C$8:$C$37,$F335)&gt;0,"есть в Постоянных",IF(COUNTIF(Покупки!$C$7:$C$18,$F335)&gt;0,"есть в Покупках","")))</f>
        <v/>
      </c>
      <c r="P335">
        <f>IF($H335&lt;&gt;"",$H335,IF($I335="Оплачено",N($G335),0))</f>
        <v/>
      </c>
      <c r="Q335">
        <f>IF($I335="Отменено",0,IF($G335&lt;&gt;"",$G335,N($H335)))</f>
        <v/>
      </c>
      <c r="R335">
        <f>IF($C335="","",IFERROR(DATE(Настройки!$C$8,Настройки!$D$9+MATCH($M335,Настройки!$X$6:$X$17,0)-1,1),DATE(YEAR($C335),MONTH($C335),1)))</f>
        <v/>
      </c>
      <c r="S335">
        <f>IF(OR($I335="Оплачено",$H335&lt;&gt;""),$P335,$Q335)</f>
        <v/>
      </c>
      <c r="T335">
        <f>IF(OR($C335="",$D335="Доход",$I335="Оплачено",$I335="Отменено",$H335&lt;&gt;"",$C335&lt;TODAY()),"",$C335)</f>
        <v/>
      </c>
      <c r="U335">
        <f>IF(AND($D335&lt;&gt;"Доход",COUNTIFS(Счета!$B$10:$B$21,$J335,Счета!$C$10:$C$21,"Кредитная")&gt;0),1,0)</f>
        <v/>
      </c>
    </row>
    <row r="336" ht="19" customHeight="1">
      <c r="B336" s="53">
        <f>IF(AND($C336="",$F336=""),"",ROW()-9)</f>
        <v/>
      </c>
      <c r="C336" s="213" t="n"/>
      <c r="D336" s="55" t="n"/>
      <c r="E336" s="55" t="n"/>
      <c r="F336" s="56" t="n"/>
      <c r="G336" s="196" t="n"/>
      <c r="H336" s="196" t="n"/>
      <c r="I336" s="55" t="n"/>
      <c r="J336" s="55" t="n"/>
      <c r="K336" s="55" t="n"/>
      <c r="L336" s="100">
        <f>IF(OR($C336="",$I336="Оплачено",$I336="Отменено",$H336&lt;&gt;""),"",$C336-TODAY())</f>
        <v/>
      </c>
      <c r="M336" s="101">
        <f>IF($C336="","",INDEX(Настройки!$V$6:$V$17,MONTH($C336))&amp;" "&amp;YEAR($C336))</f>
        <v/>
      </c>
      <c r="N336" s="57">
        <f>IF($F336="","",IF(COUNTIF(Постоянные!$C$8:$C$37,$F336)&gt;0,"есть в Постоянных",IF(COUNTIF(Покупки!$C$7:$C$18,$F336)&gt;0,"есть в Покупках","")))</f>
        <v/>
      </c>
      <c r="P336">
        <f>IF($H336&lt;&gt;"",$H336,IF($I336="Оплачено",N($G336),0))</f>
        <v/>
      </c>
      <c r="Q336">
        <f>IF($I336="Отменено",0,IF($G336&lt;&gt;"",$G336,N($H336)))</f>
        <v/>
      </c>
      <c r="R336">
        <f>IF($C336="","",IFERROR(DATE(Настройки!$C$8,Настройки!$D$9+MATCH($M336,Настройки!$X$6:$X$17,0)-1,1),DATE(YEAR($C336),MONTH($C336),1)))</f>
        <v/>
      </c>
      <c r="S336">
        <f>IF(OR($I336="Оплачено",$H336&lt;&gt;""),$P336,$Q336)</f>
        <v/>
      </c>
      <c r="T336">
        <f>IF(OR($C336="",$D336="Доход",$I336="Оплачено",$I336="Отменено",$H336&lt;&gt;"",$C336&lt;TODAY()),"",$C336)</f>
        <v/>
      </c>
      <c r="U336">
        <f>IF(AND($D336&lt;&gt;"Доход",COUNTIFS(Счета!$B$10:$B$21,$J336,Счета!$C$10:$C$21,"Кредитная")&gt;0),1,0)</f>
        <v/>
      </c>
    </row>
    <row r="337" ht="19" customHeight="1">
      <c r="B337" s="53">
        <f>IF(AND($C337="",$F337=""),"",ROW()-9)</f>
        <v/>
      </c>
      <c r="C337" s="213" t="n"/>
      <c r="D337" s="55" t="n"/>
      <c r="E337" s="55" t="n"/>
      <c r="F337" s="56" t="n"/>
      <c r="G337" s="196" t="n"/>
      <c r="H337" s="196" t="n"/>
      <c r="I337" s="55" t="n"/>
      <c r="J337" s="55" t="n"/>
      <c r="K337" s="55" t="n"/>
      <c r="L337" s="100">
        <f>IF(OR($C337="",$I337="Оплачено",$I337="Отменено",$H337&lt;&gt;""),"",$C337-TODAY())</f>
        <v/>
      </c>
      <c r="M337" s="101">
        <f>IF($C337="","",INDEX(Настройки!$V$6:$V$17,MONTH($C337))&amp;" "&amp;YEAR($C337))</f>
        <v/>
      </c>
      <c r="N337" s="57">
        <f>IF($F337="","",IF(COUNTIF(Постоянные!$C$8:$C$37,$F337)&gt;0,"есть в Постоянных",IF(COUNTIF(Покупки!$C$7:$C$18,$F337)&gt;0,"есть в Покупках","")))</f>
        <v/>
      </c>
      <c r="P337">
        <f>IF($H337&lt;&gt;"",$H337,IF($I337="Оплачено",N($G337),0))</f>
        <v/>
      </c>
      <c r="Q337">
        <f>IF($I337="Отменено",0,IF($G337&lt;&gt;"",$G337,N($H337)))</f>
        <v/>
      </c>
      <c r="R337">
        <f>IF($C337="","",IFERROR(DATE(Настройки!$C$8,Настройки!$D$9+MATCH($M337,Настройки!$X$6:$X$17,0)-1,1),DATE(YEAR($C337),MONTH($C337),1)))</f>
        <v/>
      </c>
      <c r="S337">
        <f>IF(OR($I337="Оплачено",$H337&lt;&gt;""),$P337,$Q337)</f>
        <v/>
      </c>
      <c r="T337">
        <f>IF(OR($C337="",$D337="Доход",$I337="Оплачено",$I337="Отменено",$H337&lt;&gt;"",$C337&lt;TODAY()),"",$C337)</f>
        <v/>
      </c>
      <c r="U337">
        <f>IF(AND($D337&lt;&gt;"Доход",COUNTIFS(Счета!$B$10:$B$21,$J337,Счета!$C$10:$C$21,"Кредитная")&gt;0),1,0)</f>
        <v/>
      </c>
    </row>
    <row r="338" ht="19" customHeight="1">
      <c r="B338" s="53">
        <f>IF(AND($C338="",$F338=""),"",ROW()-9)</f>
        <v/>
      </c>
      <c r="C338" s="213" t="n"/>
      <c r="D338" s="55" t="n"/>
      <c r="E338" s="55" t="n"/>
      <c r="F338" s="56" t="n"/>
      <c r="G338" s="196" t="n"/>
      <c r="H338" s="196" t="n"/>
      <c r="I338" s="55" t="n"/>
      <c r="J338" s="55" t="n"/>
      <c r="K338" s="55" t="n"/>
      <c r="L338" s="100">
        <f>IF(OR($C338="",$I338="Оплачено",$I338="Отменено",$H338&lt;&gt;""),"",$C338-TODAY())</f>
        <v/>
      </c>
      <c r="M338" s="101">
        <f>IF($C338="","",INDEX(Настройки!$V$6:$V$17,MONTH($C338))&amp;" "&amp;YEAR($C338))</f>
        <v/>
      </c>
      <c r="N338" s="57">
        <f>IF($F338="","",IF(COUNTIF(Постоянные!$C$8:$C$37,$F338)&gt;0,"есть в Постоянных",IF(COUNTIF(Покупки!$C$7:$C$18,$F338)&gt;0,"есть в Покупках","")))</f>
        <v/>
      </c>
      <c r="P338">
        <f>IF($H338&lt;&gt;"",$H338,IF($I338="Оплачено",N($G338),0))</f>
        <v/>
      </c>
      <c r="Q338">
        <f>IF($I338="Отменено",0,IF($G338&lt;&gt;"",$G338,N($H338)))</f>
        <v/>
      </c>
      <c r="R338">
        <f>IF($C338="","",IFERROR(DATE(Настройки!$C$8,Настройки!$D$9+MATCH($M338,Настройки!$X$6:$X$17,0)-1,1),DATE(YEAR($C338),MONTH($C338),1)))</f>
        <v/>
      </c>
      <c r="S338">
        <f>IF(OR($I338="Оплачено",$H338&lt;&gt;""),$P338,$Q338)</f>
        <v/>
      </c>
      <c r="T338">
        <f>IF(OR($C338="",$D338="Доход",$I338="Оплачено",$I338="Отменено",$H338&lt;&gt;"",$C338&lt;TODAY()),"",$C338)</f>
        <v/>
      </c>
      <c r="U338">
        <f>IF(AND($D338&lt;&gt;"Доход",COUNTIFS(Счета!$B$10:$B$21,$J338,Счета!$C$10:$C$21,"Кредитная")&gt;0),1,0)</f>
        <v/>
      </c>
    </row>
    <row r="339" ht="19" customHeight="1">
      <c r="B339" s="53">
        <f>IF(AND($C339="",$F339=""),"",ROW()-9)</f>
        <v/>
      </c>
      <c r="C339" s="213" t="n"/>
      <c r="D339" s="55" t="n"/>
      <c r="E339" s="55" t="n"/>
      <c r="F339" s="56" t="n"/>
      <c r="G339" s="196" t="n"/>
      <c r="H339" s="196" t="n"/>
      <c r="I339" s="55" t="n"/>
      <c r="J339" s="55" t="n"/>
      <c r="K339" s="55" t="n"/>
      <c r="L339" s="100">
        <f>IF(OR($C339="",$I339="Оплачено",$I339="Отменено",$H339&lt;&gt;""),"",$C339-TODAY())</f>
        <v/>
      </c>
      <c r="M339" s="101">
        <f>IF($C339="","",INDEX(Настройки!$V$6:$V$17,MONTH($C339))&amp;" "&amp;YEAR($C339))</f>
        <v/>
      </c>
      <c r="N339" s="57">
        <f>IF($F339="","",IF(COUNTIF(Постоянные!$C$8:$C$37,$F339)&gt;0,"есть в Постоянных",IF(COUNTIF(Покупки!$C$7:$C$18,$F339)&gt;0,"есть в Покупках","")))</f>
        <v/>
      </c>
      <c r="P339">
        <f>IF($H339&lt;&gt;"",$H339,IF($I339="Оплачено",N($G339),0))</f>
        <v/>
      </c>
      <c r="Q339">
        <f>IF($I339="Отменено",0,IF($G339&lt;&gt;"",$G339,N($H339)))</f>
        <v/>
      </c>
      <c r="R339">
        <f>IF($C339="","",IFERROR(DATE(Настройки!$C$8,Настройки!$D$9+MATCH($M339,Настройки!$X$6:$X$17,0)-1,1),DATE(YEAR($C339),MONTH($C339),1)))</f>
        <v/>
      </c>
      <c r="S339">
        <f>IF(OR($I339="Оплачено",$H339&lt;&gt;""),$P339,$Q339)</f>
        <v/>
      </c>
      <c r="T339">
        <f>IF(OR($C339="",$D339="Доход",$I339="Оплачено",$I339="Отменено",$H339&lt;&gt;"",$C339&lt;TODAY()),"",$C339)</f>
        <v/>
      </c>
      <c r="U339">
        <f>IF(AND($D339&lt;&gt;"Доход",COUNTIFS(Счета!$B$10:$B$21,$J339,Счета!$C$10:$C$21,"Кредитная")&gt;0),1,0)</f>
        <v/>
      </c>
    </row>
    <row r="340" ht="19" customHeight="1">
      <c r="B340" s="53">
        <f>IF(AND($C340="",$F340=""),"",ROW()-9)</f>
        <v/>
      </c>
      <c r="C340" s="213" t="n"/>
      <c r="D340" s="55" t="n"/>
      <c r="E340" s="55" t="n"/>
      <c r="F340" s="56" t="n"/>
      <c r="G340" s="196" t="n"/>
      <c r="H340" s="196" t="n"/>
      <c r="I340" s="55" t="n"/>
      <c r="J340" s="55" t="n"/>
      <c r="K340" s="55" t="n"/>
      <c r="L340" s="100">
        <f>IF(OR($C340="",$I340="Оплачено",$I340="Отменено",$H340&lt;&gt;""),"",$C340-TODAY())</f>
        <v/>
      </c>
      <c r="M340" s="101">
        <f>IF($C340="","",INDEX(Настройки!$V$6:$V$17,MONTH($C340))&amp;" "&amp;YEAR($C340))</f>
        <v/>
      </c>
      <c r="N340" s="57">
        <f>IF($F340="","",IF(COUNTIF(Постоянные!$C$8:$C$37,$F340)&gt;0,"есть в Постоянных",IF(COUNTIF(Покупки!$C$7:$C$18,$F340)&gt;0,"есть в Покупках","")))</f>
        <v/>
      </c>
      <c r="P340">
        <f>IF($H340&lt;&gt;"",$H340,IF($I340="Оплачено",N($G340),0))</f>
        <v/>
      </c>
      <c r="Q340">
        <f>IF($I340="Отменено",0,IF($G340&lt;&gt;"",$G340,N($H340)))</f>
        <v/>
      </c>
      <c r="R340">
        <f>IF($C340="","",IFERROR(DATE(Настройки!$C$8,Настройки!$D$9+MATCH($M340,Настройки!$X$6:$X$17,0)-1,1),DATE(YEAR($C340),MONTH($C340),1)))</f>
        <v/>
      </c>
      <c r="S340">
        <f>IF(OR($I340="Оплачено",$H340&lt;&gt;""),$P340,$Q340)</f>
        <v/>
      </c>
      <c r="T340">
        <f>IF(OR($C340="",$D340="Доход",$I340="Оплачено",$I340="Отменено",$H340&lt;&gt;"",$C340&lt;TODAY()),"",$C340)</f>
        <v/>
      </c>
      <c r="U340">
        <f>IF(AND($D340&lt;&gt;"Доход",COUNTIFS(Счета!$B$10:$B$21,$J340,Счета!$C$10:$C$21,"Кредитная")&gt;0),1,0)</f>
        <v/>
      </c>
    </row>
    <row r="341" ht="19" customHeight="1">
      <c r="B341" s="53">
        <f>IF(AND($C341="",$F341=""),"",ROW()-9)</f>
        <v/>
      </c>
      <c r="C341" s="213" t="n"/>
      <c r="D341" s="55" t="n"/>
      <c r="E341" s="55" t="n"/>
      <c r="F341" s="56" t="n"/>
      <c r="G341" s="196" t="n"/>
      <c r="H341" s="196" t="n"/>
      <c r="I341" s="55" t="n"/>
      <c r="J341" s="55" t="n"/>
      <c r="K341" s="55" t="n"/>
      <c r="L341" s="100">
        <f>IF(OR($C341="",$I341="Оплачено",$I341="Отменено",$H341&lt;&gt;""),"",$C341-TODAY())</f>
        <v/>
      </c>
      <c r="M341" s="101">
        <f>IF($C341="","",INDEX(Настройки!$V$6:$V$17,MONTH($C341))&amp;" "&amp;YEAR($C341))</f>
        <v/>
      </c>
      <c r="N341" s="57">
        <f>IF($F341="","",IF(COUNTIF(Постоянные!$C$8:$C$37,$F341)&gt;0,"есть в Постоянных",IF(COUNTIF(Покупки!$C$7:$C$18,$F341)&gt;0,"есть в Покупках","")))</f>
        <v/>
      </c>
      <c r="P341">
        <f>IF($H341&lt;&gt;"",$H341,IF($I341="Оплачено",N($G341),0))</f>
        <v/>
      </c>
      <c r="Q341">
        <f>IF($I341="Отменено",0,IF($G341&lt;&gt;"",$G341,N($H341)))</f>
        <v/>
      </c>
      <c r="R341">
        <f>IF($C341="","",IFERROR(DATE(Настройки!$C$8,Настройки!$D$9+MATCH($M341,Настройки!$X$6:$X$17,0)-1,1),DATE(YEAR($C341),MONTH($C341),1)))</f>
        <v/>
      </c>
      <c r="S341">
        <f>IF(OR($I341="Оплачено",$H341&lt;&gt;""),$P341,$Q341)</f>
        <v/>
      </c>
      <c r="T341">
        <f>IF(OR($C341="",$D341="Доход",$I341="Оплачено",$I341="Отменено",$H341&lt;&gt;"",$C341&lt;TODAY()),"",$C341)</f>
        <v/>
      </c>
      <c r="U341">
        <f>IF(AND($D341&lt;&gt;"Доход",COUNTIFS(Счета!$B$10:$B$21,$J341,Счета!$C$10:$C$21,"Кредитная")&gt;0),1,0)</f>
        <v/>
      </c>
    </row>
    <row r="342" ht="19" customHeight="1">
      <c r="B342" s="53">
        <f>IF(AND($C342="",$F342=""),"",ROW()-9)</f>
        <v/>
      </c>
      <c r="C342" s="213" t="n"/>
      <c r="D342" s="55" t="n"/>
      <c r="E342" s="55" t="n"/>
      <c r="F342" s="56" t="n"/>
      <c r="G342" s="196" t="n"/>
      <c r="H342" s="196" t="n"/>
      <c r="I342" s="55" t="n"/>
      <c r="J342" s="55" t="n"/>
      <c r="K342" s="55" t="n"/>
      <c r="L342" s="100">
        <f>IF(OR($C342="",$I342="Оплачено",$I342="Отменено",$H342&lt;&gt;""),"",$C342-TODAY())</f>
        <v/>
      </c>
      <c r="M342" s="101">
        <f>IF($C342="","",INDEX(Настройки!$V$6:$V$17,MONTH($C342))&amp;" "&amp;YEAR($C342))</f>
        <v/>
      </c>
      <c r="N342" s="57">
        <f>IF($F342="","",IF(COUNTIF(Постоянные!$C$8:$C$37,$F342)&gt;0,"есть в Постоянных",IF(COUNTIF(Покупки!$C$7:$C$18,$F342)&gt;0,"есть в Покупках","")))</f>
        <v/>
      </c>
      <c r="P342">
        <f>IF($H342&lt;&gt;"",$H342,IF($I342="Оплачено",N($G342),0))</f>
        <v/>
      </c>
      <c r="Q342">
        <f>IF($I342="Отменено",0,IF($G342&lt;&gt;"",$G342,N($H342)))</f>
        <v/>
      </c>
      <c r="R342">
        <f>IF($C342="","",IFERROR(DATE(Настройки!$C$8,Настройки!$D$9+MATCH($M342,Настройки!$X$6:$X$17,0)-1,1),DATE(YEAR($C342),MONTH($C342),1)))</f>
        <v/>
      </c>
      <c r="S342">
        <f>IF(OR($I342="Оплачено",$H342&lt;&gt;""),$P342,$Q342)</f>
        <v/>
      </c>
      <c r="T342">
        <f>IF(OR($C342="",$D342="Доход",$I342="Оплачено",$I342="Отменено",$H342&lt;&gt;"",$C342&lt;TODAY()),"",$C342)</f>
        <v/>
      </c>
      <c r="U342">
        <f>IF(AND($D342&lt;&gt;"Доход",COUNTIFS(Счета!$B$10:$B$21,$J342,Счета!$C$10:$C$21,"Кредитная")&gt;0),1,0)</f>
        <v/>
      </c>
    </row>
    <row r="343" ht="19" customHeight="1">
      <c r="B343" s="53">
        <f>IF(AND($C343="",$F343=""),"",ROW()-9)</f>
        <v/>
      </c>
      <c r="C343" s="213" t="n"/>
      <c r="D343" s="55" t="n"/>
      <c r="E343" s="55" t="n"/>
      <c r="F343" s="56" t="n"/>
      <c r="G343" s="196" t="n"/>
      <c r="H343" s="196" t="n"/>
      <c r="I343" s="55" t="n"/>
      <c r="J343" s="55" t="n"/>
      <c r="K343" s="55" t="n"/>
      <c r="L343" s="100">
        <f>IF(OR($C343="",$I343="Оплачено",$I343="Отменено",$H343&lt;&gt;""),"",$C343-TODAY())</f>
        <v/>
      </c>
      <c r="M343" s="101">
        <f>IF($C343="","",INDEX(Настройки!$V$6:$V$17,MONTH($C343))&amp;" "&amp;YEAR($C343))</f>
        <v/>
      </c>
      <c r="N343" s="57">
        <f>IF($F343="","",IF(COUNTIF(Постоянные!$C$8:$C$37,$F343)&gt;0,"есть в Постоянных",IF(COUNTIF(Покупки!$C$7:$C$18,$F343)&gt;0,"есть в Покупках","")))</f>
        <v/>
      </c>
      <c r="P343">
        <f>IF($H343&lt;&gt;"",$H343,IF($I343="Оплачено",N($G343),0))</f>
        <v/>
      </c>
      <c r="Q343">
        <f>IF($I343="Отменено",0,IF($G343&lt;&gt;"",$G343,N($H343)))</f>
        <v/>
      </c>
      <c r="R343">
        <f>IF($C343="","",IFERROR(DATE(Настройки!$C$8,Настройки!$D$9+MATCH($M343,Настройки!$X$6:$X$17,0)-1,1),DATE(YEAR($C343),MONTH($C343),1)))</f>
        <v/>
      </c>
      <c r="S343">
        <f>IF(OR($I343="Оплачено",$H343&lt;&gt;""),$P343,$Q343)</f>
        <v/>
      </c>
      <c r="T343">
        <f>IF(OR($C343="",$D343="Доход",$I343="Оплачено",$I343="Отменено",$H343&lt;&gt;"",$C343&lt;TODAY()),"",$C343)</f>
        <v/>
      </c>
      <c r="U343">
        <f>IF(AND($D343&lt;&gt;"Доход",COUNTIFS(Счета!$B$10:$B$21,$J343,Счета!$C$10:$C$21,"Кредитная")&gt;0),1,0)</f>
        <v/>
      </c>
    </row>
    <row r="344" ht="19" customHeight="1">
      <c r="B344" s="53">
        <f>IF(AND($C344="",$F344=""),"",ROW()-9)</f>
        <v/>
      </c>
      <c r="C344" s="213" t="n"/>
      <c r="D344" s="55" t="n"/>
      <c r="E344" s="55" t="n"/>
      <c r="F344" s="56" t="n"/>
      <c r="G344" s="196" t="n"/>
      <c r="H344" s="196" t="n"/>
      <c r="I344" s="55" t="n"/>
      <c r="J344" s="55" t="n"/>
      <c r="K344" s="55" t="n"/>
      <c r="L344" s="100">
        <f>IF(OR($C344="",$I344="Оплачено",$I344="Отменено",$H344&lt;&gt;""),"",$C344-TODAY())</f>
        <v/>
      </c>
      <c r="M344" s="101">
        <f>IF($C344="","",INDEX(Настройки!$V$6:$V$17,MONTH($C344))&amp;" "&amp;YEAR($C344))</f>
        <v/>
      </c>
      <c r="N344" s="57">
        <f>IF($F344="","",IF(COUNTIF(Постоянные!$C$8:$C$37,$F344)&gt;0,"есть в Постоянных",IF(COUNTIF(Покупки!$C$7:$C$18,$F344)&gt;0,"есть в Покупках","")))</f>
        <v/>
      </c>
      <c r="P344">
        <f>IF($H344&lt;&gt;"",$H344,IF($I344="Оплачено",N($G344),0))</f>
        <v/>
      </c>
      <c r="Q344">
        <f>IF($I344="Отменено",0,IF($G344&lt;&gt;"",$G344,N($H344)))</f>
        <v/>
      </c>
      <c r="R344">
        <f>IF($C344="","",IFERROR(DATE(Настройки!$C$8,Настройки!$D$9+MATCH($M344,Настройки!$X$6:$X$17,0)-1,1),DATE(YEAR($C344),MONTH($C344),1)))</f>
        <v/>
      </c>
      <c r="S344">
        <f>IF(OR($I344="Оплачено",$H344&lt;&gt;""),$P344,$Q344)</f>
        <v/>
      </c>
      <c r="T344">
        <f>IF(OR($C344="",$D344="Доход",$I344="Оплачено",$I344="Отменено",$H344&lt;&gt;"",$C344&lt;TODAY()),"",$C344)</f>
        <v/>
      </c>
      <c r="U344">
        <f>IF(AND($D344&lt;&gt;"Доход",COUNTIFS(Счета!$B$10:$B$21,$J344,Счета!$C$10:$C$21,"Кредитная")&gt;0),1,0)</f>
        <v/>
      </c>
    </row>
    <row r="345" ht="19" customHeight="1">
      <c r="B345" s="53">
        <f>IF(AND($C345="",$F345=""),"",ROW()-9)</f>
        <v/>
      </c>
      <c r="C345" s="213" t="n"/>
      <c r="D345" s="55" t="n"/>
      <c r="E345" s="55" t="n"/>
      <c r="F345" s="56" t="n"/>
      <c r="G345" s="196" t="n"/>
      <c r="H345" s="196" t="n"/>
      <c r="I345" s="55" t="n"/>
      <c r="J345" s="55" t="n"/>
      <c r="K345" s="55" t="n"/>
      <c r="L345" s="100">
        <f>IF(OR($C345="",$I345="Оплачено",$I345="Отменено",$H345&lt;&gt;""),"",$C345-TODAY())</f>
        <v/>
      </c>
      <c r="M345" s="101">
        <f>IF($C345="","",INDEX(Настройки!$V$6:$V$17,MONTH($C345))&amp;" "&amp;YEAR($C345))</f>
        <v/>
      </c>
      <c r="N345" s="57">
        <f>IF($F345="","",IF(COUNTIF(Постоянные!$C$8:$C$37,$F345)&gt;0,"есть в Постоянных",IF(COUNTIF(Покупки!$C$7:$C$18,$F345)&gt;0,"есть в Покупках","")))</f>
        <v/>
      </c>
      <c r="P345">
        <f>IF($H345&lt;&gt;"",$H345,IF($I345="Оплачено",N($G345),0))</f>
        <v/>
      </c>
      <c r="Q345">
        <f>IF($I345="Отменено",0,IF($G345&lt;&gt;"",$G345,N($H345)))</f>
        <v/>
      </c>
      <c r="R345">
        <f>IF($C345="","",IFERROR(DATE(Настройки!$C$8,Настройки!$D$9+MATCH($M345,Настройки!$X$6:$X$17,0)-1,1),DATE(YEAR($C345),MONTH($C345),1)))</f>
        <v/>
      </c>
      <c r="S345">
        <f>IF(OR($I345="Оплачено",$H345&lt;&gt;""),$P345,$Q345)</f>
        <v/>
      </c>
      <c r="T345">
        <f>IF(OR($C345="",$D345="Доход",$I345="Оплачено",$I345="Отменено",$H345&lt;&gt;"",$C345&lt;TODAY()),"",$C345)</f>
        <v/>
      </c>
      <c r="U345">
        <f>IF(AND($D345&lt;&gt;"Доход",COUNTIFS(Счета!$B$10:$B$21,$J345,Счета!$C$10:$C$21,"Кредитная")&gt;0),1,0)</f>
        <v/>
      </c>
    </row>
    <row r="346" ht="19" customHeight="1">
      <c r="B346" s="53">
        <f>IF(AND($C346="",$F346=""),"",ROW()-9)</f>
        <v/>
      </c>
      <c r="C346" s="213" t="n"/>
      <c r="D346" s="55" t="n"/>
      <c r="E346" s="55" t="n"/>
      <c r="F346" s="56" t="n"/>
      <c r="G346" s="196" t="n"/>
      <c r="H346" s="196" t="n"/>
      <c r="I346" s="55" t="n"/>
      <c r="J346" s="55" t="n"/>
      <c r="K346" s="55" t="n"/>
      <c r="L346" s="100">
        <f>IF(OR($C346="",$I346="Оплачено",$I346="Отменено",$H346&lt;&gt;""),"",$C346-TODAY())</f>
        <v/>
      </c>
      <c r="M346" s="101">
        <f>IF($C346="","",INDEX(Настройки!$V$6:$V$17,MONTH($C346))&amp;" "&amp;YEAR($C346))</f>
        <v/>
      </c>
      <c r="N346" s="57">
        <f>IF($F346="","",IF(COUNTIF(Постоянные!$C$8:$C$37,$F346)&gt;0,"есть в Постоянных",IF(COUNTIF(Покупки!$C$7:$C$18,$F346)&gt;0,"есть в Покупках","")))</f>
        <v/>
      </c>
      <c r="P346">
        <f>IF($H346&lt;&gt;"",$H346,IF($I346="Оплачено",N($G346),0))</f>
        <v/>
      </c>
      <c r="Q346">
        <f>IF($I346="Отменено",0,IF($G346&lt;&gt;"",$G346,N($H346)))</f>
        <v/>
      </c>
      <c r="R346">
        <f>IF($C346="","",IFERROR(DATE(Настройки!$C$8,Настройки!$D$9+MATCH($M346,Настройки!$X$6:$X$17,0)-1,1),DATE(YEAR($C346),MONTH($C346),1)))</f>
        <v/>
      </c>
      <c r="S346">
        <f>IF(OR($I346="Оплачено",$H346&lt;&gt;""),$P346,$Q346)</f>
        <v/>
      </c>
      <c r="T346">
        <f>IF(OR($C346="",$D346="Доход",$I346="Оплачено",$I346="Отменено",$H346&lt;&gt;"",$C346&lt;TODAY()),"",$C346)</f>
        <v/>
      </c>
      <c r="U346">
        <f>IF(AND($D346&lt;&gt;"Доход",COUNTIFS(Счета!$B$10:$B$21,$J346,Счета!$C$10:$C$21,"Кредитная")&gt;0),1,0)</f>
        <v/>
      </c>
    </row>
    <row r="347" ht="19" customHeight="1">
      <c r="B347" s="53">
        <f>IF(AND($C347="",$F347=""),"",ROW()-9)</f>
        <v/>
      </c>
      <c r="C347" s="213" t="n"/>
      <c r="D347" s="55" t="n"/>
      <c r="E347" s="55" t="n"/>
      <c r="F347" s="56" t="n"/>
      <c r="G347" s="196" t="n"/>
      <c r="H347" s="196" t="n"/>
      <c r="I347" s="55" t="n"/>
      <c r="J347" s="55" t="n"/>
      <c r="K347" s="55" t="n"/>
      <c r="L347" s="100">
        <f>IF(OR($C347="",$I347="Оплачено",$I347="Отменено",$H347&lt;&gt;""),"",$C347-TODAY())</f>
        <v/>
      </c>
      <c r="M347" s="101">
        <f>IF($C347="","",INDEX(Настройки!$V$6:$V$17,MONTH($C347))&amp;" "&amp;YEAR($C347))</f>
        <v/>
      </c>
      <c r="N347" s="57">
        <f>IF($F347="","",IF(COUNTIF(Постоянные!$C$8:$C$37,$F347)&gt;0,"есть в Постоянных",IF(COUNTIF(Покупки!$C$7:$C$18,$F347)&gt;0,"есть в Покупках","")))</f>
        <v/>
      </c>
      <c r="P347">
        <f>IF($H347&lt;&gt;"",$H347,IF($I347="Оплачено",N($G347),0))</f>
        <v/>
      </c>
      <c r="Q347">
        <f>IF($I347="Отменено",0,IF($G347&lt;&gt;"",$G347,N($H347)))</f>
        <v/>
      </c>
      <c r="R347">
        <f>IF($C347="","",IFERROR(DATE(Настройки!$C$8,Настройки!$D$9+MATCH($M347,Настройки!$X$6:$X$17,0)-1,1),DATE(YEAR($C347),MONTH($C347),1)))</f>
        <v/>
      </c>
      <c r="S347">
        <f>IF(OR($I347="Оплачено",$H347&lt;&gt;""),$P347,$Q347)</f>
        <v/>
      </c>
      <c r="T347">
        <f>IF(OR($C347="",$D347="Доход",$I347="Оплачено",$I347="Отменено",$H347&lt;&gt;"",$C347&lt;TODAY()),"",$C347)</f>
        <v/>
      </c>
      <c r="U347">
        <f>IF(AND($D347&lt;&gt;"Доход",COUNTIFS(Счета!$B$10:$B$21,$J347,Счета!$C$10:$C$21,"Кредитная")&gt;0),1,0)</f>
        <v/>
      </c>
    </row>
    <row r="348" ht="19" customHeight="1">
      <c r="B348" s="53">
        <f>IF(AND($C348="",$F348=""),"",ROW()-9)</f>
        <v/>
      </c>
      <c r="C348" s="213" t="n"/>
      <c r="D348" s="55" t="n"/>
      <c r="E348" s="55" t="n"/>
      <c r="F348" s="56" t="n"/>
      <c r="G348" s="196" t="n"/>
      <c r="H348" s="196" t="n"/>
      <c r="I348" s="55" t="n"/>
      <c r="J348" s="55" t="n"/>
      <c r="K348" s="55" t="n"/>
      <c r="L348" s="100">
        <f>IF(OR($C348="",$I348="Оплачено",$I348="Отменено",$H348&lt;&gt;""),"",$C348-TODAY())</f>
        <v/>
      </c>
      <c r="M348" s="101">
        <f>IF($C348="","",INDEX(Настройки!$V$6:$V$17,MONTH($C348))&amp;" "&amp;YEAR($C348))</f>
        <v/>
      </c>
      <c r="N348" s="57">
        <f>IF($F348="","",IF(COUNTIF(Постоянные!$C$8:$C$37,$F348)&gt;0,"есть в Постоянных",IF(COUNTIF(Покупки!$C$7:$C$18,$F348)&gt;0,"есть в Покупках","")))</f>
        <v/>
      </c>
      <c r="P348">
        <f>IF($H348&lt;&gt;"",$H348,IF($I348="Оплачено",N($G348),0))</f>
        <v/>
      </c>
      <c r="Q348">
        <f>IF($I348="Отменено",0,IF($G348&lt;&gt;"",$G348,N($H348)))</f>
        <v/>
      </c>
      <c r="R348">
        <f>IF($C348="","",IFERROR(DATE(Настройки!$C$8,Настройки!$D$9+MATCH($M348,Настройки!$X$6:$X$17,0)-1,1),DATE(YEAR($C348),MONTH($C348),1)))</f>
        <v/>
      </c>
      <c r="S348">
        <f>IF(OR($I348="Оплачено",$H348&lt;&gt;""),$P348,$Q348)</f>
        <v/>
      </c>
      <c r="T348">
        <f>IF(OR($C348="",$D348="Доход",$I348="Оплачено",$I348="Отменено",$H348&lt;&gt;"",$C348&lt;TODAY()),"",$C348)</f>
        <v/>
      </c>
      <c r="U348">
        <f>IF(AND($D348&lt;&gt;"Доход",COUNTIFS(Счета!$B$10:$B$21,$J348,Счета!$C$10:$C$21,"Кредитная")&gt;0),1,0)</f>
        <v/>
      </c>
    </row>
    <row r="349" ht="19" customHeight="1">
      <c r="B349" s="53">
        <f>IF(AND($C349="",$F349=""),"",ROW()-9)</f>
        <v/>
      </c>
      <c r="C349" s="213" t="n"/>
      <c r="D349" s="55" t="n"/>
      <c r="E349" s="55" t="n"/>
      <c r="F349" s="56" t="n"/>
      <c r="G349" s="196" t="n"/>
      <c r="H349" s="196" t="n"/>
      <c r="I349" s="55" t="n"/>
      <c r="J349" s="55" t="n"/>
      <c r="K349" s="55" t="n"/>
      <c r="L349" s="100">
        <f>IF(OR($C349="",$I349="Оплачено",$I349="Отменено",$H349&lt;&gt;""),"",$C349-TODAY())</f>
        <v/>
      </c>
      <c r="M349" s="101">
        <f>IF($C349="","",INDEX(Настройки!$V$6:$V$17,MONTH($C349))&amp;" "&amp;YEAR($C349))</f>
        <v/>
      </c>
      <c r="N349" s="57">
        <f>IF($F349="","",IF(COUNTIF(Постоянные!$C$8:$C$37,$F349)&gt;0,"есть в Постоянных",IF(COUNTIF(Покупки!$C$7:$C$18,$F349)&gt;0,"есть в Покупках","")))</f>
        <v/>
      </c>
      <c r="P349">
        <f>IF($H349&lt;&gt;"",$H349,IF($I349="Оплачено",N($G349),0))</f>
        <v/>
      </c>
      <c r="Q349">
        <f>IF($I349="Отменено",0,IF($G349&lt;&gt;"",$G349,N($H349)))</f>
        <v/>
      </c>
      <c r="R349">
        <f>IF($C349="","",IFERROR(DATE(Настройки!$C$8,Настройки!$D$9+MATCH($M349,Настройки!$X$6:$X$17,0)-1,1),DATE(YEAR($C349),MONTH($C349),1)))</f>
        <v/>
      </c>
      <c r="S349">
        <f>IF(OR($I349="Оплачено",$H349&lt;&gt;""),$P349,$Q349)</f>
        <v/>
      </c>
      <c r="T349">
        <f>IF(OR($C349="",$D349="Доход",$I349="Оплачено",$I349="Отменено",$H349&lt;&gt;"",$C349&lt;TODAY()),"",$C349)</f>
        <v/>
      </c>
      <c r="U349">
        <f>IF(AND($D349&lt;&gt;"Доход",COUNTIFS(Счета!$B$10:$B$21,$J349,Счета!$C$10:$C$21,"Кредитная")&gt;0),1,0)</f>
        <v/>
      </c>
    </row>
    <row r="350" ht="19" customHeight="1">
      <c r="B350" s="53">
        <f>IF(AND($C350="",$F350=""),"",ROW()-9)</f>
        <v/>
      </c>
      <c r="C350" s="213" t="n"/>
      <c r="D350" s="55" t="n"/>
      <c r="E350" s="55" t="n"/>
      <c r="F350" s="56" t="n"/>
      <c r="G350" s="196" t="n"/>
      <c r="H350" s="196" t="n"/>
      <c r="I350" s="55" t="n"/>
      <c r="J350" s="55" t="n"/>
      <c r="K350" s="55" t="n"/>
      <c r="L350" s="100">
        <f>IF(OR($C350="",$I350="Оплачено",$I350="Отменено",$H350&lt;&gt;""),"",$C350-TODAY())</f>
        <v/>
      </c>
      <c r="M350" s="101">
        <f>IF($C350="","",INDEX(Настройки!$V$6:$V$17,MONTH($C350))&amp;" "&amp;YEAR($C350))</f>
        <v/>
      </c>
      <c r="N350" s="57">
        <f>IF($F350="","",IF(COUNTIF(Постоянные!$C$8:$C$37,$F350)&gt;0,"есть в Постоянных",IF(COUNTIF(Покупки!$C$7:$C$18,$F350)&gt;0,"есть в Покупках","")))</f>
        <v/>
      </c>
      <c r="P350">
        <f>IF($H350&lt;&gt;"",$H350,IF($I350="Оплачено",N($G350),0))</f>
        <v/>
      </c>
      <c r="Q350">
        <f>IF($I350="Отменено",0,IF($G350&lt;&gt;"",$G350,N($H350)))</f>
        <v/>
      </c>
      <c r="R350">
        <f>IF($C350="","",IFERROR(DATE(Настройки!$C$8,Настройки!$D$9+MATCH($M350,Настройки!$X$6:$X$17,0)-1,1),DATE(YEAR($C350),MONTH($C350),1)))</f>
        <v/>
      </c>
      <c r="S350">
        <f>IF(OR($I350="Оплачено",$H350&lt;&gt;""),$P350,$Q350)</f>
        <v/>
      </c>
      <c r="T350">
        <f>IF(OR($C350="",$D350="Доход",$I350="Оплачено",$I350="Отменено",$H350&lt;&gt;"",$C350&lt;TODAY()),"",$C350)</f>
        <v/>
      </c>
      <c r="U350">
        <f>IF(AND($D350&lt;&gt;"Доход",COUNTIFS(Счета!$B$10:$B$21,$J350,Счета!$C$10:$C$21,"Кредитная")&gt;0),1,0)</f>
        <v/>
      </c>
    </row>
    <row r="351" ht="19" customHeight="1">
      <c r="B351" s="53">
        <f>IF(AND($C351="",$F351=""),"",ROW()-9)</f>
        <v/>
      </c>
      <c r="C351" s="213" t="n"/>
      <c r="D351" s="55" t="n"/>
      <c r="E351" s="55" t="n"/>
      <c r="F351" s="56" t="n"/>
      <c r="G351" s="196" t="n"/>
      <c r="H351" s="196" t="n"/>
      <c r="I351" s="55" t="n"/>
      <c r="J351" s="55" t="n"/>
      <c r="K351" s="55" t="n"/>
      <c r="L351" s="100">
        <f>IF(OR($C351="",$I351="Оплачено",$I351="Отменено",$H351&lt;&gt;""),"",$C351-TODAY())</f>
        <v/>
      </c>
      <c r="M351" s="101">
        <f>IF($C351="","",INDEX(Настройки!$V$6:$V$17,MONTH($C351))&amp;" "&amp;YEAR($C351))</f>
        <v/>
      </c>
      <c r="N351" s="57">
        <f>IF($F351="","",IF(COUNTIF(Постоянные!$C$8:$C$37,$F351)&gt;0,"есть в Постоянных",IF(COUNTIF(Покупки!$C$7:$C$18,$F351)&gt;0,"есть в Покупках","")))</f>
        <v/>
      </c>
      <c r="P351">
        <f>IF($H351&lt;&gt;"",$H351,IF($I351="Оплачено",N($G351),0))</f>
        <v/>
      </c>
      <c r="Q351">
        <f>IF($I351="Отменено",0,IF($G351&lt;&gt;"",$G351,N($H351)))</f>
        <v/>
      </c>
      <c r="R351">
        <f>IF($C351="","",IFERROR(DATE(Настройки!$C$8,Настройки!$D$9+MATCH($M351,Настройки!$X$6:$X$17,0)-1,1),DATE(YEAR($C351),MONTH($C351),1)))</f>
        <v/>
      </c>
      <c r="S351">
        <f>IF(OR($I351="Оплачено",$H351&lt;&gt;""),$P351,$Q351)</f>
        <v/>
      </c>
      <c r="T351">
        <f>IF(OR($C351="",$D351="Доход",$I351="Оплачено",$I351="Отменено",$H351&lt;&gt;"",$C351&lt;TODAY()),"",$C351)</f>
        <v/>
      </c>
      <c r="U351">
        <f>IF(AND($D351&lt;&gt;"Доход",COUNTIFS(Счета!$B$10:$B$21,$J351,Счета!$C$10:$C$21,"Кредитная")&gt;0),1,0)</f>
        <v/>
      </c>
    </row>
    <row r="352" ht="19" customHeight="1">
      <c r="B352" s="53">
        <f>IF(AND($C352="",$F352=""),"",ROW()-9)</f>
        <v/>
      </c>
      <c r="C352" s="213" t="n"/>
      <c r="D352" s="55" t="n"/>
      <c r="E352" s="55" t="n"/>
      <c r="F352" s="56" t="n"/>
      <c r="G352" s="196" t="n"/>
      <c r="H352" s="196" t="n"/>
      <c r="I352" s="55" t="n"/>
      <c r="J352" s="55" t="n"/>
      <c r="K352" s="55" t="n"/>
      <c r="L352" s="100">
        <f>IF(OR($C352="",$I352="Оплачено",$I352="Отменено",$H352&lt;&gt;""),"",$C352-TODAY())</f>
        <v/>
      </c>
      <c r="M352" s="101">
        <f>IF($C352="","",INDEX(Настройки!$V$6:$V$17,MONTH($C352))&amp;" "&amp;YEAR($C352))</f>
        <v/>
      </c>
      <c r="N352" s="57">
        <f>IF($F352="","",IF(COUNTIF(Постоянные!$C$8:$C$37,$F352)&gt;0,"есть в Постоянных",IF(COUNTIF(Покупки!$C$7:$C$18,$F352)&gt;0,"есть в Покупках","")))</f>
        <v/>
      </c>
      <c r="P352">
        <f>IF($H352&lt;&gt;"",$H352,IF($I352="Оплачено",N($G352),0))</f>
        <v/>
      </c>
      <c r="Q352">
        <f>IF($I352="Отменено",0,IF($G352&lt;&gt;"",$G352,N($H352)))</f>
        <v/>
      </c>
      <c r="R352">
        <f>IF($C352="","",IFERROR(DATE(Настройки!$C$8,Настройки!$D$9+MATCH($M352,Настройки!$X$6:$X$17,0)-1,1),DATE(YEAR($C352),MONTH($C352),1)))</f>
        <v/>
      </c>
      <c r="S352">
        <f>IF(OR($I352="Оплачено",$H352&lt;&gt;""),$P352,$Q352)</f>
        <v/>
      </c>
      <c r="T352">
        <f>IF(OR($C352="",$D352="Доход",$I352="Оплачено",$I352="Отменено",$H352&lt;&gt;"",$C352&lt;TODAY()),"",$C352)</f>
        <v/>
      </c>
      <c r="U352">
        <f>IF(AND($D352&lt;&gt;"Доход",COUNTIFS(Счета!$B$10:$B$21,$J352,Счета!$C$10:$C$21,"Кредитная")&gt;0),1,0)</f>
        <v/>
      </c>
    </row>
    <row r="353" ht="19" customHeight="1">
      <c r="B353" s="53">
        <f>IF(AND($C353="",$F353=""),"",ROW()-9)</f>
        <v/>
      </c>
      <c r="C353" s="213" t="n"/>
      <c r="D353" s="55" t="n"/>
      <c r="E353" s="55" t="n"/>
      <c r="F353" s="56" t="n"/>
      <c r="G353" s="196" t="n"/>
      <c r="H353" s="196" t="n"/>
      <c r="I353" s="55" t="n"/>
      <c r="J353" s="55" t="n"/>
      <c r="K353" s="55" t="n"/>
      <c r="L353" s="100">
        <f>IF(OR($C353="",$I353="Оплачено",$I353="Отменено",$H353&lt;&gt;""),"",$C353-TODAY())</f>
        <v/>
      </c>
      <c r="M353" s="101">
        <f>IF($C353="","",INDEX(Настройки!$V$6:$V$17,MONTH($C353))&amp;" "&amp;YEAR($C353))</f>
        <v/>
      </c>
      <c r="N353" s="57">
        <f>IF($F353="","",IF(COUNTIF(Постоянные!$C$8:$C$37,$F353)&gt;0,"есть в Постоянных",IF(COUNTIF(Покупки!$C$7:$C$18,$F353)&gt;0,"есть в Покупках","")))</f>
        <v/>
      </c>
      <c r="P353">
        <f>IF($H353&lt;&gt;"",$H353,IF($I353="Оплачено",N($G353),0))</f>
        <v/>
      </c>
      <c r="Q353">
        <f>IF($I353="Отменено",0,IF($G353&lt;&gt;"",$G353,N($H353)))</f>
        <v/>
      </c>
      <c r="R353">
        <f>IF($C353="","",IFERROR(DATE(Настройки!$C$8,Настройки!$D$9+MATCH($M353,Настройки!$X$6:$X$17,0)-1,1),DATE(YEAR($C353),MONTH($C353),1)))</f>
        <v/>
      </c>
      <c r="S353">
        <f>IF(OR($I353="Оплачено",$H353&lt;&gt;""),$P353,$Q353)</f>
        <v/>
      </c>
      <c r="T353">
        <f>IF(OR($C353="",$D353="Доход",$I353="Оплачено",$I353="Отменено",$H353&lt;&gt;"",$C353&lt;TODAY()),"",$C353)</f>
        <v/>
      </c>
      <c r="U353">
        <f>IF(AND($D353&lt;&gt;"Доход",COUNTIFS(Счета!$B$10:$B$21,$J353,Счета!$C$10:$C$21,"Кредитная")&gt;0),1,0)</f>
        <v/>
      </c>
    </row>
    <row r="354" ht="19" customHeight="1">
      <c r="B354" s="53">
        <f>IF(AND($C354="",$F354=""),"",ROW()-9)</f>
        <v/>
      </c>
      <c r="C354" s="213" t="n"/>
      <c r="D354" s="55" t="n"/>
      <c r="E354" s="55" t="n"/>
      <c r="F354" s="56" t="n"/>
      <c r="G354" s="196" t="n"/>
      <c r="H354" s="196" t="n"/>
      <c r="I354" s="55" t="n"/>
      <c r="J354" s="55" t="n"/>
      <c r="K354" s="55" t="n"/>
      <c r="L354" s="100">
        <f>IF(OR($C354="",$I354="Оплачено",$I354="Отменено",$H354&lt;&gt;""),"",$C354-TODAY())</f>
        <v/>
      </c>
      <c r="M354" s="101">
        <f>IF($C354="","",INDEX(Настройки!$V$6:$V$17,MONTH($C354))&amp;" "&amp;YEAR($C354))</f>
        <v/>
      </c>
      <c r="N354" s="57">
        <f>IF($F354="","",IF(COUNTIF(Постоянные!$C$8:$C$37,$F354)&gt;0,"есть в Постоянных",IF(COUNTIF(Покупки!$C$7:$C$18,$F354)&gt;0,"есть в Покупках","")))</f>
        <v/>
      </c>
      <c r="P354">
        <f>IF($H354&lt;&gt;"",$H354,IF($I354="Оплачено",N($G354),0))</f>
        <v/>
      </c>
      <c r="Q354">
        <f>IF($I354="Отменено",0,IF($G354&lt;&gt;"",$G354,N($H354)))</f>
        <v/>
      </c>
      <c r="R354">
        <f>IF($C354="","",IFERROR(DATE(Настройки!$C$8,Настройки!$D$9+MATCH($M354,Настройки!$X$6:$X$17,0)-1,1),DATE(YEAR($C354),MONTH($C354),1)))</f>
        <v/>
      </c>
      <c r="S354">
        <f>IF(OR($I354="Оплачено",$H354&lt;&gt;""),$P354,$Q354)</f>
        <v/>
      </c>
      <c r="T354">
        <f>IF(OR($C354="",$D354="Доход",$I354="Оплачено",$I354="Отменено",$H354&lt;&gt;"",$C354&lt;TODAY()),"",$C354)</f>
        <v/>
      </c>
      <c r="U354">
        <f>IF(AND($D354&lt;&gt;"Доход",COUNTIFS(Счета!$B$10:$B$21,$J354,Счета!$C$10:$C$21,"Кредитная")&gt;0),1,0)</f>
        <v/>
      </c>
    </row>
    <row r="355" ht="19" customHeight="1">
      <c r="B355" s="53">
        <f>IF(AND($C355="",$F355=""),"",ROW()-9)</f>
        <v/>
      </c>
      <c r="C355" s="213" t="n"/>
      <c r="D355" s="55" t="n"/>
      <c r="E355" s="55" t="n"/>
      <c r="F355" s="56" t="n"/>
      <c r="G355" s="196" t="n"/>
      <c r="H355" s="196" t="n"/>
      <c r="I355" s="55" t="n"/>
      <c r="J355" s="55" t="n"/>
      <c r="K355" s="55" t="n"/>
      <c r="L355" s="100">
        <f>IF(OR($C355="",$I355="Оплачено",$I355="Отменено",$H355&lt;&gt;""),"",$C355-TODAY())</f>
        <v/>
      </c>
      <c r="M355" s="101">
        <f>IF($C355="","",INDEX(Настройки!$V$6:$V$17,MONTH($C355))&amp;" "&amp;YEAR($C355))</f>
        <v/>
      </c>
      <c r="N355" s="57">
        <f>IF($F355="","",IF(COUNTIF(Постоянные!$C$8:$C$37,$F355)&gt;0,"есть в Постоянных",IF(COUNTIF(Покупки!$C$7:$C$18,$F355)&gt;0,"есть в Покупках","")))</f>
        <v/>
      </c>
      <c r="P355">
        <f>IF($H355&lt;&gt;"",$H355,IF($I355="Оплачено",N($G355),0))</f>
        <v/>
      </c>
      <c r="Q355">
        <f>IF($I355="Отменено",0,IF($G355&lt;&gt;"",$G355,N($H355)))</f>
        <v/>
      </c>
      <c r="R355">
        <f>IF($C355="","",IFERROR(DATE(Настройки!$C$8,Настройки!$D$9+MATCH($M355,Настройки!$X$6:$X$17,0)-1,1),DATE(YEAR($C355),MONTH($C355),1)))</f>
        <v/>
      </c>
      <c r="S355">
        <f>IF(OR($I355="Оплачено",$H355&lt;&gt;""),$P355,$Q355)</f>
        <v/>
      </c>
      <c r="T355">
        <f>IF(OR($C355="",$D355="Доход",$I355="Оплачено",$I355="Отменено",$H355&lt;&gt;"",$C355&lt;TODAY()),"",$C355)</f>
        <v/>
      </c>
      <c r="U355">
        <f>IF(AND($D355&lt;&gt;"Доход",COUNTIFS(Счета!$B$10:$B$21,$J355,Счета!$C$10:$C$21,"Кредитная")&gt;0),1,0)</f>
        <v/>
      </c>
    </row>
    <row r="356" ht="19" customHeight="1">
      <c r="B356" s="53">
        <f>IF(AND($C356="",$F356=""),"",ROW()-9)</f>
        <v/>
      </c>
      <c r="C356" s="213" t="n"/>
      <c r="D356" s="55" t="n"/>
      <c r="E356" s="55" t="n"/>
      <c r="F356" s="56" t="n"/>
      <c r="G356" s="196" t="n"/>
      <c r="H356" s="196" t="n"/>
      <c r="I356" s="55" t="n"/>
      <c r="J356" s="55" t="n"/>
      <c r="K356" s="55" t="n"/>
      <c r="L356" s="100">
        <f>IF(OR($C356="",$I356="Оплачено",$I356="Отменено",$H356&lt;&gt;""),"",$C356-TODAY())</f>
        <v/>
      </c>
      <c r="M356" s="101">
        <f>IF($C356="","",INDEX(Настройки!$V$6:$V$17,MONTH($C356))&amp;" "&amp;YEAR($C356))</f>
        <v/>
      </c>
      <c r="N356" s="57">
        <f>IF($F356="","",IF(COUNTIF(Постоянные!$C$8:$C$37,$F356)&gt;0,"есть в Постоянных",IF(COUNTIF(Покупки!$C$7:$C$18,$F356)&gt;0,"есть в Покупках","")))</f>
        <v/>
      </c>
      <c r="P356">
        <f>IF($H356&lt;&gt;"",$H356,IF($I356="Оплачено",N($G356),0))</f>
        <v/>
      </c>
      <c r="Q356">
        <f>IF($I356="Отменено",0,IF($G356&lt;&gt;"",$G356,N($H356)))</f>
        <v/>
      </c>
      <c r="R356">
        <f>IF($C356="","",IFERROR(DATE(Настройки!$C$8,Настройки!$D$9+MATCH($M356,Настройки!$X$6:$X$17,0)-1,1),DATE(YEAR($C356),MONTH($C356),1)))</f>
        <v/>
      </c>
      <c r="S356">
        <f>IF(OR($I356="Оплачено",$H356&lt;&gt;""),$P356,$Q356)</f>
        <v/>
      </c>
      <c r="T356">
        <f>IF(OR($C356="",$D356="Доход",$I356="Оплачено",$I356="Отменено",$H356&lt;&gt;"",$C356&lt;TODAY()),"",$C356)</f>
        <v/>
      </c>
      <c r="U356">
        <f>IF(AND($D356&lt;&gt;"Доход",COUNTIFS(Счета!$B$10:$B$21,$J356,Счета!$C$10:$C$21,"Кредитная")&gt;0),1,0)</f>
        <v/>
      </c>
    </row>
    <row r="357" ht="19" customHeight="1">
      <c r="B357" s="53">
        <f>IF(AND($C357="",$F357=""),"",ROW()-9)</f>
        <v/>
      </c>
      <c r="C357" s="213" t="n"/>
      <c r="D357" s="55" t="n"/>
      <c r="E357" s="55" t="n"/>
      <c r="F357" s="56" t="n"/>
      <c r="G357" s="196" t="n"/>
      <c r="H357" s="196" t="n"/>
      <c r="I357" s="55" t="n"/>
      <c r="J357" s="55" t="n"/>
      <c r="K357" s="55" t="n"/>
      <c r="L357" s="100">
        <f>IF(OR($C357="",$I357="Оплачено",$I357="Отменено",$H357&lt;&gt;""),"",$C357-TODAY())</f>
        <v/>
      </c>
      <c r="M357" s="101">
        <f>IF($C357="","",INDEX(Настройки!$V$6:$V$17,MONTH($C357))&amp;" "&amp;YEAR($C357))</f>
        <v/>
      </c>
      <c r="N357" s="57">
        <f>IF($F357="","",IF(COUNTIF(Постоянные!$C$8:$C$37,$F357)&gt;0,"есть в Постоянных",IF(COUNTIF(Покупки!$C$7:$C$18,$F357)&gt;0,"есть в Покупках","")))</f>
        <v/>
      </c>
      <c r="P357">
        <f>IF($H357&lt;&gt;"",$H357,IF($I357="Оплачено",N($G357),0))</f>
        <v/>
      </c>
      <c r="Q357">
        <f>IF($I357="Отменено",0,IF($G357&lt;&gt;"",$G357,N($H357)))</f>
        <v/>
      </c>
      <c r="R357">
        <f>IF($C357="","",IFERROR(DATE(Настройки!$C$8,Настройки!$D$9+MATCH($M357,Настройки!$X$6:$X$17,0)-1,1),DATE(YEAR($C357),MONTH($C357),1)))</f>
        <v/>
      </c>
      <c r="S357">
        <f>IF(OR($I357="Оплачено",$H357&lt;&gt;""),$P357,$Q357)</f>
        <v/>
      </c>
      <c r="T357">
        <f>IF(OR($C357="",$D357="Доход",$I357="Оплачено",$I357="Отменено",$H357&lt;&gt;"",$C357&lt;TODAY()),"",$C357)</f>
        <v/>
      </c>
      <c r="U357">
        <f>IF(AND($D357&lt;&gt;"Доход",COUNTIFS(Счета!$B$10:$B$21,$J357,Счета!$C$10:$C$21,"Кредитная")&gt;0),1,0)</f>
        <v/>
      </c>
    </row>
    <row r="358" ht="19" customHeight="1">
      <c r="B358" s="53">
        <f>IF(AND($C358="",$F358=""),"",ROW()-9)</f>
        <v/>
      </c>
      <c r="C358" s="213" t="n"/>
      <c r="D358" s="55" t="n"/>
      <c r="E358" s="55" t="n"/>
      <c r="F358" s="56" t="n"/>
      <c r="G358" s="196" t="n"/>
      <c r="H358" s="196" t="n"/>
      <c r="I358" s="55" t="n"/>
      <c r="J358" s="55" t="n"/>
      <c r="K358" s="55" t="n"/>
      <c r="L358" s="100">
        <f>IF(OR($C358="",$I358="Оплачено",$I358="Отменено",$H358&lt;&gt;""),"",$C358-TODAY())</f>
        <v/>
      </c>
      <c r="M358" s="101">
        <f>IF($C358="","",INDEX(Настройки!$V$6:$V$17,MONTH($C358))&amp;" "&amp;YEAR($C358))</f>
        <v/>
      </c>
      <c r="N358" s="57">
        <f>IF($F358="","",IF(COUNTIF(Постоянные!$C$8:$C$37,$F358)&gt;0,"есть в Постоянных",IF(COUNTIF(Покупки!$C$7:$C$18,$F358)&gt;0,"есть в Покупках","")))</f>
        <v/>
      </c>
      <c r="P358">
        <f>IF($H358&lt;&gt;"",$H358,IF($I358="Оплачено",N($G358),0))</f>
        <v/>
      </c>
      <c r="Q358">
        <f>IF($I358="Отменено",0,IF($G358&lt;&gt;"",$G358,N($H358)))</f>
        <v/>
      </c>
      <c r="R358">
        <f>IF($C358="","",IFERROR(DATE(Настройки!$C$8,Настройки!$D$9+MATCH($M358,Настройки!$X$6:$X$17,0)-1,1),DATE(YEAR($C358),MONTH($C358),1)))</f>
        <v/>
      </c>
      <c r="S358">
        <f>IF(OR($I358="Оплачено",$H358&lt;&gt;""),$P358,$Q358)</f>
        <v/>
      </c>
      <c r="T358">
        <f>IF(OR($C358="",$D358="Доход",$I358="Оплачено",$I358="Отменено",$H358&lt;&gt;"",$C358&lt;TODAY()),"",$C358)</f>
        <v/>
      </c>
      <c r="U358">
        <f>IF(AND($D358&lt;&gt;"Доход",COUNTIFS(Счета!$B$10:$B$21,$J358,Счета!$C$10:$C$21,"Кредитная")&gt;0),1,0)</f>
        <v/>
      </c>
    </row>
    <row r="359" ht="19" customHeight="1">
      <c r="B359" s="53">
        <f>IF(AND($C359="",$F359=""),"",ROW()-9)</f>
        <v/>
      </c>
      <c r="C359" s="213" t="n"/>
      <c r="D359" s="55" t="n"/>
      <c r="E359" s="55" t="n"/>
      <c r="F359" s="56" t="n"/>
      <c r="G359" s="196" t="n"/>
      <c r="H359" s="196" t="n"/>
      <c r="I359" s="55" t="n"/>
      <c r="J359" s="55" t="n"/>
      <c r="K359" s="55" t="n"/>
      <c r="L359" s="100">
        <f>IF(OR($C359="",$I359="Оплачено",$I359="Отменено",$H359&lt;&gt;""),"",$C359-TODAY())</f>
        <v/>
      </c>
      <c r="M359" s="101">
        <f>IF($C359="","",INDEX(Настройки!$V$6:$V$17,MONTH($C359))&amp;" "&amp;YEAR($C359))</f>
        <v/>
      </c>
      <c r="N359" s="57">
        <f>IF($F359="","",IF(COUNTIF(Постоянные!$C$8:$C$37,$F359)&gt;0,"есть в Постоянных",IF(COUNTIF(Покупки!$C$7:$C$18,$F359)&gt;0,"есть в Покупках","")))</f>
        <v/>
      </c>
      <c r="P359">
        <f>IF($H359&lt;&gt;"",$H359,IF($I359="Оплачено",N($G359),0))</f>
        <v/>
      </c>
      <c r="Q359">
        <f>IF($I359="Отменено",0,IF($G359&lt;&gt;"",$G359,N($H359)))</f>
        <v/>
      </c>
      <c r="R359">
        <f>IF($C359="","",IFERROR(DATE(Настройки!$C$8,Настройки!$D$9+MATCH($M359,Настройки!$X$6:$X$17,0)-1,1),DATE(YEAR($C359),MONTH($C359),1)))</f>
        <v/>
      </c>
      <c r="S359">
        <f>IF(OR($I359="Оплачено",$H359&lt;&gt;""),$P359,$Q359)</f>
        <v/>
      </c>
      <c r="T359">
        <f>IF(OR($C359="",$D359="Доход",$I359="Оплачено",$I359="Отменено",$H359&lt;&gt;"",$C359&lt;TODAY()),"",$C359)</f>
        <v/>
      </c>
      <c r="U359">
        <f>IF(AND($D359&lt;&gt;"Доход",COUNTIFS(Счета!$B$10:$B$21,$J359,Счета!$C$10:$C$21,"Кредитная")&gt;0),1,0)</f>
        <v/>
      </c>
    </row>
    <row r="360" ht="19" customHeight="1">
      <c r="B360" s="53">
        <f>IF(AND($C360="",$F360=""),"",ROW()-9)</f>
        <v/>
      </c>
      <c r="C360" s="213" t="n"/>
      <c r="D360" s="55" t="n"/>
      <c r="E360" s="55" t="n"/>
      <c r="F360" s="56" t="n"/>
      <c r="G360" s="196" t="n"/>
      <c r="H360" s="196" t="n"/>
      <c r="I360" s="55" t="n"/>
      <c r="J360" s="55" t="n"/>
      <c r="K360" s="55" t="n"/>
      <c r="L360" s="100">
        <f>IF(OR($C360="",$I360="Оплачено",$I360="Отменено",$H360&lt;&gt;""),"",$C360-TODAY())</f>
        <v/>
      </c>
      <c r="M360" s="101">
        <f>IF($C360="","",INDEX(Настройки!$V$6:$V$17,MONTH($C360))&amp;" "&amp;YEAR($C360))</f>
        <v/>
      </c>
      <c r="N360" s="57">
        <f>IF($F360="","",IF(COUNTIF(Постоянные!$C$8:$C$37,$F360)&gt;0,"есть в Постоянных",IF(COUNTIF(Покупки!$C$7:$C$18,$F360)&gt;0,"есть в Покупках","")))</f>
        <v/>
      </c>
      <c r="P360">
        <f>IF($H360&lt;&gt;"",$H360,IF($I360="Оплачено",N($G360),0))</f>
        <v/>
      </c>
      <c r="Q360">
        <f>IF($I360="Отменено",0,IF($G360&lt;&gt;"",$G360,N($H360)))</f>
        <v/>
      </c>
      <c r="R360">
        <f>IF($C360="","",IFERROR(DATE(Настройки!$C$8,Настройки!$D$9+MATCH($M360,Настройки!$X$6:$X$17,0)-1,1),DATE(YEAR($C360),MONTH($C360),1)))</f>
        <v/>
      </c>
      <c r="S360">
        <f>IF(OR($I360="Оплачено",$H360&lt;&gt;""),$P360,$Q360)</f>
        <v/>
      </c>
      <c r="T360">
        <f>IF(OR($C360="",$D360="Доход",$I360="Оплачено",$I360="Отменено",$H360&lt;&gt;"",$C360&lt;TODAY()),"",$C360)</f>
        <v/>
      </c>
      <c r="U360">
        <f>IF(AND($D360&lt;&gt;"Доход",COUNTIFS(Счета!$B$10:$B$21,$J360,Счета!$C$10:$C$21,"Кредитная")&gt;0),1,0)</f>
        <v/>
      </c>
    </row>
    <row r="361" ht="19" customHeight="1">
      <c r="B361" s="53">
        <f>IF(AND($C361="",$F361=""),"",ROW()-9)</f>
        <v/>
      </c>
      <c r="C361" s="213" t="n"/>
      <c r="D361" s="55" t="n"/>
      <c r="E361" s="55" t="n"/>
      <c r="F361" s="56" t="n"/>
      <c r="G361" s="196" t="n"/>
      <c r="H361" s="196" t="n"/>
      <c r="I361" s="55" t="n"/>
      <c r="J361" s="55" t="n"/>
      <c r="K361" s="55" t="n"/>
      <c r="L361" s="100">
        <f>IF(OR($C361="",$I361="Оплачено",$I361="Отменено",$H361&lt;&gt;""),"",$C361-TODAY())</f>
        <v/>
      </c>
      <c r="M361" s="101">
        <f>IF($C361="","",INDEX(Настройки!$V$6:$V$17,MONTH($C361))&amp;" "&amp;YEAR($C361))</f>
        <v/>
      </c>
      <c r="N361" s="57">
        <f>IF($F361="","",IF(COUNTIF(Постоянные!$C$8:$C$37,$F361)&gt;0,"есть в Постоянных",IF(COUNTIF(Покупки!$C$7:$C$18,$F361)&gt;0,"есть в Покупках","")))</f>
        <v/>
      </c>
      <c r="P361">
        <f>IF($H361&lt;&gt;"",$H361,IF($I361="Оплачено",N($G361),0))</f>
        <v/>
      </c>
      <c r="Q361">
        <f>IF($I361="Отменено",0,IF($G361&lt;&gt;"",$G361,N($H361)))</f>
        <v/>
      </c>
      <c r="R361">
        <f>IF($C361="","",IFERROR(DATE(Настройки!$C$8,Настройки!$D$9+MATCH($M361,Настройки!$X$6:$X$17,0)-1,1),DATE(YEAR($C361),MONTH($C361),1)))</f>
        <v/>
      </c>
      <c r="S361">
        <f>IF(OR($I361="Оплачено",$H361&lt;&gt;""),$P361,$Q361)</f>
        <v/>
      </c>
      <c r="T361">
        <f>IF(OR($C361="",$D361="Доход",$I361="Оплачено",$I361="Отменено",$H361&lt;&gt;"",$C361&lt;TODAY()),"",$C361)</f>
        <v/>
      </c>
      <c r="U361">
        <f>IF(AND($D361&lt;&gt;"Доход",COUNTIFS(Счета!$B$10:$B$21,$J361,Счета!$C$10:$C$21,"Кредитная")&gt;0),1,0)</f>
        <v/>
      </c>
    </row>
    <row r="362" ht="19" customHeight="1">
      <c r="B362" s="53">
        <f>IF(AND($C362="",$F362=""),"",ROW()-9)</f>
        <v/>
      </c>
      <c r="C362" s="213" t="n"/>
      <c r="D362" s="55" t="n"/>
      <c r="E362" s="55" t="n"/>
      <c r="F362" s="56" t="n"/>
      <c r="G362" s="196" t="n"/>
      <c r="H362" s="196" t="n"/>
      <c r="I362" s="55" t="n"/>
      <c r="J362" s="55" t="n"/>
      <c r="K362" s="55" t="n"/>
      <c r="L362" s="100">
        <f>IF(OR($C362="",$I362="Оплачено",$I362="Отменено",$H362&lt;&gt;""),"",$C362-TODAY())</f>
        <v/>
      </c>
      <c r="M362" s="101">
        <f>IF($C362="","",INDEX(Настройки!$V$6:$V$17,MONTH($C362))&amp;" "&amp;YEAR($C362))</f>
        <v/>
      </c>
      <c r="N362" s="57">
        <f>IF($F362="","",IF(COUNTIF(Постоянные!$C$8:$C$37,$F362)&gt;0,"есть в Постоянных",IF(COUNTIF(Покупки!$C$7:$C$18,$F362)&gt;0,"есть в Покупках","")))</f>
        <v/>
      </c>
      <c r="P362">
        <f>IF($H362&lt;&gt;"",$H362,IF($I362="Оплачено",N($G362),0))</f>
        <v/>
      </c>
      <c r="Q362">
        <f>IF($I362="Отменено",0,IF($G362&lt;&gt;"",$G362,N($H362)))</f>
        <v/>
      </c>
      <c r="R362">
        <f>IF($C362="","",IFERROR(DATE(Настройки!$C$8,Настройки!$D$9+MATCH($M362,Настройки!$X$6:$X$17,0)-1,1),DATE(YEAR($C362),MONTH($C362),1)))</f>
        <v/>
      </c>
      <c r="S362">
        <f>IF(OR($I362="Оплачено",$H362&lt;&gt;""),$P362,$Q362)</f>
        <v/>
      </c>
      <c r="T362">
        <f>IF(OR($C362="",$D362="Доход",$I362="Оплачено",$I362="Отменено",$H362&lt;&gt;"",$C362&lt;TODAY()),"",$C362)</f>
        <v/>
      </c>
      <c r="U362">
        <f>IF(AND($D362&lt;&gt;"Доход",COUNTIFS(Счета!$B$10:$B$21,$J362,Счета!$C$10:$C$21,"Кредитная")&gt;0),1,0)</f>
        <v/>
      </c>
    </row>
    <row r="363" ht="19" customHeight="1">
      <c r="B363" s="53">
        <f>IF(AND($C363="",$F363=""),"",ROW()-9)</f>
        <v/>
      </c>
      <c r="C363" s="213" t="n"/>
      <c r="D363" s="55" t="n"/>
      <c r="E363" s="55" t="n"/>
      <c r="F363" s="56" t="n"/>
      <c r="G363" s="196" t="n"/>
      <c r="H363" s="196" t="n"/>
      <c r="I363" s="55" t="n"/>
      <c r="J363" s="55" t="n"/>
      <c r="K363" s="55" t="n"/>
      <c r="L363" s="100">
        <f>IF(OR($C363="",$I363="Оплачено",$I363="Отменено",$H363&lt;&gt;""),"",$C363-TODAY())</f>
        <v/>
      </c>
      <c r="M363" s="101">
        <f>IF($C363="","",INDEX(Настройки!$V$6:$V$17,MONTH($C363))&amp;" "&amp;YEAR($C363))</f>
        <v/>
      </c>
      <c r="N363" s="57">
        <f>IF($F363="","",IF(COUNTIF(Постоянные!$C$8:$C$37,$F363)&gt;0,"есть в Постоянных",IF(COUNTIF(Покупки!$C$7:$C$18,$F363)&gt;0,"есть в Покупках","")))</f>
        <v/>
      </c>
      <c r="P363">
        <f>IF($H363&lt;&gt;"",$H363,IF($I363="Оплачено",N($G363),0))</f>
        <v/>
      </c>
      <c r="Q363">
        <f>IF($I363="Отменено",0,IF($G363&lt;&gt;"",$G363,N($H363)))</f>
        <v/>
      </c>
      <c r="R363">
        <f>IF($C363="","",IFERROR(DATE(Настройки!$C$8,Настройки!$D$9+MATCH($M363,Настройки!$X$6:$X$17,0)-1,1),DATE(YEAR($C363),MONTH($C363),1)))</f>
        <v/>
      </c>
      <c r="S363">
        <f>IF(OR($I363="Оплачено",$H363&lt;&gt;""),$P363,$Q363)</f>
        <v/>
      </c>
      <c r="T363">
        <f>IF(OR($C363="",$D363="Доход",$I363="Оплачено",$I363="Отменено",$H363&lt;&gt;"",$C363&lt;TODAY()),"",$C363)</f>
        <v/>
      </c>
      <c r="U363">
        <f>IF(AND($D363&lt;&gt;"Доход",COUNTIFS(Счета!$B$10:$B$21,$J363,Счета!$C$10:$C$21,"Кредитная")&gt;0),1,0)</f>
        <v/>
      </c>
    </row>
    <row r="364" ht="19" customHeight="1">
      <c r="B364" s="53">
        <f>IF(AND($C364="",$F364=""),"",ROW()-9)</f>
        <v/>
      </c>
      <c r="C364" s="213" t="n"/>
      <c r="D364" s="55" t="n"/>
      <c r="E364" s="55" t="n"/>
      <c r="F364" s="56" t="n"/>
      <c r="G364" s="196" t="n"/>
      <c r="H364" s="196" t="n"/>
      <c r="I364" s="55" t="n"/>
      <c r="J364" s="55" t="n"/>
      <c r="K364" s="55" t="n"/>
      <c r="L364" s="100">
        <f>IF(OR($C364="",$I364="Оплачено",$I364="Отменено",$H364&lt;&gt;""),"",$C364-TODAY())</f>
        <v/>
      </c>
      <c r="M364" s="101">
        <f>IF($C364="","",INDEX(Настройки!$V$6:$V$17,MONTH($C364))&amp;" "&amp;YEAR($C364))</f>
        <v/>
      </c>
      <c r="N364" s="57">
        <f>IF($F364="","",IF(COUNTIF(Постоянные!$C$8:$C$37,$F364)&gt;0,"есть в Постоянных",IF(COUNTIF(Покупки!$C$7:$C$18,$F364)&gt;0,"есть в Покупках","")))</f>
        <v/>
      </c>
      <c r="P364">
        <f>IF($H364&lt;&gt;"",$H364,IF($I364="Оплачено",N($G364),0))</f>
        <v/>
      </c>
      <c r="Q364">
        <f>IF($I364="Отменено",0,IF($G364&lt;&gt;"",$G364,N($H364)))</f>
        <v/>
      </c>
      <c r="R364">
        <f>IF($C364="","",IFERROR(DATE(Настройки!$C$8,Настройки!$D$9+MATCH($M364,Настройки!$X$6:$X$17,0)-1,1),DATE(YEAR($C364),MONTH($C364),1)))</f>
        <v/>
      </c>
      <c r="S364">
        <f>IF(OR($I364="Оплачено",$H364&lt;&gt;""),$P364,$Q364)</f>
        <v/>
      </c>
      <c r="T364">
        <f>IF(OR($C364="",$D364="Доход",$I364="Оплачено",$I364="Отменено",$H364&lt;&gt;"",$C364&lt;TODAY()),"",$C364)</f>
        <v/>
      </c>
      <c r="U364">
        <f>IF(AND($D364&lt;&gt;"Доход",COUNTIFS(Счета!$B$10:$B$21,$J364,Счета!$C$10:$C$21,"Кредитная")&gt;0),1,0)</f>
        <v/>
      </c>
    </row>
    <row r="365" ht="19" customHeight="1">
      <c r="B365" s="53">
        <f>IF(AND($C365="",$F365=""),"",ROW()-9)</f>
        <v/>
      </c>
      <c r="C365" s="213" t="n"/>
      <c r="D365" s="55" t="n"/>
      <c r="E365" s="55" t="n"/>
      <c r="F365" s="56" t="n"/>
      <c r="G365" s="196" t="n"/>
      <c r="H365" s="196" t="n"/>
      <c r="I365" s="55" t="n"/>
      <c r="J365" s="55" t="n"/>
      <c r="K365" s="55" t="n"/>
      <c r="L365" s="100">
        <f>IF(OR($C365="",$I365="Оплачено",$I365="Отменено",$H365&lt;&gt;""),"",$C365-TODAY())</f>
        <v/>
      </c>
      <c r="M365" s="101">
        <f>IF($C365="","",INDEX(Настройки!$V$6:$V$17,MONTH($C365))&amp;" "&amp;YEAR($C365))</f>
        <v/>
      </c>
      <c r="N365" s="57">
        <f>IF($F365="","",IF(COUNTIF(Постоянные!$C$8:$C$37,$F365)&gt;0,"есть в Постоянных",IF(COUNTIF(Покупки!$C$7:$C$18,$F365)&gt;0,"есть в Покупках","")))</f>
        <v/>
      </c>
      <c r="P365">
        <f>IF($H365&lt;&gt;"",$H365,IF($I365="Оплачено",N($G365),0))</f>
        <v/>
      </c>
      <c r="Q365">
        <f>IF($I365="Отменено",0,IF($G365&lt;&gt;"",$G365,N($H365)))</f>
        <v/>
      </c>
      <c r="R365">
        <f>IF($C365="","",IFERROR(DATE(Настройки!$C$8,Настройки!$D$9+MATCH($M365,Настройки!$X$6:$X$17,0)-1,1),DATE(YEAR($C365),MONTH($C365),1)))</f>
        <v/>
      </c>
      <c r="S365">
        <f>IF(OR($I365="Оплачено",$H365&lt;&gt;""),$P365,$Q365)</f>
        <v/>
      </c>
      <c r="T365">
        <f>IF(OR($C365="",$D365="Доход",$I365="Оплачено",$I365="Отменено",$H365&lt;&gt;"",$C365&lt;TODAY()),"",$C365)</f>
        <v/>
      </c>
      <c r="U365">
        <f>IF(AND($D365&lt;&gt;"Доход",COUNTIFS(Счета!$B$10:$B$21,$J365,Счета!$C$10:$C$21,"Кредитная")&gt;0),1,0)</f>
        <v/>
      </c>
    </row>
    <row r="366" ht="19" customHeight="1">
      <c r="B366" s="53">
        <f>IF(AND($C366="",$F366=""),"",ROW()-9)</f>
        <v/>
      </c>
      <c r="C366" s="213" t="n"/>
      <c r="D366" s="55" t="n"/>
      <c r="E366" s="55" t="n"/>
      <c r="F366" s="56" t="n"/>
      <c r="G366" s="196" t="n"/>
      <c r="H366" s="196" t="n"/>
      <c r="I366" s="55" t="n"/>
      <c r="J366" s="55" t="n"/>
      <c r="K366" s="55" t="n"/>
      <c r="L366" s="100">
        <f>IF(OR($C366="",$I366="Оплачено",$I366="Отменено",$H366&lt;&gt;""),"",$C366-TODAY())</f>
        <v/>
      </c>
      <c r="M366" s="101">
        <f>IF($C366="","",INDEX(Настройки!$V$6:$V$17,MONTH($C366))&amp;" "&amp;YEAR($C366))</f>
        <v/>
      </c>
      <c r="N366" s="57">
        <f>IF($F366="","",IF(COUNTIF(Постоянные!$C$8:$C$37,$F366)&gt;0,"есть в Постоянных",IF(COUNTIF(Покупки!$C$7:$C$18,$F366)&gt;0,"есть в Покупках","")))</f>
        <v/>
      </c>
      <c r="P366">
        <f>IF($H366&lt;&gt;"",$H366,IF($I366="Оплачено",N($G366),0))</f>
        <v/>
      </c>
      <c r="Q366">
        <f>IF($I366="Отменено",0,IF($G366&lt;&gt;"",$G366,N($H366)))</f>
        <v/>
      </c>
      <c r="R366">
        <f>IF($C366="","",IFERROR(DATE(Настройки!$C$8,Настройки!$D$9+MATCH($M366,Настройки!$X$6:$X$17,0)-1,1),DATE(YEAR($C366),MONTH($C366),1)))</f>
        <v/>
      </c>
      <c r="S366">
        <f>IF(OR($I366="Оплачено",$H366&lt;&gt;""),$P366,$Q366)</f>
        <v/>
      </c>
      <c r="T366">
        <f>IF(OR($C366="",$D366="Доход",$I366="Оплачено",$I366="Отменено",$H366&lt;&gt;"",$C366&lt;TODAY()),"",$C366)</f>
        <v/>
      </c>
      <c r="U366">
        <f>IF(AND($D366&lt;&gt;"Доход",COUNTIFS(Счета!$B$10:$B$21,$J366,Счета!$C$10:$C$21,"Кредитная")&gt;0),1,0)</f>
        <v/>
      </c>
    </row>
    <row r="367" ht="19" customHeight="1">
      <c r="B367" s="53">
        <f>IF(AND($C367="",$F367=""),"",ROW()-9)</f>
        <v/>
      </c>
      <c r="C367" s="213" t="n"/>
      <c r="D367" s="55" t="n"/>
      <c r="E367" s="55" t="n"/>
      <c r="F367" s="56" t="n"/>
      <c r="G367" s="196" t="n"/>
      <c r="H367" s="196" t="n"/>
      <c r="I367" s="55" t="n"/>
      <c r="J367" s="55" t="n"/>
      <c r="K367" s="55" t="n"/>
      <c r="L367" s="100">
        <f>IF(OR($C367="",$I367="Оплачено",$I367="Отменено",$H367&lt;&gt;""),"",$C367-TODAY())</f>
        <v/>
      </c>
      <c r="M367" s="101">
        <f>IF($C367="","",INDEX(Настройки!$V$6:$V$17,MONTH($C367))&amp;" "&amp;YEAR($C367))</f>
        <v/>
      </c>
      <c r="N367" s="57">
        <f>IF($F367="","",IF(COUNTIF(Постоянные!$C$8:$C$37,$F367)&gt;0,"есть в Постоянных",IF(COUNTIF(Покупки!$C$7:$C$18,$F367)&gt;0,"есть в Покупках","")))</f>
        <v/>
      </c>
      <c r="P367">
        <f>IF($H367&lt;&gt;"",$H367,IF($I367="Оплачено",N($G367),0))</f>
        <v/>
      </c>
      <c r="Q367">
        <f>IF($I367="Отменено",0,IF($G367&lt;&gt;"",$G367,N($H367)))</f>
        <v/>
      </c>
      <c r="R367">
        <f>IF($C367="","",IFERROR(DATE(Настройки!$C$8,Настройки!$D$9+MATCH($M367,Настройки!$X$6:$X$17,0)-1,1),DATE(YEAR($C367),MONTH($C367),1)))</f>
        <v/>
      </c>
      <c r="S367">
        <f>IF(OR($I367="Оплачено",$H367&lt;&gt;""),$P367,$Q367)</f>
        <v/>
      </c>
      <c r="T367">
        <f>IF(OR($C367="",$D367="Доход",$I367="Оплачено",$I367="Отменено",$H367&lt;&gt;"",$C367&lt;TODAY()),"",$C367)</f>
        <v/>
      </c>
      <c r="U367">
        <f>IF(AND($D367&lt;&gt;"Доход",COUNTIFS(Счета!$B$10:$B$21,$J367,Счета!$C$10:$C$21,"Кредитная")&gt;0),1,0)</f>
        <v/>
      </c>
    </row>
    <row r="368" ht="19" customHeight="1">
      <c r="B368" s="53">
        <f>IF(AND($C368="",$F368=""),"",ROW()-9)</f>
        <v/>
      </c>
      <c r="C368" s="213" t="n"/>
      <c r="D368" s="55" t="n"/>
      <c r="E368" s="55" t="n"/>
      <c r="F368" s="56" t="n"/>
      <c r="G368" s="196" t="n"/>
      <c r="H368" s="196" t="n"/>
      <c r="I368" s="55" t="n"/>
      <c r="J368" s="55" t="n"/>
      <c r="K368" s="55" t="n"/>
      <c r="L368" s="100">
        <f>IF(OR($C368="",$I368="Оплачено",$I368="Отменено",$H368&lt;&gt;""),"",$C368-TODAY())</f>
        <v/>
      </c>
      <c r="M368" s="101">
        <f>IF($C368="","",INDEX(Настройки!$V$6:$V$17,MONTH($C368))&amp;" "&amp;YEAR($C368))</f>
        <v/>
      </c>
      <c r="N368" s="57">
        <f>IF($F368="","",IF(COUNTIF(Постоянные!$C$8:$C$37,$F368)&gt;0,"есть в Постоянных",IF(COUNTIF(Покупки!$C$7:$C$18,$F368)&gt;0,"есть в Покупках","")))</f>
        <v/>
      </c>
      <c r="P368">
        <f>IF($H368&lt;&gt;"",$H368,IF($I368="Оплачено",N($G368),0))</f>
        <v/>
      </c>
      <c r="Q368">
        <f>IF($I368="Отменено",0,IF($G368&lt;&gt;"",$G368,N($H368)))</f>
        <v/>
      </c>
      <c r="R368">
        <f>IF($C368="","",IFERROR(DATE(Настройки!$C$8,Настройки!$D$9+MATCH($M368,Настройки!$X$6:$X$17,0)-1,1),DATE(YEAR($C368),MONTH($C368),1)))</f>
        <v/>
      </c>
      <c r="S368">
        <f>IF(OR($I368="Оплачено",$H368&lt;&gt;""),$P368,$Q368)</f>
        <v/>
      </c>
      <c r="T368">
        <f>IF(OR($C368="",$D368="Доход",$I368="Оплачено",$I368="Отменено",$H368&lt;&gt;"",$C368&lt;TODAY()),"",$C368)</f>
        <v/>
      </c>
      <c r="U368">
        <f>IF(AND($D368&lt;&gt;"Доход",COUNTIFS(Счета!$B$10:$B$21,$J368,Счета!$C$10:$C$21,"Кредитная")&gt;0),1,0)</f>
        <v/>
      </c>
    </row>
    <row r="369" ht="19" customHeight="1">
      <c r="B369" s="53">
        <f>IF(AND($C369="",$F369=""),"",ROW()-9)</f>
        <v/>
      </c>
      <c r="C369" s="213" t="n"/>
      <c r="D369" s="55" t="n"/>
      <c r="E369" s="55" t="n"/>
      <c r="F369" s="56" t="n"/>
      <c r="G369" s="196" t="n"/>
      <c r="H369" s="196" t="n"/>
      <c r="I369" s="55" t="n"/>
      <c r="J369" s="55" t="n"/>
      <c r="K369" s="55" t="n"/>
      <c r="L369" s="100">
        <f>IF(OR($C369="",$I369="Оплачено",$I369="Отменено",$H369&lt;&gt;""),"",$C369-TODAY())</f>
        <v/>
      </c>
      <c r="M369" s="101">
        <f>IF($C369="","",INDEX(Настройки!$V$6:$V$17,MONTH($C369))&amp;" "&amp;YEAR($C369))</f>
        <v/>
      </c>
      <c r="N369" s="57">
        <f>IF($F369="","",IF(COUNTIF(Постоянные!$C$8:$C$37,$F369)&gt;0,"есть в Постоянных",IF(COUNTIF(Покупки!$C$7:$C$18,$F369)&gt;0,"есть в Покупках","")))</f>
        <v/>
      </c>
      <c r="P369">
        <f>IF($H369&lt;&gt;"",$H369,IF($I369="Оплачено",N($G369),0))</f>
        <v/>
      </c>
      <c r="Q369">
        <f>IF($I369="Отменено",0,IF($G369&lt;&gt;"",$G369,N($H369)))</f>
        <v/>
      </c>
      <c r="R369">
        <f>IF($C369="","",IFERROR(DATE(Настройки!$C$8,Настройки!$D$9+MATCH($M369,Настройки!$X$6:$X$17,0)-1,1),DATE(YEAR($C369),MONTH($C369),1)))</f>
        <v/>
      </c>
      <c r="S369">
        <f>IF(OR($I369="Оплачено",$H369&lt;&gt;""),$P369,$Q369)</f>
        <v/>
      </c>
      <c r="T369">
        <f>IF(OR($C369="",$D369="Доход",$I369="Оплачено",$I369="Отменено",$H369&lt;&gt;"",$C369&lt;TODAY()),"",$C369)</f>
        <v/>
      </c>
      <c r="U369">
        <f>IF(AND($D369&lt;&gt;"Доход",COUNTIFS(Счета!$B$10:$B$21,$J369,Счета!$C$10:$C$21,"Кредитная")&gt;0),1,0)</f>
        <v/>
      </c>
    </row>
    <row r="370" ht="19" customHeight="1">
      <c r="B370" s="53">
        <f>IF(AND($C370="",$F370=""),"",ROW()-9)</f>
        <v/>
      </c>
      <c r="C370" s="213" t="n"/>
      <c r="D370" s="55" t="n"/>
      <c r="E370" s="55" t="n"/>
      <c r="F370" s="56" t="n"/>
      <c r="G370" s="196" t="n"/>
      <c r="H370" s="196" t="n"/>
      <c r="I370" s="55" t="n"/>
      <c r="J370" s="55" t="n"/>
      <c r="K370" s="55" t="n"/>
      <c r="L370" s="100">
        <f>IF(OR($C370="",$I370="Оплачено",$I370="Отменено",$H370&lt;&gt;""),"",$C370-TODAY())</f>
        <v/>
      </c>
      <c r="M370" s="101">
        <f>IF($C370="","",INDEX(Настройки!$V$6:$V$17,MONTH($C370))&amp;" "&amp;YEAR($C370))</f>
        <v/>
      </c>
      <c r="N370" s="57">
        <f>IF($F370="","",IF(COUNTIF(Постоянные!$C$8:$C$37,$F370)&gt;0,"есть в Постоянных",IF(COUNTIF(Покупки!$C$7:$C$18,$F370)&gt;0,"есть в Покупках","")))</f>
        <v/>
      </c>
      <c r="P370">
        <f>IF($H370&lt;&gt;"",$H370,IF($I370="Оплачено",N($G370),0))</f>
        <v/>
      </c>
      <c r="Q370">
        <f>IF($I370="Отменено",0,IF($G370&lt;&gt;"",$G370,N($H370)))</f>
        <v/>
      </c>
      <c r="R370">
        <f>IF($C370="","",IFERROR(DATE(Настройки!$C$8,Настройки!$D$9+MATCH($M370,Настройки!$X$6:$X$17,0)-1,1),DATE(YEAR($C370),MONTH($C370),1)))</f>
        <v/>
      </c>
      <c r="S370">
        <f>IF(OR($I370="Оплачено",$H370&lt;&gt;""),$P370,$Q370)</f>
        <v/>
      </c>
      <c r="T370">
        <f>IF(OR($C370="",$D370="Доход",$I370="Оплачено",$I370="Отменено",$H370&lt;&gt;"",$C370&lt;TODAY()),"",$C370)</f>
        <v/>
      </c>
      <c r="U370">
        <f>IF(AND($D370&lt;&gt;"Доход",COUNTIFS(Счета!$B$10:$B$21,$J370,Счета!$C$10:$C$21,"Кредитная")&gt;0),1,0)</f>
        <v/>
      </c>
    </row>
    <row r="371" ht="19" customHeight="1">
      <c r="B371" s="53">
        <f>IF(AND($C371="",$F371=""),"",ROW()-9)</f>
        <v/>
      </c>
      <c r="C371" s="213" t="n"/>
      <c r="D371" s="55" t="n"/>
      <c r="E371" s="55" t="n"/>
      <c r="F371" s="56" t="n"/>
      <c r="G371" s="196" t="n"/>
      <c r="H371" s="196" t="n"/>
      <c r="I371" s="55" t="n"/>
      <c r="J371" s="55" t="n"/>
      <c r="K371" s="55" t="n"/>
      <c r="L371" s="100">
        <f>IF(OR($C371="",$I371="Оплачено",$I371="Отменено",$H371&lt;&gt;""),"",$C371-TODAY())</f>
        <v/>
      </c>
      <c r="M371" s="101">
        <f>IF($C371="","",INDEX(Настройки!$V$6:$V$17,MONTH($C371))&amp;" "&amp;YEAR($C371))</f>
        <v/>
      </c>
      <c r="N371" s="57">
        <f>IF($F371="","",IF(COUNTIF(Постоянные!$C$8:$C$37,$F371)&gt;0,"есть в Постоянных",IF(COUNTIF(Покупки!$C$7:$C$18,$F371)&gt;0,"есть в Покупках","")))</f>
        <v/>
      </c>
      <c r="P371">
        <f>IF($H371&lt;&gt;"",$H371,IF($I371="Оплачено",N($G371),0))</f>
        <v/>
      </c>
      <c r="Q371">
        <f>IF($I371="Отменено",0,IF($G371&lt;&gt;"",$G371,N($H371)))</f>
        <v/>
      </c>
      <c r="R371">
        <f>IF($C371="","",IFERROR(DATE(Настройки!$C$8,Настройки!$D$9+MATCH($M371,Настройки!$X$6:$X$17,0)-1,1),DATE(YEAR($C371),MONTH($C371),1)))</f>
        <v/>
      </c>
      <c r="S371">
        <f>IF(OR($I371="Оплачено",$H371&lt;&gt;""),$P371,$Q371)</f>
        <v/>
      </c>
      <c r="T371">
        <f>IF(OR($C371="",$D371="Доход",$I371="Оплачено",$I371="Отменено",$H371&lt;&gt;"",$C371&lt;TODAY()),"",$C371)</f>
        <v/>
      </c>
      <c r="U371">
        <f>IF(AND($D371&lt;&gt;"Доход",COUNTIFS(Счета!$B$10:$B$21,$J371,Счета!$C$10:$C$21,"Кредитная")&gt;0),1,0)</f>
        <v/>
      </c>
    </row>
    <row r="372" ht="19" customHeight="1">
      <c r="B372" s="53">
        <f>IF(AND($C372="",$F372=""),"",ROW()-9)</f>
        <v/>
      </c>
      <c r="C372" s="213" t="n"/>
      <c r="D372" s="55" t="n"/>
      <c r="E372" s="55" t="n"/>
      <c r="F372" s="56" t="n"/>
      <c r="G372" s="196" t="n"/>
      <c r="H372" s="196" t="n"/>
      <c r="I372" s="55" t="n"/>
      <c r="J372" s="55" t="n"/>
      <c r="K372" s="55" t="n"/>
      <c r="L372" s="100">
        <f>IF(OR($C372="",$I372="Оплачено",$I372="Отменено",$H372&lt;&gt;""),"",$C372-TODAY())</f>
        <v/>
      </c>
      <c r="M372" s="101">
        <f>IF($C372="","",INDEX(Настройки!$V$6:$V$17,MONTH($C372))&amp;" "&amp;YEAR($C372))</f>
        <v/>
      </c>
      <c r="N372" s="57">
        <f>IF($F372="","",IF(COUNTIF(Постоянные!$C$8:$C$37,$F372)&gt;0,"есть в Постоянных",IF(COUNTIF(Покупки!$C$7:$C$18,$F372)&gt;0,"есть в Покупках","")))</f>
        <v/>
      </c>
      <c r="P372">
        <f>IF($H372&lt;&gt;"",$H372,IF($I372="Оплачено",N($G372),0))</f>
        <v/>
      </c>
      <c r="Q372">
        <f>IF($I372="Отменено",0,IF($G372&lt;&gt;"",$G372,N($H372)))</f>
        <v/>
      </c>
      <c r="R372">
        <f>IF($C372="","",IFERROR(DATE(Настройки!$C$8,Настройки!$D$9+MATCH($M372,Настройки!$X$6:$X$17,0)-1,1),DATE(YEAR($C372),MONTH($C372),1)))</f>
        <v/>
      </c>
      <c r="S372">
        <f>IF(OR($I372="Оплачено",$H372&lt;&gt;""),$P372,$Q372)</f>
        <v/>
      </c>
      <c r="T372">
        <f>IF(OR($C372="",$D372="Доход",$I372="Оплачено",$I372="Отменено",$H372&lt;&gt;"",$C372&lt;TODAY()),"",$C372)</f>
        <v/>
      </c>
      <c r="U372">
        <f>IF(AND($D372&lt;&gt;"Доход",COUNTIFS(Счета!$B$10:$B$21,$J372,Счета!$C$10:$C$21,"Кредитная")&gt;0),1,0)</f>
        <v/>
      </c>
    </row>
    <row r="373" ht="19" customHeight="1">
      <c r="B373" s="53">
        <f>IF(AND($C373="",$F373=""),"",ROW()-9)</f>
        <v/>
      </c>
      <c r="C373" s="213" t="n"/>
      <c r="D373" s="55" t="n"/>
      <c r="E373" s="55" t="n"/>
      <c r="F373" s="56" t="n"/>
      <c r="G373" s="196" t="n"/>
      <c r="H373" s="196" t="n"/>
      <c r="I373" s="55" t="n"/>
      <c r="J373" s="55" t="n"/>
      <c r="K373" s="55" t="n"/>
      <c r="L373" s="100">
        <f>IF(OR($C373="",$I373="Оплачено",$I373="Отменено",$H373&lt;&gt;""),"",$C373-TODAY())</f>
        <v/>
      </c>
      <c r="M373" s="101">
        <f>IF($C373="","",INDEX(Настройки!$V$6:$V$17,MONTH($C373))&amp;" "&amp;YEAR($C373))</f>
        <v/>
      </c>
      <c r="N373" s="57">
        <f>IF($F373="","",IF(COUNTIF(Постоянные!$C$8:$C$37,$F373)&gt;0,"есть в Постоянных",IF(COUNTIF(Покупки!$C$7:$C$18,$F373)&gt;0,"есть в Покупках","")))</f>
        <v/>
      </c>
      <c r="P373">
        <f>IF($H373&lt;&gt;"",$H373,IF($I373="Оплачено",N($G373),0))</f>
        <v/>
      </c>
      <c r="Q373">
        <f>IF($I373="Отменено",0,IF($G373&lt;&gt;"",$G373,N($H373)))</f>
        <v/>
      </c>
      <c r="R373">
        <f>IF($C373="","",IFERROR(DATE(Настройки!$C$8,Настройки!$D$9+MATCH($M373,Настройки!$X$6:$X$17,0)-1,1),DATE(YEAR($C373),MONTH($C373),1)))</f>
        <v/>
      </c>
      <c r="S373">
        <f>IF(OR($I373="Оплачено",$H373&lt;&gt;""),$P373,$Q373)</f>
        <v/>
      </c>
      <c r="T373">
        <f>IF(OR($C373="",$D373="Доход",$I373="Оплачено",$I373="Отменено",$H373&lt;&gt;"",$C373&lt;TODAY()),"",$C373)</f>
        <v/>
      </c>
      <c r="U373">
        <f>IF(AND($D373&lt;&gt;"Доход",COUNTIFS(Счета!$B$10:$B$21,$J373,Счета!$C$10:$C$21,"Кредитная")&gt;0),1,0)</f>
        <v/>
      </c>
    </row>
    <row r="374" ht="19" customHeight="1">
      <c r="B374" s="53">
        <f>IF(AND($C374="",$F374=""),"",ROW()-9)</f>
        <v/>
      </c>
      <c r="C374" s="213" t="n"/>
      <c r="D374" s="55" t="n"/>
      <c r="E374" s="55" t="n"/>
      <c r="F374" s="56" t="n"/>
      <c r="G374" s="196" t="n"/>
      <c r="H374" s="196" t="n"/>
      <c r="I374" s="55" t="n"/>
      <c r="J374" s="55" t="n"/>
      <c r="K374" s="55" t="n"/>
      <c r="L374" s="100">
        <f>IF(OR($C374="",$I374="Оплачено",$I374="Отменено",$H374&lt;&gt;""),"",$C374-TODAY())</f>
        <v/>
      </c>
      <c r="M374" s="101">
        <f>IF($C374="","",INDEX(Настройки!$V$6:$V$17,MONTH($C374))&amp;" "&amp;YEAR($C374))</f>
        <v/>
      </c>
      <c r="N374" s="57">
        <f>IF($F374="","",IF(COUNTIF(Постоянные!$C$8:$C$37,$F374)&gt;0,"есть в Постоянных",IF(COUNTIF(Покупки!$C$7:$C$18,$F374)&gt;0,"есть в Покупках","")))</f>
        <v/>
      </c>
      <c r="P374">
        <f>IF($H374&lt;&gt;"",$H374,IF($I374="Оплачено",N($G374),0))</f>
        <v/>
      </c>
      <c r="Q374">
        <f>IF($I374="Отменено",0,IF($G374&lt;&gt;"",$G374,N($H374)))</f>
        <v/>
      </c>
      <c r="R374">
        <f>IF($C374="","",IFERROR(DATE(Настройки!$C$8,Настройки!$D$9+MATCH($M374,Настройки!$X$6:$X$17,0)-1,1),DATE(YEAR($C374),MONTH($C374),1)))</f>
        <v/>
      </c>
      <c r="S374">
        <f>IF(OR($I374="Оплачено",$H374&lt;&gt;""),$P374,$Q374)</f>
        <v/>
      </c>
      <c r="T374">
        <f>IF(OR($C374="",$D374="Доход",$I374="Оплачено",$I374="Отменено",$H374&lt;&gt;"",$C374&lt;TODAY()),"",$C374)</f>
        <v/>
      </c>
      <c r="U374">
        <f>IF(AND($D374&lt;&gt;"Доход",COUNTIFS(Счета!$B$10:$B$21,$J374,Счета!$C$10:$C$21,"Кредитная")&gt;0),1,0)</f>
        <v/>
      </c>
    </row>
    <row r="375" ht="19" customHeight="1">
      <c r="B375" s="53">
        <f>IF(AND($C375="",$F375=""),"",ROW()-9)</f>
        <v/>
      </c>
      <c r="C375" s="213" t="n"/>
      <c r="D375" s="55" t="n"/>
      <c r="E375" s="55" t="n"/>
      <c r="F375" s="56" t="n"/>
      <c r="G375" s="196" t="n"/>
      <c r="H375" s="196" t="n"/>
      <c r="I375" s="55" t="n"/>
      <c r="J375" s="55" t="n"/>
      <c r="K375" s="55" t="n"/>
      <c r="L375" s="100">
        <f>IF(OR($C375="",$I375="Оплачено",$I375="Отменено",$H375&lt;&gt;""),"",$C375-TODAY())</f>
        <v/>
      </c>
      <c r="M375" s="101">
        <f>IF($C375="","",INDEX(Настройки!$V$6:$V$17,MONTH($C375))&amp;" "&amp;YEAR($C375))</f>
        <v/>
      </c>
      <c r="N375" s="57">
        <f>IF($F375="","",IF(COUNTIF(Постоянные!$C$8:$C$37,$F375)&gt;0,"есть в Постоянных",IF(COUNTIF(Покупки!$C$7:$C$18,$F375)&gt;0,"есть в Покупках","")))</f>
        <v/>
      </c>
      <c r="P375">
        <f>IF($H375&lt;&gt;"",$H375,IF($I375="Оплачено",N($G375),0))</f>
        <v/>
      </c>
      <c r="Q375">
        <f>IF($I375="Отменено",0,IF($G375&lt;&gt;"",$G375,N($H375)))</f>
        <v/>
      </c>
      <c r="R375">
        <f>IF($C375="","",IFERROR(DATE(Настройки!$C$8,Настройки!$D$9+MATCH($M375,Настройки!$X$6:$X$17,0)-1,1),DATE(YEAR($C375),MONTH($C375),1)))</f>
        <v/>
      </c>
      <c r="S375">
        <f>IF(OR($I375="Оплачено",$H375&lt;&gt;""),$P375,$Q375)</f>
        <v/>
      </c>
      <c r="T375">
        <f>IF(OR($C375="",$D375="Доход",$I375="Оплачено",$I375="Отменено",$H375&lt;&gt;"",$C375&lt;TODAY()),"",$C375)</f>
        <v/>
      </c>
      <c r="U375">
        <f>IF(AND($D375&lt;&gt;"Доход",COUNTIFS(Счета!$B$10:$B$21,$J375,Счета!$C$10:$C$21,"Кредитная")&gt;0),1,0)</f>
        <v/>
      </c>
    </row>
    <row r="376" ht="19" customHeight="1">
      <c r="B376" s="53">
        <f>IF(AND($C376="",$F376=""),"",ROW()-9)</f>
        <v/>
      </c>
      <c r="C376" s="213" t="n"/>
      <c r="D376" s="55" t="n"/>
      <c r="E376" s="55" t="n"/>
      <c r="F376" s="56" t="n"/>
      <c r="G376" s="196" t="n"/>
      <c r="H376" s="196" t="n"/>
      <c r="I376" s="55" t="n"/>
      <c r="J376" s="55" t="n"/>
      <c r="K376" s="55" t="n"/>
      <c r="L376" s="100">
        <f>IF(OR($C376="",$I376="Оплачено",$I376="Отменено",$H376&lt;&gt;""),"",$C376-TODAY())</f>
        <v/>
      </c>
      <c r="M376" s="101">
        <f>IF($C376="","",INDEX(Настройки!$V$6:$V$17,MONTH($C376))&amp;" "&amp;YEAR($C376))</f>
        <v/>
      </c>
      <c r="N376" s="57">
        <f>IF($F376="","",IF(COUNTIF(Постоянные!$C$8:$C$37,$F376)&gt;0,"есть в Постоянных",IF(COUNTIF(Покупки!$C$7:$C$18,$F376)&gt;0,"есть в Покупках","")))</f>
        <v/>
      </c>
      <c r="P376">
        <f>IF($H376&lt;&gt;"",$H376,IF($I376="Оплачено",N($G376),0))</f>
        <v/>
      </c>
      <c r="Q376">
        <f>IF($I376="Отменено",0,IF($G376&lt;&gt;"",$G376,N($H376)))</f>
        <v/>
      </c>
      <c r="R376">
        <f>IF($C376="","",IFERROR(DATE(Настройки!$C$8,Настройки!$D$9+MATCH($M376,Настройки!$X$6:$X$17,0)-1,1),DATE(YEAR($C376),MONTH($C376),1)))</f>
        <v/>
      </c>
      <c r="S376">
        <f>IF(OR($I376="Оплачено",$H376&lt;&gt;""),$P376,$Q376)</f>
        <v/>
      </c>
      <c r="T376">
        <f>IF(OR($C376="",$D376="Доход",$I376="Оплачено",$I376="Отменено",$H376&lt;&gt;"",$C376&lt;TODAY()),"",$C376)</f>
        <v/>
      </c>
      <c r="U376">
        <f>IF(AND($D376&lt;&gt;"Доход",COUNTIFS(Счета!$B$10:$B$21,$J376,Счета!$C$10:$C$21,"Кредитная")&gt;0),1,0)</f>
        <v/>
      </c>
    </row>
    <row r="377" ht="19" customHeight="1">
      <c r="B377" s="53">
        <f>IF(AND($C377="",$F377=""),"",ROW()-9)</f>
        <v/>
      </c>
      <c r="C377" s="213" t="n"/>
      <c r="D377" s="55" t="n"/>
      <c r="E377" s="55" t="n"/>
      <c r="F377" s="56" t="n"/>
      <c r="G377" s="196" t="n"/>
      <c r="H377" s="196" t="n"/>
      <c r="I377" s="55" t="n"/>
      <c r="J377" s="55" t="n"/>
      <c r="K377" s="55" t="n"/>
      <c r="L377" s="100">
        <f>IF(OR($C377="",$I377="Оплачено",$I377="Отменено",$H377&lt;&gt;""),"",$C377-TODAY())</f>
        <v/>
      </c>
      <c r="M377" s="101">
        <f>IF($C377="","",INDEX(Настройки!$V$6:$V$17,MONTH($C377))&amp;" "&amp;YEAR($C377))</f>
        <v/>
      </c>
      <c r="N377" s="57">
        <f>IF($F377="","",IF(COUNTIF(Постоянные!$C$8:$C$37,$F377)&gt;0,"есть в Постоянных",IF(COUNTIF(Покупки!$C$7:$C$18,$F377)&gt;0,"есть в Покупках","")))</f>
        <v/>
      </c>
      <c r="P377">
        <f>IF($H377&lt;&gt;"",$H377,IF($I377="Оплачено",N($G377),0))</f>
        <v/>
      </c>
      <c r="Q377">
        <f>IF($I377="Отменено",0,IF($G377&lt;&gt;"",$G377,N($H377)))</f>
        <v/>
      </c>
      <c r="R377">
        <f>IF($C377="","",IFERROR(DATE(Настройки!$C$8,Настройки!$D$9+MATCH($M377,Настройки!$X$6:$X$17,0)-1,1),DATE(YEAR($C377),MONTH($C377),1)))</f>
        <v/>
      </c>
      <c r="S377">
        <f>IF(OR($I377="Оплачено",$H377&lt;&gt;""),$P377,$Q377)</f>
        <v/>
      </c>
      <c r="T377">
        <f>IF(OR($C377="",$D377="Доход",$I377="Оплачено",$I377="Отменено",$H377&lt;&gt;"",$C377&lt;TODAY()),"",$C377)</f>
        <v/>
      </c>
      <c r="U377">
        <f>IF(AND($D377&lt;&gt;"Доход",COUNTIFS(Счета!$B$10:$B$21,$J377,Счета!$C$10:$C$21,"Кредитная")&gt;0),1,0)</f>
        <v/>
      </c>
    </row>
    <row r="378" ht="19" customHeight="1">
      <c r="B378" s="53">
        <f>IF(AND($C378="",$F378=""),"",ROW()-9)</f>
        <v/>
      </c>
      <c r="C378" s="213" t="n"/>
      <c r="D378" s="55" t="n"/>
      <c r="E378" s="55" t="n"/>
      <c r="F378" s="56" t="n"/>
      <c r="G378" s="196" t="n"/>
      <c r="H378" s="196" t="n"/>
      <c r="I378" s="55" t="n"/>
      <c r="J378" s="55" t="n"/>
      <c r="K378" s="55" t="n"/>
      <c r="L378" s="100">
        <f>IF(OR($C378="",$I378="Оплачено",$I378="Отменено",$H378&lt;&gt;""),"",$C378-TODAY())</f>
        <v/>
      </c>
      <c r="M378" s="101">
        <f>IF($C378="","",INDEX(Настройки!$V$6:$V$17,MONTH($C378))&amp;" "&amp;YEAR($C378))</f>
        <v/>
      </c>
      <c r="N378" s="57">
        <f>IF($F378="","",IF(COUNTIF(Постоянные!$C$8:$C$37,$F378)&gt;0,"есть в Постоянных",IF(COUNTIF(Покупки!$C$7:$C$18,$F378)&gt;0,"есть в Покупках","")))</f>
        <v/>
      </c>
      <c r="P378">
        <f>IF($H378&lt;&gt;"",$H378,IF($I378="Оплачено",N($G378),0))</f>
        <v/>
      </c>
      <c r="Q378">
        <f>IF($I378="Отменено",0,IF($G378&lt;&gt;"",$G378,N($H378)))</f>
        <v/>
      </c>
      <c r="R378">
        <f>IF($C378="","",IFERROR(DATE(Настройки!$C$8,Настройки!$D$9+MATCH($M378,Настройки!$X$6:$X$17,0)-1,1),DATE(YEAR($C378),MONTH($C378),1)))</f>
        <v/>
      </c>
      <c r="S378">
        <f>IF(OR($I378="Оплачено",$H378&lt;&gt;""),$P378,$Q378)</f>
        <v/>
      </c>
      <c r="T378">
        <f>IF(OR($C378="",$D378="Доход",$I378="Оплачено",$I378="Отменено",$H378&lt;&gt;"",$C378&lt;TODAY()),"",$C378)</f>
        <v/>
      </c>
      <c r="U378">
        <f>IF(AND($D378&lt;&gt;"Доход",COUNTIFS(Счета!$B$10:$B$21,$J378,Счета!$C$10:$C$21,"Кредитная")&gt;0),1,0)</f>
        <v/>
      </c>
    </row>
    <row r="379" ht="19" customHeight="1">
      <c r="B379" s="53">
        <f>IF(AND($C379="",$F379=""),"",ROW()-9)</f>
        <v/>
      </c>
      <c r="C379" s="213" t="n"/>
      <c r="D379" s="55" t="n"/>
      <c r="E379" s="55" t="n"/>
      <c r="F379" s="56" t="n"/>
      <c r="G379" s="196" t="n"/>
      <c r="H379" s="196" t="n"/>
      <c r="I379" s="55" t="n"/>
      <c r="J379" s="55" t="n"/>
      <c r="K379" s="55" t="n"/>
      <c r="L379" s="100">
        <f>IF(OR($C379="",$I379="Оплачено",$I379="Отменено",$H379&lt;&gt;""),"",$C379-TODAY())</f>
        <v/>
      </c>
      <c r="M379" s="101">
        <f>IF($C379="","",INDEX(Настройки!$V$6:$V$17,MONTH($C379))&amp;" "&amp;YEAR($C379))</f>
        <v/>
      </c>
      <c r="N379" s="57">
        <f>IF($F379="","",IF(COUNTIF(Постоянные!$C$8:$C$37,$F379)&gt;0,"есть в Постоянных",IF(COUNTIF(Покупки!$C$7:$C$18,$F379)&gt;0,"есть в Покупках","")))</f>
        <v/>
      </c>
      <c r="P379">
        <f>IF($H379&lt;&gt;"",$H379,IF($I379="Оплачено",N($G379),0))</f>
        <v/>
      </c>
      <c r="Q379">
        <f>IF($I379="Отменено",0,IF($G379&lt;&gt;"",$G379,N($H379)))</f>
        <v/>
      </c>
      <c r="R379">
        <f>IF($C379="","",IFERROR(DATE(Настройки!$C$8,Настройки!$D$9+MATCH($M379,Настройки!$X$6:$X$17,0)-1,1),DATE(YEAR($C379),MONTH($C379),1)))</f>
        <v/>
      </c>
      <c r="S379">
        <f>IF(OR($I379="Оплачено",$H379&lt;&gt;""),$P379,$Q379)</f>
        <v/>
      </c>
      <c r="T379">
        <f>IF(OR($C379="",$D379="Доход",$I379="Оплачено",$I379="Отменено",$H379&lt;&gt;"",$C379&lt;TODAY()),"",$C379)</f>
        <v/>
      </c>
      <c r="U379">
        <f>IF(AND($D379&lt;&gt;"Доход",COUNTIFS(Счета!$B$10:$B$21,$J379,Счета!$C$10:$C$21,"Кредитная")&gt;0),1,0)</f>
        <v/>
      </c>
    </row>
    <row r="380" ht="19" customHeight="1">
      <c r="B380" s="53">
        <f>IF(AND($C380="",$F380=""),"",ROW()-9)</f>
        <v/>
      </c>
      <c r="C380" s="213" t="n"/>
      <c r="D380" s="55" t="n"/>
      <c r="E380" s="55" t="n"/>
      <c r="F380" s="56" t="n"/>
      <c r="G380" s="196" t="n"/>
      <c r="H380" s="196" t="n"/>
      <c r="I380" s="55" t="n"/>
      <c r="J380" s="55" t="n"/>
      <c r="K380" s="55" t="n"/>
      <c r="L380" s="100">
        <f>IF(OR($C380="",$I380="Оплачено",$I380="Отменено",$H380&lt;&gt;""),"",$C380-TODAY())</f>
        <v/>
      </c>
      <c r="M380" s="101">
        <f>IF($C380="","",INDEX(Настройки!$V$6:$V$17,MONTH($C380))&amp;" "&amp;YEAR($C380))</f>
        <v/>
      </c>
      <c r="N380" s="57">
        <f>IF($F380="","",IF(COUNTIF(Постоянные!$C$8:$C$37,$F380)&gt;0,"есть в Постоянных",IF(COUNTIF(Покупки!$C$7:$C$18,$F380)&gt;0,"есть в Покупках","")))</f>
        <v/>
      </c>
      <c r="P380">
        <f>IF($H380&lt;&gt;"",$H380,IF($I380="Оплачено",N($G380),0))</f>
        <v/>
      </c>
      <c r="Q380">
        <f>IF($I380="Отменено",0,IF($G380&lt;&gt;"",$G380,N($H380)))</f>
        <v/>
      </c>
      <c r="R380">
        <f>IF($C380="","",IFERROR(DATE(Настройки!$C$8,Настройки!$D$9+MATCH($M380,Настройки!$X$6:$X$17,0)-1,1),DATE(YEAR($C380),MONTH($C380),1)))</f>
        <v/>
      </c>
      <c r="S380">
        <f>IF(OR($I380="Оплачено",$H380&lt;&gt;""),$P380,$Q380)</f>
        <v/>
      </c>
      <c r="T380">
        <f>IF(OR($C380="",$D380="Доход",$I380="Оплачено",$I380="Отменено",$H380&lt;&gt;"",$C380&lt;TODAY()),"",$C380)</f>
        <v/>
      </c>
      <c r="U380">
        <f>IF(AND($D380&lt;&gt;"Доход",COUNTIFS(Счета!$B$10:$B$21,$J380,Счета!$C$10:$C$21,"Кредитная")&gt;0),1,0)</f>
        <v/>
      </c>
    </row>
    <row r="381" ht="19" customHeight="1">
      <c r="B381" s="53">
        <f>IF(AND($C381="",$F381=""),"",ROW()-9)</f>
        <v/>
      </c>
      <c r="C381" s="213" t="n"/>
      <c r="D381" s="55" t="n"/>
      <c r="E381" s="55" t="n"/>
      <c r="F381" s="56" t="n"/>
      <c r="G381" s="196" t="n"/>
      <c r="H381" s="196" t="n"/>
      <c r="I381" s="55" t="n"/>
      <c r="J381" s="55" t="n"/>
      <c r="K381" s="55" t="n"/>
      <c r="L381" s="100">
        <f>IF(OR($C381="",$I381="Оплачено",$I381="Отменено",$H381&lt;&gt;""),"",$C381-TODAY())</f>
        <v/>
      </c>
      <c r="M381" s="101">
        <f>IF($C381="","",INDEX(Настройки!$V$6:$V$17,MONTH($C381))&amp;" "&amp;YEAR($C381))</f>
        <v/>
      </c>
      <c r="N381" s="57">
        <f>IF($F381="","",IF(COUNTIF(Постоянные!$C$8:$C$37,$F381)&gt;0,"есть в Постоянных",IF(COUNTIF(Покупки!$C$7:$C$18,$F381)&gt;0,"есть в Покупках","")))</f>
        <v/>
      </c>
      <c r="P381">
        <f>IF($H381&lt;&gt;"",$H381,IF($I381="Оплачено",N($G381),0))</f>
        <v/>
      </c>
      <c r="Q381">
        <f>IF($I381="Отменено",0,IF($G381&lt;&gt;"",$G381,N($H381)))</f>
        <v/>
      </c>
      <c r="R381">
        <f>IF($C381="","",IFERROR(DATE(Настройки!$C$8,Настройки!$D$9+MATCH($M381,Настройки!$X$6:$X$17,0)-1,1),DATE(YEAR($C381),MONTH($C381),1)))</f>
        <v/>
      </c>
      <c r="S381">
        <f>IF(OR($I381="Оплачено",$H381&lt;&gt;""),$P381,$Q381)</f>
        <v/>
      </c>
      <c r="T381">
        <f>IF(OR($C381="",$D381="Доход",$I381="Оплачено",$I381="Отменено",$H381&lt;&gt;"",$C381&lt;TODAY()),"",$C381)</f>
        <v/>
      </c>
      <c r="U381">
        <f>IF(AND($D381&lt;&gt;"Доход",COUNTIFS(Счета!$B$10:$B$21,$J381,Счета!$C$10:$C$21,"Кредитная")&gt;0),1,0)</f>
        <v/>
      </c>
    </row>
    <row r="382" ht="19" customHeight="1">
      <c r="B382" s="53">
        <f>IF(AND($C382="",$F382=""),"",ROW()-9)</f>
        <v/>
      </c>
      <c r="C382" s="213" t="n"/>
      <c r="D382" s="55" t="n"/>
      <c r="E382" s="55" t="n"/>
      <c r="F382" s="56" t="n"/>
      <c r="G382" s="196" t="n"/>
      <c r="H382" s="196" t="n"/>
      <c r="I382" s="55" t="n"/>
      <c r="J382" s="55" t="n"/>
      <c r="K382" s="55" t="n"/>
      <c r="L382" s="100">
        <f>IF(OR($C382="",$I382="Оплачено",$I382="Отменено",$H382&lt;&gt;""),"",$C382-TODAY())</f>
        <v/>
      </c>
      <c r="M382" s="101">
        <f>IF($C382="","",INDEX(Настройки!$V$6:$V$17,MONTH($C382))&amp;" "&amp;YEAR($C382))</f>
        <v/>
      </c>
      <c r="N382" s="57">
        <f>IF($F382="","",IF(COUNTIF(Постоянные!$C$8:$C$37,$F382)&gt;0,"есть в Постоянных",IF(COUNTIF(Покупки!$C$7:$C$18,$F382)&gt;0,"есть в Покупках","")))</f>
        <v/>
      </c>
      <c r="P382">
        <f>IF($H382&lt;&gt;"",$H382,IF($I382="Оплачено",N($G382),0))</f>
        <v/>
      </c>
      <c r="Q382">
        <f>IF($I382="Отменено",0,IF($G382&lt;&gt;"",$G382,N($H382)))</f>
        <v/>
      </c>
      <c r="R382">
        <f>IF($C382="","",IFERROR(DATE(Настройки!$C$8,Настройки!$D$9+MATCH($M382,Настройки!$X$6:$X$17,0)-1,1),DATE(YEAR($C382),MONTH($C382),1)))</f>
        <v/>
      </c>
      <c r="S382">
        <f>IF(OR($I382="Оплачено",$H382&lt;&gt;""),$P382,$Q382)</f>
        <v/>
      </c>
      <c r="T382">
        <f>IF(OR($C382="",$D382="Доход",$I382="Оплачено",$I382="Отменено",$H382&lt;&gt;"",$C382&lt;TODAY()),"",$C382)</f>
        <v/>
      </c>
      <c r="U382">
        <f>IF(AND($D382&lt;&gt;"Доход",COUNTIFS(Счета!$B$10:$B$21,$J382,Счета!$C$10:$C$21,"Кредитная")&gt;0),1,0)</f>
        <v/>
      </c>
    </row>
    <row r="383" ht="19" customHeight="1">
      <c r="B383" s="53">
        <f>IF(AND($C383="",$F383=""),"",ROW()-9)</f>
        <v/>
      </c>
      <c r="C383" s="213" t="n"/>
      <c r="D383" s="55" t="n"/>
      <c r="E383" s="55" t="n"/>
      <c r="F383" s="56" t="n"/>
      <c r="G383" s="196" t="n"/>
      <c r="H383" s="196" t="n"/>
      <c r="I383" s="55" t="n"/>
      <c r="J383" s="55" t="n"/>
      <c r="K383" s="55" t="n"/>
      <c r="L383" s="100">
        <f>IF(OR($C383="",$I383="Оплачено",$I383="Отменено",$H383&lt;&gt;""),"",$C383-TODAY())</f>
        <v/>
      </c>
      <c r="M383" s="101">
        <f>IF($C383="","",INDEX(Настройки!$V$6:$V$17,MONTH($C383))&amp;" "&amp;YEAR($C383))</f>
        <v/>
      </c>
      <c r="N383" s="57">
        <f>IF($F383="","",IF(COUNTIF(Постоянные!$C$8:$C$37,$F383)&gt;0,"есть в Постоянных",IF(COUNTIF(Покупки!$C$7:$C$18,$F383)&gt;0,"есть в Покупках","")))</f>
        <v/>
      </c>
      <c r="P383">
        <f>IF($H383&lt;&gt;"",$H383,IF($I383="Оплачено",N($G383),0))</f>
        <v/>
      </c>
      <c r="Q383">
        <f>IF($I383="Отменено",0,IF($G383&lt;&gt;"",$G383,N($H383)))</f>
        <v/>
      </c>
      <c r="R383">
        <f>IF($C383="","",IFERROR(DATE(Настройки!$C$8,Настройки!$D$9+MATCH($M383,Настройки!$X$6:$X$17,0)-1,1),DATE(YEAR($C383),MONTH($C383),1)))</f>
        <v/>
      </c>
      <c r="S383">
        <f>IF(OR($I383="Оплачено",$H383&lt;&gt;""),$P383,$Q383)</f>
        <v/>
      </c>
      <c r="T383">
        <f>IF(OR($C383="",$D383="Доход",$I383="Оплачено",$I383="Отменено",$H383&lt;&gt;"",$C383&lt;TODAY()),"",$C383)</f>
        <v/>
      </c>
      <c r="U383">
        <f>IF(AND($D383&lt;&gt;"Доход",COUNTIFS(Счета!$B$10:$B$21,$J383,Счета!$C$10:$C$21,"Кредитная")&gt;0),1,0)</f>
        <v/>
      </c>
    </row>
    <row r="384" ht="19" customHeight="1">
      <c r="B384" s="53">
        <f>IF(AND($C384="",$F384=""),"",ROW()-9)</f>
        <v/>
      </c>
      <c r="C384" s="213" t="n"/>
      <c r="D384" s="55" t="n"/>
      <c r="E384" s="55" t="n"/>
      <c r="F384" s="56" t="n"/>
      <c r="G384" s="196" t="n"/>
      <c r="H384" s="196" t="n"/>
      <c r="I384" s="55" t="n"/>
      <c r="J384" s="55" t="n"/>
      <c r="K384" s="55" t="n"/>
      <c r="L384" s="100">
        <f>IF(OR($C384="",$I384="Оплачено",$I384="Отменено",$H384&lt;&gt;""),"",$C384-TODAY())</f>
        <v/>
      </c>
      <c r="M384" s="101">
        <f>IF($C384="","",INDEX(Настройки!$V$6:$V$17,MONTH($C384))&amp;" "&amp;YEAR($C384))</f>
        <v/>
      </c>
      <c r="N384" s="57">
        <f>IF($F384="","",IF(COUNTIF(Постоянные!$C$8:$C$37,$F384)&gt;0,"есть в Постоянных",IF(COUNTIF(Покупки!$C$7:$C$18,$F384)&gt;0,"есть в Покупках","")))</f>
        <v/>
      </c>
      <c r="P384">
        <f>IF($H384&lt;&gt;"",$H384,IF($I384="Оплачено",N($G384),0))</f>
        <v/>
      </c>
      <c r="Q384">
        <f>IF($I384="Отменено",0,IF($G384&lt;&gt;"",$G384,N($H384)))</f>
        <v/>
      </c>
      <c r="R384">
        <f>IF($C384="","",IFERROR(DATE(Настройки!$C$8,Настройки!$D$9+MATCH($M384,Настройки!$X$6:$X$17,0)-1,1),DATE(YEAR($C384),MONTH($C384),1)))</f>
        <v/>
      </c>
      <c r="S384">
        <f>IF(OR($I384="Оплачено",$H384&lt;&gt;""),$P384,$Q384)</f>
        <v/>
      </c>
      <c r="T384">
        <f>IF(OR($C384="",$D384="Доход",$I384="Оплачено",$I384="Отменено",$H384&lt;&gt;"",$C384&lt;TODAY()),"",$C384)</f>
        <v/>
      </c>
      <c r="U384">
        <f>IF(AND($D384&lt;&gt;"Доход",COUNTIFS(Счета!$B$10:$B$21,$J384,Счета!$C$10:$C$21,"Кредитная")&gt;0),1,0)</f>
        <v/>
      </c>
    </row>
    <row r="385" ht="19" customHeight="1">
      <c r="B385" s="53">
        <f>IF(AND($C385="",$F385=""),"",ROW()-9)</f>
        <v/>
      </c>
      <c r="C385" s="213" t="n"/>
      <c r="D385" s="55" t="n"/>
      <c r="E385" s="55" t="n"/>
      <c r="F385" s="56" t="n"/>
      <c r="G385" s="196" t="n"/>
      <c r="H385" s="196" t="n"/>
      <c r="I385" s="55" t="n"/>
      <c r="J385" s="55" t="n"/>
      <c r="K385" s="55" t="n"/>
      <c r="L385" s="100">
        <f>IF(OR($C385="",$I385="Оплачено",$I385="Отменено",$H385&lt;&gt;""),"",$C385-TODAY())</f>
        <v/>
      </c>
      <c r="M385" s="101">
        <f>IF($C385="","",INDEX(Настройки!$V$6:$V$17,MONTH($C385))&amp;" "&amp;YEAR($C385))</f>
        <v/>
      </c>
      <c r="N385" s="57">
        <f>IF($F385="","",IF(COUNTIF(Постоянные!$C$8:$C$37,$F385)&gt;0,"есть в Постоянных",IF(COUNTIF(Покупки!$C$7:$C$18,$F385)&gt;0,"есть в Покупках","")))</f>
        <v/>
      </c>
      <c r="P385">
        <f>IF($H385&lt;&gt;"",$H385,IF($I385="Оплачено",N($G385),0))</f>
        <v/>
      </c>
      <c r="Q385">
        <f>IF($I385="Отменено",0,IF($G385&lt;&gt;"",$G385,N($H385)))</f>
        <v/>
      </c>
      <c r="R385">
        <f>IF($C385="","",IFERROR(DATE(Настройки!$C$8,Настройки!$D$9+MATCH($M385,Настройки!$X$6:$X$17,0)-1,1),DATE(YEAR($C385),MONTH($C385),1)))</f>
        <v/>
      </c>
      <c r="S385">
        <f>IF(OR($I385="Оплачено",$H385&lt;&gt;""),$P385,$Q385)</f>
        <v/>
      </c>
      <c r="T385">
        <f>IF(OR($C385="",$D385="Доход",$I385="Оплачено",$I385="Отменено",$H385&lt;&gt;"",$C385&lt;TODAY()),"",$C385)</f>
        <v/>
      </c>
      <c r="U385">
        <f>IF(AND($D385&lt;&gt;"Доход",COUNTIFS(Счета!$B$10:$B$21,$J385,Счета!$C$10:$C$21,"Кредитная")&gt;0),1,0)</f>
        <v/>
      </c>
    </row>
    <row r="386" ht="19" customHeight="1">
      <c r="B386" s="53">
        <f>IF(AND($C386="",$F386=""),"",ROW()-9)</f>
        <v/>
      </c>
      <c r="C386" s="213" t="n"/>
      <c r="D386" s="55" t="n"/>
      <c r="E386" s="55" t="n"/>
      <c r="F386" s="56" t="n"/>
      <c r="G386" s="196" t="n"/>
      <c r="H386" s="196" t="n"/>
      <c r="I386" s="55" t="n"/>
      <c r="J386" s="55" t="n"/>
      <c r="K386" s="55" t="n"/>
      <c r="L386" s="100">
        <f>IF(OR($C386="",$I386="Оплачено",$I386="Отменено",$H386&lt;&gt;""),"",$C386-TODAY())</f>
        <v/>
      </c>
      <c r="M386" s="101">
        <f>IF($C386="","",INDEX(Настройки!$V$6:$V$17,MONTH($C386))&amp;" "&amp;YEAR($C386))</f>
        <v/>
      </c>
      <c r="N386" s="57">
        <f>IF($F386="","",IF(COUNTIF(Постоянные!$C$8:$C$37,$F386)&gt;0,"есть в Постоянных",IF(COUNTIF(Покупки!$C$7:$C$18,$F386)&gt;0,"есть в Покупках","")))</f>
        <v/>
      </c>
      <c r="P386">
        <f>IF($H386&lt;&gt;"",$H386,IF($I386="Оплачено",N($G386),0))</f>
        <v/>
      </c>
      <c r="Q386">
        <f>IF($I386="Отменено",0,IF($G386&lt;&gt;"",$G386,N($H386)))</f>
        <v/>
      </c>
      <c r="R386">
        <f>IF($C386="","",IFERROR(DATE(Настройки!$C$8,Настройки!$D$9+MATCH($M386,Настройки!$X$6:$X$17,0)-1,1),DATE(YEAR($C386),MONTH($C386),1)))</f>
        <v/>
      </c>
      <c r="S386">
        <f>IF(OR($I386="Оплачено",$H386&lt;&gt;""),$P386,$Q386)</f>
        <v/>
      </c>
      <c r="T386">
        <f>IF(OR($C386="",$D386="Доход",$I386="Оплачено",$I386="Отменено",$H386&lt;&gt;"",$C386&lt;TODAY()),"",$C386)</f>
        <v/>
      </c>
      <c r="U386">
        <f>IF(AND($D386&lt;&gt;"Доход",COUNTIFS(Счета!$B$10:$B$21,$J386,Счета!$C$10:$C$21,"Кредитная")&gt;0),1,0)</f>
        <v/>
      </c>
    </row>
    <row r="387" ht="19" customHeight="1">
      <c r="B387" s="53">
        <f>IF(AND($C387="",$F387=""),"",ROW()-9)</f>
        <v/>
      </c>
      <c r="C387" s="213" t="n"/>
      <c r="D387" s="55" t="n"/>
      <c r="E387" s="55" t="n"/>
      <c r="F387" s="56" t="n"/>
      <c r="G387" s="196" t="n"/>
      <c r="H387" s="196" t="n"/>
      <c r="I387" s="55" t="n"/>
      <c r="J387" s="55" t="n"/>
      <c r="K387" s="55" t="n"/>
      <c r="L387" s="100">
        <f>IF(OR($C387="",$I387="Оплачено",$I387="Отменено",$H387&lt;&gt;""),"",$C387-TODAY())</f>
        <v/>
      </c>
      <c r="M387" s="101">
        <f>IF($C387="","",INDEX(Настройки!$V$6:$V$17,MONTH($C387))&amp;" "&amp;YEAR($C387))</f>
        <v/>
      </c>
      <c r="N387" s="57">
        <f>IF($F387="","",IF(COUNTIF(Постоянные!$C$8:$C$37,$F387)&gt;0,"есть в Постоянных",IF(COUNTIF(Покупки!$C$7:$C$18,$F387)&gt;0,"есть в Покупках","")))</f>
        <v/>
      </c>
      <c r="P387">
        <f>IF($H387&lt;&gt;"",$H387,IF($I387="Оплачено",N($G387),0))</f>
        <v/>
      </c>
      <c r="Q387">
        <f>IF($I387="Отменено",0,IF($G387&lt;&gt;"",$G387,N($H387)))</f>
        <v/>
      </c>
      <c r="R387">
        <f>IF($C387="","",IFERROR(DATE(Настройки!$C$8,Настройки!$D$9+MATCH($M387,Настройки!$X$6:$X$17,0)-1,1),DATE(YEAR($C387),MONTH($C387),1)))</f>
        <v/>
      </c>
      <c r="S387">
        <f>IF(OR($I387="Оплачено",$H387&lt;&gt;""),$P387,$Q387)</f>
        <v/>
      </c>
      <c r="T387">
        <f>IF(OR($C387="",$D387="Доход",$I387="Оплачено",$I387="Отменено",$H387&lt;&gt;"",$C387&lt;TODAY()),"",$C387)</f>
        <v/>
      </c>
      <c r="U387">
        <f>IF(AND($D387&lt;&gt;"Доход",COUNTIFS(Счета!$B$10:$B$21,$J387,Счета!$C$10:$C$21,"Кредитная")&gt;0),1,0)</f>
        <v/>
      </c>
    </row>
    <row r="388" ht="19" customHeight="1">
      <c r="B388" s="53">
        <f>IF(AND($C388="",$F388=""),"",ROW()-9)</f>
        <v/>
      </c>
      <c r="C388" s="213" t="n"/>
      <c r="D388" s="55" t="n"/>
      <c r="E388" s="55" t="n"/>
      <c r="F388" s="56" t="n"/>
      <c r="G388" s="196" t="n"/>
      <c r="H388" s="196" t="n"/>
      <c r="I388" s="55" t="n"/>
      <c r="J388" s="55" t="n"/>
      <c r="K388" s="55" t="n"/>
      <c r="L388" s="100">
        <f>IF(OR($C388="",$I388="Оплачено",$I388="Отменено",$H388&lt;&gt;""),"",$C388-TODAY())</f>
        <v/>
      </c>
      <c r="M388" s="101">
        <f>IF($C388="","",INDEX(Настройки!$V$6:$V$17,MONTH($C388))&amp;" "&amp;YEAR($C388))</f>
        <v/>
      </c>
      <c r="N388" s="57">
        <f>IF($F388="","",IF(COUNTIF(Постоянные!$C$8:$C$37,$F388)&gt;0,"есть в Постоянных",IF(COUNTIF(Покупки!$C$7:$C$18,$F388)&gt;0,"есть в Покупках","")))</f>
        <v/>
      </c>
      <c r="P388">
        <f>IF($H388&lt;&gt;"",$H388,IF($I388="Оплачено",N($G388),0))</f>
        <v/>
      </c>
      <c r="Q388">
        <f>IF($I388="Отменено",0,IF($G388&lt;&gt;"",$G388,N($H388)))</f>
        <v/>
      </c>
      <c r="R388">
        <f>IF($C388="","",IFERROR(DATE(Настройки!$C$8,Настройки!$D$9+MATCH($M388,Настройки!$X$6:$X$17,0)-1,1),DATE(YEAR($C388),MONTH($C388),1)))</f>
        <v/>
      </c>
      <c r="S388">
        <f>IF(OR($I388="Оплачено",$H388&lt;&gt;""),$P388,$Q388)</f>
        <v/>
      </c>
      <c r="T388">
        <f>IF(OR($C388="",$D388="Доход",$I388="Оплачено",$I388="Отменено",$H388&lt;&gt;"",$C388&lt;TODAY()),"",$C388)</f>
        <v/>
      </c>
      <c r="U388">
        <f>IF(AND($D388&lt;&gt;"Доход",COUNTIFS(Счета!$B$10:$B$21,$J388,Счета!$C$10:$C$21,"Кредитная")&gt;0),1,0)</f>
        <v/>
      </c>
    </row>
    <row r="389" ht="19" customHeight="1">
      <c r="B389" s="53">
        <f>IF(AND($C389="",$F389=""),"",ROW()-9)</f>
        <v/>
      </c>
      <c r="C389" s="213" t="n"/>
      <c r="D389" s="55" t="n"/>
      <c r="E389" s="55" t="n"/>
      <c r="F389" s="56" t="n"/>
      <c r="G389" s="196" t="n"/>
      <c r="H389" s="196" t="n"/>
      <c r="I389" s="55" t="n"/>
      <c r="J389" s="55" t="n"/>
      <c r="K389" s="55" t="n"/>
      <c r="L389" s="100">
        <f>IF(OR($C389="",$I389="Оплачено",$I389="Отменено",$H389&lt;&gt;""),"",$C389-TODAY())</f>
        <v/>
      </c>
      <c r="M389" s="101">
        <f>IF($C389="","",INDEX(Настройки!$V$6:$V$17,MONTH($C389))&amp;" "&amp;YEAR($C389))</f>
        <v/>
      </c>
      <c r="N389" s="57">
        <f>IF($F389="","",IF(COUNTIF(Постоянные!$C$8:$C$37,$F389)&gt;0,"есть в Постоянных",IF(COUNTIF(Покупки!$C$7:$C$18,$F389)&gt;0,"есть в Покупках","")))</f>
        <v/>
      </c>
      <c r="P389">
        <f>IF($H389&lt;&gt;"",$H389,IF($I389="Оплачено",N($G389),0))</f>
        <v/>
      </c>
      <c r="Q389">
        <f>IF($I389="Отменено",0,IF($G389&lt;&gt;"",$G389,N($H389)))</f>
        <v/>
      </c>
      <c r="R389">
        <f>IF($C389="","",IFERROR(DATE(Настройки!$C$8,Настройки!$D$9+MATCH($M389,Настройки!$X$6:$X$17,0)-1,1),DATE(YEAR($C389),MONTH($C389),1)))</f>
        <v/>
      </c>
      <c r="S389">
        <f>IF(OR($I389="Оплачено",$H389&lt;&gt;""),$P389,$Q389)</f>
        <v/>
      </c>
      <c r="T389">
        <f>IF(OR($C389="",$D389="Доход",$I389="Оплачено",$I389="Отменено",$H389&lt;&gt;"",$C389&lt;TODAY()),"",$C389)</f>
        <v/>
      </c>
      <c r="U389">
        <f>IF(AND($D389&lt;&gt;"Доход",COUNTIFS(Счета!$B$10:$B$21,$J389,Счета!$C$10:$C$21,"Кредитная")&gt;0),1,0)</f>
        <v/>
      </c>
    </row>
    <row r="390" ht="19" customHeight="1">
      <c r="B390" s="53">
        <f>IF(AND($C390="",$F390=""),"",ROW()-9)</f>
        <v/>
      </c>
      <c r="C390" s="213" t="n"/>
      <c r="D390" s="55" t="n"/>
      <c r="E390" s="55" t="n"/>
      <c r="F390" s="56" t="n"/>
      <c r="G390" s="196" t="n"/>
      <c r="H390" s="196" t="n"/>
      <c r="I390" s="55" t="n"/>
      <c r="J390" s="55" t="n"/>
      <c r="K390" s="55" t="n"/>
      <c r="L390" s="100">
        <f>IF(OR($C390="",$I390="Оплачено",$I390="Отменено",$H390&lt;&gt;""),"",$C390-TODAY())</f>
        <v/>
      </c>
      <c r="M390" s="101">
        <f>IF($C390="","",INDEX(Настройки!$V$6:$V$17,MONTH($C390))&amp;" "&amp;YEAR($C390))</f>
        <v/>
      </c>
      <c r="N390" s="57">
        <f>IF($F390="","",IF(COUNTIF(Постоянные!$C$8:$C$37,$F390)&gt;0,"есть в Постоянных",IF(COUNTIF(Покупки!$C$7:$C$18,$F390)&gt;0,"есть в Покупках","")))</f>
        <v/>
      </c>
      <c r="P390">
        <f>IF($H390&lt;&gt;"",$H390,IF($I390="Оплачено",N($G390),0))</f>
        <v/>
      </c>
      <c r="Q390">
        <f>IF($I390="Отменено",0,IF($G390&lt;&gt;"",$G390,N($H390)))</f>
        <v/>
      </c>
      <c r="R390">
        <f>IF($C390="","",IFERROR(DATE(Настройки!$C$8,Настройки!$D$9+MATCH($M390,Настройки!$X$6:$X$17,0)-1,1),DATE(YEAR($C390),MONTH($C390),1)))</f>
        <v/>
      </c>
      <c r="S390">
        <f>IF(OR($I390="Оплачено",$H390&lt;&gt;""),$P390,$Q390)</f>
        <v/>
      </c>
      <c r="T390">
        <f>IF(OR($C390="",$D390="Доход",$I390="Оплачено",$I390="Отменено",$H390&lt;&gt;"",$C390&lt;TODAY()),"",$C390)</f>
        <v/>
      </c>
      <c r="U390">
        <f>IF(AND($D390&lt;&gt;"Доход",COUNTIFS(Счета!$B$10:$B$21,$J390,Счета!$C$10:$C$21,"Кредитная")&gt;0),1,0)</f>
        <v/>
      </c>
    </row>
    <row r="391" ht="19" customHeight="1">
      <c r="B391" s="53">
        <f>IF(AND($C391="",$F391=""),"",ROW()-9)</f>
        <v/>
      </c>
      <c r="C391" s="213" t="n"/>
      <c r="D391" s="55" t="n"/>
      <c r="E391" s="55" t="n"/>
      <c r="F391" s="56" t="n"/>
      <c r="G391" s="196" t="n"/>
      <c r="H391" s="196" t="n"/>
      <c r="I391" s="55" t="n"/>
      <c r="J391" s="55" t="n"/>
      <c r="K391" s="55" t="n"/>
      <c r="L391" s="100">
        <f>IF(OR($C391="",$I391="Оплачено",$I391="Отменено",$H391&lt;&gt;""),"",$C391-TODAY())</f>
        <v/>
      </c>
      <c r="M391" s="101">
        <f>IF($C391="","",INDEX(Настройки!$V$6:$V$17,MONTH($C391))&amp;" "&amp;YEAR($C391))</f>
        <v/>
      </c>
      <c r="N391" s="57">
        <f>IF($F391="","",IF(COUNTIF(Постоянные!$C$8:$C$37,$F391)&gt;0,"есть в Постоянных",IF(COUNTIF(Покупки!$C$7:$C$18,$F391)&gt;0,"есть в Покупках","")))</f>
        <v/>
      </c>
      <c r="P391">
        <f>IF($H391&lt;&gt;"",$H391,IF($I391="Оплачено",N($G391),0))</f>
        <v/>
      </c>
      <c r="Q391">
        <f>IF($I391="Отменено",0,IF($G391&lt;&gt;"",$G391,N($H391)))</f>
        <v/>
      </c>
      <c r="R391">
        <f>IF($C391="","",IFERROR(DATE(Настройки!$C$8,Настройки!$D$9+MATCH($M391,Настройки!$X$6:$X$17,0)-1,1),DATE(YEAR($C391),MONTH($C391),1)))</f>
        <v/>
      </c>
      <c r="S391">
        <f>IF(OR($I391="Оплачено",$H391&lt;&gt;""),$P391,$Q391)</f>
        <v/>
      </c>
      <c r="T391">
        <f>IF(OR($C391="",$D391="Доход",$I391="Оплачено",$I391="Отменено",$H391&lt;&gt;"",$C391&lt;TODAY()),"",$C391)</f>
        <v/>
      </c>
      <c r="U391">
        <f>IF(AND($D391&lt;&gt;"Доход",COUNTIFS(Счета!$B$10:$B$21,$J391,Счета!$C$10:$C$21,"Кредитная")&gt;0),1,0)</f>
        <v/>
      </c>
    </row>
    <row r="392" ht="19" customHeight="1">
      <c r="B392" s="53">
        <f>IF(AND($C392="",$F392=""),"",ROW()-9)</f>
        <v/>
      </c>
      <c r="C392" s="213" t="n"/>
      <c r="D392" s="55" t="n"/>
      <c r="E392" s="55" t="n"/>
      <c r="F392" s="56" t="n"/>
      <c r="G392" s="196" t="n"/>
      <c r="H392" s="196" t="n"/>
      <c r="I392" s="55" t="n"/>
      <c r="J392" s="55" t="n"/>
      <c r="K392" s="55" t="n"/>
      <c r="L392" s="100">
        <f>IF(OR($C392="",$I392="Оплачено",$I392="Отменено",$H392&lt;&gt;""),"",$C392-TODAY())</f>
        <v/>
      </c>
      <c r="M392" s="101">
        <f>IF($C392="","",INDEX(Настройки!$V$6:$V$17,MONTH($C392))&amp;" "&amp;YEAR($C392))</f>
        <v/>
      </c>
      <c r="N392" s="57">
        <f>IF($F392="","",IF(COUNTIF(Постоянные!$C$8:$C$37,$F392)&gt;0,"есть в Постоянных",IF(COUNTIF(Покупки!$C$7:$C$18,$F392)&gt;0,"есть в Покупках","")))</f>
        <v/>
      </c>
      <c r="P392">
        <f>IF($H392&lt;&gt;"",$H392,IF($I392="Оплачено",N($G392),0))</f>
        <v/>
      </c>
      <c r="Q392">
        <f>IF($I392="Отменено",0,IF($G392&lt;&gt;"",$G392,N($H392)))</f>
        <v/>
      </c>
      <c r="R392">
        <f>IF($C392="","",IFERROR(DATE(Настройки!$C$8,Настройки!$D$9+MATCH($M392,Настройки!$X$6:$X$17,0)-1,1),DATE(YEAR($C392),MONTH($C392),1)))</f>
        <v/>
      </c>
      <c r="S392">
        <f>IF(OR($I392="Оплачено",$H392&lt;&gt;""),$P392,$Q392)</f>
        <v/>
      </c>
      <c r="T392">
        <f>IF(OR($C392="",$D392="Доход",$I392="Оплачено",$I392="Отменено",$H392&lt;&gt;"",$C392&lt;TODAY()),"",$C392)</f>
        <v/>
      </c>
      <c r="U392">
        <f>IF(AND($D392&lt;&gt;"Доход",COUNTIFS(Счета!$B$10:$B$21,$J392,Счета!$C$10:$C$21,"Кредитная")&gt;0),1,0)</f>
        <v/>
      </c>
    </row>
    <row r="393" ht="19" customHeight="1">
      <c r="B393" s="53">
        <f>IF(AND($C393="",$F393=""),"",ROW()-9)</f>
        <v/>
      </c>
      <c r="C393" s="213" t="n"/>
      <c r="D393" s="55" t="n"/>
      <c r="E393" s="55" t="n"/>
      <c r="F393" s="56" t="n"/>
      <c r="G393" s="196" t="n"/>
      <c r="H393" s="196" t="n"/>
      <c r="I393" s="55" t="n"/>
      <c r="J393" s="55" t="n"/>
      <c r="K393" s="55" t="n"/>
      <c r="L393" s="100">
        <f>IF(OR($C393="",$I393="Оплачено",$I393="Отменено",$H393&lt;&gt;""),"",$C393-TODAY())</f>
        <v/>
      </c>
      <c r="M393" s="101">
        <f>IF($C393="","",INDEX(Настройки!$V$6:$V$17,MONTH($C393))&amp;" "&amp;YEAR($C393))</f>
        <v/>
      </c>
      <c r="N393" s="57">
        <f>IF($F393="","",IF(COUNTIF(Постоянные!$C$8:$C$37,$F393)&gt;0,"есть в Постоянных",IF(COUNTIF(Покупки!$C$7:$C$18,$F393)&gt;0,"есть в Покупках","")))</f>
        <v/>
      </c>
      <c r="P393">
        <f>IF($H393&lt;&gt;"",$H393,IF($I393="Оплачено",N($G393),0))</f>
        <v/>
      </c>
      <c r="Q393">
        <f>IF($I393="Отменено",0,IF($G393&lt;&gt;"",$G393,N($H393)))</f>
        <v/>
      </c>
      <c r="R393">
        <f>IF($C393="","",IFERROR(DATE(Настройки!$C$8,Настройки!$D$9+MATCH($M393,Настройки!$X$6:$X$17,0)-1,1),DATE(YEAR($C393),MONTH($C393),1)))</f>
        <v/>
      </c>
      <c r="S393">
        <f>IF(OR($I393="Оплачено",$H393&lt;&gt;""),$P393,$Q393)</f>
        <v/>
      </c>
      <c r="T393">
        <f>IF(OR($C393="",$D393="Доход",$I393="Оплачено",$I393="Отменено",$H393&lt;&gt;"",$C393&lt;TODAY()),"",$C393)</f>
        <v/>
      </c>
      <c r="U393">
        <f>IF(AND($D393&lt;&gt;"Доход",COUNTIFS(Счета!$B$10:$B$21,$J393,Счета!$C$10:$C$21,"Кредитная")&gt;0),1,0)</f>
        <v/>
      </c>
    </row>
    <row r="394" ht="19" customHeight="1">
      <c r="B394" s="53">
        <f>IF(AND($C394="",$F394=""),"",ROW()-9)</f>
        <v/>
      </c>
      <c r="C394" s="213" t="n"/>
      <c r="D394" s="55" t="n"/>
      <c r="E394" s="55" t="n"/>
      <c r="F394" s="56" t="n"/>
      <c r="G394" s="196" t="n"/>
      <c r="H394" s="196" t="n"/>
      <c r="I394" s="55" t="n"/>
      <c r="J394" s="55" t="n"/>
      <c r="K394" s="55" t="n"/>
      <c r="L394" s="100">
        <f>IF(OR($C394="",$I394="Оплачено",$I394="Отменено",$H394&lt;&gt;""),"",$C394-TODAY())</f>
        <v/>
      </c>
      <c r="M394" s="101">
        <f>IF($C394="","",INDEX(Настройки!$V$6:$V$17,MONTH($C394))&amp;" "&amp;YEAR($C394))</f>
        <v/>
      </c>
      <c r="N394" s="57">
        <f>IF($F394="","",IF(COUNTIF(Постоянные!$C$8:$C$37,$F394)&gt;0,"есть в Постоянных",IF(COUNTIF(Покупки!$C$7:$C$18,$F394)&gt;0,"есть в Покупках","")))</f>
        <v/>
      </c>
      <c r="P394">
        <f>IF($H394&lt;&gt;"",$H394,IF($I394="Оплачено",N($G394),0))</f>
        <v/>
      </c>
      <c r="Q394">
        <f>IF($I394="Отменено",0,IF($G394&lt;&gt;"",$G394,N($H394)))</f>
        <v/>
      </c>
      <c r="R394">
        <f>IF($C394="","",IFERROR(DATE(Настройки!$C$8,Настройки!$D$9+MATCH($M394,Настройки!$X$6:$X$17,0)-1,1),DATE(YEAR($C394),MONTH($C394),1)))</f>
        <v/>
      </c>
      <c r="S394">
        <f>IF(OR($I394="Оплачено",$H394&lt;&gt;""),$P394,$Q394)</f>
        <v/>
      </c>
      <c r="T394">
        <f>IF(OR($C394="",$D394="Доход",$I394="Оплачено",$I394="Отменено",$H394&lt;&gt;"",$C394&lt;TODAY()),"",$C394)</f>
        <v/>
      </c>
      <c r="U394">
        <f>IF(AND($D394&lt;&gt;"Доход",COUNTIFS(Счета!$B$10:$B$21,$J394,Счета!$C$10:$C$21,"Кредитная")&gt;0),1,0)</f>
        <v/>
      </c>
    </row>
    <row r="395" ht="19" customHeight="1">
      <c r="B395" s="53">
        <f>IF(AND($C395="",$F395=""),"",ROW()-9)</f>
        <v/>
      </c>
      <c r="C395" s="213" t="n"/>
      <c r="D395" s="55" t="n"/>
      <c r="E395" s="55" t="n"/>
      <c r="F395" s="56" t="n"/>
      <c r="G395" s="196" t="n"/>
      <c r="H395" s="196" t="n"/>
      <c r="I395" s="55" t="n"/>
      <c r="J395" s="55" t="n"/>
      <c r="K395" s="55" t="n"/>
      <c r="L395" s="100">
        <f>IF(OR($C395="",$I395="Оплачено",$I395="Отменено",$H395&lt;&gt;""),"",$C395-TODAY())</f>
        <v/>
      </c>
      <c r="M395" s="101">
        <f>IF($C395="","",INDEX(Настройки!$V$6:$V$17,MONTH($C395))&amp;" "&amp;YEAR($C395))</f>
        <v/>
      </c>
      <c r="N395" s="57">
        <f>IF($F395="","",IF(COUNTIF(Постоянные!$C$8:$C$37,$F395)&gt;0,"есть в Постоянных",IF(COUNTIF(Покупки!$C$7:$C$18,$F395)&gt;0,"есть в Покупках","")))</f>
        <v/>
      </c>
      <c r="P395">
        <f>IF($H395&lt;&gt;"",$H395,IF($I395="Оплачено",N($G395),0))</f>
        <v/>
      </c>
      <c r="Q395">
        <f>IF($I395="Отменено",0,IF($G395&lt;&gt;"",$G395,N($H395)))</f>
        <v/>
      </c>
      <c r="R395">
        <f>IF($C395="","",IFERROR(DATE(Настройки!$C$8,Настройки!$D$9+MATCH($M395,Настройки!$X$6:$X$17,0)-1,1),DATE(YEAR($C395),MONTH($C395),1)))</f>
        <v/>
      </c>
      <c r="S395">
        <f>IF(OR($I395="Оплачено",$H395&lt;&gt;""),$P395,$Q395)</f>
        <v/>
      </c>
      <c r="T395">
        <f>IF(OR($C395="",$D395="Доход",$I395="Оплачено",$I395="Отменено",$H395&lt;&gt;"",$C395&lt;TODAY()),"",$C395)</f>
        <v/>
      </c>
      <c r="U395">
        <f>IF(AND($D395&lt;&gt;"Доход",COUNTIFS(Счета!$B$10:$B$21,$J395,Счета!$C$10:$C$21,"Кредитная")&gt;0),1,0)</f>
        <v/>
      </c>
    </row>
    <row r="396" ht="19" customHeight="1">
      <c r="B396" s="53">
        <f>IF(AND($C396="",$F396=""),"",ROW()-9)</f>
        <v/>
      </c>
      <c r="C396" s="213" t="n"/>
      <c r="D396" s="55" t="n"/>
      <c r="E396" s="55" t="n"/>
      <c r="F396" s="56" t="n"/>
      <c r="G396" s="196" t="n"/>
      <c r="H396" s="196" t="n"/>
      <c r="I396" s="55" t="n"/>
      <c r="J396" s="55" t="n"/>
      <c r="K396" s="55" t="n"/>
      <c r="L396" s="100">
        <f>IF(OR($C396="",$I396="Оплачено",$I396="Отменено",$H396&lt;&gt;""),"",$C396-TODAY())</f>
        <v/>
      </c>
      <c r="M396" s="101">
        <f>IF($C396="","",INDEX(Настройки!$V$6:$V$17,MONTH($C396))&amp;" "&amp;YEAR($C396))</f>
        <v/>
      </c>
      <c r="N396" s="57">
        <f>IF($F396="","",IF(COUNTIF(Постоянные!$C$8:$C$37,$F396)&gt;0,"есть в Постоянных",IF(COUNTIF(Покупки!$C$7:$C$18,$F396)&gt;0,"есть в Покупках","")))</f>
        <v/>
      </c>
      <c r="P396">
        <f>IF($H396&lt;&gt;"",$H396,IF($I396="Оплачено",N($G396),0))</f>
        <v/>
      </c>
      <c r="Q396">
        <f>IF($I396="Отменено",0,IF($G396&lt;&gt;"",$G396,N($H396)))</f>
        <v/>
      </c>
      <c r="R396">
        <f>IF($C396="","",IFERROR(DATE(Настройки!$C$8,Настройки!$D$9+MATCH($M396,Настройки!$X$6:$X$17,0)-1,1),DATE(YEAR($C396),MONTH($C396),1)))</f>
        <v/>
      </c>
      <c r="S396">
        <f>IF(OR($I396="Оплачено",$H396&lt;&gt;""),$P396,$Q396)</f>
        <v/>
      </c>
      <c r="T396">
        <f>IF(OR($C396="",$D396="Доход",$I396="Оплачено",$I396="Отменено",$H396&lt;&gt;"",$C396&lt;TODAY()),"",$C396)</f>
        <v/>
      </c>
      <c r="U396">
        <f>IF(AND($D396&lt;&gt;"Доход",COUNTIFS(Счета!$B$10:$B$21,$J396,Счета!$C$10:$C$21,"Кредитная")&gt;0),1,0)</f>
        <v/>
      </c>
    </row>
    <row r="397" ht="19" customHeight="1">
      <c r="B397" s="53">
        <f>IF(AND($C397="",$F397=""),"",ROW()-9)</f>
        <v/>
      </c>
      <c r="C397" s="213" t="n"/>
      <c r="D397" s="55" t="n"/>
      <c r="E397" s="55" t="n"/>
      <c r="F397" s="56" t="n"/>
      <c r="G397" s="196" t="n"/>
      <c r="H397" s="196" t="n"/>
      <c r="I397" s="55" t="n"/>
      <c r="J397" s="55" t="n"/>
      <c r="K397" s="55" t="n"/>
      <c r="L397" s="100">
        <f>IF(OR($C397="",$I397="Оплачено",$I397="Отменено",$H397&lt;&gt;""),"",$C397-TODAY())</f>
        <v/>
      </c>
      <c r="M397" s="101">
        <f>IF($C397="","",INDEX(Настройки!$V$6:$V$17,MONTH($C397))&amp;" "&amp;YEAR($C397))</f>
        <v/>
      </c>
      <c r="N397" s="57">
        <f>IF($F397="","",IF(COUNTIF(Постоянные!$C$8:$C$37,$F397)&gt;0,"есть в Постоянных",IF(COUNTIF(Покупки!$C$7:$C$18,$F397)&gt;0,"есть в Покупках","")))</f>
        <v/>
      </c>
      <c r="P397">
        <f>IF($H397&lt;&gt;"",$H397,IF($I397="Оплачено",N($G397),0))</f>
        <v/>
      </c>
      <c r="Q397">
        <f>IF($I397="Отменено",0,IF($G397&lt;&gt;"",$G397,N($H397)))</f>
        <v/>
      </c>
      <c r="R397">
        <f>IF($C397="","",IFERROR(DATE(Настройки!$C$8,Настройки!$D$9+MATCH($M397,Настройки!$X$6:$X$17,0)-1,1),DATE(YEAR($C397),MONTH($C397),1)))</f>
        <v/>
      </c>
      <c r="S397">
        <f>IF(OR($I397="Оплачено",$H397&lt;&gt;""),$P397,$Q397)</f>
        <v/>
      </c>
      <c r="T397">
        <f>IF(OR($C397="",$D397="Доход",$I397="Оплачено",$I397="Отменено",$H397&lt;&gt;"",$C397&lt;TODAY()),"",$C397)</f>
        <v/>
      </c>
      <c r="U397">
        <f>IF(AND($D397&lt;&gt;"Доход",COUNTIFS(Счета!$B$10:$B$21,$J397,Счета!$C$10:$C$21,"Кредитная")&gt;0),1,0)</f>
        <v/>
      </c>
    </row>
    <row r="398" ht="19" customHeight="1">
      <c r="B398" s="53">
        <f>IF(AND($C398="",$F398=""),"",ROW()-9)</f>
        <v/>
      </c>
      <c r="C398" s="213" t="n"/>
      <c r="D398" s="55" t="n"/>
      <c r="E398" s="55" t="n"/>
      <c r="F398" s="56" t="n"/>
      <c r="G398" s="196" t="n"/>
      <c r="H398" s="196" t="n"/>
      <c r="I398" s="55" t="n"/>
      <c r="J398" s="55" t="n"/>
      <c r="K398" s="55" t="n"/>
      <c r="L398" s="100">
        <f>IF(OR($C398="",$I398="Оплачено",$I398="Отменено",$H398&lt;&gt;""),"",$C398-TODAY())</f>
        <v/>
      </c>
      <c r="M398" s="101">
        <f>IF($C398="","",INDEX(Настройки!$V$6:$V$17,MONTH($C398))&amp;" "&amp;YEAR($C398))</f>
        <v/>
      </c>
      <c r="N398" s="57">
        <f>IF($F398="","",IF(COUNTIF(Постоянные!$C$8:$C$37,$F398)&gt;0,"есть в Постоянных",IF(COUNTIF(Покупки!$C$7:$C$18,$F398)&gt;0,"есть в Покупках","")))</f>
        <v/>
      </c>
      <c r="P398">
        <f>IF($H398&lt;&gt;"",$H398,IF($I398="Оплачено",N($G398),0))</f>
        <v/>
      </c>
      <c r="Q398">
        <f>IF($I398="Отменено",0,IF($G398&lt;&gt;"",$G398,N($H398)))</f>
        <v/>
      </c>
      <c r="R398">
        <f>IF($C398="","",IFERROR(DATE(Настройки!$C$8,Настройки!$D$9+MATCH($M398,Настройки!$X$6:$X$17,0)-1,1),DATE(YEAR($C398),MONTH($C398),1)))</f>
        <v/>
      </c>
      <c r="S398">
        <f>IF(OR($I398="Оплачено",$H398&lt;&gt;""),$P398,$Q398)</f>
        <v/>
      </c>
      <c r="T398">
        <f>IF(OR($C398="",$D398="Доход",$I398="Оплачено",$I398="Отменено",$H398&lt;&gt;"",$C398&lt;TODAY()),"",$C398)</f>
        <v/>
      </c>
      <c r="U398">
        <f>IF(AND($D398&lt;&gt;"Доход",COUNTIFS(Счета!$B$10:$B$21,$J398,Счета!$C$10:$C$21,"Кредитная")&gt;0),1,0)</f>
        <v/>
      </c>
    </row>
    <row r="399" ht="19" customHeight="1">
      <c r="B399" s="53">
        <f>IF(AND($C399="",$F399=""),"",ROW()-9)</f>
        <v/>
      </c>
      <c r="C399" s="213" t="n"/>
      <c r="D399" s="55" t="n"/>
      <c r="E399" s="55" t="n"/>
      <c r="F399" s="56" t="n"/>
      <c r="G399" s="196" t="n"/>
      <c r="H399" s="196" t="n"/>
      <c r="I399" s="55" t="n"/>
      <c r="J399" s="55" t="n"/>
      <c r="K399" s="55" t="n"/>
      <c r="L399" s="100">
        <f>IF(OR($C399="",$I399="Оплачено",$I399="Отменено",$H399&lt;&gt;""),"",$C399-TODAY())</f>
        <v/>
      </c>
      <c r="M399" s="101">
        <f>IF($C399="","",INDEX(Настройки!$V$6:$V$17,MONTH($C399))&amp;" "&amp;YEAR($C399))</f>
        <v/>
      </c>
      <c r="N399" s="57">
        <f>IF($F399="","",IF(COUNTIF(Постоянные!$C$8:$C$37,$F399)&gt;0,"есть в Постоянных",IF(COUNTIF(Покупки!$C$7:$C$18,$F399)&gt;0,"есть в Покупках","")))</f>
        <v/>
      </c>
      <c r="P399">
        <f>IF($H399&lt;&gt;"",$H399,IF($I399="Оплачено",N($G399),0))</f>
        <v/>
      </c>
      <c r="Q399">
        <f>IF($I399="Отменено",0,IF($G399&lt;&gt;"",$G399,N($H399)))</f>
        <v/>
      </c>
      <c r="R399">
        <f>IF($C399="","",IFERROR(DATE(Настройки!$C$8,Настройки!$D$9+MATCH($M399,Настройки!$X$6:$X$17,0)-1,1),DATE(YEAR($C399),MONTH($C399),1)))</f>
        <v/>
      </c>
      <c r="S399">
        <f>IF(OR($I399="Оплачено",$H399&lt;&gt;""),$P399,$Q399)</f>
        <v/>
      </c>
      <c r="T399">
        <f>IF(OR($C399="",$D399="Доход",$I399="Оплачено",$I399="Отменено",$H399&lt;&gt;"",$C399&lt;TODAY()),"",$C399)</f>
        <v/>
      </c>
      <c r="U399">
        <f>IF(AND($D399&lt;&gt;"Доход",COUNTIFS(Счета!$B$10:$B$21,$J399,Счета!$C$10:$C$21,"Кредитная")&gt;0),1,0)</f>
        <v/>
      </c>
    </row>
    <row r="400" ht="19" customHeight="1">
      <c r="B400" s="53">
        <f>IF(AND($C400="",$F400=""),"",ROW()-9)</f>
        <v/>
      </c>
      <c r="C400" s="213" t="n"/>
      <c r="D400" s="55" t="n"/>
      <c r="E400" s="55" t="n"/>
      <c r="F400" s="56" t="n"/>
      <c r="G400" s="196" t="n"/>
      <c r="H400" s="196" t="n"/>
      <c r="I400" s="55" t="n"/>
      <c r="J400" s="55" t="n"/>
      <c r="K400" s="55" t="n"/>
      <c r="L400" s="100">
        <f>IF(OR($C400="",$I400="Оплачено",$I400="Отменено",$H400&lt;&gt;""),"",$C400-TODAY())</f>
        <v/>
      </c>
      <c r="M400" s="101">
        <f>IF($C400="","",INDEX(Настройки!$V$6:$V$17,MONTH($C400))&amp;" "&amp;YEAR($C400))</f>
        <v/>
      </c>
      <c r="N400" s="57">
        <f>IF($F400="","",IF(COUNTIF(Постоянные!$C$8:$C$37,$F400)&gt;0,"есть в Постоянных",IF(COUNTIF(Покупки!$C$7:$C$18,$F400)&gt;0,"есть в Покупках","")))</f>
        <v/>
      </c>
      <c r="P400">
        <f>IF($H400&lt;&gt;"",$H400,IF($I400="Оплачено",N($G400),0))</f>
        <v/>
      </c>
      <c r="Q400">
        <f>IF($I400="Отменено",0,IF($G400&lt;&gt;"",$G400,N($H400)))</f>
        <v/>
      </c>
      <c r="R400">
        <f>IF($C400="","",IFERROR(DATE(Настройки!$C$8,Настройки!$D$9+MATCH($M400,Настройки!$X$6:$X$17,0)-1,1),DATE(YEAR($C400),MONTH($C400),1)))</f>
        <v/>
      </c>
      <c r="S400">
        <f>IF(OR($I400="Оплачено",$H400&lt;&gt;""),$P400,$Q400)</f>
        <v/>
      </c>
      <c r="T400">
        <f>IF(OR($C400="",$D400="Доход",$I400="Оплачено",$I400="Отменено",$H400&lt;&gt;"",$C400&lt;TODAY()),"",$C400)</f>
        <v/>
      </c>
      <c r="U400">
        <f>IF(AND($D400&lt;&gt;"Доход",COUNTIFS(Счета!$B$10:$B$21,$J400,Счета!$C$10:$C$21,"Кредитная")&gt;0),1,0)</f>
        <v/>
      </c>
    </row>
    <row r="401" ht="19" customHeight="1">
      <c r="B401" s="53">
        <f>IF(AND($C401="",$F401=""),"",ROW()-9)</f>
        <v/>
      </c>
      <c r="C401" s="213" t="n"/>
      <c r="D401" s="55" t="n"/>
      <c r="E401" s="55" t="n"/>
      <c r="F401" s="56" t="n"/>
      <c r="G401" s="196" t="n"/>
      <c r="H401" s="196" t="n"/>
      <c r="I401" s="55" t="n"/>
      <c r="J401" s="55" t="n"/>
      <c r="K401" s="55" t="n"/>
      <c r="L401" s="100">
        <f>IF(OR($C401="",$I401="Оплачено",$I401="Отменено",$H401&lt;&gt;""),"",$C401-TODAY())</f>
        <v/>
      </c>
      <c r="M401" s="101">
        <f>IF($C401="","",INDEX(Настройки!$V$6:$V$17,MONTH($C401))&amp;" "&amp;YEAR($C401))</f>
        <v/>
      </c>
      <c r="N401" s="57">
        <f>IF($F401="","",IF(COUNTIF(Постоянные!$C$8:$C$37,$F401)&gt;0,"есть в Постоянных",IF(COUNTIF(Покупки!$C$7:$C$18,$F401)&gt;0,"есть в Покупках","")))</f>
        <v/>
      </c>
      <c r="P401">
        <f>IF($H401&lt;&gt;"",$H401,IF($I401="Оплачено",N($G401),0))</f>
        <v/>
      </c>
      <c r="Q401">
        <f>IF($I401="Отменено",0,IF($G401&lt;&gt;"",$G401,N($H401)))</f>
        <v/>
      </c>
      <c r="R401">
        <f>IF($C401="","",IFERROR(DATE(Настройки!$C$8,Настройки!$D$9+MATCH($M401,Настройки!$X$6:$X$17,0)-1,1),DATE(YEAR($C401),MONTH($C401),1)))</f>
        <v/>
      </c>
      <c r="S401">
        <f>IF(OR($I401="Оплачено",$H401&lt;&gt;""),$P401,$Q401)</f>
        <v/>
      </c>
      <c r="T401">
        <f>IF(OR($C401="",$D401="Доход",$I401="Оплачено",$I401="Отменено",$H401&lt;&gt;"",$C401&lt;TODAY()),"",$C401)</f>
        <v/>
      </c>
      <c r="U401">
        <f>IF(AND($D401&lt;&gt;"Доход",COUNTIFS(Счета!$B$10:$B$21,$J401,Счета!$C$10:$C$21,"Кредитная")&gt;0),1,0)</f>
        <v/>
      </c>
    </row>
    <row r="402" ht="19" customHeight="1">
      <c r="B402" s="53">
        <f>IF(AND($C402="",$F402=""),"",ROW()-9)</f>
        <v/>
      </c>
      <c r="C402" s="213" t="n"/>
      <c r="D402" s="55" t="n"/>
      <c r="E402" s="55" t="n"/>
      <c r="F402" s="56" t="n"/>
      <c r="G402" s="196" t="n"/>
      <c r="H402" s="196" t="n"/>
      <c r="I402" s="55" t="n"/>
      <c r="J402" s="55" t="n"/>
      <c r="K402" s="55" t="n"/>
      <c r="L402" s="100">
        <f>IF(OR($C402="",$I402="Оплачено",$I402="Отменено",$H402&lt;&gt;""),"",$C402-TODAY())</f>
        <v/>
      </c>
      <c r="M402" s="101">
        <f>IF($C402="","",INDEX(Настройки!$V$6:$V$17,MONTH($C402))&amp;" "&amp;YEAR($C402))</f>
        <v/>
      </c>
      <c r="N402" s="57">
        <f>IF($F402="","",IF(COUNTIF(Постоянные!$C$8:$C$37,$F402)&gt;0,"есть в Постоянных",IF(COUNTIF(Покупки!$C$7:$C$18,$F402)&gt;0,"есть в Покупках","")))</f>
        <v/>
      </c>
      <c r="P402">
        <f>IF($H402&lt;&gt;"",$H402,IF($I402="Оплачено",N($G402),0))</f>
        <v/>
      </c>
      <c r="Q402">
        <f>IF($I402="Отменено",0,IF($G402&lt;&gt;"",$G402,N($H402)))</f>
        <v/>
      </c>
      <c r="R402">
        <f>IF($C402="","",IFERROR(DATE(Настройки!$C$8,Настройки!$D$9+MATCH($M402,Настройки!$X$6:$X$17,0)-1,1),DATE(YEAR($C402),MONTH($C402),1)))</f>
        <v/>
      </c>
      <c r="S402">
        <f>IF(OR($I402="Оплачено",$H402&lt;&gt;""),$P402,$Q402)</f>
        <v/>
      </c>
      <c r="T402">
        <f>IF(OR($C402="",$D402="Доход",$I402="Оплачено",$I402="Отменено",$H402&lt;&gt;"",$C402&lt;TODAY()),"",$C402)</f>
        <v/>
      </c>
      <c r="U402">
        <f>IF(AND($D402&lt;&gt;"Доход",COUNTIFS(Счета!$B$10:$B$21,$J402,Счета!$C$10:$C$21,"Кредитная")&gt;0),1,0)</f>
        <v/>
      </c>
    </row>
    <row r="403" ht="19" customHeight="1">
      <c r="B403" s="53">
        <f>IF(AND($C403="",$F403=""),"",ROW()-9)</f>
        <v/>
      </c>
      <c r="C403" s="213" t="n"/>
      <c r="D403" s="55" t="n"/>
      <c r="E403" s="55" t="n"/>
      <c r="F403" s="56" t="n"/>
      <c r="G403" s="196" t="n"/>
      <c r="H403" s="196" t="n"/>
      <c r="I403" s="55" t="n"/>
      <c r="J403" s="55" t="n"/>
      <c r="K403" s="55" t="n"/>
      <c r="L403" s="100">
        <f>IF(OR($C403="",$I403="Оплачено",$I403="Отменено",$H403&lt;&gt;""),"",$C403-TODAY())</f>
        <v/>
      </c>
      <c r="M403" s="101">
        <f>IF($C403="","",INDEX(Настройки!$V$6:$V$17,MONTH($C403))&amp;" "&amp;YEAR($C403))</f>
        <v/>
      </c>
      <c r="N403" s="57">
        <f>IF($F403="","",IF(COUNTIF(Постоянные!$C$8:$C$37,$F403)&gt;0,"есть в Постоянных",IF(COUNTIF(Покупки!$C$7:$C$18,$F403)&gt;0,"есть в Покупках","")))</f>
        <v/>
      </c>
      <c r="P403">
        <f>IF($H403&lt;&gt;"",$H403,IF($I403="Оплачено",N($G403),0))</f>
        <v/>
      </c>
      <c r="Q403">
        <f>IF($I403="Отменено",0,IF($G403&lt;&gt;"",$G403,N($H403)))</f>
        <v/>
      </c>
      <c r="R403">
        <f>IF($C403="","",IFERROR(DATE(Настройки!$C$8,Настройки!$D$9+MATCH($M403,Настройки!$X$6:$X$17,0)-1,1),DATE(YEAR($C403),MONTH($C403),1)))</f>
        <v/>
      </c>
      <c r="S403">
        <f>IF(OR($I403="Оплачено",$H403&lt;&gt;""),$P403,$Q403)</f>
        <v/>
      </c>
      <c r="T403">
        <f>IF(OR($C403="",$D403="Доход",$I403="Оплачено",$I403="Отменено",$H403&lt;&gt;"",$C403&lt;TODAY()),"",$C403)</f>
        <v/>
      </c>
      <c r="U403">
        <f>IF(AND($D403&lt;&gt;"Доход",COUNTIFS(Счета!$B$10:$B$21,$J403,Счета!$C$10:$C$21,"Кредитная")&gt;0),1,0)</f>
        <v/>
      </c>
    </row>
    <row r="404" ht="19" customHeight="1">
      <c r="B404" s="53">
        <f>IF(AND($C404="",$F404=""),"",ROW()-9)</f>
        <v/>
      </c>
      <c r="C404" s="213" t="n"/>
      <c r="D404" s="55" t="n"/>
      <c r="E404" s="55" t="n"/>
      <c r="F404" s="56" t="n"/>
      <c r="G404" s="196" t="n"/>
      <c r="H404" s="196" t="n"/>
      <c r="I404" s="55" t="n"/>
      <c r="J404" s="55" t="n"/>
      <c r="K404" s="55" t="n"/>
      <c r="L404" s="100">
        <f>IF(OR($C404="",$I404="Оплачено",$I404="Отменено",$H404&lt;&gt;""),"",$C404-TODAY())</f>
        <v/>
      </c>
      <c r="M404" s="101">
        <f>IF($C404="","",INDEX(Настройки!$V$6:$V$17,MONTH($C404))&amp;" "&amp;YEAR($C404))</f>
        <v/>
      </c>
      <c r="N404" s="57">
        <f>IF($F404="","",IF(COUNTIF(Постоянные!$C$8:$C$37,$F404)&gt;0,"есть в Постоянных",IF(COUNTIF(Покупки!$C$7:$C$18,$F404)&gt;0,"есть в Покупках","")))</f>
        <v/>
      </c>
      <c r="P404">
        <f>IF($H404&lt;&gt;"",$H404,IF($I404="Оплачено",N($G404),0))</f>
        <v/>
      </c>
      <c r="Q404">
        <f>IF($I404="Отменено",0,IF($G404&lt;&gt;"",$G404,N($H404)))</f>
        <v/>
      </c>
      <c r="R404">
        <f>IF($C404="","",IFERROR(DATE(Настройки!$C$8,Настройки!$D$9+MATCH($M404,Настройки!$X$6:$X$17,0)-1,1),DATE(YEAR($C404),MONTH($C404),1)))</f>
        <v/>
      </c>
      <c r="S404">
        <f>IF(OR($I404="Оплачено",$H404&lt;&gt;""),$P404,$Q404)</f>
        <v/>
      </c>
      <c r="T404">
        <f>IF(OR($C404="",$D404="Доход",$I404="Оплачено",$I404="Отменено",$H404&lt;&gt;"",$C404&lt;TODAY()),"",$C404)</f>
        <v/>
      </c>
      <c r="U404">
        <f>IF(AND($D404&lt;&gt;"Доход",COUNTIFS(Счета!$B$10:$B$21,$J404,Счета!$C$10:$C$21,"Кредитная")&gt;0),1,0)</f>
        <v/>
      </c>
    </row>
    <row r="405" ht="19" customHeight="1">
      <c r="B405" s="53">
        <f>IF(AND($C405="",$F405=""),"",ROW()-9)</f>
        <v/>
      </c>
      <c r="C405" s="213" t="n"/>
      <c r="D405" s="55" t="n"/>
      <c r="E405" s="55" t="n"/>
      <c r="F405" s="56" t="n"/>
      <c r="G405" s="196" t="n"/>
      <c r="H405" s="196" t="n"/>
      <c r="I405" s="55" t="n"/>
      <c r="J405" s="55" t="n"/>
      <c r="K405" s="55" t="n"/>
      <c r="L405" s="100">
        <f>IF(OR($C405="",$I405="Оплачено",$I405="Отменено",$H405&lt;&gt;""),"",$C405-TODAY())</f>
        <v/>
      </c>
      <c r="M405" s="101">
        <f>IF($C405="","",INDEX(Настройки!$V$6:$V$17,MONTH($C405))&amp;" "&amp;YEAR($C405))</f>
        <v/>
      </c>
      <c r="N405" s="57">
        <f>IF($F405="","",IF(COUNTIF(Постоянные!$C$8:$C$37,$F405)&gt;0,"есть в Постоянных",IF(COUNTIF(Покупки!$C$7:$C$18,$F405)&gt;0,"есть в Покупках","")))</f>
        <v/>
      </c>
      <c r="P405">
        <f>IF($H405&lt;&gt;"",$H405,IF($I405="Оплачено",N($G405),0))</f>
        <v/>
      </c>
      <c r="Q405">
        <f>IF($I405="Отменено",0,IF($G405&lt;&gt;"",$G405,N($H405)))</f>
        <v/>
      </c>
      <c r="R405">
        <f>IF($C405="","",IFERROR(DATE(Настройки!$C$8,Настройки!$D$9+MATCH($M405,Настройки!$X$6:$X$17,0)-1,1),DATE(YEAR($C405),MONTH($C405),1)))</f>
        <v/>
      </c>
      <c r="S405">
        <f>IF(OR($I405="Оплачено",$H405&lt;&gt;""),$P405,$Q405)</f>
        <v/>
      </c>
      <c r="T405">
        <f>IF(OR($C405="",$D405="Доход",$I405="Оплачено",$I405="Отменено",$H405&lt;&gt;"",$C405&lt;TODAY()),"",$C405)</f>
        <v/>
      </c>
      <c r="U405">
        <f>IF(AND($D405&lt;&gt;"Доход",COUNTIFS(Счета!$B$10:$B$21,$J405,Счета!$C$10:$C$21,"Кредитная")&gt;0),1,0)</f>
        <v/>
      </c>
    </row>
    <row r="406" ht="19" customHeight="1">
      <c r="B406" s="53">
        <f>IF(AND($C406="",$F406=""),"",ROW()-9)</f>
        <v/>
      </c>
      <c r="C406" s="213" t="n"/>
      <c r="D406" s="55" t="n"/>
      <c r="E406" s="55" t="n"/>
      <c r="F406" s="56" t="n"/>
      <c r="G406" s="196" t="n"/>
      <c r="H406" s="196" t="n"/>
      <c r="I406" s="55" t="n"/>
      <c r="J406" s="55" t="n"/>
      <c r="K406" s="55" t="n"/>
      <c r="L406" s="100">
        <f>IF(OR($C406="",$I406="Оплачено",$I406="Отменено",$H406&lt;&gt;""),"",$C406-TODAY())</f>
        <v/>
      </c>
      <c r="M406" s="101">
        <f>IF($C406="","",INDEX(Настройки!$V$6:$V$17,MONTH($C406))&amp;" "&amp;YEAR($C406))</f>
        <v/>
      </c>
      <c r="N406" s="57">
        <f>IF($F406="","",IF(COUNTIF(Постоянные!$C$8:$C$37,$F406)&gt;0,"есть в Постоянных",IF(COUNTIF(Покупки!$C$7:$C$18,$F406)&gt;0,"есть в Покупках","")))</f>
        <v/>
      </c>
      <c r="P406">
        <f>IF($H406&lt;&gt;"",$H406,IF($I406="Оплачено",N($G406),0))</f>
        <v/>
      </c>
      <c r="Q406">
        <f>IF($I406="Отменено",0,IF($G406&lt;&gt;"",$G406,N($H406)))</f>
        <v/>
      </c>
      <c r="R406">
        <f>IF($C406="","",IFERROR(DATE(Настройки!$C$8,Настройки!$D$9+MATCH($M406,Настройки!$X$6:$X$17,0)-1,1),DATE(YEAR($C406),MONTH($C406),1)))</f>
        <v/>
      </c>
      <c r="S406">
        <f>IF(OR($I406="Оплачено",$H406&lt;&gt;""),$P406,$Q406)</f>
        <v/>
      </c>
      <c r="T406">
        <f>IF(OR($C406="",$D406="Доход",$I406="Оплачено",$I406="Отменено",$H406&lt;&gt;"",$C406&lt;TODAY()),"",$C406)</f>
        <v/>
      </c>
      <c r="U406">
        <f>IF(AND($D406&lt;&gt;"Доход",COUNTIFS(Счета!$B$10:$B$21,$J406,Счета!$C$10:$C$21,"Кредитная")&gt;0),1,0)</f>
        <v/>
      </c>
    </row>
    <row r="407" ht="19" customHeight="1">
      <c r="B407" s="53">
        <f>IF(AND($C407="",$F407=""),"",ROW()-9)</f>
        <v/>
      </c>
      <c r="C407" s="213" t="n"/>
      <c r="D407" s="55" t="n"/>
      <c r="E407" s="55" t="n"/>
      <c r="F407" s="56" t="n"/>
      <c r="G407" s="196" t="n"/>
      <c r="H407" s="196" t="n"/>
      <c r="I407" s="55" t="n"/>
      <c r="J407" s="55" t="n"/>
      <c r="K407" s="55" t="n"/>
      <c r="L407" s="100">
        <f>IF(OR($C407="",$I407="Оплачено",$I407="Отменено",$H407&lt;&gt;""),"",$C407-TODAY())</f>
        <v/>
      </c>
      <c r="M407" s="101">
        <f>IF($C407="","",INDEX(Настройки!$V$6:$V$17,MONTH($C407))&amp;" "&amp;YEAR($C407))</f>
        <v/>
      </c>
      <c r="N407" s="57">
        <f>IF($F407="","",IF(COUNTIF(Постоянные!$C$8:$C$37,$F407)&gt;0,"есть в Постоянных",IF(COUNTIF(Покупки!$C$7:$C$18,$F407)&gt;0,"есть в Покупках","")))</f>
        <v/>
      </c>
      <c r="P407">
        <f>IF($H407&lt;&gt;"",$H407,IF($I407="Оплачено",N($G407),0))</f>
        <v/>
      </c>
      <c r="Q407">
        <f>IF($I407="Отменено",0,IF($G407&lt;&gt;"",$G407,N($H407)))</f>
        <v/>
      </c>
      <c r="R407">
        <f>IF($C407="","",IFERROR(DATE(Настройки!$C$8,Настройки!$D$9+MATCH($M407,Настройки!$X$6:$X$17,0)-1,1),DATE(YEAR($C407),MONTH($C407),1)))</f>
        <v/>
      </c>
      <c r="S407">
        <f>IF(OR($I407="Оплачено",$H407&lt;&gt;""),$P407,$Q407)</f>
        <v/>
      </c>
      <c r="T407">
        <f>IF(OR($C407="",$D407="Доход",$I407="Оплачено",$I407="Отменено",$H407&lt;&gt;"",$C407&lt;TODAY()),"",$C407)</f>
        <v/>
      </c>
      <c r="U407">
        <f>IF(AND($D407&lt;&gt;"Доход",COUNTIFS(Счета!$B$10:$B$21,$J407,Счета!$C$10:$C$21,"Кредитная")&gt;0),1,0)</f>
        <v/>
      </c>
    </row>
    <row r="408" ht="19" customHeight="1">
      <c r="B408" s="53">
        <f>IF(AND($C408="",$F408=""),"",ROW()-9)</f>
        <v/>
      </c>
      <c r="C408" s="213" t="n"/>
      <c r="D408" s="55" t="n"/>
      <c r="E408" s="55" t="n"/>
      <c r="F408" s="56" t="n"/>
      <c r="G408" s="196" t="n"/>
      <c r="H408" s="196" t="n"/>
      <c r="I408" s="55" t="n"/>
      <c r="J408" s="55" t="n"/>
      <c r="K408" s="55" t="n"/>
      <c r="L408" s="100">
        <f>IF(OR($C408="",$I408="Оплачено",$I408="Отменено",$H408&lt;&gt;""),"",$C408-TODAY())</f>
        <v/>
      </c>
      <c r="M408" s="101">
        <f>IF($C408="","",INDEX(Настройки!$V$6:$V$17,MONTH($C408))&amp;" "&amp;YEAR($C408))</f>
        <v/>
      </c>
      <c r="N408" s="57">
        <f>IF($F408="","",IF(COUNTIF(Постоянные!$C$8:$C$37,$F408)&gt;0,"есть в Постоянных",IF(COUNTIF(Покупки!$C$7:$C$18,$F408)&gt;0,"есть в Покупках","")))</f>
        <v/>
      </c>
      <c r="P408">
        <f>IF($H408&lt;&gt;"",$H408,IF($I408="Оплачено",N($G408),0))</f>
        <v/>
      </c>
      <c r="Q408">
        <f>IF($I408="Отменено",0,IF($G408&lt;&gt;"",$G408,N($H408)))</f>
        <v/>
      </c>
      <c r="R408">
        <f>IF($C408="","",IFERROR(DATE(Настройки!$C$8,Настройки!$D$9+MATCH($M408,Настройки!$X$6:$X$17,0)-1,1),DATE(YEAR($C408),MONTH($C408),1)))</f>
        <v/>
      </c>
      <c r="S408">
        <f>IF(OR($I408="Оплачено",$H408&lt;&gt;""),$P408,$Q408)</f>
        <v/>
      </c>
      <c r="T408">
        <f>IF(OR($C408="",$D408="Доход",$I408="Оплачено",$I408="Отменено",$H408&lt;&gt;"",$C408&lt;TODAY()),"",$C408)</f>
        <v/>
      </c>
      <c r="U408">
        <f>IF(AND($D408&lt;&gt;"Доход",COUNTIFS(Счета!$B$10:$B$21,$J408,Счета!$C$10:$C$21,"Кредитная")&gt;0),1,0)</f>
        <v/>
      </c>
    </row>
    <row r="409" ht="19" customHeight="1">
      <c r="B409" s="53">
        <f>IF(AND($C409="",$F409=""),"",ROW()-9)</f>
        <v/>
      </c>
      <c r="C409" s="213" t="n"/>
      <c r="D409" s="55" t="n"/>
      <c r="E409" s="55" t="n"/>
      <c r="F409" s="56" t="n"/>
      <c r="G409" s="196" t="n"/>
      <c r="H409" s="196" t="n"/>
      <c r="I409" s="55" t="n"/>
      <c r="J409" s="55" t="n"/>
      <c r="K409" s="55" t="n"/>
      <c r="L409" s="100">
        <f>IF(OR($C409="",$I409="Оплачено",$I409="Отменено",$H409&lt;&gt;""),"",$C409-TODAY())</f>
        <v/>
      </c>
      <c r="M409" s="101">
        <f>IF($C409="","",INDEX(Настройки!$V$6:$V$17,MONTH($C409))&amp;" "&amp;YEAR($C409))</f>
        <v/>
      </c>
      <c r="N409" s="57">
        <f>IF($F409="","",IF(COUNTIF(Постоянные!$C$8:$C$37,$F409)&gt;0,"есть в Постоянных",IF(COUNTIF(Покупки!$C$7:$C$18,$F409)&gt;0,"есть в Покупках","")))</f>
        <v/>
      </c>
      <c r="P409">
        <f>IF($H409&lt;&gt;"",$H409,IF($I409="Оплачено",N($G409),0))</f>
        <v/>
      </c>
      <c r="Q409">
        <f>IF($I409="Отменено",0,IF($G409&lt;&gt;"",$G409,N($H409)))</f>
        <v/>
      </c>
      <c r="R409">
        <f>IF($C409="","",IFERROR(DATE(Настройки!$C$8,Настройки!$D$9+MATCH($M409,Настройки!$X$6:$X$17,0)-1,1),DATE(YEAR($C409),MONTH($C409),1)))</f>
        <v/>
      </c>
      <c r="S409">
        <f>IF(OR($I409="Оплачено",$H409&lt;&gt;""),$P409,$Q409)</f>
        <v/>
      </c>
      <c r="T409">
        <f>IF(OR($C409="",$D409="Доход",$I409="Оплачено",$I409="Отменено",$H409&lt;&gt;"",$C409&lt;TODAY()),"",$C409)</f>
        <v/>
      </c>
      <c r="U409">
        <f>IF(AND($D409&lt;&gt;"Доход",COUNTIFS(Счета!$B$10:$B$21,$J409,Счета!$C$10:$C$21,"Кредитная")&gt;0),1,0)</f>
        <v/>
      </c>
    </row>
    <row r="410" ht="19" customHeight="1">
      <c r="B410" s="53">
        <f>IF(AND($C410="",$F410=""),"",ROW()-9)</f>
        <v/>
      </c>
      <c r="C410" s="213" t="n"/>
      <c r="D410" s="55" t="n"/>
      <c r="E410" s="55" t="n"/>
      <c r="F410" s="56" t="n"/>
      <c r="G410" s="196" t="n"/>
      <c r="H410" s="196" t="n"/>
      <c r="I410" s="55" t="n"/>
      <c r="J410" s="55" t="n"/>
      <c r="K410" s="55" t="n"/>
      <c r="L410" s="100">
        <f>IF(OR($C410="",$I410="Оплачено",$I410="Отменено",$H410&lt;&gt;""),"",$C410-TODAY())</f>
        <v/>
      </c>
      <c r="M410" s="101">
        <f>IF($C410="","",INDEX(Настройки!$V$6:$V$17,MONTH($C410))&amp;" "&amp;YEAR($C410))</f>
        <v/>
      </c>
      <c r="N410" s="57">
        <f>IF($F410="","",IF(COUNTIF(Постоянные!$C$8:$C$37,$F410)&gt;0,"есть в Постоянных",IF(COUNTIF(Покупки!$C$7:$C$18,$F410)&gt;0,"есть в Покупках","")))</f>
        <v/>
      </c>
      <c r="P410">
        <f>IF($H410&lt;&gt;"",$H410,IF($I410="Оплачено",N($G410),0))</f>
        <v/>
      </c>
      <c r="Q410">
        <f>IF($I410="Отменено",0,IF($G410&lt;&gt;"",$G410,N($H410)))</f>
        <v/>
      </c>
      <c r="R410">
        <f>IF($C410="","",IFERROR(DATE(Настройки!$C$8,Настройки!$D$9+MATCH($M410,Настройки!$X$6:$X$17,0)-1,1),DATE(YEAR($C410),MONTH($C410),1)))</f>
        <v/>
      </c>
      <c r="S410">
        <f>IF(OR($I410="Оплачено",$H410&lt;&gt;""),$P410,$Q410)</f>
        <v/>
      </c>
      <c r="T410">
        <f>IF(OR($C410="",$D410="Доход",$I410="Оплачено",$I410="Отменено",$H410&lt;&gt;"",$C410&lt;TODAY()),"",$C410)</f>
        <v/>
      </c>
      <c r="U410">
        <f>IF(AND($D410&lt;&gt;"Доход",COUNTIFS(Счета!$B$10:$B$21,$J410,Счета!$C$10:$C$21,"Кредитная")&gt;0),1,0)</f>
        <v/>
      </c>
    </row>
    <row r="411" ht="19" customHeight="1">
      <c r="B411" s="53">
        <f>IF(AND($C411="",$F411=""),"",ROW()-9)</f>
        <v/>
      </c>
      <c r="C411" s="213" t="n"/>
      <c r="D411" s="55" t="n"/>
      <c r="E411" s="55" t="n"/>
      <c r="F411" s="56" t="n"/>
      <c r="G411" s="196" t="n"/>
      <c r="H411" s="196" t="n"/>
      <c r="I411" s="55" t="n"/>
      <c r="J411" s="55" t="n"/>
      <c r="K411" s="55" t="n"/>
      <c r="L411" s="100">
        <f>IF(OR($C411="",$I411="Оплачено",$I411="Отменено",$H411&lt;&gt;""),"",$C411-TODAY())</f>
        <v/>
      </c>
      <c r="M411" s="101">
        <f>IF($C411="","",INDEX(Настройки!$V$6:$V$17,MONTH($C411))&amp;" "&amp;YEAR($C411))</f>
        <v/>
      </c>
      <c r="N411" s="57">
        <f>IF($F411="","",IF(COUNTIF(Постоянные!$C$8:$C$37,$F411)&gt;0,"есть в Постоянных",IF(COUNTIF(Покупки!$C$7:$C$18,$F411)&gt;0,"есть в Покупках","")))</f>
        <v/>
      </c>
      <c r="P411">
        <f>IF($H411&lt;&gt;"",$H411,IF($I411="Оплачено",N($G411),0))</f>
        <v/>
      </c>
      <c r="Q411">
        <f>IF($I411="Отменено",0,IF($G411&lt;&gt;"",$G411,N($H411)))</f>
        <v/>
      </c>
      <c r="R411">
        <f>IF($C411="","",IFERROR(DATE(Настройки!$C$8,Настройки!$D$9+MATCH($M411,Настройки!$X$6:$X$17,0)-1,1),DATE(YEAR($C411),MONTH($C411),1)))</f>
        <v/>
      </c>
      <c r="S411">
        <f>IF(OR($I411="Оплачено",$H411&lt;&gt;""),$P411,$Q411)</f>
        <v/>
      </c>
      <c r="T411">
        <f>IF(OR($C411="",$D411="Доход",$I411="Оплачено",$I411="Отменено",$H411&lt;&gt;"",$C411&lt;TODAY()),"",$C411)</f>
        <v/>
      </c>
      <c r="U411">
        <f>IF(AND($D411&lt;&gt;"Доход",COUNTIFS(Счета!$B$10:$B$21,$J411,Счета!$C$10:$C$21,"Кредитная")&gt;0),1,0)</f>
        <v/>
      </c>
    </row>
    <row r="412" ht="19" customHeight="1">
      <c r="B412" s="53">
        <f>IF(AND($C412="",$F412=""),"",ROW()-9)</f>
        <v/>
      </c>
      <c r="C412" s="213" t="n"/>
      <c r="D412" s="55" t="n"/>
      <c r="E412" s="55" t="n"/>
      <c r="F412" s="56" t="n"/>
      <c r="G412" s="196" t="n"/>
      <c r="H412" s="196" t="n"/>
      <c r="I412" s="55" t="n"/>
      <c r="J412" s="55" t="n"/>
      <c r="K412" s="55" t="n"/>
      <c r="L412" s="100">
        <f>IF(OR($C412="",$I412="Оплачено",$I412="Отменено",$H412&lt;&gt;""),"",$C412-TODAY())</f>
        <v/>
      </c>
      <c r="M412" s="101">
        <f>IF($C412="","",INDEX(Настройки!$V$6:$V$17,MONTH($C412))&amp;" "&amp;YEAR($C412))</f>
        <v/>
      </c>
      <c r="N412" s="57">
        <f>IF($F412="","",IF(COUNTIF(Постоянные!$C$8:$C$37,$F412)&gt;0,"есть в Постоянных",IF(COUNTIF(Покупки!$C$7:$C$18,$F412)&gt;0,"есть в Покупках","")))</f>
        <v/>
      </c>
      <c r="P412">
        <f>IF($H412&lt;&gt;"",$H412,IF($I412="Оплачено",N($G412),0))</f>
        <v/>
      </c>
      <c r="Q412">
        <f>IF($I412="Отменено",0,IF($G412&lt;&gt;"",$G412,N($H412)))</f>
        <v/>
      </c>
      <c r="R412">
        <f>IF($C412="","",IFERROR(DATE(Настройки!$C$8,Настройки!$D$9+MATCH($M412,Настройки!$X$6:$X$17,0)-1,1),DATE(YEAR($C412),MONTH($C412),1)))</f>
        <v/>
      </c>
      <c r="S412">
        <f>IF(OR($I412="Оплачено",$H412&lt;&gt;""),$P412,$Q412)</f>
        <v/>
      </c>
      <c r="T412">
        <f>IF(OR($C412="",$D412="Доход",$I412="Оплачено",$I412="Отменено",$H412&lt;&gt;"",$C412&lt;TODAY()),"",$C412)</f>
        <v/>
      </c>
      <c r="U412">
        <f>IF(AND($D412&lt;&gt;"Доход",COUNTIFS(Счета!$B$10:$B$21,$J412,Счета!$C$10:$C$21,"Кредитная")&gt;0),1,0)</f>
        <v/>
      </c>
    </row>
    <row r="413" ht="19" customHeight="1">
      <c r="B413" s="53">
        <f>IF(AND($C413="",$F413=""),"",ROW()-9)</f>
        <v/>
      </c>
      <c r="C413" s="213" t="n"/>
      <c r="D413" s="55" t="n"/>
      <c r="E413" s="55" t="n"/>
      <c r="F413" s="56" t="n"/>
      <c r="G413" s="196" t="n"/>
      <c r="H413" s="196" t="n"/>
      <c r="I413" s="55" t="n"/>
      <c r="J413" s="55" t="n"/>
      <c r="K413" s="55" t="n"/>
      <c r="L413" s="100">
        <f>IF(OR($C413="",$I413="Оплачено",$I413="Отменено",$H413&lt;&gt;""),"",$C413-TODAY())</f>
        <v/>
      </c>
      <c r="M413" s="101">
        <f>IF($C413="","",INDEX(Настройки!$V$6:$V$17,MONTH($C413))&amp;" "&amp;YEAR($C413))</f>
        <v/>
      </c>
      <c r="N413" s="57">
        <f>IF($F413="","",IF(COUNTIF(Постоянные!$C$8:$C$37,$F413)&gt;0,"есть в Постоянных",IF(COUNTIF(Покупки!$C$7:$C$18,$F413)&gt;0,"есть в Покупках","")))</f>
        <v/>
      </c>
      <c r="P413">
        <f>IF($H413&lt;&gt;"",$H413,IF($I413="Оплачено",N($G413),0))</f>
        <v/>
      </c>
      <c r="Q413">
        <f>IF($I413="Отменено",0,IF($G413&lt;&gt;"",$G413,N($H413)))</f>
        <v/>
      </c>
      <c r="R413">
        <f>IF($C413="","",IFERROR(DATE(Настройки!$C$8,Настройки!$D$9+MATCH($M413,Настройки!$X$6:$X$17,0)-1,1),DATE(YEAR($C413),MONTH($C413),1)))</f>
        <v/>
      </c>
      <c r="S413">
        <f>IF(OR($I413="Оплачено",$H413&lt;&gt;""),$P413,$Q413)</f>
        <v/>
      </c>
      <c r="T413">
        <f>IF(OR($C413="",$D413="Доход",$I413="Оплачено",$I413="Отменено",$H413&lt;&gt;"",$C413&lt;TODAY()),"",$C413)</f>
        <v/>
      </c>
      <c r="U413">
        <f>IF(AND($D413&lt;&gt;"Доход",COUNTIFS(Счета!$B$10:$B$21,$J413,Счета!$C$10:$C$21,"Кредитная")&gt;0),1,0)</f>
        <v/>
      </c>
    </row>
    <row r="414" ht="19" customHeight="1">
      <c r="B414" s="53">
        <f>IF(AND($C414="",$F414=""),"",ROW()-9)</f>
        <v/>
      </c>
      <c r="C414" s="213" t="n"/>
      <c r="D414" s="55" t="n"/>
      <c r="E414" s="55" t="n"/>
      <c r="F414" s="56" t="n"/>
      <c r="G414" s="196" t="n"/>
      <c r="H414" s="196" t="n"/>
      <c r="I414" s="55" t="n"/>
      <c r="J414" s="55" t="n"/>
      <c r="K414" s="55" t="n"/>
      <c r="L414" s="100">
        <f>IF(OR($C414="",$I414="Оплачено",$I414="Отменено",$H414&lt;&gt;""),"",$C414-TODAY())</f>
        <v/>
      </c>
      <c r="M414" s="101">
        <f>IF($C414="","",INDEX(Настройки!$V$6:$V$17,MONTH($C414))&amp;" "&amp;YEAR($C414))</f>
        <v/>
      </c>
      <c r="N414" s="57">
        <f>IF($F414="","",IF(COUNTIF(Постоянные!$C$8:$C$37,$F414)&gt;0,"есть в Постоянных",IF(COUNTIF(Покупки!$C$7:$C$18,$F414)&gt;0,"есть в Покупках","")))</f>
        <v/>
      </c>
      <c r="P414">
        <f>IF($H414&lt;&gt;"",$H414,IF($I414="Оплачено",N($G414),0))</f>
        <v/>
      </c>
      <c r="Q414">
        <f>IF($I414="Отменено",0,IF($G414&lt;&gt;"",$G414,N($H414)))</f>
        <v/>
      </c>
      <c r="R414">
        <f>IF($C414="","",IFERROR(DATE(Настройки!$C$8,Настройки!$D$9+MATCH($M414,Настройки!$X$6:$X$17,0)-1,1),DATE(YEAR($C414),MONTH($C414),1)))</f>
        <v/>
      </c>
      <c r="S414">
        <f>IF(OR($I414="Оплачено",$H414&lt;&gt;""),$P414,$Q414)</f>
        <v/>
      </c>
      <c r="T414">
        <f>IF(OR($C414="",$D414="Доход",$I414="Оплачено",$I414="Отменено",$H414&lt;&gt;"",$C414&lt;TODAY()),"",$C414)</f>
        <v/>
      </c>
      <c r="U414">
        <f>IF(AND($D414&lt;&gt;"Доход",COUNTIFS(Счета!$B$10:$B$21,$J414,Счета!$C$10:$C$21,"Кредитная")&gt;0),1,0)</f>
        <v/>
      </c>
    </row>
    <row r="415" ht="19" customHeight="1">
      <c r="B415" s="53">
        <f>IF(AND($C415="",$F415=""),"",ROW()-9)</f>
        <v/>
      </c>
      <c r="C415" s="213" t="n"/>
      <c r="D415" s="55" t="n"/>
      <c r="E415" s="55" t="n"/>
      <c r="F415" s="56" t="n"/>
      <c r="G415" s="196" t="n"/>
      <c r="H415" s="196" t="n"/>
      <c r="I415" s="55" t="n"/>
      <c r="J415" s="55" t="n"/>
      <c r="K415" s="55" t="n"/>
      <c r="L415" s="100">
        <f>IF(OR($C415="",$I415="Оплачено",$I415="Отменено",$H415&lt;&gt;""),"",$C415-TODAY())</f>
        <v/>
      </c>
      <c r="M415" s="101">
        <f>IF($C415="","",INDEX(Настройки!$V$6:$V$17,MONTH($C415))&amp;" "&amp;YEAR($C415))</f>
        <v/>
      </c>
      <c r="N415" s="57">
        <f>IF($F415="","",IF(COUNTIF(Постоянные!$C$8:$C$37,$F415)&gt;0,"есть в Постоянных",IF(COUNTIF(Покупки!$C$7:$C$18,$F415)&gt;0,"есть в Покупках","")))</f>
        <v/>
      </c>
      <c r="P415">
        <f>IF($H415&lt;&gt;"",$H415,IF($I415="Оплачено",N($G415),0))</f>
        <v/>
      </c>
      <c r="Q415">
        <f>IF($I415="Отменено",0,IF($G415&lt;&gt;"",$G415,N($H415)))</f>
        <v/>
      </c>
      <c r="R415">
        <f>IF($C415="","",IFERROR(DATE(Настройки!$C$8,Настройки!$D$9+MATCH($M415,Настройки!$X$6:$X$17,0)-1,1),DATE(YEAR($C415),MONTH($C415),1)))</f>
        <v/>
      </c>
      <c r="S415">
        <f>IF(OR($I415="Оплачено",$H415&lt;&gt;""),$P415,$Q415)</f>
        <v/>
      </c>
      <c r="T415">
        <f>IF(OR($C415="",$D415="Доход",$I415="Оплачено",$I415="Отменено",$H415&lt;&gt;"",$C415&lt;TODAY()),"",$C415)</f>
        <v/>
      </c>
      <c r="U415">
        <f>IF(AND($D415&lt;&gt;"Доход",COUNTIFS(Счета!$B$10:$B$21,$J415,Счета!$C$10:$C$21,"Кредитная")&gt;0),1,0)</f>
        <v/>
      </c>
    </row>
    <row r="416" ht="19" customHeight="1">
      <c r="B416" s="53">
        <f>IF(AND($C416="",$F416=""),"",ROW()-9)</f>
        <v/>
      </c>
      <c r="C416" s="213" t="n"/>
      <c r="D416" s="55" t="n"/>
      <c r="E416" s="55" t="n"/>
      <c r="F416" s="56" t="n"/>
      <c r="G416" s="196" t="n"/>
      <c r="H416" s="196" t="n"/>
      <c r="I416" s="55" t="n"/>
      <c r="J416" s="55" t="n"/>
      <c r="K416" s="55" t="n"/>
      <c r="L416" s="100">
        <f>IF(OR($C416="",$I416="Оплачено",$I416="Отменено",$H416&lt;&gt;""),"",$C416-TODAY())</f>
        <v/>
      </c>
      <c r="M416" s="101">
        <f>IF($C416="","",INDEX(Настройки!$V$6:$V$17,MONTH($C416))&amp;" "&amp;YEAR($C416))</f>
        <v/>
      </c>
      <c r="N416" s="57">
        <f>IF($F416="","",IF(COUNTIF(Постоянные!$C$8:$C$37,$F416)&gt;0,"есть в Постоянных",IF(COUNTIF(Покупки!$C$7:$C$18,$F416)&gt;0,"есть в Покупках","")))</f>
        <v/>
      </c>
      <c r="P416">
        <f>IF($H416&lt;&gt;"",$H416,IF($I416="Оплачено",N($G416),0))</f>
        <v/>
      </c>
      <c r="Q416">
        <f>IF($I416="Отменено",0,IF($G416&lt;&gt;"",$G416,N($H416)))</f>
        <v/>
      </c>
      <c r="R416">
        <f>IF($C416="","",IFERROR(DATE(Настройки!$C$8,Настройки!$D$9+MATCH($M416,Настройки!$X$6:$X$17,0)-1,1),DATE(YEAR($C416),MONTH($C416),1)))</f>
        <v/>
      </c>
      <c r="S416">
        <f>IF(OR($I416="Оплачено",$H416&lt;&gt;""),$P416,$Q416)</f>
        <v/>
      </c>
      <c r="T416">
        <f>IF(OR($C416="",$D416="Доход",$I416="Оплачено",$I416="Отменено",$H416&lt;&gt;"",$C416&lt;TODAY()),"",$C416)</f>
        <v/>
      </c>
      <c r="U416">
        <f>IF(AND($D416&lt;&gt;"Доход",COUNTIFS(Счета!$B$10:$B$21,$J416,Счета!$C$10:$C$21,"Кредитная")&gt;0),1,0)</f>
        <v/>
      </c>
    </row>
    <row r="417" ht="19" customHeight="1">
      <c r="B417" s="53">
        <f>IF(AND($C417="",$F417=""),"",ROW()-9)</f>
        <v/>
      </c>
      <c r="C417" s="213" t="n"/>
      <c r="D417" s="55" t="n"/>
      <c r="E417" s="55" t="n"/>
      <c r="F417" s="56" t="n"/>
      <c r="G417" s="196" t="n"/>
      <c r="H417" s="196" t="n"/>
      <c r="I417" s="55" t="n"/>
      <c r="J417" s="55" t="n"/>
      <c r="K417" s="55" t="n"/>
      <c r="L417" s="100">
        <f>IF(OR($C417="",$I417="Оплачено",$I417="Отменено",$H417&lt;&gt;""),"",$C417-TODAY())</f>
        <v/>
      </c>
      <c r="M417" s="101">
        <f>IF($C417="","",INDEX(Настройки!$V$6:$V$17,MONTH($C417))&amp;" "&amp;YEAR($C417))</f>
        <v/>
      </c>
      <c r="N417" s="57">
        <f>IF($F417="","",IF(COUNTIF(Постоянные!$C$8:$C$37,$F417)&gt;0,"есть в Постоянных",IF(COUNTIF(Покупки!$C$7:$C$18,$F417)&gt;0,"есть в Покупках","")))</f>
        <v/>
      </c>
      <c r="P417">
        <f>IF($H417&lt;&gt;"",$H417,IF($I417="Оплачено",N($G417),0))</f>
        <v/>
      </c>
      <c r="Q417">
        <f>IF($I417="Отменено",0,IF($G417&lt;&gt;"",$G417,N($H417)))</f>
        <v/>
      </c>
      <c r="R417">
        <f>IF($C417="","",IFERROR(DATE(Настройки!$C$8,Настройки!$D$9+MATCH($M417,Настройки!$X$6:$X$17,0)-1,1),DATE(YEAR($C417),MONTH($C417),1)))</f>
        <v/>
      </c>
      <c r="S417">
        <f>IF(OR($I417="Оплачено",$H417&lt;&gt;""),$P417,$Q417)</f>
        <v/>
      </c>
      <c r="T417">
        <f>IF(OR($C417="",$D417="Доход",$I417="Оплачено",$I417="Отменено",$H417&lt;&gt;"",$C417&lt;TODAY()),"",$C417)</f>
        <v/>
      </c>
      <c r="U417">
        <f>IF(AND($D417&lt;&gt;"Доход",COUNTIFS(Счета!$B$10:$B$21,$J417,Счета!$C$10:$C$21,"Кредитная")&gt;0),1,0)</f>
        <v/>
      </c>
    </row>
    <row r="418" ht="19" customHeight="1">
      <c r="B418" s="53">
        <f>IF(AND($C418="",$F418=""),"",ROW()-9)</f>
        <v/>
      </c>
      <c r="C418" s="213" t="n"/>
      <c r="D418" s="55" t="n"/>
      <c r="E418" s="55" t="n"/>
      <c r="F418" s="56" t="n"/>
      <c r="G418" s="196" t="n"/>
      <c r="H418" s="196" t="n"/>
      <c r="I418" s="55" t="n"/>
      <c r="J418" s="55" t="n"/>
      <c r="K418" s="55" t="n"/>
      <c r="L418" s="100">
        <f>IF(OR($C418="",$I418="Оплачено",$I418="Отменено",$H418&lt;&gt;""),"",$C418-TODAY())</f>
        <v/>
      </c>
      <c r="M418" s="101">
        <f>IF($C418="","",INDEX(Настройки!$V$6:$V$17,MONTH($C418))&amp;" "&amp;YEAR($C418))</f>
        <v/>
      </c>
      <c r="N418" s="57">
        <f>IF($F418="","",IF(COUNTIF(Постоянные!$C$8:$C$37,$F418)&gt;0,"есть в Постоянных",IF(COUNTIF(Покупки!$C$7:$C$18,$F418)&gt;0,"есть в Покупках","")))</f>
        <v/>
      </c>
      <c r="P418">
        <f>IF($H418&lt;&gt;"",$H418,IF($I418="Оплачено",N($G418),0))</f>
        <v/>
      </c>
      <c r="Q418">
        <f>IF($I418="Отменено",0,IF($G418&lt;&gt;"",$G418,N($H418)))</f>
        <v/>
      </c>
      <c r="R418">
        <f>IF($C418="","",IFERROR(DATE(Настройки!$C$8,Настройки!$D$9+MATCH($M418,Настройки!$X$6:$X$17,0)-1,1),DATE(YEAR($C418),MONTH($C418),1)))</f>
        <v/>
      </c>
      <c r="S418">
        <f>IF(OR($I418="Оплачено",$H418&lt;&gt;""),$P418,$Q418)</f>
        <v/>
      </c>
      <c r="T418">
        <f>IF(OR($C418="",$D418="Доход",$I418="Оплачено",$I418="Отменено",$H418&lt;&gt;"",$C418&lt;TODAY()),"",$C418)</f>
        <v/>
      </c>
      <c r="U418">
        <f>IF(AND($D418&lt;&gt;"Доход",COUNTIFS(Счета!$B$10:$B$21,$J418,Счета!$C$10:$C$21,"Кредитная")&gt;0),1,0)</f>
        <v/>
      </c>
    </row>
    <row r="419" ht="19" customHeight="1">
      <c r="B419" s="53">
        <f>IF(AND($C419="",$F419=""),"",ROW()-9)</f>
        <v/>
      </c>
      <c r="C419" s="213" t="n"/>
      <c r="D419" s="55" t="n"/>
      <c r="E419" s="55" t="n"/>
      <c r="F419" s="56" t="n"/>
      <c r="G419" s="196" t="n"/>
      <c r="H419" s="196" t="n"/>
      <c r="I419" s="55" t="n"/>
      <c r="J419" s="55" t="n"/>
      <c r="K419" s="55" t="n"/>
      <c r="L419" s="100">
        <f>IF(OR($C419="",$I419="Оплачено",$I419="Отменено",$H419&lt;&gt;""),"",$C419-TODAY())</f>
        <v/>
      </c>
      <c r="M419" s="101">
        <f>IF($C419="","",INDEX(Настройки!$V$6:$V$17,MONTH($C419))&amp;" "&amp;YEAR($C419))</f>
        <v/>
      </c>
      <c r="N419" s="57">
        <f>IF($F419="","",IF(COUNTIF(Постоянные!$C$8:$C$37,$F419)&gt;0,"есть в Постоянных",IF(COUNTIF(Покупки!$C$7:$C$18,$F419)&gt;0,"есть в Покупках","")))</f>
        <v/>
      </c>
      <c r="P419">
        <f>IF($H419&lt;&gt;"",$H419,IF($I419="Оплачено",N($G419),0))</f>
        <v/>
      </c>
      <c r="Q419">
        <f>IF($I419="Отменено",0,IF($G419&lt;&gt;"",$G419,N($H419)))</f>
        <v/>
      </c>
      <c r="R419">
        <f>IF($C419="","",IFERROR(DATE(Настройки!$C$8,Настройки!$D$9+MATCH($M419,Настройки!$X$6:$X$17,0)-1,1),DATE(YEAR($C419),MONTH($C419),1)))</f>
        <v/>
      </c>
      <c r="S419">
        <f>IF(OR($I419="Оплачено",$H419&lt;&gt;""),$P419,$Q419)</f>
        <v/>
      </c>
      <c r="T419">
        <f>IF(OR($C419="",$D419="Доход",$I419="Оплачено",$I419="Отменено",$H419&lt;&gt;"",$C419&lt;TODAY()),"",$C419)</f>
        <v/>
      </c>
      <c r="U419">
        <f>IF(AND($D419&lt;&gt;"Доход",COUNTIFS(Счета!$B$10:$B$21,$J419,Счета!$C$10:$C$21,"Кредитная")&gt;0),1,0)</f>
        <v/>
      </c>
    </row>
    <row r="420" ht="19" customHeight="1">
      <c r="B420" s="53">
        <f>IF(AND($C420="",$F420=""),"",ROW()-9)</f>
        <v/>
      </c>
      <c r="C420" s="213" t="n"/>
      <c r="D420" s="55" t="n"/>
      <c r="E420" s="55" t="n"/>
      <c r="F420" s="56" t="n"/>
      <c r="G420" s="196" t="n"/>
      <c r="H420" s="196" t="n"/>
      <c r="I420" s="55" t="n"/>
      <c r="J420" s="55" t="n"/>
      <c r="K420" s="55" t="n"/>
      <c r="L420" s="100">
        <f>IF(OR($C420="",$I420="Оплачено",$I420="Отменено",$H420&lt;&gt;""),"",$C420-TODAY())</f>
        <v/>
      </c>
      <c r="M420" s="101">
        <f>IF($C420="","",INDEX(Настройки!$V$6:$V$17,MONTH($C420))&amp;" "&amp;YEAR($C420))</f>
        <v/>
      </c>
      <c r="N420" s="57">
        <f>IF($F420="","",IF(COUNTIF(Постоянные!$C$8:$C$37,$F420)&gt;0,"есть в Постоянных",IF(COUNTIF(Покупки!$C$7:$C$18,$F420)&gt;0,"есть в Покупках","")))</f>
        <v/>
      </c>
      <c r="P420">
        <f>IF($H420&lt;&gt;"",$H420,IF($I420="Оплачено",N($G420),0))</f>
        <v/>
      </c>
      <c r="Q420">
        <f>IF($I420="Отменено",0,IF($G420&lt;&gt;"",$G420,N($H420)))</f>
        <v/>
      </c>
      <c r="R420">
        <f>IF($C420="","",IFERROR(DATE(Настройки!$C$8,Настройки!$D$9+MATCH($M420,Настройки!$X$6:$X$17,0)-1,1),DATE(YEAR($C420),MONTH($C420),1)))</f>
        <v/>
      </c>
      <c r="S420">
        <f>IF(OR($I420="Оплачено",$H420&lt;&gt;""),$P420,$Q420)</f>
        <v/>
      </c>
      <c r="T420">
        <f>IF(OR($C420="",$D420="Доход",$I420="Оплачено",$I420="Отменено",$H420&lt;&gt;"",$C420&lt;TODAY()),"",$C420)</f>
        <v/>
      </c>
      <c r="U420">
        <f>IF(AND($D420&lt;&gt;"Доход",COUNTIFS(Счета!$B$10:$B$21,$J420,Счета!$C$10:$C$21,"Кредитная")&gt;0),1,0)</f>
        <v/>
      </c>
    </row>
    <row r="421" ht="19" customHeight="1">
      <c r="B421" s="53">
        <f>IF(AND($C421="",$F421=""),"",ROW()-9)</f>
        <v/>
      </c>
      <c r="C421" s="213" t="n"/>
      <c r="D421" s="55" t="n"/>
      <c r="E421" s="55" t="n"/>
      <c r="F421" s="56" t="n"/>
      <c r="G421" s="196" t="n"/>
      <c r="H421" s="196" t="n"/>
      <c r="I421" s="55" t="n"/>
      <c r="J421" s="55" t="n"/>
      <c r="K421" s="55" t="n"/>
      <c r="L421" s="100">
        <f>IF(OR($C421="",$I421="Оплачено",$I421="Отменено",$H421&lt;&gt;""),"",$C421-TODAY())</f>
        <v/>
      </c>
      <c r="M421" s="101">
        <f>IF($C421="","",INDEX(Настройки!$V$6:$V$17,MONTH($C421))&amp;" "&amp;YEAR($C421))</f>
        <v/>
      </c>
      <c r="N421" s="57">
        <f>IF($F421="","",IF(COUNTIF(Постоянные!$C$8:$C$37,$F421)&gt;0,"есть в Постоянных",IF(COUNTIF(Покупки!$C$7:$C$18,$F421)&gt;0,"есть в Покупках","")))</f>
        <v/>
      </c>
      <c r="P421">
        <f>IF($H421&lt;&gt;"",$H421,IF($I421="Оплачено",N($G421),0))</f>
        <v/>
      </c>
      <c r="Q421">
        <f>IF($I421="Отменено",0,IF($G421&lt;&gt;"",$G421,N($H421)))</f>
        <v/>
      </c>
      <c r="R421">
        <f>IF($C421="","",IFERROR(DATE(Настройки!$C$8,Настройки!$D$9+MATCH($M421,Настройки!$X$6:$X$17,0)-1,1),DATE(YEAR($C421),MONTH($C421),1)))</f>
        <v/>
      </c>
      <c r="S421">
        <f>IF(OR($I421="Оплачено",$H421&lt;&gt;""),$P421,$Q421)</f>
        <v/>
      </c>
      <c r="T421">
        <f>IF(OR($C421="",$D421="Доход",$I421="Оплачено",$I421="Отменено",$H421&lt;&gt;"",$C421&lt;TODAY()),"",$C421)</f>
        <v/>
      </c>
      <c r="U421">
        <f>IF(AND($D421&lt;&gt;"Доход",COUNTIFS(Счета!$B$10:$B$21,$J421,Счета!$C$10:$C$21,"Кредитная")&gt;0),1,0)</f>
        <v/>
      </c>
    </row>
    <row r="422" ht="19" customHeight="1">
      <c r="B422" s="53">
        <f>IF(AND($C422="",$F422=""),"",ROW()-9)</f>
        <v/>
      </c>
      <c r="C422" s="213" t="n"/>
      <c r="D422" s="55" t="n"/>
      <c r="E422" s="55" t="n"/>
      <c r="F422" s="56" t="n"/>
      <c r="G422" s="196" t="n"/>
      <c r="H422" s="196" t="n"/>
      <c r="I422" s="55" t="n"/>
      <c r="J422" s="55" t="n"/>
      <c r="K422" s="55" t="n"/>
      <c r="L422" s="100">
        <f>IF(OR($C422="",$I422="Оплачено",$I422="Отменено",$H422&lt;&gt;""),"",$C422-TODAY())</f>
        <v/>
      </c>
      <c r="M422" s="101">
        <f>IF($C422="","",INDEX(Настройки!$V$6:$V$17,MONTH($C422))&amp;" "&amp;YEAR($C422))</f>
        <v/>
      </c>
      <c r="N422" s="57">
        <f>IF($F422="","",IF(COUNTIF(Постоянные!$C$8:$C$37,$F422)&gt;0,"есть в Постоянных",IF(COUNTIF(Покупки!$C$7:$C$18,$F422)&gt;0,"есть в Покупках","")))</f>
        <v/>
      </c>
      <c r="P422">
        <f>IF($H422&lt;&gt;"",$H422,IF($I422="Оплачено",N($G422),0))</f>
        <v/>
      </c>
      <c r="Q422">
        <f>IF($I422="Отменено",0,IF($G422&lt;&gt;"",$G422,N($H422)))</f>
        <v/>
      </c>
      <c r="R422">
        <f>IF($C422="","",IFERROR(DATE(Настройки!$C$8,Настройки!$D$9+MATCH($M422,Настройки!$X$6:$X$17,0)-1,1),DATE(YEAR($C422),MONTH($C422),1)))</f>
        <v/>
      </c>
      <c r="S422">
        <f>IF(OR($I422="Оплачено",$H422&lt;&gt;""),$P422,$Q422)</f>
        <v/>
      </c>
      <c r="T422">
        <f>IF(OR($C422="",$D422="Доход",$I422="Оплачено",$I422="Отменено",$H422&lt;&gt;"",$C422&lt;TODAY()),"",$C422)</f>
        <v/>
      </c>
      <c r="U422">
        <f>IF(AND($D422&lt;&gt;"Доход",COUNTIFS(Счета!$B$10:$B$21,$J422,Счета!$C$10:$C$21,"Кредитная")&gt;0),1,0)</f>
        <v/>
      </c>
    </row>
    <row r="423" ht="19" customHeight="1">
      <c r="B423" s="53">
        <f>IF(AND($C423="",$F423=""),"",ROW()-9)</f>
        <v/>
      </c>
      <c r="C423" s="213" t="n"/>
      <c r="D423" s="55" t="n"/>
      <c r="E423" s="55" t="n"/>
      <c r="F423" s="56" t="n"/>
      <c r="G423" s="196" t="n"/>
      <c r="H423" s="196" t="n"/>
      <c r="I423" s="55" t="n"/>
      <c r="J423" s="55" t="n"/>
      <c r="K423" s="55" t="n"/>
      <c r="L423" s="100">
        <f>IF(OR($C423="",$I423="Оплачено",$I423="Отменено",$H423&lt;&gt;""),"",$C423-TODAY())</f>
        <v/>
      </c>
      <c r="M423" s="101">
        <f>IF($C423="","",INDEX(Настройки!$V$6:$V$17,MONTH($C423))&amp;" "&amp;YEAR($C423))</f>
        <v/>
      </c>
      <c r="N423" s="57">
        <f>IF($F423="","",IF(COUNTIF(Постоянные!$C$8:$C$37,$F423)&gt;0,"есть в Постоянных",IF(COUNTIF(Покупки!$C$7:$C$18,$F423)&gt;0,"есть в Покупках","")))</f>
        <v/>
      </c>
      <c r="P423">
        <f>IF($H423&lt;&gt;"",$H423,IF($I423="Оплачено",N($G423),0))</f>
        <v/>
      </c>
      <c r="Q423">
        <f>IF($I423="Отменено",0,IF($G423&lt;&gt;"",$G423,N($H423)))</f>
        <v/>
      </c>
      <c r="R423">
        <f>IF($C423="","",IFERROR(DATE(Настройки!$C$8,Настройки!$D$9+MATCH($M423,Настройки!$X$6:$X$17,0)-1,1),DATE(YEAR($C423),MONTH($C423),1)))</f>
        <v/>
      </c>
      <c r="S423">
        <f>IF(OR($I423="Оплачено",$H423&lt;&gt;""),$P423,$Q423)</f>
        <v/>
      </c>
      <c r="T423">
        <f>IF(OR($C423="",$D423="Доход",$I423="Оплачено",$I423="Отменено",$H423&lt;&gt;"",$C423&lt;TODAY()),"",$C423)</f>
        <v/>
      </c>
      <c r="U423">
        <f>IF(AND($D423&lt;&gt;"Доход",COUNTIFS(Счета!$B$10:$B$21,$J423,Счета!$C$10:$C$21,"Кредитная")&gt;0),1,0)</f>
        <v/>
      </c>
    </row>
    <row r="424" ht="19" customHeight="1">
      <c r="B424" s="53">
        <f>IF(AND($C424="",$F424=""),"",ROW()-9)</f>
        <v/>
      </c>
      <c r="C424" s="213" t="n"/>
      <c r="D424" s="55" t="n"/>
      <c r="E424" s="55" t="n"/>
      <c r="F424" s="56" t="n"/>
      <c r="G424" s="196" t="n"/>
      <c r="H424" s="196" t="n"/>
      <c r="I424" s="55" t="n"/>
      <c r="J424" s="55" t="n"/>
      <c r="K424" s="55" t="n"/>
      <c r="L424" s="100">
        <f>IF(OR($C424="",$I424="Оплачено",$I424="Отменено",$H424&lt;&gt;""),"",$C424-TODAY())</f>
        <v/>
      </c>
      <c r="M424" s="101">
        <f>IF($C424="","",INDEX(Настройки!$V$6:$V$17,MONTH($C424))&amp;" "&amp;YEAR($C424))</f>
        <v/>
      </c>
      <c r="N424" s="57">
        <f>IF($F424="","",IF(COUNTIF(Постоянные!$C$8:$C$37,$F424)&gt;0,"есть в Постоянных",IF(COUNTIF(Покупки!$C$7:$C$18,$F424)&gt;0,"есть в Покупках","")))</f>
        <v/>
      </c>
      <c r="P424">
        <f>IF($H424&lt;&gt;"",$H424,IF($I424="Оплачено",N($G424),0))</f>
        <v/>
      </c>
      <c r="Q424">
        <f>IF($I424="Отменено",0,IF($G424&lt;&gt;"",$G424,N($H424)))</f>
        <v/>
      </c>
      <c r="R424">
        <f>IF($C424="","",IFERROR(DATE(Настройки!$C$8,Настройки!$D$9+MATCH($M424,Настройки!$X$6:$X$17,0)-1,1),DATE(YEAR($C424),MONTH($C424),1)))</f>
        <v/>
      </c>
      <c r="S424">
        <f>IF(OR($I424="Оплачено",$H424&lt;&gt;""),$P424,$Q424)</f>
        <v/>
      </c>
      <c r="T424">
        <f>IF(OR($C424="",$D424="Доход",$I424="Оплачено",$I424="Отменено",$H424&lt;&gt;"",$C424&lt;TODAY()),"",$C424)</f>
        <v/>
      </c>
      <c r="U424">
        <f>IF(AND($D424&lt;&gt;"Доход",COUNTIFS(Счета!$B$10:$B$21,$J424,Счета!$C$10:$C$21,"Кредитная")&gt;0),1,0)</f>
        <v/>
      </c>
    </row>
    <row r="425" ht="19" customHeight="1">
      <c r="B425" s="53">
        <f>IF(AND($C425="",$F425=""),"",ROW()-9)</f>
        <v/>
      </c>
      <c r="C425" s="213" t="n"/>
      <c r="D425" s="55" t="n"/>
      <c r="E425" s="55" t="n"/>
      <c r="F425" s="56" t="n"/>
      <c r="G425" s="196" t="n"/>
      <c r="H425" s="196" t="n"/>
      <c r="I425" s="55" t="n"/>
      <c r="J425" s="55" t="n"/>
      <c r="K425" s="55" t="n"/>
      <c r="L425" s="100">
        <f>IF(OR($C425="",$I425="Оплачено",$I425="Отменено",$H425&lt;&gt;""),"",$C425-TODAY())</f>
        <v/>
      </c>
      <c r="M425" s="101">
        <f>IF($C425="","",INDEX(Настройки!$V$6:$V$17,MONTH($C425))&amp;" "&amp;YEAR($C425))</f>
        <v/>
      </c>
      <c r="N425" s="57">
        <f>IF($F425="","",IF(COUNTIF(Постоянные!$C$8:$C$37,$F425)&gt;0,"есть в Постоянных",IF(COUNTIF(Покупки!$C$7:$C$18,$F425)&gt;0,"есть в Покупках","")))</f>
        <v/>
      </c>
      <c r="P425">
        <f>IF($H425&lt;&gt;"",$H425,IF($I425="Оплачено",N($G425),0))</f>
        <v/>
      </c>
      <c r="Q425">
        <f>IF($I425="Отменено",0,IF($G425&lt;&gt;"",$G425,N($H425)))</f>
        <v/>
      </c>
      <c r="R425">
        <f>IF($C425="","",IFERROR(DATE(Настройки!$C$8,Настройки!$D$9+MATCH($M425,Настройки!$X$6:$X$17,0)-1,1),DATE(YEAR($C425),MONTH($C425),1)))</f>
        <v/>
      </c>
      <c r="S425">
        <f>IF(OR($I425="Оплачено",$H425&lt;&gt;""),$P425,$Q425)</f>
        <v/>
      </c>
      <c r="T425">
        <f>IF(OR($C425="",$D425="Доход",$I425="Оплачено",$I425="Отменено",$H425&lt;&gt;"",$C425&lt;TODAY()),"",$C425)</f>
        <v/>
      </c>
      <c r="U425">
        <f>IF(AND($D425&lt;&gt;"Доход",COUNTIFS(Счета!$B$10:$B$21,$J425,Счета!$C$10:$C$21,"Кредитная")&gt;0),1,0)</f>
        <v/>
      </c>
    </row>
    <row r="426" ht="19" customHeight="1">
      <c r="B426" s="53">
        <f>IF(AND($C426="",$F426=""),"",ROW()-9)</f>
        <v/>
      </c>
      <c r="C426" s="213" t="n"/>
      <c r="D426" s="55" t="n"/>
      <c r="E426" s="55" t="n"/>
      <c r="F426" s="56" t="n"/>
      <c r="G426" s="196" t="n"/>
      <c r="H426" s="196" t="n"/>
      <c r="I426" s="55" t="n"/>
      <c r="J426" s="55" t="n"/>
      <c r="K426" s="55" t="n"/>
      <c r="L426" s="100">
        <f>IF(OR($C426="",$I426="Оплачено",$I426="Отменено",$H426&lt;&gt;""),"",$C426-TODAY())</f>
        <v/>
      </c>
      <c r="M426" s="101">
        <f>IF($C426="","",INDEX(Настройки!$V$6:$V$17,MONTH($C426))&amp;" "&amp;YEAR($C426))</f>
        <v/>
      </c>
      <c r="N426" s="57">
        <f>IF($F426="","",IF(COUNTIF(Постоянные!$C$8:$C$37,$F426)&gt;0,"есть в Постоянных",IF(COUNTIF(Покупки!$C$7:$C$18,$F426)&gt;0,"есть в Покупках","")))</f>
        <v/>
      </c>
      <c r="P426">
        <f>IF($H426&lt;&gt;"",$H426,IF($I426="Оплачено",N($G426),0))</f>
        <v/>
      </c>
      <c r="Q426">
        <f>IF($I426="Отменено",0,IF($G426&lt;&gt;"",$G426,N($H426)))</f>
        <v/>
      </c>
      <c r="R426">
        <f>IF($C426="","",IFERROR(DATE(Настройки!$C$8,Настройки!$D$9+MATCH($M426,Настройки!$X$6:$X$17,0)-1,1),DATE(YEAR($C426),MONTH($C426),1)))</f>
        <v/>
      </c>
      <c r="S426">
        <f>IF(OR($I426="Оплачено",$H426&lt;&gt;""),$P426,$Q426)</f>
        <v/>
      </c>
      <c r="T426">
        <f>IF(OR($C426="",$D426="Доход",$I426="Оплачено",$I426="Отменено",$H426&lt;&gt;"",$C426&lt;TODAY()),"",$C426)</f>
        <v/>
      </c>
      <c r="U426">
        <f>IF(AND($D426&lt;&gt;"Доход",COUNTIFS(Счета!$B$10:$B$21,$J426,Счета!$C$10:$C$21,"Кредитная")&gt;0),1,0)</f>
        <v/>
      </c>
    </row>
    <row r="427" ht="19" customHeight="1">
      <c r="B427" s="53">
        <f>IF(AND($C427="",$F427=""),"",ROW()-9)</f>
        <v/>
      </c>
      <c r="C427" s="213" t="n"/>
      <c r="D427" s="55" t="n"/>
      <c r="E427" s="55" t="n"/>
      <c r="F427" s="56" t="n"/>
      <c r="G427" s="196" t="n"/>
      <c r="H427" s="196" t="n"/>
      <c r="I427" s="55" t="n"/>
      <c r="J427" s="55" t="n"/>
      <c r="K427" s="55" t="n"/>
      <c r="L427" s="100">
        <f>IF(OR($C427="",$I427="Оплачено",$I427="Отменено",$H427&lt;&gt;""),"",$C427-TODAY())</f>
        <v/>
      </c>
      <c r="M427" s="101">
        <f>IF($C427="","",INDEX(Настройки!$V$6:$V$17,MONTH($C427))&amp;" "&amp;YEAR($C427))</f>
        <v/>
      </c>
      <c r="N427" s="57">
        <f>IF($F427="","",IF(COUNTIF(Постоянные!$C$8:$C$37,$F427)&gt;0,"есть в Постоянных",IF(COUNTIF(Покупки!$C$7:$C$18,$F427)&gt;0,"есть в Покупках","")))</f>
        <v/>
      </c>
      <c r="P427">
        <f>IF($H427&lt;&gt;"",$H427,IF($I427="Оплачено",N($G427),0))</f>
        <v/>
      </c>
      <c r="Q427">
        <f>IF($I427="Отменено",0,IF($G427&lt;&gt;"",$G427,N($H427)))</f>
        <v/>
      </c>
      <c r="R427">
        <f>IF($C427="","",IFERROR(DATE(Настройки!$C$8,Настройки!$D$9+MATCH($M427,Настройки!$X$6:$X$17,0)-1,1),DATE(YEAR($C427),MONTH($C427),1)))</f>
        <v/>
      </c>
      <c r="S427">
        <f>IF(OR($I427="Оплачено",$H427&lt;&gt;""),$P427,$Q427)</f>
        <v/>
      </c>
      <c r="T427">
        <f>IF(OR($C427="",$D427="Доход",$I427="Оплачено",$I427="Отменено",$H427&lt;&gt;"",$C427&lt;TODAY()),"",$C427)</f>
        <v/>
      </c>
      <c r="U427">
        <f>IF(AND($D427&lt;&gt;"Доход",COUNTIFS(Счета!$B$10:$B$21,$J427,Счета!$C$10:$C$21,"Кредитная")&gt;0),1,0)</f>
        <v/>
      </c>
    </row>
    <row r="428" ht="19" customHeight="1">
      <c r="B428" s="53">
        <f>IF(AND($C428="",$F428=""),"",ROW()-9)</f>
        <v/>
      </c>
      <c r="C428" s="213" t="n"/>
      <c r="D428" s="55" t="n"/>
      <c r="E428" s="55" t="n"/>
      <c r="F428" s="56" t="n"/>
      <c r="G428" s="196" t="n"/>
      <c r="H428" s="196" t="n"/>
      <c r="I428" s="55" t="n"/>
      <c r="J428" s="55" t="n"/>
      <c r="K428" s="55" t="n"/>
      <c r="L428" s="100">
        <f>IF(OR($C428="",$I428="Оплачено",$I428="Отменено",$H428&lt;&gt;""),"",$C428-TODAY())</f>
        <v/>
      </c>
      <c r="M428" s="101">
        <f>IF($C428="","",INDEX(Настройки!$V$6:$V$17,MONTH($C428))&amp;" "&amp;YEAR($C428))</f>
        <v/>
      </c>
      <c r="N428" s="57">
        <f>IF($F428="","",IF(COUNTIF(Постоянные!$C$8:$C$37,$F428)&gt;0,"есть в Постоянных",IF(COUNTIF(Покупки!$C$7:$C$18,$F428)&gt;0,"есть в Покупках","")))</f>
        <v/>
      </c>
      <c r="P428">
        <f>IF($H428&lt;&gt;"",$H428,IF($I428="Оплачено",N($G428),0))</f>
        <v/>
      </c>
      <c r="Q428">
        <f>IF($I428="Отменено",0,IF($G428&lt;&gt;"",$G428,N($H428)))</f>
        <v/>
      </c>
      <c r="R428">
        <f>IF($C428="","",IFERROR(DATE(Настройки!$C$8,Настройки!$D$9+MATCH($M428,Настройки!$X$6:$X$17,0)-1,1),DATE(YEAR($C428),MONTH($C428),1)))</f>
        <v/>
      </c>
      <c r="S428">
        <f>IF(OR($I428="Оплачено",$H428&lt;&gt;""),$P428,$Q428)</f>
        <v/>
      </c>
      <c r="T428">
        <f>IF(OR($C428="",$D428="Доход",$I428="Оплачено",$I428="Отменено",$H428&lt;&gt;"",$C428&lt;TODAY()),"",$C428)</f>
        <v/>
      </c>
      <c r="U428">
        <f>IF(AND($D428&lt;&gt;"Доход",COUNTIFS(Счета!$B$10:$B$21,$J428,Счета!$C$10:$C$21,"Кредитная")&gt;0),1,0)</f>
        <v/>
      </c>
    </row>
    <row r="429" ht="19" customHeight="1">
      <c r="B429" s="53">
        <f>IF(AND($C429="",$F429=""),"",ROW()-9)</f>
        <v/>
      </c>
      <c r="C429" s="213" t="n"/>
      <c r="D429" s="55" t="n"/>
      <c r="E429" s="55" t="n"/>
      <c r="F429" s="56" t="n"/>
      <c r="G429" s="196" t="n"/>
      <c r="H429" s="196" t="n"/>
      <c r="I429" s="55" t="n"/>
      <c r="J429" s="55" t="n"/>
      <c r="K429" s="55" t="n"/>
      <c r="L429" s="100">
        <f>IF(OR($C429="",$I429="Оплачено",$I429="Отменено",$H429&lt;&gt;""),"",$C429-TODAY())</f>
        <v/>
      </c>
      <c r="M429" s="101">
        <f>IF($C429="","",INDEX(Настройки!$V$6:$V$17,MONTH($C429))&amp;" "&amp;YEAR($C429))</f>
        <v/>
      </c>
      <c r="N429" s="57">
        <f>IF($F429="","",IF(COUNTIF(Постоянные!$C$8:$C$37,$F429)&gt;0,"есть в Постоянных",IF(COUNTIF(Покупки!$C$7:$C$18,$F429)&gt;0,"есть в Покупках","")))</f>
        <v/>
      </c>
      <c r="P429">
        <f>IF($H429&lt;&gt;"",$H429,IF($I429="Оплачено",N($G429),0))</f>
        <v/>
      </c>
      <c r="Q429">
        <f>IF($I429="Отменено",0,IF($G429&lt;&gt;"",$G429,N($H429)))</f>
        <v/>
      </c>
      <c r="R429">
        <f>IF($C429="","",IFERROR(DATE(Настройки!$C$8,Настройки!$D$9+MATCH($M429,Настройки!$X$6:$X$17,0)-1,1),DATE(YEAR($C429),MONTH($C429),1)))</f>
        <v/>
      </c>
      <c r="S429">
        <f>IF(OR($I429="Оплачено",$H429&lt;&gt;""),$P429,$Q429)</f>
        <v/>
      </c>
      <c r="T429">
        <f>IF(OR($C429="",$D429="Доход",$I429="Оплачено",$I429="Отменено",$H429&lt;&gt;"",$C429&lt;TODAY()),"",$C429)</f>
        <v/>
      </c>
      <c r="U429">
        <f>IF(AND($D429&lt;&gt;"Доход",COUNTIFS(Счета!$B$10:$B$21,$J429,Счета!$C$10:$C$21,"Кредитная")&gt;0),1,0)</f>
        <v/>
      </c>
    </row>
    <row r="430" ht="19" customHeight="1">
      <c r="B430" s="53">
        <f>IF(AND($C430="",$F430=""),"",ROW()-9)</f>
        <v/>
      </c>
      <c r="C430" s="213" t="n"/>
      <c r="D430" s="55" t="n"/>
      <c r="E430" s="55" t="n"/>
      <c r="F430" s="56" t="n"/>
      <c r="G430" s="196" t="n"/>
      <c r="H430" s="196" t="n"/>
      <c r="I430" s="55" t="n"/>
      <c r="J430" s="55" t="n"/>
      <c r="K430" s="55" t="n"/>
      <c r="L430" s="100">
        <f>IF(OR($C430="",$I430="Оплачено",$I430="Отменено",$H430&lt;&gt;""),"",$C430-TODAY())</f>
        <v/>
      </c>
      <c r="M430" s="101">
        <f>IF($C430="","",INDEX(Настройки!$V$6:$V$17,MONTH($C430))&amp;" "&amp;YEAR($C430))</f>
        <v/>
      </c>
      <c r="N430" s="57">
        <f>IF($F430="","",IF(COUNTIF(Постоянные!$C$8:$C$37,$F430)&gt;0,"есть в Постоянных",IF(COUNTIF(Покупки!$C$7:$C$18,$F430)&gt;0,"есть в Покупках","")))</f>
        <v/>
      </c>
      <c r="P430">
        <f>IF($H430&lt;&gt;"",$H430,IF($I430="Оплачено",N($G430),0))</f>
        <v/>
      </c>
      <c r="Q430">
        <f>IF($I430="Отменено",0,IF($G430&lt;&gt;"",$G430,N($H430)))</f>
        <v/>
      </c>
      <c r="R430">
        <f>IF($C430="","",IFERROR(DATE(Настройки!$C$8,Настройки!$D$9+MATCH($M430,Настройки!$X$6:$X$17,0)-1,1),DATE(YEAR($C430),MONTH($C430),1)))</f>
        <v/>
      </c>
      <c r="S430">
        <f>IF(OR($I430="Оплачено",$H430&lt;&gt;""),$P430,$Q430)</f>
        <v/>
      </c>
      <c r="T430">
        <f>IF(OR($C430="",$D430="Доход",$I430="Оплачено",$I430="Отменено",$H430&lt;&gt;"",$C430&lt;TODAY()),"",$C430)</f>
        <v/>
      </c>
      <c r="U430">
        <f>IF(AND($D430&lt;&gt;"Доход",COUNTIFS(Счета!$B$10:$B$21,$J430,Счета!$C$10:$C$21,"Кредитная")&gt;0),1,0)</f>
        <v/>
      </c>
    </row>
    <row r="431" ht="19" customHeight="1">
      <c r="B431" s="53">
        <f>IF(AND($C431="",$F431=""),"",ROW()-9)</f>
        <v/>
      </c>
      <c r="C431" s="213" t="n"/>
      <c r="D431" s="55" t="n"/>
      <c r="E431" s="55" t="n"/>
      <c r="F431" s="56" t="n"/>
      <c r="G431" s="196" t="n"/>
      <c r="H431" s="196" t="n"/>
      <c r="I431" s="55" t="n"/>
      <c r="J431" s="55" t="n"/>
      <c r="K431" s="55" t="n"/>
      <c r="L431" s="100">
        <f>IF(OR($C431="",$I431="Оплачено",$I431="Отменено",$H431&lt;&gt;""),"",$C431-TODAY())</f>
        <v/>
      </c>
      <c r="M431" s="101">
        <f>IF($C431="","",INDEX(Настройки!$V$6:$V$17,MONTH($C431))&amp;" "&amp;YEAR($C431))</f>
        <v/>
      </c>
      <c r="N431" s="57">
        <f>IF($F431="","",IF(COUNTIF(Постоянные!$C$8:$C$37,$F431)&gt;0,"есть в Постоянных",IF(COUNTIF(Покупки!$C$7:$C$18,$F431)&gt;0,"есть в Покупках","")))</f>
        <v/>
      </c>
      <c r="P431">
        <f>IF($H431&lt;&gt;"",$H431,IF($I431="Оплачено",N($G431),0))</f>
        <v/>
      </c>
      <c r="Q431">
        <f>IF($I431="Отменено",0,IF($G431&lt;&gt;"",$G431,N($H431)))</f>
        <v/>
      </c>
      <c r="R431">
        <f>IF($C431="","",IFERROR(DATE(Настройки!$C$8,Настройки!$D$9+MATCH($M431,Настройки!$X$6:$X$17,0)-1,1),DATE(YEAR($C431),MONTH($C431),1)))</f>
        <v/>
      </c>
      <c r="S431">
        <f>IF(OR($I431="Оплачено",$H431&lt;&gt;""),$P431,$Q431)</f>
        <v/>
      </c>
      <c r="T431">
        <f>IF(OR($C431="",$D431="Доход",$I431="Оплачено",$I431="Отменено",$H431&lt;&gt;"",$C431&lt;TODAY()),"",$C431)</f>
        <v/>
      </c>
      <c r="U431">
        <f>IF(AND($D431&lt;&gt;"Доход",COUNTIFS(Счета!$B$10:$B$21,$J431,Счета!$C$10:$C$21,"Кредитная")&gt;0),1,0)</f>
        <v/>
      </c>
    </row>
    <row r="432" ht="19" customHeight="1">
      <c r="B432" s="53">
        <f>IF(AND($C432="",$F432=""),"",ROW()-9)</f>
        <v/>
      </c>
      <c r="C432" s="213" t="n"/>
      <c r="D432" s="55" t="n"/>
      <c r="E432" s="55" t="n"/>
      <c r="F432" s="56" t="n"/>
      <c r="G432" s="196" t="n"/>
      <c r="H432" s="196" t="n"/>
      <c r="I432" s="55" t="n"/>
      <c r="J432" s="55" t="n"/>
      <c r="K432" s="55" t="n"/>
      <c r="L432" s="100">
        <f>IF(OR($C432="",$I432="Оплачено",$I432="Отменено",$H432&lt;&gt;""),"",$C432-TODAY())</f>
        <v/>
      </c>
      <c r="M432" s="101">
        <f>IF($C432="","",INDEX(Настройки!$V$6:$V$17,MONTH($C432))&amp;" "&amp;YEAR($C432))</f>
        <v/>
      </c>
      <c r="N432" s="57">
        <f>IF($F432="","",IF(COUNTIF(Постоянные!$C$8:$C$37,$F432)&gt;0,"есть в Постоянных",IF(COUNTIF(Покупки!$C$7:$C$18,$F432)&gt;0,"есть в Покупках","")))</f>
        <v/>
      </c>
      <c r="P432">
        <f>IF($H432&lt;&gt;"",$H432,IF($I432="Оплачено",N($G432),0))</f>
        <v/>
      </c>
      <c r="Q432">
        <f>IF($I432="Отменено",0,IF($G432&lt;&gt;"",$G432,N($H432)))</f>
        <v/>
      </c>
      <c r="R432">
        <f>IF($C432="","",IFERROR(DATE(Настройки!$C$8,Настройки!$D$9+MATCH($M432,Настройки!$X$6:$X$17,0)-1,1),DATE(YEAR($C432),MONTH($C432),1)))</f>
        <v/>
      </c>
      <c r="S432">
        <f>IF(OR($I432="Оплачено",$H432&lt;&gt;""),$P432,$Q432)</f>
        <v/>
      </c>
      <c r="T432">
        <f>IF(OR($C432="",$D432="Доход",$I432="Оплачено",$I432="Отменено",$H432&lt;&gt;"",$C432&lt;TODAY()),"",$C432)</f>
        <v/>
      </c>
      <c r="U432">
        <f>IF(AND($D432&lt;&gt;"Доход",COUNTIFS(Счета!$B$10:$B$21,$J432,Счета!$C$10:$C$21,"Кредитная")&gt;0),1,0)</f>
        <v/>
      </c>
    </row>
    <row r="433" ht="19" customHeight="1">
      <c r="B433" s="53">
        <f>IF(AND($C433="",$F433=""),"",ROW()-9)</f>
        <v/>
      </c>
      <c r="C433" s="213" t="n"/>
      <c r="D433" s="55" t="n"/>
      <c r="E433" s="55" t="n"/>
      <c r="F433" s="56" t="n"/>
      <c r="G433" s="196" t="n"/>
      <c r="H433" s="196" t="n"/>
      <c r="I433" s="55" t="n"/>
      <c r="J433" s="55" t="n"/>
      <c r="K433" s="55" t="n"/>
      <c r="L433" s="100">
        <f>IF(OR($C433="",$I433="Оплачено",$I433="Отменено",$H433&lt;&gt;""),"",$C433-TODAY())</f>
        <v/>
      </c>
      <c r="M433" s="101">
        <f>IF($C433="","",INDEX(Настройки!$V$6:$V$17,MONTH($C433))&amp;" "&amp;YEAR($C433))</f>
        <v/>
      </c>
      <c r="N433" s="57">
        <f>IF($F433="","",IF(COUNTIF(Постоянные!$C$8:$C$37,$F433)&gt;0,"есть в Постоянных",IF(COUNTIF(Покупки!$C$7:$C$18,$F433)&gt;0,"есть в Покупках","")))</f>
        <v/>
      </c>
      <c r="P433">
        <f>IF($H433&lt;&gt;"",$H433,IF($I433="Оплачено",N($G433),0))</f>
        <v/>
      </c>
      <c r="Q433">
        <f>IF($I433="Отменено",0,IF($G433&lt;&gt;"",$G433,N($H433)))</f>
        <v/>
      </c>
      <c r="R433">
        <f>IF($C433="","",IFERROR(DATE(Настройки!$C$8,Настройки!$D$9+MATCH($M433,Настройки!$X$6:$X$17,0)-1,1),DATE(YEAR($C433),MONTH($C433),1)))</f>
        <v/>
      </c>
      <c r="S433">
        <f>IF(OR($I433="Оплачено",$H433&lt;&gt;""),$P433,$Q433)</f>
        <v/>
      </c>
      <c r="T433">
        <f>IF(OR($C433="",$D433="Доход",$I433="Оплачено",$I433="Отменено",$H433&lt;&gt;"",$C433&lt;TODAY()),"",$C433)</f>
        <v/>
      </c>
      <c r="U433">
        <f>IF(AND($D433&lt;&gt;"Доход",COUNTIFS(Счета!$B$10:$B$21,$J433,Счета!$C$10:$C$21,"Кредитная")&gt;0),1,0)</f>
        <v/>
      </c>
    </row>
    <row r="434" ht="19" customHeight="1">
      <c r="B434" s="53">
        <f>IF(AND($C434="",$F434=""),"",ROW()-9)</f>
        <v/>
      </c>
      <c r="C434" s="213" t="n"/>
      <c r="D434" s="55" t="n"/>
      <c r="E434" s="55" t="n"/>
      <c r="F434" s="56" t="n"/>
      <c r="G434" s="196" t="n"/>
      <c r="H434" s="196" t="n"/>
      <c r="I434" s="55" t="n"/>
      <c r="J434" s="55" t="n"/>
      <c r="K434" s="55" t="n"/>
      <c r="L434" s="100">
        <f>IF(OR($C434="",$I434="Оплачено",$I434="Отменено",$H434&lt;&gt;""),"",$C434-TODAY())</f>
        <v/>
      </c>
      <c r="M434" s="101">
        <f>IF($C434="","",INDEX(Настройки!$V$6:$V$17,MONTH($C434))&amp;" "&amp;YEAR($C434))</f>
        <v/>
      </c>
      <c r="N434" s="57">
        <f>IF($F434="","",IF(COUNTIF(Постоянные!$C$8:$C$37,$F434)&gt;0,"есть в Постоянных",IF(COUNTIF(Покупки!$C$7:$C$18,$F434)&gt;0,"есть в Покупках","")))</f>
        <v/>
      </c>
      <c r="P434">
        <f>IF($H434&lt;&gt;"",$H434,IF($I434="Оплачено",N($G434),0))</f>
        <v/>
      </c>
      <c r="Q434">
        <f>IF($I434="Отменено",0,IF($G434&lt;&gt;"",$G434,N($H434)))</f>
        <v/>
      </c>
      <c r="R434">
        <f>IF($C434="","",IFERROR(DATE(Настройки!$C$8,Настройки!$D$9+MATCH($M434,Настройки!$X$6:$X$17,0)-1,1),DATE(YEAR($C434),MONTH($C434),1)))</f>
        <v/>
      </c>
      <c r="S434">
        <f>IF(OR($I434="Оплачено",$H434&lt;&gt;""),$P434,$Q434)</f>
        <v/>
      </c>
      <c r="T434">
        <f>IF(OR($C434="",$D434="Доход",$I434="Оплачено",$I434="Отменено",$H434&lt;&gt;"",$C434&lt;TODAY()),"",$C434)</f>
        <v/>
      </c>
      <c r="U434">
        <f>IF(AND($D434&lt;&gt;"Доход",COUNTIFS(Счета!$B$10:$B$21,$J434,Счета!$C$10:$C$21,"Кредитная")&gt;0),1,0)</f>
        <v/>
      </c>
    </row>
    <row r="435" ht="19" customHeight="1">
      <c r="B435" s="53">
        <f>IF(AND($C435="",$F435=""),"",ROW()-9)</f>
        <v/>
      </c>
      <c r="C435" s="213" t="n"/>
      <c r="D435" s="55" t="n"/>
      <c r="E435" s="55" t="n"/>
      <c r="F435" s="56" t="n"/>
      <c r="G435" s="196" t="n"/>
      <c r="H435" s="196" t="n"/>
      <c r="I435" s="55" t="n"/>
      <c r="J435" s="55" t="n"/>
      <c r="K435" s="55" t="n"/>
      <c r="L435" s="100">
        <f>IF(OR($C435="",$I435="Оплачено",$I435="Отменено",$H435&lt;&gt;""),"",$C435-TODAY())</f>
        <v/>
      </c>
      <c r="M435" s="101">
        <f>IF($C435="","",INDEX(Настройки!$V$6:$V$17,MONTH($C435))&amp;" "&amp;YEAR($C435))</f>
        <v/>
      </c>
      <c r="N435" s="57">
        <f>IF($F435="","",IF(COUNTIF(Постоянные!$C$8:$C$37,$F435)&gt;0,"есть в Постоянных",IF(COUNTIF(Покупки!$C$7:$C$18,$F435)&gt;0,"есть в Покупках","")))</f>
        <v/>
      </c>
      <c r="P435">
        <f>IF($H435&lt;&gt;"",$H435,IF($I435="Оплачено",N($G435),0))</f>
        <v/>
      </c>
      <c r="Q435">
        <f>IF($I435="Отменено",0,IF($G435&lt;&gt;"",$G435,N($H435)))</f>
        <v/>
      </c>
      <c r="R435">
        <f>IF($C435="","",IFERROR(DATE(Настройки!$C$8,Настройки!$D$9+MATCH($M435,Настройки!$X$6:$X$17,0)-1,1),DATE(YEAR($C435),MONTH($C435),1)))</f>
        <v/>
      </c>
      <c r="S435">
        <f>IF(OR($I435="Оплачено",$H435&lt;&gt;""),$P435,$Q435)</f>
        <v/>
      </c>
      <c r="T435">
        <f>IF(OR($C435="",$D435="Доход",$I435="Оплачено",$I435="Отменено",$H435&lt;&gt;"",$C435&lt;TODAY()),"",$C435)</f>
        <v/>
      </c>
      <c r="U435">
        <f>IF(AND($D435&lt;&gt;"Доход",COUNTIFS(Счета!$B$10:$B$21,$J435,Счета!$C$10:$C$21,"Кредитная")&gt;0),1,0)</f>
        <v/>
      </c>
    </row>
    <row r="436" ht="19" customHeight="1">
      <c r="B436" s="53">
        <f>IF(AND($C436="",$F436=""),"",ROW()-9)</f>
        <v/>
      </c>
      <c r="C436" s="213" t="n"/>
      <c r="D436" s="55" t="n"/>
      <c r="E436" s="55" t="n"/>
      <c r="F436" s="56" t="n"/>
      <c r="G436" s="196" t="n"/>
      <c r="H436" s="196" t="n"/>
      <c r="I436" s="55" t="n"/>
      <c r="J436" s="55" t="n"/>
      <c r="K436" s="55" t="n"/>
      <c r="L436" s="100">
        <f>IF(OR($C436="",$I436="Оплачено",$I436="Отменено",$H436&lt;&gt;""),"",$C436-TODAY())</f>
        <v/>
      </c>
      <c r="M436" s="101">
        <f>IF($C436="","",INDEX(Настройки!$V$6:$V$17,MONTH($C436))&amp;" "&amp;YEAR($C436))</f>
        <v/>
      </c>
      <c r="N436" s="57">
        <f>IF($F436="","",IF(COUNTIF(Постоянные!$C$8:$C$37,$F436)&gt;0,"есть в Постоянных",IF(COUNTIF(Покупки!$C$7:$C$18,$F436)&gt;0,"есть в Покупках","")))</f>
        <v/>
      </c>
      <c r="P436">
        <f>IF($H436&lt;&gt;"",$H436,IF($I436="Оплачено",N($G436),0))</f>
        <v/>
      </c>
      <c r="Q436">
        <f>IF($I436="Отменено",0,IF($G436&lt;&gt;"",$G436,N($H436)))</f>
        <v/>
      </c>
      <c r="R436">
        <f>IF($C436="","",IFERROR(DATE(Настройки!$C$8,Настройки!$D$9+MATCH($M436,Настройки!$X$6:$X$17,0)-1,1),DATE(YEAR($C436),MONTH($C436),1)))</f>
        <v/>
      </c>
      <c r="S436">
        <f>IF(OR($I436="Оплачено",$H436&lt;&gt;""),$P436,$Q436)</f>
        <v/>
      </c>
      <c r="T436">
        <f>IF(OR($C436="",$D436="Доход",$I436="Оплачено",$I436="Отменено",$H436&lt;&gt;"",$C436&lt;TODAY()),"",$C436)</f>
        <v/>
      </c>
      <c r="U436">
        <f>IF(AND($D436&lt;&gt;"Доход",COUNTIFS(Счета!$B$10:$B$21,$J436,Счета!$C$10:$C$21,"Кредитная")&gt;0),1,0)</f>
        <v/>
      </c>
    </row>
    <row r="437" ht="19" customHeight="1">
      <c r="B437" s="53">
        <f>IF(AND($C437="",$F437=""),"",ROW()-9)</f>
        <v/>
      </c>
      <c r="C437" s="213" t="n"/>
      <c r="D437" s="55" t="n"/>
      <c r="E437" s="55" t="n"/>
      <c r="F437" s="56" t="n"/>
      <c r="G437" s="196" t="n"/>
      <c r="H437" s="196" t="n"/>
      <c r="I437" s="55" t="n"/>
      <c r="J437" s="55" t="n"/>
      <c r="K437" s="55" t="n"/>
      <c r="L437" s="100">
        <f>IF(OR($C437="",$I437="Оплачено",$I437="Отменено",$H437&lt;&gt;""),"",$C437-TODAY())</f>
        <v/>
      </c>
      <c r="M437" s="101">
        <f>IF($C437="","",INDEX(Настройки!$V$6:$V$17,MONTH($C437))&amp;" "&amp;YEAR($C437))</f>
        <v/>
      </c>
      <c r="N437" s="57">
        <f>IF($F437="","",IF(COUNTIF(Постоянные!$C$8:$C$37,$F437)&gt;0,"есть в Постоянных",IF(COUNTIF(Покупки!$C$7:$C$18,$F437)&gt;0,"есть в Покупках","")))</f>
        <v/>
      </c>
      <c r="P437">
        <f>IF($H437&lt;&gt;"",$H437,IF($I437="Оплачено",N($G437),0))</f>
        <v/>
      </c>
      <c r="Q437">
        <f>IF($I437="Отменено",0,IF($G437&lt;&gt;"",$G437,N($H437)))</f>
        <v/>
      </c>
      <c r="R437">
        <f>IF($C437="","",IFERROR(DATE(Настройки!$C$8,Настройки!$D$9+MATCH($M437,Настройки!$X$6:$X$17,0)-1,1),DATE(YEAR($C437),MONTH($C437),1)))</f>
        <v/>
      </c>
      <c r="S437">
        <f>IF(OR($I437="Оплачено",$H437&lt;&gt;""),$P437,$Q437)</f>
        <v/>
      </c>
      <c r="T437">
        <f>IF(OR($C437="",$D437="Доход",$I437="Оплачено",$I437="Отменено",$H437&lt;&gt;"",$C437&lt;TODAY()),"",$C437)</f>
        <v/>
      </c>
      <c r="U437">
        <f>IF(AND($D437&lt;&gt;"Доход",COUNTIFS(Счета!$B$10:$B$21,$J437,Счета!$C$10:$C$21,"Кредитная")&gt;0),1,0)</f>
        <v/>
      </c>
    </row>
    <row r="438" ht="19" customHeight="1">
      <c r="B438" s="53">
        <f>IF(AND($C438="",$F438=""),"",ROW()-9)</f>
        <v/>
      </c>
      <c r="C438" s="213" t="n"/>
      <c r="D438" s="55" t="n"/>
      <c r="E438" s="55" t="n"/>
      <c r="F438" s="56" t="n"/>
      <c r="G438" s="196" t="n"/>
      <c r="H438" s="196" t="n"/>
      <c r="I438" s="55" t="n"/>
      <c r="J438" s="55" t="n"/>
      <c r="K438" s="55" t="n"/>
      <c r="L438" s="100">
        <f>IF(OR($C438="",$I438="Оплачено",$I438="Отменено",$H438&lt;&gt;""),"",$C438-TODAY())</f>
        <v/>
      </c>
      <c r="M438" s="101">
        <f>IF($C438="","",INDEX(Настройки!$V$6:$V$17,MONTH($C438))&amp;" "&amp;YEAR($C438))</f>
        <v/>
      </c>
      <c r="N438" s="57">
        <f>IF($F438="","",IF(COUNTIF(Постоянные!$C$8:$C$37,$F438)&gt;0,"есть в Постоянных",IF(COUNTIF(Покупки!$C$7:$C$18,$F438)&gt;0,"есть в Покупках","")))</f>
        <v/>
      </c>
      <c r="P438">
        <f>IF($H438&lt;&gt;"",$H438,IF($I438="Оплачено",N($G438),0))</f>
        <v/>
      </c>
      <c r="Q438">
        <f>IF($I438="Отменено",0,IF($G438&lt;&gt;"",$G438,N($H438)))</f>
        <v/>
      </c>
      <c r="R438">
        <f>IF($C438="","",IFERROR(DATE(Настройки!$C$8,Настройки!$D$9+MATCH($M438,Настройки!$X$6:$X$17,0)-1,1),DATE(YEAR($C438),MONTH($C438),1)))</f>
        <v/>
      </c>
      <c r="S438">
        <f>IF(OR($I438="Оплачено",$H438&lt;&gt;""),$P438,$Q438)</f>
        <v/>
      </c>
      <c r="T438">
        <f>IF(OR($C438="",$D438="Доход",$I438="Оплачено",$I438="Отменено",$H438&lt;&gt;"",$C438&lt;TODAY()),"",$C438)</f>
        <v/>
      </c>
      <c r="U438">
        <f>IF(AND($D438&lt;&gt;"Доход",COUNTIFS(Счета!$B$10:$B$21,$J438,Счета!$C$10:$C$21,"Кредитная")&gt;0),1,0)</f>
        <v/>
      </c>
    </row>
    <row r="439" ht="19" customHeight="1">
      <c r="B439" s="53">
        <f>IF(AND($C439="",$F439=""),"",ROW()-9)</f>
        <v/>
      </c>
      <c r="C439" s="213" t="n"/>
      <c r="D439" s="55" t="n"/>
      <c r="E439" s="55" t="n"/>
      <c r="F439" s="56" t="n"/>
      <c r="G439" s="196" t="n"/>
      <c r="H439" s="196" t="n"/>
      <c r="I439" s="55" t="n"/>
      <c r="J439" s="55" t="n"/>
      <c r="K439" s="55" t="n"/>
      <c r="L439" s="100">
        <f>IF(OR($C439="",$I439="Оплачено",$I439="Отменено",$H439&lt;&gt;""),"",$C439-TODAY())</f>
        <v/>
      </c>
      <c r="M439" s="101">
        <f>IF($C439="","",INDEX(Настройки!$V$6:$V$17,MONTH($C439))&amp;" "&amp;YEAR($C439))</f>
        <v/>
      </c>
      <c r="N439" s="57">
        <f>IF($F439="","",IF(COUNTIF(Постоянные!$C$8:$C$37,$F439)&gt;0,"есть в Постоянных",IF(COUNTIF(Покупки!$C$7:$C$18,$F439)&gt;0,"есть в Покупках","")))</f>
        <v/>
      </c>
      <c r="P439">
        <f>IF($H439&lt;&gt;"",$H439,IF($I439="Оплачено",N($G439),0))</f>
        <v/>
      </c>
      <c r="Q439">
        <f>IF($I439="Отменено",0,IF($G439&lt;&gt;"",$G439,N($H439)))</f>
        <v/>
      </c>
      <c r="R439">
        <f>IF($C439="","",IFERROR(DATE(Настройки!$C$8,Настройки!$D$9+MATCH($M439,Настройки!$X$6:$X$17,0)-1,1),DATE(YEAR($C439),MONTH($C439),1)))</f>
        <v/>
      </c>
      <c r="S439">
        <f>IF(OR($I439="Оплачено",$H439&lt;&gt;""),$P439,$Q439)</f>
        <v/>
      </c>
      <c r="T439">
        <f>IF(OR($C439="",$D439="Доход",$I439="Оплачено",$I439="Отменено",$H439&lt;&gt;"",$C439&lt;TODAY()),"",$C439)</f>
        <v/>
      </c>
      <c r="U439">
        <f>IF(AND($D439&lt;&gt;"Доход",COUNTIFS(Счета!$B$10:$B$21,$J439,Счета!$C$10:$C$21,"Кредитная")&gt;0),1,0)</f>
        <v/>
      </c>
    </row>
    <row r="440" ht="19" customHeight="1">
      <c r="B440" s="53">
        <f>IF(AND($C440="",$F440=""),"",ROW()-9)</f>
        <v/>
      </c>
      <c r="C440" s="213" t="n"/>
      <c r="D440" s="55" t="n"/>
      <c r="E440" s="55" t="n"/>
      <c r="F440" s="56" t="n"/>
      <c r="G440" s="196" t="n"/>
      <c r="H440" s="196" t="n"/>
      <c r="I440" s="55" t="n"/>
      <c r="J440" s="55" t="n"/>
      <c r="K440" s="55" t="n"/>
      <c r="L440" s="100">
        <f>IF(OR($C440="",$I440="Оплачено",$I440="Отменено",$H440&lt;&gt;""),"",$C440-TODAY())</f>
        <v/>
      </c>
      <c r="M440" s="101">
        <f>IF($C440="","",INDEX(Настройки!$V$6:$V$17,MONTH($C440))&amp;" "&amp;YEAR($C440))</f>
        <v/>
      </c>
      <c r="N440" s="57">
        <f>IF($F440="","",IF(COUNTIF(Постоянные!$C$8:$C$37,$F440)&gt;0,"есть в Постоянных",IF(COUNTIF(Покупки!$C$7:$C$18,$F440)&gt;0,"есть в Покупках","")))</f>
        <v/>
      </c>
      <c r="P440">
        <f>IF($H440&lt;&gt;"",$H440,IF($I440="Оплачено",N($G440),0))</f>
        <v/>
      </c>
      <c r="Q440">
        <f>IF($I440="Отменено",0,IF($G440&lt;&gt;"",$G440,N($H440)))</f>
        <v/>
      </c>
      <c r="R440">
        <f>IF($C440="","",IFERROR(DATE(Настройки!$C$8,Настройки!$D$9+MATCH($M440,Настройки!$X$6:$X$17,0)-1,1),DATE(YEAR($C440),MONTH($C440),1)))</f>
        <v/>
      </c>
      <c r="S440">
        <f>IF(OR($I440="Оплачено",$H440&lt;&gt;""),$P440,$Q440)</f>
        <v/>
      </c>
      <c r="T440">
        <f>IF(OR($C440="",$D440="Доход",$I440="Оплачено",$I440="Отменено",$H440&lt;&gt;"",$C440&lt;TODAY()),"",$C440)</f>
        <v/>
      </c>
      <c r="U440">
        <f>IF(AND($D440&lt;&gt;"Доход",COUNTIFS(Счета!$B$10:$B$21,$J440,Счета!$C$10:$C$21,"Кредитная")&gt;0),1,0)</f>
        <v/>
      </c>
    </row>
    <row r="441" ht="19" customHeight="1">
      <c r="B441" s="53">
        <f>IF(AND($C441="",$F441=""),"",ROW()-9)</f>
        <v/>
      </c>
      <c r="C441" s="213" t="n"/>
      <c r="D441" s="55" t="n"/>
      <c r="E441" s="55" t="n"/>
      <c r="F441" s="56" t="n"/>
      <c r="G441" s="196" t="n"/>
      <c r="H441" s="196" t="n"/>
      <c r="I441" s="55" t="n"/>
      <c r="J441" s="55" t="n"/>
      <c r="K441" s="55" t="n"/>
      <c r="L441" s="100">
        <f>IF(OR($C441="",$I441="Оплачено",$I441="Отменено",$H441&lt;&gt;""),"",$C441-TODAY())</f>
        <v/>
      </c>
      <c r="M441" s="101">
        <f>IF($C441="","",INDEX(Настройки!$V$6:$V$17,MONTH($C441))&amp;" "&amp;YEAR($C441))</f>
        <v/>
      </c>
      <c r="N441" s="57">
        <f>IF($F441="","",IF(COUNTIF(Постоянные!$C$8:$C$37,$F441)&gt;0,"есть в Постоянных",IF(COUNTIF(Покупки!$C$7:$C$18,$F441)&gt;0,"есть в Покупках","")))</f>
        <v/>
      </c>
      <c r="P441">
        <f>IF($H441&lt;&gt;"",$H441,IF($I441="Оплачено",N($G441),0))</f>
        <v/>
      </c>
      <c r="Q441">
        <f>IF($I441="Отменено",0,IF($G441&lt;&gt;"",$G441,N($H441)))</f>
        <v/>
      </c>
      <c r="R441">
        <f>IF($C441="","",IFERROR(DATE(Настройки!$C$8,Настройки!$D$9+MATCH($M441,Настройки!$X$6:$X$17,0)-1,1),DATE(YEAR($C441),MONTH($C441),1)))</f>
        <v/>
      </c>
      <c r="S441">
        <f>IF(OR($I441="Оплачено",$H441&lt;&gt;""),$P441,$Q441)</f>
        <v/>
      </c>
      <c r="T441">
        <f>IF(OR($C441="",$D441="Доход",$I441="Оплачено",$I441="Отменено",$H441&lt;&gt;"",$C441&lt;TODAY()),"",$C441)</f>
        <v/>
      </c>
      <c r="U441">
        <f>IF(AND($D441&lt;&gt;"Доход",COUNTIFS(Счета!$B$10:$B$21,$J441,Счета!$C$10:$C$21,"Кредитная")&gt;0),1,0)</f>
        <v/>
      </c>
    </row>
    <row r="442" ht="19" customHeight="1">
      <c r="B442" s="53">
        <f>IF(AND($C442="",$F442=""),"",ROW()-9)</f>
        <v/>
      </c>
      <c r="C442" s="213" t="n"/>
      <c r="D442" s="55" t="n"/>
      <c r="E442" s="55" t="n"/>
      <c r="F442" s="56" t="n"/>
      <c r="G442" s="196" t="n"/>
      <c r="H442" s="196" t="n"/>
      <c r="I442" s="55" t="n"/>
      <c r="J442" s="55" t="n"/>
      <c r="K442" s="55" t="n"/>
      <c r="L442" s="100">
        <f>IF(OR($C442="",$I442="Оплачено",$I442="Отменено",$H442&lt;&gt;""),"",$C442-TODAY())</f>
        <v/>
      </c>
      <c r="M442" s="101">
        <f>IF($C442="","",INDEX(Настройки!$V$6:$V$17,MONTH($C442))&amp;" "&amp;YEAR($C442))</f>
        <v/>
      </c>
      <c r="N442" s="57">
        <f>IF($F442="","",IF(COUNTIF(Постоянные!$C$8:$C$37,$F442)&gt;0,"есть в Постоянных",IF(COUNTIF(Покупки!$C$7:$C$18,$F442)&gt;0,"есть в Покупках","")))</f>
        <v/>
      </c>
      <c r="P442">
        <f>IF($H442&lt;&gt;"",$H442,IF($I442="Оплачено",N($G442),0))</f>
        <v/>
      </c>
      <c r="Q442">
        <f>IF($I442="Отменено",0,IF($G442&lt;&gt;"",$G442,N($H442)))</f>
        <v/>
      </c>
      <c r="R442">
        <f>IF($C442="","",IFERROR(DATE(Настройки!$C$8,Настройки!$D$9+MATCH($M442,Настройки!$X$6:$X$17,0)-1,1),DATE(YEAR($C442),MONTH($C442),1)))</f>
        <v/>
      </c>
      <c r="S442">
        <f>IF(OR($I442="Оплачено",$H442&lt;&gt;""),$P442,$Q442)</f>
        <v/>
      </c>
      <c r="T442">
        <f>IF(OR($C442="",$D442="Доход",$I442="Оплачено",$I442="Отменено",$H442&lt;&gt;"",$C442&lt;TODAY()),"",$C442)</f>
        <v/>
      </c>
      <c r="U442">
        <f>IF(AND($D442&lt;&gt;"Доход",COUNTIFS(Счета!$B$10:$B$21,$J442,Счета!$C$10:$C$21,"Кредитная")&gt;0),1,0)</f>
        <v/>
      </c>
    </row>
    <row r="443" ht="19" customHeight="1">
      <c r="B443" s="53">
        <f>IF(AND($C443="",$F443=""),"",ROW()-9)</f>
        <v/>
      </c>
      <c r="C443" s="213" t="n"/>
      <c r="D443" s="55" t="n"/>
      <c r="E443" s="55" t="n"/>
      <c r="F443" s="56" t="n"/>
      <c r="G443" s="196" t="n"/>
      <c r="H443" s="196" t="n"/>
      <c r="I443" s="55" t="n"/>
      <c r="J443" s="55" t="n"/>
      <c r="K443" s="55" t="n"/>
      <c r="L443" s="100">
        <f>IF(OR($C443="",$I443="Оплачено",$I443="Отменено",$H443&lt;&gt;""),"",$C443-TODAY())</f>
        <v/>
      </c>
      <c r="M443" s="101">
        <f>IF($C443="","",INDEX(Настройки!$V$6:$V$17,MONTH($C443))&amp;" "&amp;YEAR($C443))</f>
        <v/>
      </c>
      <c r="N443" s="57">
        <f>IF($F443="","",IF(COUNTIF(Постоянные!$C$8:$C$37,$F443)&gt;0,"есть в Постоянных",IF(COUNTIF(Покупки!$C$7:$C$18,$F443)&gt;0,"есть в Покупках","")))</f>
        <v/>
      </c>
      <c r="P443">
        <f>IF($H443&lt;&gt;"",$H443,IF($I443="Оплачено",N($G443),0))</f>
        <v/>
      </c>
      <c r="Q443">
        <f>IF($I443="Отменено",0,IF($G443&lt;&gt;"",$G443,N($H443)))</f>
        <v/>
      </c>
      <c r="R443">
        <f>IF($C443="","",IFERROR(DATE(Настройки!$C$8,Настройки!$D$9+MATCH($M443,Настройки!$X$6:$X$17,0)-1,1),DATE(YEAR($C443),MONTH($C443),1)))</f>
        <v/>
      </c>
      <c r="S443">
        <f>IF(OR($I443="Оплачено",$H443&lt;&gt;""),$P443,$Q443)</f>
        <v/>
      </c>
      <c r="T443">
        <f>IF(OR($C443="",$D443="Доход",$I443="Оплачено",$I443="Отменено",$H443&lt;&gt;"",$C443&lt;TODAY()),"",$C443)</f>
        <v/>
      </c>
      <c r="U443">
        <f>IF(AND($D443&lt;&gt;"Доход",COUNTIFS(Счета!$B$10:$B$21,$J443,Счета!$C$10:$C$21,"Кредитная")&gt;0),1,0)</f>
        <v/>
      </c>
    </row>
    <row r="444" ht="19" customHeight="1">
      <c r="B444" s="53">
        <f>IF(AND($C444="",$F444=""),"",ROW()-9)</f>
        <v/>
      </c>
      <c r="C444" s="213" t="n"/>
      <c r="D444" s="55" t="n"/>
      <c r="E444" s="55" t="n"/>
      <c r="F444" s="56" t="n"/>
      <c r="G444" s="196" t="n"/>
      <c r="H444" s="196" t="n"/>
      <c r="I444" s="55" t="n"/>
      <c r="J444" s="55" t="n"/>
      <c r="K444" s="55" t="n"/>
      <c r="L444" s="100">
        <f>IF(OR($C444="",$I444="Оплачено",$I444="Отменено",$H444&lt;&gt;""),"",$C444-TODAY())</f>
        <v/>
      </c>
      <c r="M444" s="101">
        <f>IF($C444="","",INDEX(Настройки!$V$6:$V$17,MONTH($C444))&amp;" "&amp;YEAR($C444))</f>
        <v/>
      </c>
      <c r="N444" s="57">
        <f>IF($F444="","",IF(COUNTIF(Постоянные!$C$8:$C$37,$F444)&gt;0,"есть в Постоянных",IF(COUNTIF(Покупки!$C$7:$C$18,$F444)&gt;0,"есть в Покупках","")))</f>
        <v/>
      </c>
      <c r="P444">
        <f>IF($H444&lt;&gt;"",$H444,IF($I444="Оплачено",N($G444),0))</f>
        <v/>
      </c>
      <c r="Q444">
        <f>IF($I444="Отменено",0,IF($G444&lt;&gt;"",$G444,N($H444)))</f>
        <v/>
      </c>
      <c r="R444">
        <f>IF($C444="","",IFERROR(DATE(Настройки!$C$8,Настройки!$D$9+MATCH($M444,Настройки!$X$6:$X$17,0)-1,1),DATE(YEAR($C444),MONTH($C444),1)))</f>
        <v/>
      </c>
      <c r="S444">
        <f>IF(OR($I444="Оплачено",$H444&lt;&gt;""),$P444,$Q444)</f>
        <v/>
      </c>
      <c r="T444">
        <f>IF(OR($C444="",$D444="Доход",$I444="Оплачено",$I444="Отменено",$H444&lt;&gt;"",$C444&lt;TODAY()),"",$C444)</f>
        <v/>
      </c>
      <c r="U444">
        <f>IF(AND($D444&lt;&gt;"Доход",COUNTIFS(Счета!$B$10:$B$21,$J444,Счета!$C$10:$C$21,"Кредитная")&gt;0),1,0)</f>
        <v/>
      </c>
    </row>
    <row r="445" ht="19" customHeight="1">
      <c r="B445" s="53">
        <f>IF(AND($C445="",$F445=""),"",ROW()-9)</f>
        <v/>
      </c>
      <c r="C445" s="213" t="n"/>
      <c r="D445" s="55" t="n"/>
      <c r="E445" s="55" t="n"/>
      <c r="F445" s="56" t="n"/>
      <c r="G445" s="196" t="n"/>
      <c r="H445" s="196" t="n"/>
      <c r="I445" s="55" t="n"/>
      <c r="J445" s="55" t="n"/>
      <c r="K445" s="55" t="n"/>
      <c r="L445" s="100">
        <f>IF(OR($C445="",$I445="Оплачено",$I445="Отменено",$H445&lt;&gt;""),"",$C445-TODAY())</f>
        <v/>
      </c>
      <c r="M445" s="101">
        <f>IF($C445="","",INDEX(Настройки!$V$6:$V$17,MONTH($C445))&amp;" "&amp;YEAR($C445))</f>
        <v/>
      </c>
      <c r="N445" s="57">
        <f>IF($F445="","",IF(COUNTIF(Постоянные!$C$8:$C$37,$F445)&gt;0,"есть в Постоянных",IF(COUNTIF(Покупки!$C$7:$C$18,$F445)&gt;0,"есть в Покупках","")))</f>
        <v/>
      </c>
      <c r="P445">
        <f>IF($H445&lt;&gt;"",$H445,IF($I445="Оплачено",N($G445),0))</f>
        <v/>
      </c>
      <c r="Q445">
        <f>IF($I445="Отменено",0,IF($G445&lt;&gt;"",$G445,N($H445)))</f>
        <v/>
      </c>
      <c r="R445">
        <f>IF($C445="","",IFERROR(DATE(Настройки!$C$8,Настройки!$D$9+MATCH($M445,Настройки!$X$6:$X$17,0)-1,1),DATE(YEAR($C445),MONTH($C445),1)))</f>
        <v/>
      </c>
      <c r="S445">
        <f>IF(OR($I445="Оплачено",$H445&lt;&gt;""),$P445,$Q445)</f>
        <v/>
      </c>
      <c r="T445">
        <f>IF(OR($C445="",$D445="Доход",$I445="Оплачено",$I445="Отменено",$H445&lt;&gt;"",$C445&lt;TODAY()),"",$C445)</f>
        <v/>
      </c>
      <c r="U445">
        <f>IF(AND($D445&lt;&gt;"Доход",COUNTIFS(Счета!$B$10:$B$21,$J445,Счета!$C$10:$C$21,"Кредитная")&gt;0),1,0)</f>
        <v/>
      </c>
    </row>
    <row r="446" ht="19" customHeight="1">
      <c r="B446" s="53">
        <f>IF(AND($C446="",$F446=""),"",ROW()-9)</f>
        <v/>
      </c>
      <c r="C446" s="213" t="n"/>
      <c r="D446" s="55" t="n"/>
      <c r="E446" s="55" t="n"/>
      <c r="F446" s="56" t="n"/>
      <c r="G446" s="196" t="n"/>
      <c r="H446" s="196" t="n"/>
      <c r="I446" s="55" t="n"/>
      <c r="J446" s="55" t="n"/>
      <c r="K446" s="55" t="n"/>
      <c r="L446" s="100">
        <f>IF(OR($C446="",$I446="Оплачено",$I446="Отменено",$H446&lt;&gt;""),"",$C446-TODAY())</f>
        <v/>
      </c>
      <c r="M446" s="101">
        <f>IF($C446="","",INDEX(Настройки!$V$6:$V$17,MONTH($C446))&amp;" "&amp;YEAR($C446))</f>
        <v/>
      </c>
      <c r="N446" s="57">
        <f>IF($F446="","",IF(COUNTIF(Постоянные!$C$8:$C$37,$F446)&gt;0,"есть в Постоянных",IF(COUNTIF(Покупки!$C$7:$C$18,$F446)&gt;0,"есть в Покупках","")))</f>
        <v/>
      </c>
      <c r="P446">
        <f>IF($H446&lt;&gt;"",$H446,IF($I446="Оплачено",N($G446),0))</f>
        <v/>
      </c>
      <c r="Q446">
        <f>IF($I446="Отменено",0,IF($G446&lt;&gt;"",$G446,N($H446)))</f>
        <v/>
      </c>
      <c r="R446">
        <f>IF($C446="","",IFERROR(DATE(Настройки!$C$8,Настройки!$D$9+MATCH($M446,Настройки!$X$6:$X$17,0)-1,1),DATE(YEAR($C446),MONTH($C446),1)))</f>
        <v/>
      </c>
      <c r="S446">
        <f>IF(OR($I446="Оплачено",$H446&lt;&gt;""),$P446,$Q446)</f>
        <v/>
      </c>
      <c r="T446">
        <f>IF(OR($C446="",$D446="Доход",$I446="Оплачено",$I446="Отменено",$H446&lt;&gt;"",$C446&lt;TODAY()),"",$C446)</f>
        <v/>
      </c>
      <c r="U446">
        <f>IF(AND($D446&lt;&gt;"Доход",COUNTIFS(Счета!$B$10:$B$21,$J446,Счета!$C$10:$C$21,"Кредитная")&gt;0),1,0)</f>
        <v/>
      </c>
    </row>
    <row r="447" ht="19" customHeight="1">
      <c r="B447" s="53">
        <f>IF(AND($C447="",$F447=""),"",ROW()-9)</f>
        <v/>
      </c>
      <c r="C447" s="213" t="n"/>
      <c r="D447" s="55" t="n"/>
      <c r="E447" s="55" t="n"/>
      <c r="F447" s="56" t="n"/>
      <c r="G447" s="196" t="n"/>
      <c r="H447" s="196" t="n"/>
      <c r="I447" s="55" t="n"/>
      <c r="J447" s="55" t="n"/>
      <c r="K447" s="55" t="n"/>
      <c r="L447" s="100">
        <f>IF(OR($C447="",$I447="Оплачено",$I447="Отменено",$H447&lt;&gt;""),"",$C447-TODAY())</f>
        <v/>
      </c>
      <c r="M447" s="101">
        <f>IF($C447="","",INDEX(Настройки!$V$6:$V$17,MONTH($C447))&amp;" "&amp;YEAR($C447))</f>
        <v/>
      </c>
      <c r="N447" s="57">
        <f>IF($F447="","",IF(COUNTIF(Постоянные!$C$8:$C$37,$F447)&gt;0,"есть в Постоянных",IF(COUNTIF(Покупки!$C$7:$C$18,$F447)&gt;0,"есть в Покупках","")))</f>
        <v/>
      </c>
      <c r="P447">
        <f>IF($H447&lt;&gt;"",$H447,IF($I447="Оплачено",N($G447),0))</f>
        <v/>
      </c>
      <c r="Q447">
        <f>IF($I447="Отменено",0,IF($G447&lt;&gt;"",$G447,N($H447)))</f>
        <v/>
      </c>
      <c r="R447">
        <f>IF($C447="","",IFERROR(DATE(Настройки!$C$8,Настройки!$D$9+MATCH($M447,Настройки!$X$6:$X$17,0)-1,1),DATE(YEAR($C447),MONTH($C447),1)))</f>
        <v/>
      </c>
      <c r="S447">
        <f>IF(OR($I447="Оплачено",$H447&lt;&gt;""),$P447,$Q447)</f>
        <v/>
      </c>
      <c r="T447">
        <f>IF(OR($C447="",$D447="Доход",$I447="Оплачено",$I447="Отменено",$H447&lt;&gt;"",$C447&lt;TODAY()),"",$C447)</f>
        <v/>
      </c>
      <c r="U447">
        <f>IF(AND($D447&lt;&gt;"Доход",COUNTIFS(Счета!$B$10:$B$21,$J447,Счета!$C$10:$C$21,"Кредитная")&gt;0),1,0)</f>
        <v/>
      </c>
    </row>
    <row r="448" ht="19" customHeight="1">
      <c r="B448" s="53">
        <f>IF(AND($C448="",$F448=""),"",ROW()-9)</f>
        <v/>
      </c>
      <c r="C448" s="213" t="n"/>
      <c r="D448" s="55" t="n"/>
      <c r="E448" s="55" t="n"/>
      <c r="F448" s="56" t="n"/>
      <c r="G448" s="196" t="n"/>
      <c r="H448" s="196" t="n"/>
      <c r="I448" s="55" t="n"/>
      <c r="J448" s="55" t="n"/>
      <c r="K448" s="55" t="n"/>
      <c r="L448" s="100">
        <f>IF(OR($C448="",$I448="Оплачено",$I448="Отменено",$H448&lt;&gt;""),"",$C448-TODAY())</f>
        <v/>
      </c>
      <c r="M448" s="101">
        <f>IF($C448="","",INDEX(Настройки!$V$6:$V$17,MONTH($C448))&amp;" "&amp;YEAR($C448))</f>
        <v/>
      </c>
      <c r="N448" s="57">
        <f>IF($F448="","",IF(COUNTIF(Постоянные!$C$8:$C$37,$F448)&gt;0,"есть в Постоянных",IF(COUNTIF(Покупки!$C$7:$C$18,$F448)&gt;0,"есть в Покупках","")))</f>
        <v/>
      </c>
      <c r="P448">
        <f>IF($H448&lt;&gt;"",$H448,IF($I448="Оплачено",N($G448),0))</f>
        <v/>
      </c>
      <c r="Q448">
        <f>IF($I448="Отменено",0,IF($G448&lt;&gt;"",$G448,N($H448)))</f>
        <v/>
      </c>
      <c r="R448">
        <f>IF($C448="","",IFERROR(DATE(Настройки!$C$8,Настройки!$D$9+MATCH($M448,Настройки!$X$6:$X$17,0)-1,1),DATE(YEAR($C448),MONTH($C448),1)))</f>
        <v/>
      </c>
      <c r="S448">
        <f>IF(OR($I448="Оплачено",$H448&lt;&gt;""),$P448,$Q448)</f>
        <v/>
      </c>
      <c r="T448">
        <f>IF(OR($C448="",$D448="Доход",$I448="Оплачено",$I448="Отменено",$H448&lt;&gt;"",$C448&lt;TODAY()),"",$C448)</f>
        <v/>
      </c>
      <c r="U448">
        <f>IF(AND($D448&lt;&gt;"Доход",COUNTIFS(Счета!$B$10:$B$21,$J448,Счета!$C$10:$C$21,"Кредитная")&gt;0),1,0)</f>
        <v/>
      </c>
    </row>
    <row r="449" ht="19" customHeight="1">
      <c r="B449" s="53">
        <f>IF(AND($C449="",$F449=""),"",ROW()-9)</f>
        <v/>
      </c>
      <c r="C449" s="213" t="n"/>
      <c r="D449" s="55" t="n"/>
      <c r="E449" s="55" t="n"/>
      <c r="F449" s="56" t="n"/>
      <c r="G449" s="196" t="n"/>
      <c r="H449" s="196" t="n"/>
      <c r="I449" s="55" t="n"/>
      <c r="J449" s="55" t="n"/>
      <c r="K449" s="55" t="n"/>
      <c r="L449" s="100">
        <f>IF(OR($C449="",$I449="Оплачено",$I449="Отменено",$H449&lt;&gt;""),"",$C449-TODAY())</f>
        <v/>
      </c>
      <c r="M449" s="101">
        <f>IF($C449="","",INDEX(Настройки!$V$6:$V$17,MONTH($C449))&amp;" "&amp;YEAR($C449))</f>
        <v/>
      </c>
      <c r="N449" s="57">
        <f>IF($F449="","",IF(COUNTIF(Постоянные!$C$8:$C$37,$F449)&gt;0,"есть в Постоянных",IF(COUNTIF(Покупки!$C$7:$C$18,$F449)&gt;0,"есть в Покупках","")))</f>
        <v/>
      </c>
      <c r="P449">
        <f>IF($H449&lt;&gt;"",$H449,IF($I449="Оплачено",N($G449),0))</f>
        <v/>
      </c>
      <c r="Q449">
        <f>IF($I449="Отменено",0,IF($G449&lt;&gt;"",$G449,N($H449)))</f>
        <v/>
      </c>
      <c r="R449">
        <f>IF($C449="","",IFERROR(DATE(Настройки!$C$8,Настройки!$D$9+MATCH($M449,Настройки!$X$6:$X$17,0)-1,1),DATE(YEAR($C449),MONTH($C449),1)))</f>
        <v/>
      </c>
      <c r="S449">
        <f>IF(OR($I449="Оплачено",$H449&lt;&gt;""),$P449,$Q449)</f>
        <v/>
      </c>
      <c r="T449">
        <f>IF(OR($C449="",$D449="Доход",$I449="Оплачено",$I449="Отменено",$H449&lt;&gt;"",$C449&lt;TODAY()),"",$C449)</f>
        <v/>
      </c>
      <c r="U449">
        <f>IF(AND($D449&lt;&gt;"Доход",COUNTIFS(Счета!$B$10:$B$21,$J449,Счета!$C$10:$C$21,"Кредитная")&gt;0),1,0)</f>
        <v/>
      </c>
    </row>
    <row r="450" ht="19" customHeight="1">
      <c r="B450" s="53">
        <f>IF(AND($C450="",$F450=""),"",ROW()-9)</f>
        <v/>
      </c>
      <c r="C450" s="213" t="n"/>
      <c r="D450" s="55" t="n"/>
      <c r="E450" s="55" t="n"/>
      <c r="F450" s="56" t="n"/>
      <c r="G450" s="196" t="n"/>
      <c r="H450" s="196" t="n"/>
      <c r="I450" s="55" t="n"/>
      <c r="J450" s="55" t="n"/>
      <c r="K450" s="55" t="n"/>
      <c r="L450" s="100">
        <f>IF(OR($C450="",$I450="Оплачено",$I450="Отменено",$H450&lt;&gt;""),"",$C450-TODAY())</f>
        <v/>
      </c>
      <c r="M450" s="101">
        <f>IF($C450="","",INDEX(Настройки!$V$6:$V$17,MONTH($C450))&amp;" "&amp;YEAR($C450))</f>
        <v/>
      </c>
      <c r="N450" s="57">
        <f>IF($F450="","",IF(COUNTIF(Постоянные!$C$8:$C$37,$F450)&gt;0,"есть в Постоянных",IF(COUNTIF(Покупки!$C$7:$C$18,$F450)&gt;0,"есть в Покупках","")))</f>
        <v/>
      </c>
      <c r="P450">
        <f>IF($H450&lt;&gt;"",$H450,IF($I450="Оплачено",N($G450),0))</f>
        <v/>
      </c>
      <c r="Q450">
        <f>IF($I450="Отменено",0,IF($G450&lt;&gt;"",$G450,N($H450)))</f>
        <v/>
      </c>
      <c r="R450">
        <f>IF($C450="","",IFERROR(DATE(Настройки!$C$8,Настройки!$D$9+MATCH($M450,Настройки!$X$6:$X$17,0)-1,1),DATE(YEAR($C450),MONTH($C450),1)))</f>
        <v/>
      </c>
      <c r="S450">
        <f>IF(OR($I450="Оплачено",$H450&lt;&gt;""),$P450,$Q450)</f>
        <v/>
      </c>
      <c r="T450">
        <f>IF(OR($C450="",$D450="Доход",$I450="Оплачено",$I450="Отменено",$H450&lt;&gt;"",$C450&lt;TODAY()),"",$C450)</f>
        <v/>
      </c>
      <c r="U450">
        <f>IF(AND($D450&lt;&gt;"Доход",COUNTIFS(Счета!$B$10:$B$21,$J450,Счета!$C$10:$C$21,"Кредитная")&gt;0),1,0)</f>
        <v/>
      </c>
    </row>
    <row r="451" ht="19" customHeight="1">
      <c r="B451" s="53">
        <f>IF(AND($C451="",$F451=""),"",ROW()-9)</f>
        <v/>
      </c>
      <c r="C451" s="213" t="n"/>
      <c r="D451" s="55" t="n"/>
      <c r="E451" s="55" t="n"/>
      <c r="F451" s="56" t="n"/>
      <c r="G451" s="196" t="n"/>
      <c r="H451" s="196" t="n"/>
      <c r="I451" s="55" t="n"/>
      <c r="J451" s="55" t="n"/>
      <c r="K451" s="55" t="n"/>
      <c r="L451" s="100">
        <f>IF(OR($C451="",$I451="Оплачено",$I451="Отменено",$H451&lt;&gt;""),"",$C451-TODAY())</f>
        <v/>
      </c>
      <c r="M451" s="101">
        <f>IF($C451="","",INDEX(Настройки!$V$6:$V$17,MONTH($C451))&amp;" "&amp;YEAR($C451))</f>
        <v/>
      </c>
      <c r="N451" s="57">
        <f>IF($F451="","",IF(COUNTIF(Постоянные!$C$8:$C$37,$F451)&gt;0,"есть в Постоянных",IF(COUNTIF(Покупки!$C$7:$C$18,$F451)&gt;0,"есть в Покупках","")))</f>
        <v/>
      </c>
      <c r="P451">
        <f>IF($H451&lt;&gt;"",$H451,IF($I451="Оплачено",N($G451),0))</f>
        <v/>
      </c>
      <c r="Q451">
        <f>IF($I451="Отменено",0,IF($G451&lt;&gt;"",$G451,N($H451)))</f>
        <v/>
      </c>
      <c r="R451">
        <f>IF($C451="","",IFERROR(DATE(Настройки!$C$8,Настройки!$D$9+MATCH($M451,Настройки!$X$6:$X$17,0)-1,1),DATE(YEAR($C451),MONTH($C451),1)))</f>
        <v/>
      </c>
      <c r="S451">
        <f>IF(OR($I451="Оплачено",$H451&lt;&gt;""),$P451,$Q451)</f>
        <v/>
      </c>
      <c r="T451">
        <f>IF(OR($C451="",$D451="Доход",$I451="Оплачено",$I451="Отменено",$H451&lt;&gt;"",$C451&lt;TODAY()),"",$C451)</f>
        <v/>
      </c>
      <c r="U451">
        <f>IF(AND($D451&lt;&gt;"Доход",COUNTIFS(Счета!$B$10:$B$21,$J451,Счета!$C$10:$C$21,"Кредитная")&gt;0),1,0)</f>
        <v/>
      </c>
    </row>
    <row r="452" ht="19" customHeight="1">
      <c r="B452" s="53">
        <f>IF(AND($C452="",$F452=""),"",ROW()-9)</f>
        <v/>
      </c>
      <c r="C452" s="213" t="n"/>
      <c r="D452" s="55" t="n"/>
      <c r="E452" s="55" t="n"/>
      <c r="F452" s="56" t="n"/>
      <c r="G452" s="196" t="n"/>
      <c r="H452" s="196" t="n"/>
      <c r="I452" s="55" t="n"/>
      <c r="J452" s="55" t="n"/>
      <c r="K452" s="55" t="n"/>
      <c r="L452" s="100">
        <f>IF(OR($C452="",$I452="Оплачено",$I452="Отменено",$H452&lt;&gt;""),"",$C452-TODAY())</f>
        <v/>
      </c>
      <c r="M452" s="101">
        <f>IF($C452="","",INDEX(Настройки!$V$6:$V$17,MONTH($C452))&amp;" "&amp;YEAR($C452))</f>
        <v/>
      </c>
      <c r="N452" s="57">
        <f>IF($F452="","",IF(COUNTIF(Постоянные!$C$8:$C$37,$F452)&gt;0,"есть в Постоянных",IF(COUNTIF(Покупки!$C$7:$C$18,$F452)&gt;0,"есть в Покупках","")))</f>
        <v/>
      </c>
      <c r="P452">
        <f>IF($H452&lt;&gt;"",$H452,IF($I452="Оплачено",N($G452),0))</f>
        <v/>
      </c>
      <c r="Q452">
        <f>IF($I452="Отменено",0,IF($G452&lt;&gt;"",$G452,N($H452)))</f>
        <v/>
      </c>
      <c r="R452">
        <f>IF($C452="","",IFERROR(DATE(Настройки!$C$8,Настройки!$D$9+MATCH($M452,Настройки!$X$6:$X$17,0)-1,1),DATE(YEAR($C452),MONTH($C452),1)))</f>
        <v/>
      </c>
      <c r="S452">
        <f>IF(OR($I452="Оплачено",$H452&lt;&gt;""),$P452,$Q452)</f>
        <v/>
      </c>
      <c r="T452">
        <f>IF(OR($C452="",$D452="Доход",$I452="Оплачено",$I452="Отменено",$H452&lt;&gt;"",$C452&lt;TODAY()),"",$C452)</f>
        <v/>
      </c>
      <c r="U452">
        <f>IF(AND($D452&lt;&gt;"Доход",COUNTIFS(Счета!$B$10:$B$21,$J452,Счета!$C$10:$C$21,"Кредитная")&gt;0),1,0)</f>
        <v/>
      </c>
    </row>
    <row r="453" ht="19" customHeight="1">
      <c r="B453" s="53">
        <f>IF(AND($C453="",$F453=""),"",ROW()-9)</f>
        <v/>
      </c>
      <c r="C453" s="213" t="n"/>
      <c r="D453" s="55" t="n"/>
      <c r="E453" s="55" t="n"/>
      <c r="F453" s="56" t="n"/>
      <c r="G453" s="196" t="n"/>
      <c r="H453" s="196" t="n"/>
      <c r="I453" s="55" t="n"/>
      <c r="J453" s="55" t="n"/>
      <c r="K453" s="55" t="n"/>
      <c r="L453" s="100">
        <f>IF(OR($C453="",$I453="Оплачено",$I453="Отменено",$H453&lt;&gt;""),"",$C453-TODAY())</f>
        <v/>
      </c>
      <c r="M453" s="101">
        <f>IF($C453="","",INDEX(Настройки!$V$6:$V$17,MONTH($C453))&amp;" "&amp;YEAR($C453))</f>
        <v/>
      </c>
      <c r="N453" s="57">
        <f>IF($F453="","",IF(COUNTIF(Постоянные!$C$8:$C$37,$F453)&gt;0,"есть в Постоянных",IF(COUNTIF(Покупки!$C$7:$C$18,$F453)&gt;0,"есть в Покупках","")))</f>
        <v/>
      </c>
      <c r="P453">
        <f>IF($H453&lt;&gt;"",$H453,IF($I453="Оплачено",N($G453),0))</f>
        <v/>
      </c>
      <c r="Q453">
        <f>IF($I453="Отменено",0,IF($G453&lt;&gt;"",$G453,N($H453)))</f>
        <v/>
      </c>
      <c r="R453">
        <f>IF($C453="","",IFERROR(DATE(Настройки!$C$8,Настройки!$D$9+MATCH($M453,Настройки!$X$6:$X$17,0)-1,1),DATE(YEAR($C453),MONTH($C453),1)))</f>
        <v/>
      </c>
      <c r="S453">
        <f>IF(OR($I453="Оплачено",$H453&lt;&gt;""),$P453,$Q453)</f>
        <v/>
      </c>
      <c r="T453">
        <f>IF(OR($C453="",$D453="Доход",$I453="Оплачено",$I453="Отменено",$H453&lt;&gt;"",$C453&lt;TODAY()),"",$C453)</f>
        <v/>
      </c>
      <c r="U453">
        <f>IF(AND($D453&lt;&gt;"Доход",COUNTIFS(Счета!$B$10:$B$21,$J453,Счета!$C$10:$C$21,"Кредитная")&gt;0),1,0)</f>
        <v/>
      </c>
    </row>
    <row r="454" ht="19" customHeight="1">
      <c r="B454" s="53">
        <f>IF(AND($C454="",$F454=""),"",ROW()-9)</f>
        <v/>
      </c>
      <c r="C454" s="213" t="n"/>
      <c r="D454" s="55" t="n"/>
      <c r="E454" s="55" t="n"/>
      <c r="F454" s="56" t="n"/>
      <c r="G454" s="196" t="n"/>
      <c r="H454" s="196" t="n"/>
      <c r="I454" s="55" t="n"/>
      <c r="J454" s="55" t="n"/>
      <c r="K454" s="55" t="n"/>
      <c r="L454" s="100">
        <f>IF(OR($C454="",$I454="Оплачено",$I454="Отменено",$H454&lt;&gt;""),"",$C454-TODAY())</f>
        <v/>
      </c>
      <c r="M454" s="101">
        <f>IF($C454="","",INDEX(Настройки!$V$6:$V$17,MONTH($C454))&amp;" "&amp;YEAR($C454))</f>
        <v/>
      </c>
      <c r="N454" s="57">
        <f>IF($F454="","",IF(COUNTIF(Постоянные!$C$8:$C$37,$F454)&gt;0,"есть в Постоянных",IF(COUNTIF(Покупки!$C$7:$C$18,$F454)&gt;0,"есть в Покупках","")))</f>
        <v/>
      </c>
      <c r="P454">
        <f>IF($H454&lt;&gt;"",$H454,IF($I454="Оплачено",N($G454),0))</f>
        <v/>
      </c>
      <c r="Q454">
        <f>IF($I454="Отменено",0,IF($G454&lt;&gt;"",$G454,N($H454)))</f>
        <v/>
      </c>
      <c r="R454">
        <f>IF($C454="","",IFERROR(DATE(Настройки!$C$8,Настройки!$D$9+MATCH($M454,Настройки!$X$6:$X$17,0)-1,1),DATE(YEAR($C454),MONTH($C454),1)))</f>
        <v/>
      </c>
      <c r="S454">
        <f>IF(OR($I454="Оплачено",$H454&lt;&gt;""),$P454,$Q454)</f>
        <v/>
      </c>
      <c r="T454">
        <f>IF(OR($C454="",$D454="Доход",$I454="Оплачено",$I454="Отменено",$H454&lt;&gt;"",$C454&lt;TODAY()),"",$C454)</f>
        <v/>
      </c>
      <c r="U454">
        <f>IF(AND($D454&lt;&gt;"Доход",COUNTIFS(Счета!$B$10:$B$21,$J454,Счета!$C$10:$C$21,"Кредитная")&gt;0),1,0)</f>
        <v/>
      </c>
    </row>
    <row r="455" ht="19" customHeight="1">
      <c r="B455" s="53">
        <f>IF(AND($C455="",$F455=""),"",ROW()-9)</f>
        <v/>
      </c>
      <c r="C455" s="213" t="n"/>
      <c r="D455" s="55" t="n"/>
      <c r="E455" s="55" t="n"/>
      <c r="F455" s="56" t="n"/>
      <c r="G455" s="196" t="n"/>
      <c r="H455" s="196" t="n"/>
      <c r="I455" s="55" t="n"/>
      <c r="J455" s="55" t="n"/>
      <c r="K455" s="55" t="n"/>
      <c r="L455" s="100">
        <f>IF(OR($C455="",$I455="Оплачено",$I455="Отменено",$H455&lt;&gt;""),"",$C455-TODAY())</f>
        <v/>
      </c>
      <c r="M455" s="101">
        <f>IF($C455="","",INDEX(Настройки!$V$6:$V$17,MONTH($C455))&amp;" "&amp;YEAR($C455))</f>
        <v/>
      </c>
      <c r="N455" s="57">
        <f>IF($F455="","",IF(COUNTIF(Постоянные!$C$8:$C$37,$F455)&gt;0,"есть в Постоянных",IF(COUNTIF(Покупки!$C$7:$C$18,$F455)&gt;0,"есть в Покупках","")))</f>
        <v/>
      </c>
      <c r="P455">
        <f>IF($H455&lt;&gt;"",$H455,IF($I455="Оплачено",N($G455),0))</f>
        <v/>
      </c>
      <c r="Q455">
        <f>IF($I455="Отменено",0,IF($G455&lt;&gt;"",$G455,N($H455)))</f>
        <v/>
      </c>
      <c r="R455">
        <f>IF($C455="","",IFERROR(DATE(Настройки!$C$8,Настройки!$D$9+MATCH($M455,Настройки!$X$6:$X$17,0)-1,1),DATE(YEAR($C455),MONTH($C455),1)))</f>
        <v/>
      </c>
      <c r="S455">
        <f>IF(OR($I455="Оплачено",$H455&lt;&gt;""),$P455,$Q455)</f>
        <v/>
      </c>
      <c r="T455">
        <f>IF(OR($C455="",$D455="Доход",$I455="Оплачено",$I455="Отменено",$H455&lt;&gt;"",$C455&lt;TODAY()),"",$C455)</f>
        <v/>
      </c>
      <c r="U455">
        <f>IF(AND($D455&lt;&gt;"Доход",COUNTIFS(Счета!$B$10:$B$21,$J455,Счета!$C$10:$C$21,"Кредитная")&gt;0),1,0)</f>
        <v/>
      </c>
    </row>
    <row r="456" ht="19" customHeight="1">
      <c r="B456" s="53">
        <f>IF(AND($C456="",$F456=""),"",ROW()-9)</f>
        <v/>
      </c>
      <c r="C456" s="213" t="n"/>
      <c r="D456" s="55" t="n"/>
      <c r="E456" s="55" t="n"/>
      <c r="F456" s="56" t="n"/>
      <c r="G456" s="196" t="n"/>
      <c r="H456" s="196" t="n"/>
      <c r="I456" s="55" t="n"/>
      <c r="J456" s="55" t="n"/>
      <c r="K456" s="55" t="n"/>
      <c r="L456" s="100">
        <f>IF(OR($C456="",$I456="Оплачено",$I456="Отменено",$H456&lt;&gt;""),"",$C456-TODAY())</f>
        <v/>
      </c>
      <c r="M456" s="101">
        <f>IF($C456="","",INDEX(Настройки!$V$6:$V$17,MONTH($C456))&amp;" "&amp;YEAR($C456))</f>
        <v/>
      </c>
      <c r="N456" s="57">
        <f>IF($F456="","",IF(COUNTIF(Постоянные!$C$8:$C$37,$F456)&gt;0,"есть в Постоянных",IF(COUNTIF(Покупки!$C$7:$C$18,$F456)&gt;0,"есть в Покупках","")))</f>
        <v/>
      </c>
      <c r="P456">
        <f>IF($H456&lt;&gt;"",$H456,IF($I456="Оплачено",N($G456),0))</f>
        <v/>
      </c>
      <c r="Q456">
        <f>IF($I456="Отменено",0,IF($G456&lt;&gt;"",$G456,N($H456)))</f>
        <v/>
      </c>
      <c r="R456">
        <f>IF($C456="","",IFERROR(DATE(Настройки!$C$8,Настройки!$D$9+MATCH($M456,Настройки!$X$6:$X$17,0)-1,1),DATE(YEAR($C456),MONTH($C456),1)))</f>
        <v/>
      </c>
      <c r="S456">
        <f>IF(OR($I456="Оплачено",$H456&lt;&gt;""),$P456,$Q456)</f>
        <v/>
      </c>
      <c r="T456">
        <f>IF(OR($C456="",$D456="Доход",$I456="Оплачено",$I456="Отменено",$H456&lt;&gt;"",$C456&lt;TODAY()),"",$C456)</f>
        <v/>
      </c>
      <c r="U456">
        <f>IF(AND($D456&lt;&gt;"Доход",COUNTIFS(Счета!$B$10:$B$21,$J456,Счета!$C$10:$C$21,"Кредитная")&gt;0),1,0)</f>
        <v/>
      </c>
    </row>
    <row r="457" ht="19" customHeight="1">
      <c r="B457" s="53">
        <f>IF(AND($C457="",$F457=""),"",ROW()-9)</f>
        <v/>
      </c>
      <c r="C457" s="213" t="n"/>
      <c r="D457" s="55" t="n"/>
      <c r="E457" s="55" t="n"/>
      <c r="F457" s="56" t="n"/>
      <c r="G457" s="196" t="n"/>
      <c r="H457" s="196" t="n"/>
      <c r="I457" s="55" t="n"/>
      <c r="J457" s="55" t="n"/>
      <c r="K457" s="55" t="n"/>
      <c r="L457" s="100">
        <f>IF(OR($C457="",$I457="Оплачено",$I457="Отменено",$H457&lt;&gt;""),"",$C457-TODAY())</f>
        <v/>
      </c>
      <c r="M457" s="101">
        <f>IF($C457="","",INDEX(Настройки!$V$6:$V$17,MONTH($C457))&amp;" "&amp;YEAR($C457))</f>
        <v/>
      </c>
      <c r="N457" s="57">
        <f>IF($F457="","",IF(COUNTIF(Постоянные!$C$8:$C$37,$F457)&gt;0,"есть в Постоянных",IF(COUNTIF(Покупки!$C$7:$C$18,$F457)&gt;0,"есть в Покупках","")))</f>
        <v/>
      </c>
      <c r="P457">
        <f>IF($H457&lt;&gt;"",$H457,IF($I457="Оплачено",N($G457),0))</f>
        <v/>
      </c>
      <c r="Q457">
        <f>IF($I457="Отменено",0,IF($G457&lt;&gt;"",$G457,N($H457)))</f>
        <v/>
      </c>
      <c r="R457">
        <f>IF($C457="","",IFERROR(DATE(Настройки!$C$8,Настройки!$D$9+MATCH($M457,Настройки!$X$6:$X$17,0)-1,1),DATE(YEAR($C457),MONTH($C457),1)))</f>
        <v/>
      </c>
      <c r="S457">
        <f>IF(OR($I457="Оплачено",$H457&lt;&gt;""),$P457,$Q457)</f>
        <v/>
      </c>
      <c r="T457">
        <f>IF(OR($C457="",$D457="Доход",$I457="Оплачено",$I457="Отменено",$H457&lt;&gt;"",$C457&lt;TODAY()),"",$C457)</f>
        <v/>
      </c>
      <c r="U457">
        <f>IF(AND($D457&lt;&gt;"Доход",COUNTIFS(Счета!$B$10:$B$21,$J457,Счета!$C$10:$C$21,"Кредитная")&gt;0),1,0)</f>
        <v/>
      </c>
    </row>
    <row r="458" ht="19" customHeight="1">
      <c r="B458" s="53">
        <f>IF(AND($C458="",$F458=""),"",ROW()-9)</f>
        <v/>
      </c>
      <c r="C458" s="213" t="n"/>
      <c r="D458" s="55" t="n"/>
      <c r="E458" s="55" t="n"/>
      <c r="F458" s="56" t="n"/>
      <c r="G458" s="196" t="n"/>
      <c r="H458" s="196" t="n"/>
      <c r="I458" s="55" t="n"/>
      <c r="J458" s="55" t="n"/>
      <c r="K458" s="55" t="n"/>
      <c r="L458" s="100">
        <f>IF(OR($C458="",$I458="Оплачено",$I458="Отменено",$H458&lt;&gt;""),"",$C458-TODAY())</f>
        <v/>
      </c>
      <c r="M458" s="101">
        <f>IF($C458="","",INDEX(Настройки!$V$6:$V$17,MONTH($C458))&amp;" "&amp;YEAR($C458))</f>
        <v/>
      </c>
      <c r="N458" s="57">
        <f>IF($F458="","",IF(COUNTIF(Постоянные!$C$8:$C$37,$F458)&gt;0,"есть в Постоянных",IF(COUNTIF(Покупки!$C$7:$C$18,$F458)&gt;0,"есть в Покупках","")))</f>
        <v/>
      </c>
      <c r="P458">
        <f>IF($H458&lt;&gt;"",$H458,IF($I458="Оплачено",N($G458),0))</f>
        <v/>
      </c>
      <c r="Q458">
        <f>IF($I458="Отменено",0,IF($G458&lt;&gt;"",$G458,N($H458)))</f>
        <v/>
      </c>
      <c r="R458">
        <f>IF($C458="","",IFERROR(DATE(Настройки!$C$8,Настройки!$D$9+MATCH($M458,Настройки!$X$6:$X$17,0)-1,1),DATE(YEAR($C458),MONTH($C458),1)))</f>
        <v/>
      </c>
      <c r="S458">
        <f>IF(OR($I458="Оплачено",$H458&lt;&gt;""),$P458,$Q458)</f>
        <v/>
      </c>
      <c r="T458">
        <f>IF(OR($C458="",$D458="Доход",$I458="Оплачено",$I458="Отменено",$H458&lt;&gt;"",$C458&lt;TODAY()),"",$C458)</f>
        <v/>
      </c>
      <c r="U458">
        <f>IF(AND($D458&lt;&gt;"Доход",COUNTIFS(Счета!$B$10:$B$21,$J458,Счета!$C$10:$C$21,"Кредитная")&gt;0),1,0)</f>
        <v/>
      </c>
    </row>
    <row r="459" ht="19" customHeight="1">
      <c r="B459" s="53">
        <f>IF(AND($C459="",$F459=""),"",ROW()-9)</f>
        <v/>
      </c>
      <c r="C459" s="213" t="n"/>
      <c r="D459" s="55" t="n"/>
      <c r="E459" s="55" t="n"/>
      <c r="F459" s="56" t="n"/>
      <c r="G459" s="196" t="n"/>
      <c r="H459" s="196" t="n"/>
      <c r="I459" s="55" t="n"/>
      <c r="J459" s="55" t="n"/>
      <c r="K459" s="55" t="n"/>
      <c r="L459" s="100">
        <f>IF(OR($C459="",$I459="Оплачено",$I459="Отменено",$H459&lt;&gt;""),"",$C459-TODAY())</f>
        <v/>
      </c>
      <c r="M459" s="101">
        <f>IF($C459="","",INDEX(Настройки!$V$6:$V$17,MONTH($C459))&amp;" "&amp;YEAR($C459))</f>
        <v/>
      </c>
      <c r="N459" s="57">
        <f>IF($F459="","",IF(COUNTIF(Постоянные!$C$8:$C$37,$F459)&gt;0,"есть в Постоянных",IF(COUNTIF(Покупки!$C$7:$C$18,$F459)&gt;0,"есть в Покупках","")))</f>
        <v/>
      </c>
      <c r="P459">
        <f>IF($H459&lt;&gt;"",$H459,IF($I459="Оплачено",N($G459),0))</f>
        <v/>
      </c>
      <c r="Q459">
        <f>IF($I459="Отменено",0,IF($G459&lt;&gt;"",$G459,N($H459)))</f>
        <v/>
      </c>
      <c r="R459">
        <f>IF($C459="","",IFERROR(DATE(Настройки!$C$8,Настройки!$D$9+MATCH($M459,Настройки!$X$6:$X$17,0)-1,1),DATE(YEAR($C459),MONTH($C459),1)))</f>
        <v/>
      </c>
      <c r="S459">
        <f>IF(OR($I459="Оплачено",$H459&lt;&gt;""),$P459,$Q459)</f>
        <v/>
      </c>
      <c r="T459">
        <f>IF(OR($C459="",$D459="Доход",$I459="Оплачено",$I459="Отменено",$H459&lt;&gt;"",$C459&lt;TODAY()),"",$C459)</f>
        <v/>
      </c>
      <c r="U459">
        <f>IF(AND($D459&lt;&gt;"Доход",COUNTIFS(Счета!$B$10:$B$21,$J459,Счета!$C$10:$C$21,"Кредитная")&gt;0),1,0)</f>
        <v/>
      </c>
    </row>
    <row r="460" ht="19" customHeight="1">
      <c r="B460" s="53">
        <f>IF(AND($C460="",$F460=""),"",ROW()-9)</f>
        <v/>
      </c>
      <c r="C460" s="213" t="n"/>
      <c r="D460" s="55" t="n"/>
      <c r="E460" s="55" t="n"/>
      <c r="F460" s="56" t="n"/>
      <c r="G460" s="196" t="n"/>
      <c r="H460" s="196" t="n"/>
      <c r="I460" s="55" t="n"/>
      <c r="J460" s="55" t="n"/>
      <c r="K460" s="55" t="n"/>
      <c r="L460" s="100">
        <f>IF(OR($C460="",$I460="Оплачено",$I460="Отменено",$H460&lt;&gt;""),"",$C460-TODAY())</f>
        <v/>
      </c>
      <c r="M460" s="101">
        <f>IF($C460="","",INDEX(Настройки!$V$6:$V$17,MONTH($C460))&amp;" "&amp;YEAR($C460))</f>
        <v/>
      </c>
      <c r="N460" s="57">
        <f>IF($F460="","",IF(COUNTIF(Постоянные!$C$8:$C$37,$F460)&gt;0,"есть в Постоянных",IF(COUNTIF(Покупки!$C$7:$C$18,$F460)&gt;0,"есть в Покупках","")))</f>
        <v/>
      </c>
      <c r="P460">
        <f>IF($H460&lt;&gt;"",$H460,IF($I460="Оплачено",N($G460),0))</f>
        <v/>
      </c>
      <c r="Q460">
        <f>IF($I460="Отменено",0,IF($G460&lt;&gt;"",$G460,N($H460)))</f>
        <v/>
      </c>
      <c r="R460">
        <f>IF($C460="","",IFERROR(DATE(Настройки!$C$8,Настройки!$D$9+MATCH($M460,Настройки!$X$6:$X$17,0)-1,1),DATE(YEAR($C460),MONTH($C460),1)))</f>
        <v/>
      </c>
      <c r="S460">
        <f>IF(OR($I460="Оплачено",$H460&lt;&gt;""),$P460,$Q460)</f>
        <v/>
      </c>
      <c r="T460">
        <f>IF(OR($C460="",$D460="Доход",$I460="Оплачено",$I460="Отменено",$H460&lt;&gt;"",$C460&lt;TODAY()),"",$C460)</f>
        <v/>
      </c>
      <c r="U460">
        <f>IF(AND($D460&lt;&gt;"Доход",COUNTIFS(Счета!$B$10:$B$21,$J460,Счета!$C$10:$C$21,"Кредитная")&gt;0),1,0)</f>
        <v/>
      </c>
    </row>
    <row r="461" ht="19" customHeight="1">
      <c r="B461" s="53">
        <f>IF(AND($C461="",$F461=""),"",ROW()-9)</f>
        <v/>
      </c>
      <c r="C461" s="213" t="n"/>
      <c r="D461" s="55" t="n"/>
      <c r="E461" s="55" t="n"/>
      <c r="F461" s="56" t="n"/>
      <c r="G461" s="196" t="n"/>
      <c r="H461" s="196" t="n"/>
      <c r="I461" s="55" t="n"/>
      <c r="J461" s="55" t="n"/>
      <c r="K461" s="55" t="n"/>
      <c r="L461" s="100">
        <f>IF(OR($C461="",$I461="Оплачено",$I461="Отменено",$H461&lt;&gt;""),"",$C461-TODAY())</f>
        <v/>
      </c>
      <c r="M461" s="101">
        <f>IF($C461="","",INDEX(Настройки!$V$6:$V$17,MONTH($C461))&amp;" "&amp;YEAR($C461))</f>
        <v/>
      </c>
      <c r="N461" s="57">
        <f>IF($F461="","",IF(COUNTIF(Постоянные!$C$8:$C$37,$F461)&gt;0,"есть в Постоянных",IF(COUNTIF(Покупки!$C$7:$C$18,$F461)&gt;0,"есть в Покупках","")))</f>
        <v/>
      </c>
      <c r="P461">
        <f>IF($H461&lt;&gt;"",$H461,IF($I461="Оплачено",N($G461),0))</f>
        <v/>
      </c>
      <c r="Q461">
        <f>IF($I461="Отменено",0,IF($G461&lt;&gt;"",$G461,N($H461)))</f>
        <v/>
      </c>
      <c r="R461">
        <f>IF($C461="","",IFERROR(DATE(Настройки!$C$8,Настройки!$D$9+MATCH($M461,Настройки!$X$6:$X$17,0)-1,1),DATE(YEAR($C461),MONTH($C461),1)))</f>
        <v/>
      </c>
      <c r="S461">
        <f>IF(OR($I461="Оплачено",$H461&lt;&gt;""),$P461,$Q461)</f>
        <v/>
      </c>
      <c r="T461">
        <f>IF(OR($C461="",$D461="Доход",$I461="Оплачено",$I461="Отменено",$H461&lt;&gt;"",$C461&lt;TODAY()),"",$C461)</f>
        <v/>
      </c>
      <c r="U461">
        <f>IF(AND($D461&lt;&gt;"Доход",COUNTIFS(Счета!$B$10:$B$21,$J461,Счета!$C$10:$C$21,"Кредитная")&gt;0),1,0)</f>
        <v/>
      </c>
    </row>
    <row r="462" ht="19" customHeight="1">
      <c r="B462" s="53">
        <f>IF(AND($C462="",$F462=""),"",ROW()-9)</f>
        <v/>
      </c>
      <c r="C462" s="213" t="n"/>
      <c r="D462" s="55" t="n"/>
      <c r="E462" s="55" t="n"/>
      <c r="F462" s="56" t="n"/>
      <c r="G462" s="196" t="n"/>
      <c r="H462" s="196" t="n"/>
      <c r="I462" s="55" t="n"/>
      <c r="J462" s="55" t="n"/>
      <c r="K462" s="55" t="n"/>
      <c r="L462" s="100">
        <f>IF(OR($C462="",$I462="Оплачено",$I462="Отменено",$H462&lt;&gt;""),"",$C462-TODAY())</f>
        <v/>
      </c>
      <c r="M462" s="101">
        <f>IF($C462="","",INDEX(Настройки!$V$6:$V$17,MONTH($C462))&amp;" "&amp;YEAR($C462))</f>
        <v/>
      </c>
      <c r="N462" s="57">
        <f>IF($F462="","",IF(COUNTIF(Постоянные!$C$8:$C$37,$F462)&gt;0,"есть в Постоянных",IF(COUNTIF(Покупки!$C$7:$C$18,$F462)&gt;0,"есть в Покупках","")))</f>
        <v/>
      </c>
      <c r="P462">
        <f>IF($H462&lt;&gt;"",$H462,IF($I462="Оплачено",N($G462),0))</f>
        <v/>
      </c>
      <c r="Q462">
        <f>IF($I462="Отменено",0,IF($G462&lt;&gt;"",$G462,N($H462)))</f>
        <v/>
      </c>
      <c r="R462">
        <f>IF($C462="","",IFERROR(DATE(Настройки!$C$8,Настройки!$D$9+MATCH($M462,Настройки!$X$6:$X$17,0)-1,1),DATE(YEAR($C462),MONTH($C462),1)))</f>
        <v/>
      </c>
      <c r="S462">
        <f>IF(OR($I462="Оплачено",$H462&lt;&gt;""),$P462,$Q462)</f>
        <v/>
      </c>
      <c r="T462">
        <f>IF(OR($C462="",$D462="Доход",$I462="Оплачено",$I462="Отменено",$H462&lt;&gt;"",$C462&lt;TODAY()),"",$C462)</f>
        <v/>
      </c>
      <c r="U462">
        <f>IF(AND($D462&lt;&gt;"Доход",COUNTIFS(Счета!$B$10:$B$21,$J462,Счета!$C$10:$C$21,"Кредитная")&gt;0),1,0)</f>
        <v/>
      </c>
    </row>
    <row r="463" ht="19" customHeight="1">
      <c r="B463" s="53">
        <f>IF(AND($C463="",$F463=""),"",ROW()-9)</f>
        <v/>
      </c>
      <c r="C463" s="213" t="n"/>
      <c r="D463" s="55" t="n"/>
      <c r="E463" s="55" t="n"/>
      <c r="F463" s="56" t="n"/>
      <c r="G463" s="196" t="n"/>
      <c r="H463" s="196" t="n"/>
      <c r="I463" s="55" t="n"/>
      <c r="J463" s="55" t="n"/>
      <c r="K463" s="55" t="n"/>
      <c r="L463" s="100">
        <f>IF(OR($C463="",$I463="Оплачено",$I463="Отменено",$H463&lt;&gt;""),"",$C463-TODAY())</f>
        <v/>
      </c>
      <c r="M463" s="101">
        <f>IF($C463="","",INDEX(Настройки!$V$6:$V$17,MONTH($C463))&amp;" "&amp;YEAR($C463))</f>
        <v/>
      </c>
      <c r="N463" s="57">
        <f>IF($F463="","",IF(COUNTIF(Постоянные!$C$8:$C$37,$F463)&gt;0,"есть в Постоянных",IF(COUNTIF(Покупки!$C$7:$C$18,$F463)&gt;0,"есть в Покупках","")))</f>
        <v/>
      </c>
      <c r="P463">
        <f>IF($H463&lt;&gt;"",$H463,IF($I463="Оплачено",N($G463),0))</f>
        <v/>
      </c>
      <c r="Q463">
        <f>IF($I463="Отменено",0,IF($G463&lt;&gt;"",$G463,N($H463)))</f>
        <v/>
      </c>
      <c r="R463">
        <f>IF($C463="","",IFERROR(DATE(Настройки!$C$8,Настройки!$D$9+MATCH($M463,Настройки!$X$6:$X$17,0)-1,1),DATE(YEAR($C463),MONTH($C463),1)))</f>
        <v/>
      </c>
      <c r="S463">
        <f>IF(OR($I463="Оплачено",$H463&lt;&gt;""),$P463,$Q463)</f>
        <v/>
      </c>
      <c r="T463">
        <f>IF(OR($C463="",$D463="Доход",$I463="Оплачено",$I463="Отменено",$H463&lt;&gt;"",$C463&lt;TODAY()),"",$C463)</f>
        <v/>
      </c>
      <c r="U463">
        <f>IF(AND($D463&lt;&gt;"Доход",COUNTIFS(Счета!$B$10:$B$21,$J463,Счета!$C$10:$C$21,"Кредитная")&gt;0),1,0)</f>
        <v/>
      </c>
    </row>
    <row r="464" ht="19" customHeight="1">
      <c r="B464" s="53">
        <f>IF(AND($C464="",$F464=""),"",ROW()-9)</f>
        <v/>
      </c>
      <c r="C464" s="213" t="n"/>
      <c r="D464" s="55" t="n"/>
      <c r="E464" s="55" t="n"/>
      <c r="F464" s="56" t="n"/>
      <c r="G464" s="196" t="n"/>
      <c r="H464" s="196" t="n"/>
      <c r="I464" s="55" t="n"/>
      <c r="J464" s="55" t="n"/>
      <c r="K464" s="55" t="n"/>
      <c r="L464" s="100">
        <f>IF(OR($C464="",$I464="Оплачено",$I464="Отменено",$H464&lt;&gt;""),"",$C464-TODAY())</f>
        <v/>
      </c>
      <c r="M464" s="101">
        <f>IF($C464="","",INDEX(Настройки!$V$6:$V$17,MONTH($C464))&amp;" "&amp;YEAR($C464))</f>
        <v/>
      </c>
      <c r="N464" s="57">
        <f>IF($F464="","",IF(COUNTIF(Постоянные!$C$8:$C$37,$F464)&gt;0,"есть в Постоянных",IF(COUNTIF(Покупки!$C$7:$C$18,$F464)&gt;0,"есть в Покупках","")))</f>
        <v/>
      </c>
      <c r="P464">
        <f>IF($H464&lt;&gt;"",$H464,IF($I464="Оплачено",N($G464),0))</f>
        <v/>
      </c>
      <c r="Q464">
        <f>IF($I464="Отменено",0,IF($G464&lt;&gt;"",$G464,N($H464)))</f>
        <v/>
      </c>
      <c r="R464">
        <f>IF($C464="","",IFERROR(DATE(Настройки!$C$8,Настройки!$D$9+MATCH($M464,Настройки!$X$6:$X$17,0)-1,1),DATE(YEAR($C464),MONTH($C464),1)))</f>
        <v/>
      </c>
      <c r="S464">
        <f>IF(OR($I464="Оплачено",$H464&lt;&gt;""),$P464,$Q464)</f>
        <v/>
      </c>
      <c r="T464">
        <f>IF(OR($C464="",$D464="Доход",$I464="Оплачено",$I464="Отменено",$H464&lt;&gt;"",$C464&lt;TODAY()),"",$C464)</f>
        <v/>
      </c>
      <c r="U464">
        <f>IF(AND($D464&lt;&gt;"Доход",COUNTIFS(Счета!$B$10:$B$21,$J464,Счета!$C$10:$C$21,"Кредитная")&gt;0),1,0)</f>
        <v/>
      </c>
    </row>
    <row r="465" ht="19" customHeight="1">
      <c r="B465" s="53">
        <f>IF(AND($C465="",$F465=""),"",ROW()-9)</f>
        <v/>
      </c>
      <c r="C465" s="213" t="n"/>
      <c r="D465" s="55" t="n"/>
      <c r="E465" s="55" t="n"/>
      <c r="F465" s="56" t="n"/>
      <c r="G465" s="196" t="n"/>
      <c r="H465" s="196" t="n"/>
      <c r="I465" s="55" t="n"/>
      <c r="J465" s="55" t="n"/>
      <c r="K465" s="55" t="n"/>
      <c r="L465" s="100">
        <f>IF(OR($C465="",$I465="Оплачено",$I465="Отменено",$H465&lt;&gt;""),"",$C465-TODAY())</f>
        <v/>
      </c>
      <c r="M465" s="101">
        <f>IF($C465="","",INDEX(Настройки!$V$6:$V$17,MONTH($C465))&amp;" "&amp;YEAR($C465))</f>
        <v/>
      </c>
      <c r="N465" s="57">
        <f>IF($F465="","",IF(COUNTIF(Постоянные!$C$8:$C$37,$F465)&gt;0,"есть в Постоянных",IF(COUNTIF(Покупки!$C$7:$C$18,$F465)&gt;0,"есть в Покупках","")))</f>
        <v/>
      </c>
      <c r="P465">
        <f>IF($H465&lt;&gt;"",$H465,IF($I465="Оплачено",N($G465),0))</f>
        <v/>
      </c>
      <c r="Q465">
        <f>IF($I465="Отменено",0,IF($G465&lt;&gt;"",$G465,N($H465)))</f>
        <v/>
      </c>
      <c r="R465">
        <f>IF($C465="","",IFERROR(DATE(Настройки!$C$8,Настройки!$D$9+MATCH($M465,Настройки!$X$6:$X$17,0)-1,1),DATE(YEAR($C465),MONTH($C465),1)))</f>
        <v/>
      </c>
      <c r="S465">
        <f>IF(OR($I465="Оплачено",$H465&lt;&gt;""),$P465,$Q465)</f>
        <v/>
      </c>
      <c r="T465">
        <f>IF(OR($C465="",$D465="Доход",$I465="Оплачено",$I465="Отменено",$H465&lt;&gt;"",$C465&lt;TODAY()),"",$C465)</f>
        <v/>
      </c>
      <c r="U465">
        <f>IF(AND($D465&lt;&gt;"Доход",COUNTIFS(Счета!$B$10:$B$21,$J465,Счета!$C$10:$C$21,"Кредитная")&gt;0),1,0)</f>
        <v/>
      </c>
    </row>
    <row r="466" ht="19" customHeight="1">
      <c r="B466" s="53">
        <f>IF(AND($C466="",$F466=""),"",ROW()-9)</f>
        <v/>
      </c>
      <c r="C466" s="213" t="n"/>
      <c r="D466" s="55" t="n"/>
      <c r="E466" s="55" t="n"/>
      <c r="F466" s="56" t="n"/>
      <c r="G466" s="196" t="n"/>
      <c r="H466" s="196" t="n"/>
      <c r="I466" s="55" t="n"/>
      <c r="J466" s="55" t="n"/>
      <c r="K466" s="55" t="n"/>
      <c r="L466" s="100">
        <f>IF(OR($C466="",$I466="Оплачено",$I466="Отменено",$H466&lt;&gt;""),"",$C466-TODAY())</f>
        <v/>
      </c>
      <c r="M466" s="101">
        <f>IF($C466="","",INDEX(Настройки!$V$6:$V$17,MONTH($C466))&amp;" "&amp;YEAR($C466))</f>
        <v/>
      </c>
      <c r="N466" s="57">
        <f>IF($F466="","",IF(COUNTIF(Постоянные!$C$8:$C$37,$F466)&gt;0,"есть в Постоянных",IF(COUNTIF(Покупки!$C$7:$C$18,$F466)&gt;0,"есть в Покупках","")))</f>
        <v/>
      </c>
      <c r="P466">
        <f>IF($H466&lt;&gt;"",$H466,IF($I466="Оплачено",N($G466),0))</f>
        <v/>
      </c>
      <c r="Q466">
        <f>IF($I466="Отменено",0,IF($G466&lt;&gt;"",$G466,N($H466)))</f>
        <v/>
      </c>
      <c r="R466">
        <f>IF($C466="","",IFERROR(DATE(Настройки!$C$8,Настройки!$D$9+MATCH($M466,Настройки!$X$6:$X$17,0)-1,1),DATE(YEAR($C466),MONTH($C466),1)))</f>
        <v/>
      </c>
      <c r="S466">
        <f>IF(OR($I466="Оплачено",$H466&lt;&gt;""),$P466,$Q466)</f>
        <v/>
      </c>
      <c r="T466">
        <f>IF(OR($C466="",$D466="Доход",$I466="Оплачено",$I466="Отменено",$H466&lt;&gt;"",$C466&lt;TODAY()),"",$C466)</f>
        <v/>
      </c>
      <c r="U466">
        <f>IF(AND($D466&lt;&gt;"Доход",COUNTIFS(Счета!$B$10:$B$21,$J466,Счета!$C$10:$C$21,"Кредитная")&gt;0),1,0)</f>
        <v/>
      </c>
    </row>
    <row r="467" ht="19" customHeight="1">
      <c r="B467" s="53">
        <f>IF(AND($C467="",$F467=""),"",ROW()-9)</f>
        <v/>
      </c>
      <c r="C467" s="213" t="n"/>
      <c r="D467" s="55" t="n"/>
      <c r="E467" s="55" t="n"/>
      <c r="F467" s="56" t="n"/>
      <c r="G467" s="196" t="n"/>
      <c r="H467" s="196" t="n"/>
      <c r="I467" s="55" t="n"/>
      <c r="J467" s="55" t="n"/>
      <c r="K467" s="55" t="n"/>
      <c r="L467" s="100">
        <f>IF(OR($C467="",$I467="Оплачено",$I467="Отменено",$H467&lt;&gt;""),"",$C467-TODAY())</f>
        <v/>
      </c>
      <c r="M467" s="101">
        <f>IF($C467="","",INDEX(Настройки!$V$6:$V$17,MONTH($C467))&amp;" "&amp;YEAR($C467))</f>
        <v/>
      </c>
      <c r="N467" s="57">
        <f>IF($F467="","",IF(COUNTIF(Постоянные!$C$8:$C$37,$F467)&gt;0,"есть в Постоянных",IF(COUNTIF(Покупки!$C$7:$C$18,$F467)&gt;0,"есть в Покупках","")))</f>
        <v/>
      </c>
      <c r="P467">
        <f>IF($H467&lt;&gt;"",$H467,IF($I467="Оплачено",N($G467),0))</f>
        <v/>
      </c>
      <c r="Q467">
        <f>IF($I467="Отменено",0,IF($G467&lt;&gt;"",$G467,N($H467)))</f>
        <v/>
      </c>
      <c r="R467">
        <f>IF($C467="","",IFERROR(DATE(Настройки!$C$8,Настройки!$D$9+MATCH($M467,Настройки!$X$6:$X$17,0)-1,1),DATE(YEAR($C467),MONTH($C467),1)))</f>
        <v/>
      </c>
      <c r="S467">
        <f>IF(OR($I467="Оплачено",$H467&lt;&gt;""),$P467,$Q467)</f>
        <v/>
      </c>
      <c r="T467">
        <f>IF(OR($C467="",$D467="Доход",$I467="Оплачено",$I467="Отменено",$H467&lt;&gt;"",$C467&lt;TODAY()),"",$C467)</f>
        <v/>
      </c>
      <c r="U467">
        <f>IF(AND($D467&lt;&gt;"Доход",COUNTIFS(Счета!$B$10:$B$21,$J467,Счета!$C$10:$C$21,"Кредитная")&gt;0),1,0)</f>
        <v/>
      </c>
    </row>
    <row r="468" ht="19" customHeight="1">
      <c r="B468" s="53">
        <f>IF(AND($C468="",$F468=""),"",ROW()-9)</f>
        <v/>
      </c>
      <c r="C468" s="213" t="n"/>
      <c r="D468" s="55" t="n"/>
      <c r="E468" s="55" t="n"/>
      <c r="F468" s="56" t="n"/>
      <c r="G468" s="196" t="n"/>
      <c r="H468" s="196" t="n"/>
      <c r="I468" s="55" t="n"/>
      <c r="J468" s="55" t="n"/>
      <c r="K468" s="55" t="n"/>
      <c r="L468" s="100">
        <f>IF(OR($C468="",$I468="Оплачено",$I468="Отменено",$H468&lt;&gt;""),"",$C468-TODAY())</f>
        <v/>
      </c>
      <c r="M468" s="101">
        <f>IF($C468="","",INDEX(Настройки!$V$6:$V$17,MONTH($C468))&amp;" "&amp;YEAR($C468))</f>
        <v/>
      </c>
      <c r="N468" s="57">
        <f>IF($F468="","",IF(COUNTIF(Постоянные!$C$8:$C$37,$F468)&gt;0,"есть в Постоянных",IF(COUNTIF(Покупки!$C$7:$C$18,$F468)&gt;0,"есть в Покупках","")))</f>
        <v/>
      </c>
      <c r="P468">
        <f>IF($H468&lt;&gt;"",$H468,IF($I468="Оплачено",N($G468),0))</f>
        <v/>
      </c>
      <c r="Q468">
        <f>IF($I468="Отменено",0,IF($G468&lt;&gt;"",$G468,N($H468)))</f>
        <v/>
      </c>
      <c r="R468">
        <f>IF($C468="","",IFERROR(DATE(Настройки!$C$8,Настройки!$D$9+MATCH($M468,Настройки!$X$6:$X$17,0)-1,1),DATE(YEAR($C468),MONTH($C468),1)))</f>
        <v/>
      </c>
      <c r="S468">
        <f>IF(OR($I468="Оплачено",$H468&lt;&gt;""),$P468,$Q468)</f>
        <v/>
      </c>
      <c r="T468">
        <f>IF(OR($C468="",$D468="Доход",$I468="Оплачено",$I468="Отменено",$H468&lt;&gt;"",$C468&lt;TODAY()),"",$C468)</f>
        <v/>
      </c>
      <c r="U468">
        <f>IF(AND($D468&lt;&gt;"Доход",COUNTIFS(Счета!$B$10:$B$21,$J468,Счета!$C$10:$C$21,"Кредитная")&gt;0),1,0)</f>
        <v/>
      </c>
    </row>
    <row r="469" ht="19" customHeight="1">
      <c r="B469" s="53">
        <f>IF(AND($C469="",$F469=""),"",ROW()-9)</f>
        <v/>
      </c>
      <c r="C469" s="213" t="n"/>
      <c r="D469" s="55" t="n"/>
      <c r="E469" s="55" t="n"/>
      <c r="F469" s="56" t="n"/>
      <c r="G469" s="196" t="n"/>
      <c r="H469" s="196" t="n"/>
      <c r="I469" s="55" t="n"/>
      <c r="J469" s="55" t="n"/>
      <c r="K469" s="55" t="n"/>
      <c r="L469" s="100">
        <f>IF(OR($C469="",$I469="Оплачено",$I469="Отменено",$H469&lt;&gt;""),"",$C469-TODAY())</f>
        <v/>
      </c>
      <c r="M469" s="101">
        <f>IF($C469="","",INDEX(Настройки!$V$6:$V$17,MONTH($C469))&amp;" "&amp;YEAR($C469))</f>
        <v/>
      </c>
      <c r="N469" s="57">
        <f>IF($F469="","",IF(COUNTIF(Постоянные!$C$8:$C$37,$F469)&gt;0,"есть в Постоянных",IF(COUNTIF(Покупки!$C$7:$C$18,$F469)&gt;0,"есть в Покупках","")))</f>
        <v/>
      </c>
      <c r="P469">
        <f>IF($H469&lt;&gt;"",$H469,IF($I469="Оплачено",N($G469),0))</f>
        <v/>
      </c>
      <c r="Q469">
        <f>IF($I469="Отменено",0,IF($G469&lt;&gt;"",$G469,N($H469)))</f>
        <v/>
      </c>
      <c r="R469">
        <f>IF($C469="","",IFERROR(DATE(Настройки!$C$8,Настройки!$D$9+MATCH($M469,Настройки!$X$6:$X$17,0)-1,1),DATE(YEAR($C469),MONTH($C469),1)))</f>
        <v/>
      </c>
      <c r="S469">
        <f>IF(OR($I469="Оплачено",$H469&lt;&gt;""),$P469,$Q469)</f>
        <v/>
      </c>
      <c r="T469">
        <f>IF(OR($C469="",$D469="Доход",$I469="Оплачено",$I469="Отменено",$H469&lt;&gt;"",$C469&lt;TODAY()),"",$C469)</f>
        <v/>
      </c>
      <c r="U469">
        <f>IF(AND($D469&lt;&gt;"Доход",COUNTIFS(Счета!$B$10:$B$21,$J469,Счета!$C$10:$C$21,"Кредитная")&gt;0),1,0)</f>
        <v/>
      </c>
    </row>
    <row r="470" ht="19" customHeight="1">
      <c r="B470" s="53">
        <f>IF(AND($C470="",$F470=""),"",ROW()-9)</f>
        <v/>
      </c>
      <c r="C470" s="213" t="n"/>
      <c r="D470" s="55" t="n"/>
      <c r="E470" s="55" t="n"/>
      <c r="F470" s="56" t="n"/>
      <c r="G470" s="196" t="n"/>
      <c r="H470" s="196" t="n"/>
      <c r="I470" s="55" t="n"/>
      <c r="J470" s="55" t="n"/>
      <c r="K470" s="55" t="n"/>
      <c r="L470" s="100">
        <f>IF(OR($C470="",$I470="Оплачено",$I470="Отменено",$H470&lt;&gt;""),"",$C470-TODAY())</f>
        <v/>
      </c>
      <c r="M470" s="101">
        <f>IF($C470="","",INDEX(Настройки!$V$6:$V$17,MONTH($C470))&amp;" "&amp;YEAR($C470))</f>
        <v/>
      </c>
      <c r="N470" s="57">
        <f>IF($F470="","",IF(COUNTIF(Постоянные!$C$8:$C$37,$F470)&gt;0,"есть в Постоянных",IF(COUNTIF(Покупки!$C$7:$C$18,$F470)&gt;0,"есть в Покупках","")))</f>
        <v/>
      </c>
      <c r="P470">
        <f>IF($H470&lt;&gt;"",$H470,IF($I470="Оплачено",N($G470),0))</f>
        <v/>
      </c>
      <c r="Q470">
        <f>IF($I470="Отменено",0,IF($G470&lt;&gt;"",$G470,N($H470)))</f>
        <v/>
      </c>
      <c r="R470">
        <f>IF($C470="","",IFERROR(DATE(Настройки!$C$8,Настройки!$D$9+MATCH($M470,Настройки!$X$6:$X$17,0)-1,1),DATE(YEAR($C470),MONTH($C470),1)))</f>
        <v/>
      </c>
      <c r="S470">
        <f>IF(OR($I470="Оплачено",$H470&lt;&gt;""),$P470,$Q470)</f>
        <v/>
      </c>
      <c r="T470">
        <f>IF(OR($C470="",$D470="Доход",$I470="Оплачено",$I470="Отменено",$H470&lt;&gt;"",$C470&lt;TODAY()),"",$C470)</f>
        <v/>
      </c>
      <c r="U470">
        <f>IF(AND($D470&lt;&gt;"Доход",COUNTIFS(Счета!$B$10:$B$21,$J470,Счета!$C$10:$C$21,"Кредитная")&gt;0),1,0)</f>
        <v/>
      </c>
    </row>
    <row r="471" ht="19" customHeight="1">
      <c r="B471" s="53">
        <f>IF(AND($C471="",$F471=""),"",ROW()-9)</f>
        <v/>
      </c>
      <c r="C471" s="213" t="n"/>
      <c r="D471" s="55" t="n"/>
      <c r="E471" s="55" t="n"/>
      <c r="F471" s="56" t="n"/>
      <c r="G471" s="196" t="n"/>
      <c r="H471" s="196" t="n"/>
      <c r="I471" s="55" t="n"/>
      <c r="J471" s="55" t="n"/>
      <c r="K471" s="55" t="n"/>
      <c r="L471" s="100">
        <f>IF(OR($C471="",$I471="Оплачено",$I471="Отменено",$H471&lt;&gt;""),"",$C471-TODAY())</f>
        <v/>
      </c>
      <c r="M471" s="101">
        <f>IF($C471="","",INDEX(Настройки!$V$6:$V$17,MONTH($C471))&amp;" "&amp;YEAR($C471))</f>
        <v/>
      </c>
      <c r="N471" s="57">
        <f>IF($F471="","",IF(COUNTIF(Постоянные!$C$8:$C$37,$F471)&gt;0,"есть в Постоянных",IF(COUNTIF(Покупки!$C$7:$C$18,$F471)&gt;0,"есть в Покупках","")))</f>
        <v/>
      </c>
      <c r="P471">
        <f>IF($H471&lt;&gt;"",$H471,IF($I471="Оплачено",N($G471),0))</f>
        <v/>
      </c>
      <c r="Q471">
        <f>IF($I471="Отменено",0,IF($G471&lt;&gt;"",$G471,N($H471)))</f>
        <v/>
      </c>
      <c r="R471">
        <f>IF($C471="","",IFERROR(DATE(Настройки!$C$8,Настройки!$D$9+MATCH($M471,Настройки!$X$6:$X$17,0)-1,1),DATE(YEAR($C471),MONTH($C471),1)))</f>
        <v/>
      </c>
      <c r="S471">
        <f>IF(OR($I471="Оплачено",$H471&lt;&gt;""),$P471,$Q471)</f>
        <v/>
      </c>
      <c r="T471">
        <f>IF(OR($C471="",$D471="Доход",$I471="Оплачено",$I471="Отменено",$H471&lt;&gt;"",$C471&lt;TODAY()),"",$C471)</f>
        <v/>
      </c>
      <c r="U471">
        <f>IF(AND($D471&lt;&gt;"Доход",COUNTIFS(Счета!$B$10:$B$21,$J471,Счета!$C$10:$C$21,"Кредитная")&gt;0),1,0)</f>
        <v/>
      </c>
    </row>
    <row r="472" ht="19" customHeight="1">
      <c r="B472" s="53">
        <f>IF(AND($C472="",$F472=""),"",ROW()-9)</f>
        <v/>
      </c>
      <c r="C472" s="213" t="n"/>
      <c r="D472" s="55" t="n"/>
      <c r="E472" s="55" t="n"/>
      <c r="F472" s="56" t="n"/>
      <c r="G472" s="196" t="n"/>
      <c r="H472" s="196" t="n"/>
      <c r="I472" s="55" t="n"/>
      <c r="J472" s="55" t="n"/>
      <c r="K472" s="55" t="n"/>
      <c r="L472" s="100">
        <f>IF(OR($C472="",$I472="Оплачено",$I472="Отменено",$H472&lt;&gt;""),"",$C472-TODAY())</f>
        <v/>
      </c>
      <c r="M472" s="101">
        <f>IF($C472="","",INDEX(Настройки!$V$6:$V$17,MONTH($C472))&amp;" "&amp;YEAR($C472))</f>
        <v/>
      </c>
      <c r="N472" s="57">
        <f>IF($F472="","",IF(COUNTIF(Постоянные!$C$8:$C$37,$F472)&gt;0,"есть в Постоянных",IF(COUNTIF(Покупки!$C$7:$C$18,$F472)&gt;0,"есть в Покупках","")))</f>
        <v/>
      </c>
      <c r="P472">
        <f>IF($H472&lt;&gt;"",$H472,IF($I472="Оплачено",N($G472),0))</f>
        <v/>
      </c>
      <c r="Q472">
        <f>IF($I472="Отменено",0,IF($G472&lt;&gt;"",$G472,N($H472)))</f>
        <v/>
      </c>
      <c r="R472">
        <f>IF($C472="","",IFERROR(DATE(Настройки!$C$8,Настройки!$D$9+MATCH($M472,Настройки!$X$6:$X$17,0)-1,1),DATE(YEAR($C472),MONTH($C472),1)))</f>
        <v/>
      </c>
      <c r="S472">
        <f>IF(OR($I472="Оплачено",$H472&lt;&gt;""),$P472,$Q472)</f>
        <v/>
      </c>
      <c r="T472">
        <f>IF(OR($C472="",$D472="Доход",$I472="Оплачено",$I472="Отменено",$H472&lt;&gt;"",$C472&lt;TODAY()),"",$C472)</f>
        <v/>
      </c>
      <c r="U472">
        <f>IF(AND($D472&lt;&gt;"Доход",COUNTIFS(Счета!$B$10:$B$21,$J472,Счета!$C$10:$C$21,"Кредитная")&gt;0),1,0)</f>
        <v/>
      </c>
    </row>
    <row r="473" ht="19" customHeight="1">
      <c r="B473" s="53">
        <f>IF(AND($C473="",$F473=""),"",ROW()-9)</f>
        <v/>
      </c>
      <c r="C473" s="213" t="n"/>
      <c r="D473" s="55" t="n"/>
      <c r="E473" s="55" t="n"/>
      <c r="F473" s="56" t="n"/>
      <c r="G473" s="196" t="n"/>
      <c r="H473" s="196" t="n"/>
      <c r="I473" s="55" t="n"/>
      <c r="J473" s="55" t="n"/>
      <c r="K473" s="55" t="n"/>
      <c r="L473" s="100">
        <f>IF(OR($C473="",$I473="Оплачено",$I473="Отменено",$H473&lt;&gt;""),"",$C473-TODAY())</f>
        <v/>
      </c>
      <c r="M473" s="101">
        <f>IF($C473="","",INDEX(Настройки!$V$6:$V$17,MONTH($C473))&amp;" "&amp;YEAR($C473))</f>
        <v/>
      </c>
      <c r="N473" s="57">
        <f>IF($F473="","",IF(COUNTIF(Постоянные!$C$8:$C$37,$F473)&gt;0,"есть в Постоянных",IF(COUNTIF(Покупки!$C$7:$C$18,$F473)&gt;0,"есть в Покупках","")))</f>
        <v/>
      </c>
      <c r="P473">
        <f>IF($H473&lt;&gt;"",$H473,IF($I473="Оплачено",N($G473),0))</f>
        <v/>
      </c>
      <c r="Q473">
        <f>IF($I473="Отменено",0,IF($G473&lt;&gt;"",$G473,N($H473)))</f>
        <v/>
      </c>
      <c r="R473">
        <f>IF($C473="","",IFERROR(DATE(Настройки!$C$8,Настройки!$D$9+MATCH($M473,Настройки!$X$6:$X$17,0)-1,1),DATE(YEAR($C473),MONTH($C473),1)))</f>
        <v/>
      </c>
      <c r="S473">
        <f>IF(OR($I473="Оплачено",$H473&lt;&gt;""),$P473,$Q473)</f>
        <v/>
      </c>
      <c r="T473">
        <f>IF(OR($C473="",$D473="Доход",$I473="Оплачено",$I473="Отменено",$H473&lt;&gt;"",$C473&lt;TODAY()),"",$C473)</f>
        <v/>
      </c>
      <c r="U473">
        <f>IF(AND($D473&lt;&gt;"Доход",COUNTIFS(Счета!$B$10:$B$21,$J473,Счета!$C$10:$C$21,"Кредитная")&gt;0),1,0)</f>
        <v/>
      </c>
    </row>
    <row r="474" ht="19" customHeight="1">
      <c r="B474" s="53">
        <f>IF(AND($C474="",$F474=""),"",ROW()-9)</f>
        <v/>
      </c>
      <c r="C474" s="213" t="n"/>
      <c r="D474" s="55" t="n"/>
      <c r="E474" s="55" t="n"/>
      <c r="F474" s="56" t="n"/>
      <c r="G474" s="196" t="n"/>
      <c r="H474" s="196" t="n"/>
      <c r="I474" s="55" t="n"/>
      <c r="J474" s="55" t="n"/>
      <c r="K474" s="55" t="n"/>
      <c r="L474" s="100">
        <f>IF(OR($C474="",$I474="Оплачено",$I474="Отменено",$H474&lt;&gt;""),"",$C474-TODAY())</f>
        <v/>
      </c>
      <c r="M474" s="101">
        <f>IF($C474="","",INDEX(Настройки!$V$6:$V$17,MONTH($C474))&amp;" "&amp;YEAR($C474))</f>
        <v/>
      </c>
      <c r="N474" s="57">
        <f>IF($F474="","",IF(COUNTIF(Постоянные!$C$8:$C$37,$F474)&gt;0,"есть в Постоянных",IF(COUNTIF(Покупки!$C$7:$C$18,$F474)&gt;0,"есть в Покупках","")))</f>
        <v/>
      </c>
      <c r="P474">
        <f>IF($H474&lt;&gt;"",$H474,IF($I474="Оплачено",N($G474),0))</f>
        <v/>
      </c>
      <c r="Q474">
        <f>IF($I474="Отменено",0,IF($G474&lt;&gt;"",$G474,N($H474)))</f>
        <v/>
      </c>
      <c r="R474">
        <f>IF($C474="","",IFERROR(DATE(Настройки!$C$8,Настройки!$D$9+MATCH($M474,Настройки!$X$6:$X$17,0)-1,1),DATE(YEAR($C474),MONTH($C474),1)))</f>
        <v/>
      </c>
      <c r="S474">
        <f>IF(OR($I474="Оплачено",$H474&lt;&gt;""),$P474,$Q474)</f>
        <v/>
      </c>
      <c r="T474">
        <f>IF(OR($C474="",$D474="Доход",$I474="Оплачено",$I474="Отменено",$H474&lt;&gt;"",$C474&lt;TODAY()),"",$C474)</f>
        <v/>
      </c>
      <c r="U474">
        <f>IF(AND($D474&lt;&gt;"Доход",COUNTIFS(Счета!$B$10:$B$21,$J474,Счета!$C$10:$C$21,"Кредитная")&gt;0),1,0)</f>
        <v/>
      </c>
    </row>
    <row r="475" ht="19" customHeight="1">
      <c r="B475" s="53">
        <f>IF(AND($C475="",$F475=""),"",ROW()-9)</f>
        <v/>
      </c>
      <c r="C475" s="213" t="n"/>
      <c r="D475" s="55" t="n"/>
      <c r="E475" s="55" t="n"/>
      <c r="F475" s="56" t="n"/>
      <c r="G475" s="196" t="n"/>
      <c r="H475" s="196" t="n"/>
      <c r="I475" s="55" t="n"/>
      <c r="J475" s="55" t="n"/>
      <c r="K475" s="55" t="n"/>
      <c r="L475" s="100">
        <f>IF(OR($C475="",$I475="Оплачено",$I475="Отменено",$H475&lt;&gt;""),"",$C475-TODAY())</f>
        <v/>
      </c>
      <c r="M475" s="101">
        <f>IF($C475="","",INDEX(Настройки!$V$6:$V$17,MONTH($C475))&amp;" "&amp;YEAR($C475))</f>
        <v/>
      </c>
      <c r="N475" s="57">
        <f>IF($F475="","",IF(COUNTIF(Постоянные!$C$8:$C$37,$F475)&gt;0,"есть в Постоянных",IF(COUNTIF(Покупки!$C$7:$C$18,$F475)&gt;0,"есть в Покупках","")))</f>
        <v/>
      </c>
      <c r="P475">
        <f>IF($H475&lt;&gt;"",$H475,IF($I475="Оплачено",N($G475),0))</f>
        <v/>
      </c>
      <c r="Q475">
        <f>IF($I475="Отменено",0,IF($G475&lt;&gt;"",$G475,N($H475)))</f>
        <v/>
      </c>
      <c r="R475">
        <f>IF($C475="","",IFERROR(DATE(Настройки!$C$8,Настройки!$D$9+MATCH($M475,Настройки!$X$6:$X$17,0)-1,1),DATE(YEAR($C475),MONTH($C475),1)))</f>
        <v/>
      </c>
      <c r="S475">
        <f>IF(OR($I475="Оплачено",$H475&lt;&gt;""),$P475,$Q475)</f>
        <v/>
      </c>
      <c r="T475">
        <f>IF(OR($C475="",$D475="Доход",$I475="Оплачено",$I475="Отменено",$H475&lt;&gt;"",$C475&lt;TODAY()),"",$C475)</f>
        <v/>
      </c>
      <c r="U475">
        <f>IF(AND($D475&lt;&gt;"Доход",COUNTIFS(Счета!$B$10:$B$21,$J475,Счета!$C$10:$C$21,"Кредитная")&gt;0),1,0)</f>
        <v/>
      </c>
    </row>
    <row r="476" ht="19" customHeight="1">
      <c r="B476" s="53">
        <f>IF(AND($C476="",$F476=""),"",ROW()-9)</f>
        <v/>
      </c>
      <c r="C476" s="213" t="n"/>
      <c r="D476" s="55" t="n"/>
      <c r="E476" s="55" t="n"/>
      <c r="F476" s="56" t="n"/>
      <c r="G476" s="196" t="n"/>
      <c r="H476" s="196" t="n"/>
      <c r="I476" s="55" t="n"/>
      <c r="J476" s="55" t="n"/>
      <c r="K476" s="55" t="n"/>
      <c r="L476" s="100">
        <f>IF(OR($C476="",$I476="Оплачено",$I476="Отменено",$H476&lt;&gt;""),"",$C476-TODAY())</f>
        <v/>
      </c>
      <c r="M476" s="101">
        <f>IF($C476="","",INDEX(Настройки!$V$6:$V$17,MONTH($C476))&amp;" "&amp;YEAR($C476))</f>
        <v/>
      </c>
      <c r="N476" s="57">
        <f>IF($F476="","",IF(COUNTIF(Постоянные!$C$8:$C$37,$F476)&gt;0,"есть в Постоянных",IF(COUNTIF(Покупки!$C$7:$C$18,$F476)&gt;0,"есть в Покупках","")))</f>
        <v/>
      </c>
      <c r="P476">
        <f>IF($H476&lt;&gt;"",$H476,IF($I476="Оплачено",N($G476),0))</f>
        <v/>
      </c>
      <c r="Q476">
        <f>IF($I476="Отменено",0,IF($G476&lt;&gt;"",$G476,N($H476)))</f>
        <v/>
      </c>
      <c r="R476">
        <f>IF($C476="","",IFERROR(DATE(Настройки!$C$8,Настройки!$D$9+MATCH($M476,Настройки!$X$6:$X$17,0)-1,1),DATE(YEAR($C476),MONTH($C476),1)))</f>
        <v/>
      </c>
      <c r="S476">
        <f>IF(OR($I476="Оплачено",$H476&lt;&gt;""),$P476,$Q476)</f>
        <v/>
      </c>
      <c r="T476">
        <f>IF(OR($C476="",$D476="Доход",$I476="Оплачено",$I476="Отменено",$H476&lt;&gt;"",$C476&lt;TODAY()),"",$C476)</f>
        <v/>
      </c>
      <c r="U476">
        <f>IF(AND($D476&lt;&gt;"Доход",COUNTIFS(Счета!$B$10:$B$21,$J476,Счета!$C$10:$C$21,"Кредитная")&gt;0),1,0)</f>
        <v/>
      </c>
    </row>
    <row r="477" ht="19" customHeight="1">
      <c r="B477" s="53">
        <f>IF(AND($C477="",$F477=""),"",ROW()-9)</f>
        <v/>
      </c>
      <c r="C477" s="213" t="n"/>
      <c r="D477" s="55" t="n"/>
      <c r="E477" s="55" t="n"/>
      <c r="F477" s="56" t="n"/>
      <c r="G477" s="196" t="n"/>
      <c r="H477" s="196" t="n"/>
      <c r="I477" s="55" t="n"/>
      <c r="J477" s="55" t="n"/>
      <c r="K477" s="55" t="n"/>
      <c r="L477" s="100">
        <f>IF(OR($C477="",$I477="Оплачено",$I477="Отменено",$H477&lt;&gt;""),"",$C477-TODAY())</f>
        <v/>
      </c>
      <c r="M477" s="101">
        <f>IF($C477="","",INDEX(Настройки!$V$6:$V$17,MONTH($C477))&amp;" "&amp;YEAR($C477))</f>
        <v/>
      </c>
      <c r="N477" s="57">
        <f>IF($F477="","",IF(COUNTIF(Постоянные!$C$8:$C$37,$F477)&gt;0,"есть в Постоянных",IF(COUNTIF(Покупки!$C$7:$C$18,$F477)&gt;0,"есть в Покупках","")))</f>
        <v/>
      </c>
      <c r="P477">
        <f>IF($H477&lt;&gt;"",$H477,IF($I477="Оплачено",N($G477),0))</f>
        <v/>
      </c>
      <c r="Q477">
        <f>IF($I477="Отменено",0,IF($G477&lt;&gt;"",$G477,N($H477)))</f>
        <v/>
      </c>
      <c r="R477">
        <f>IF($C477="","",IFERROR(DATE(Настройки!$C$8,Настройки!$D$9+MATCH($M477,Настройки!$X$6:$X$17,0)-1,1),DATE(YEAR($C477),MONTH($C477),1)))</f>
        <v/>
      </c>
      <c r="S477">
        <f>IF(OR($I477="Оплачено",$H477&lt;&gt;""),$P477,$Q477)</f>
        <v/>
      </c>
      <c r="T477">
        <f>IF(OR($C477="",$D477="Доход",$I477="Оплачено",$I477="Отменено",$H477&lt;&gt;"",$C477&lt;TODAY()),"",$C477)</f>
        <v/>
      </c>
      <c r="U477">
        <f>IF(AND($D477&lt;&gt;"Доход",COUNTIFS(Счета!$B$10:$B$21,$J477,Счета!$C$10:$C$21,"Кредитная")&gt;0),1,0)</f>
        <v/>
      </c>
    </row>
    <row r="478" ht="19" customHeight="1">
      <c r="B478" s="53">
        <f>IF(AND($C478="",$F478=""),"",ROW()-9)</f>
        <v/>
      </c>
      <c r="C478" s="213" t="n"/>
      <c r="D478" s="55" t="n"/>
      <c r="E478" s="55" t="n"/>
      <c r="F478" s="56" t="n"/>
      <c r="G478" s="196" t="n"/>
      <c r="H478" s="196" t="n"/>
      <c r="I478" s="55" t="n"/>
      <c r="J478" s="55" t="n"/>
      <c r="K478" s="55" t="n"/>
      <c r="L478" s="100">
        <f>IF(OR($C478="",$I478="Оплачено",$I478="Отменено",$H478&lt;&gt;""),"",$C478-TODAY())</f>
        <v/>
      </c>
      <c r="M478" s="101">
        <f>IF($C478="","",INDEX(Настройки!$V$6:$V$17,MONTH($C478))&amp;" "&amp;YEAR($C478))</f>
        <v/>
      </c>
      <c r="N478" s="57">
        <f>IF($F478="","",IF(COUNTIF(Постоянные!$C$8:$C$37,$F478)&gt;0,"есть в Постоянных",IF(COUNTIF(Покупки!$C$7:$C$18,$F478)&gt;0,"есть в Покупках","")))</f>
        <v/>
      </c>
      <c r="P478">
        <f>IF($H478&lt;&gt;"",$H478,IF($I478="Оплачено",N($G478),0))</f>
        <v/>
      </c>
      <c r="Q478">
        <f>IF($I478="Отменено",0,IF($G478&lt;&gt;"",$G478,N($H478)))</f>
        <v/>
      </c>
      <c r="R478">
        <f>IF($C478="","",IFERROR(DATE(Настройки!$C$8,Настройки!$D$9+MATCH($M478,Настройки!$X$6:$X$17,0)-1,1),DATE(YEAR($C478),MONTH($C478),1)))</f>
        <v/>
      </c>
      <c r="S478">
        <f>IF(OR($I478="Оплачено",$H478&lt;&gt;""),$P478,$Q478)</f>
        <v/>
      </c>
      <c r="T478">
        <f>IF(OR($C478="",$D478="Доход",$I478="Оплачено",$I478="Отменено",$H478&lt;&gt;"",$C478&lt;TODAY()),"",$C478)</f>
        <v/>
      </c>
      <c r="U478">
        <f>IF(AND($D478&lt;&gt;"Доход",COUNTIFS(Счета!$B$10:$B$21,$J478,Счета!$C$10:$C$21,"Кредитная")&gt;0),1,0)</f>
        <v/>
      </c>
    </row>
    <row r="479" ht="19" customHeight="1">
      <c r="B479" s="53">
        <f>IF(AND($C479="",$F479=""),"",ROW()-9)</f>
        <v/>
      </c>
      <c r="C479" s="213" t="n"/>
      <c r="D479" s="55" t="n"/>
      <c r="E479" s="55" t="n"/>
      <c r="F479" s="56" t="n"/>
      <c r="G479" s="196" t="n"/>
      <c r="H479" s="196" t="n"/>
      <c r="I479" s="55" t="n"/>
      <c r="J479" s="55" t="n"/>
      <c r="K479" s="55" t="n"/>
      <c r="L479" s="100">
        <f>IF(OR($C479="",$I479="Оплачено",$I479="Отменено",$H479&lt;&gt;""),"",$C479-TODAY())</f>
        <v/>
      </c>
      <c r="M479" s="101">
        <f>IF($C479="","",INDEX(Настройки!$V$6:$V$17,MONTH($C479))&amp;" "&amp;YEAR($C479))</f>
        <v/>
      </c>
      <c r="N479" s="57">
        <f>IF($F479="","",IF(COUNTIF(Постоянные!$C$8:$C$37,$F479)&gt;0,"есть в Постоянных",IF(COUNTIF(Покупки!$C$7:$C$18,$F479)&gt;0,"есть в Покупках","")))</f>
        <v/>
      </c>
      <c r="P479">
        <f>IF($H479&lt;&gt;"",$H479,IF($I479="Оплачено",N($G479),0))</f>
        <v/>
      </c>
      <c r="Q479">
        <f>IF($I479="Отменено",0,IF($G479&lt;&gt;"",$G479,N($H479)))</f>
        <v/>
      </c>
      <c r="R479">
        <f>IF($C479="","",IFERROR(DATE(Настройки!$C$8,Настройки!$D$9+MATCH($M479,Настройки!$X$6:$X$17,0)-1,1),DATE(YEAR($C479),MONTH($C479),1)))</f>
        <v/>
      </c>
      <c r="S479">
        <f>IF(OR($I479="Оплачено",$H479&lt;&gt;""),$P479,$Q479)</f>
        <v/>
      </c>
      <c r="T479">
        <f>IF(OR($C479="",$D479="Доход",$I479="Оплачено",$I479="Отменено",$H479&lt;&gt;"",$C479&lt;TODAY()),"",$C479)</f>
        <v/>
      </c>
      <c r="U479">
        <f>IF(AND($D479&lt;&gt;"Доход",COUNTIFS(Счета!$B$10:$B$21,$J479,Счета!$C$10:$C$21,"Кредитная")&gt;0),1,0)</f>
        <v/>
      </c>
    </row>
    <row r="480" ht="19" customHeight="1">
      <c r="B480" s="53">
        <f>IF(AND($C480="",$F480=""),"",ROW()-9)</f>
        <v/>
      </c>
      <c r="C480" s="213" t="n"/>
      <c r="D480" s="55" t="n"/>
      <c r="E480" s="55" t="n"/>
      <c r="F480" s="56" t="n"/>
      <c r="G480" s="196" t="n"/>
      <c r="H480" s="196" t="n"/>
      <c r="I480" s="55" t="n"/>
      <c r="J480" s="55" t="n"/>
      <c r="K480" s="55" t="n"/>
      <c r="L480" s="100">
        <f>IF(OR($C480="",$I480="Оплачено",$I480="Отменено",$H480&lt;&gt;""),"",$C480-TODAY())</f>
        <v/>
      </c>
      <c r="M480" s="101">
        <f>IF($C480="","",INDEX(Настройки!$V$6:$V$17,MONTH($C480))&amp;" "&amp;YEAR($C480))</f>
        <v/>
      </c>
      <c r="N480" s="57">
        <f>IF($F480="","",IF(COUNTIF(Постоянные!$C$8:$C$37,$F480)&gt;0,"есть в Постоянных",IF(COUNTIF(Покупки!$C$7:$C$18,$F480)&gt;0,"есть в Покупках","")))</f>
        <v/>
      </c>
      <c r="P480">
        <f>IF($H480&lt;&gt;"",$H480,IF($I480="Оплачено",N($G480),0))</f>
        <v/>
      </c>
      <c r="Q480">
        <f>IF($I480="Отменено",0,IF($G480&lt;&gt;"",$G480,N($H480)))</f>
        <v/>
      </c>
      <c r="R480">
        <f>IF($C480="","",IFERROR(DATE(Настройки!$C$8,Настройки!$D$9+MATCH($M480,Настройки!$X$6:$X$17,0)-1,1),DATE(YEAR($C480),MONTH($C480),1)))</f>
        <v/>
      </c>
      <c r="S480">
        <f>IF(OR($I480="Оплачено",$H480&lt;&gt;""),$P480,$Q480)</f>
        <v/>
      </c>
      <c r="T480">
        <f>IF(OR($C480="",$D480="Доход",$I480="Оплачено",$I480="Отменено",$H480&lt;&gt;"",$C480&lt;TODAY()),"",$C480)</f>
        <v/>
      </c>
      <c r="U480">
        <f>IF(AND($D480&lt;&gt;"Доход",COUNTIFS(Счета!$B$10:$B$21,$J480,Счета!$C$10:$C$21,"Кредитная")&gt;0),1,0)</f>
        <v/>
      </c>
    </row>
    <row r="481" ht="19" customHeight="1">
      <c r="B481" s="53">
        <f>IF(AND($C481="",$F481=""),"",ROW()-9)</f>
        <v/>
      </c>
      <c r="C481" s="213" t="n"/>
      <c r="D481" s="55" t="n"/>
      <c r="E481" s="55" t="n"/>
      <c r="F481" s="56" t="n"/>
      <c r="G481" s="196" t="n"/>
      <c r="H481" s="196" t="n"/>
      <c r="I481" s="55" t="n"/>
      <c r="J481" s="55" t="n"/>
      <c r="K481" s="55" t="n"/>
      <c r="L481" s="100">
        <f>IF(OR($C481="",$I481="Оплачено",$I481="Отменено",$H481&lt;&gt;""),"",$C481-TODAY())</f>
        <v/>
      </c>
      <c r="M481" s="101">
        <f>IF($C481="","",INDEX(Настройки!$V$6:$V$17,MONTH($C481))&amp;" "&amp;YEAR($C481))</f>
        <v/>
      </c>
      <c r="N481" s="57">
        <f>IF($F481="","",IF(COUNTIF(Постоянные!$C$8:$C$37,$F481)&gt;0,"есть в Постоянных",IF(COUNTIF(Покупки!$C$7:$C$18,$F481)&gt;0,"есть в Покупках","")))</f>
        <v/>
      </c>
      <c r="P481">
        <f>IF($H481&lt;&gt;"",$H481,IF($I481="Оплачено",N($G481),0))</f>
        <v/>
      </c>
      <c r="Q481">
        <f>IF($I481="Отменено",0,IF($G481&lt;&gt;"",$G481,N($H481)))</f>
        <v/>
      </c>
      <c r="R481">
        <f>IF($C481="","",IFERROR(DATE(Настройки!$C$8,Настройки!$D$9+MATCH($M481,Настройки!$X$6:$X$17,0)-1,1),DATE(YEAR($C481),MONTH($C481),1)))</f>
        <v/>
      </c>
      <c r="S481">
        <f>IF(OR($I481="Оплачено",$H481&lt;&gt;""),$P481,$Q481)</f>
        <v/>
      </c>
      <c r="T481">
        <f>IF(OR($C481="",$D481="Доход",$I481="Оплачено",$I481="Отменено",$H481&lt;&gt;"",$C481&lt;TODAY()),"",$C481)</f>
        <v/>
      </c>
      <c r="U481">
        <f>IF(AND($D481&lt;&gt;"Доход",COUNTIFS(Счета!$B$10:$B$21,$J481,Счета!$C$10:$C$21,"Кредитная")&gt;0),1,0)</f>
        <v/>
      </c>
    </row>
    <row r="482" ht="19" customHeight="1">
      <c r="B482" s="53">
        <f>IF(AND($C482="",$F482=""),"",ROW()-9)</f>
        <v/>
      </c>
      <c r="C482" s="213" t="n"/>
      <c r="D482" s="55" t="n"/>
      <c r="E482" s="55" t="n"/>
      <c r="F482" s="56" t="n"/>
      <c r="G482" s="196" t="n"/>
      <c r="H482" s="196" t="n"/>
      <c r="I482" s="55" t="n"/>
      <c r="J482" s="55" t="n"/>
      <c r="K482" s="55" t="n"/>
      <c r="L482" s="100">
        <f>IF(OR($C482="",$I482="Оплачено",$I482="Отменено",$H482&lt;&gt;""),"",$C482-TODAY())</f>
        <v/>
      </c>
      <c r="M482" s="101">
        <f>IF($C482="","",INDEX(Настройки!$V$6:$V$17,MONTH($C482))&amp;" "&amp;YEAR($C482))</f>
        <v/>
      </c>
      <c r="N482" s="57">
        <f>IF($F482="","",IF(COUNTIF(Постоянные!$C$8:$C$37,$F482)&gt;0,"есть в Постоянных",IF(COUNTIF(Покупки!$C$7:$C$18,$F482)&gt;0,"есть в Покупках","")))</f>
        <v/>
      </c>
      <c r="P482">
        <f>IF($H482&lt;&gt;"",$H482,IF($I482="Оплачено",N($G482),0))</f>
        <v/>
      </c>
      <c r="Q482">
        <f>IF($I482="Отменено",0,IF($G482&lt;&gt;"",$G482,N($H482)))</f>
        <v/>
      </c>
      <c r="R482">
        <f>IF($C482="","",IFERROR(DATE(Настройки!$C$8,Настройки!$D$9+MATCH($M482,Настройки!$X$6:$X$17,0)-1,1),DATE(YEAR($C482),MONTH($C482),1)))</f>
        <v/>
      </c>
      <c r="S482">
        <f>IF(OR($I482="Оплачено",$H482&lt;&gt;""),$P482,$Q482)</f>
        <v/>
      </c>
      <c r="T482">
        <f>IF(OR($C482="",$D482="Доход",$I482="Оплачено",$I482="Отменено",$H482&lt;&gt;"",$C482&lt;TODAY()),"",$C482)</f>
        <v/>
      </c>
      <c r="U482">
        <f>IF(AND($D482&lt;&gt;"Доход",COUNTIFS(Счета!$B$10:$B$21,$J482,Счета!$C$10:$C$21,"Кредитная")&gt;0),1,0)</f>
        <v/>
      </c>
    </row>
    <row r="483" ht="19" customHeight="1">
      <c r="B483" s="53">
        <f>IF(AND($C483="",$F483=""),"",ROW()-9)</f>
        <v/>
      </c>
      <c r="C483" s="213" t="n"/>
      <c r="D483" s="55" t="n"/>
      <c r="E483" s="55" t="n"/>
      <c r="F483" s="56" t="n"/>
      <c r="G483" s="196" t="n"/>
      <c r="H483" s="196" t="n"/>
      <c r="I483" s="55" t="n"/>
      <c r="J483" s="55" t="n"/>
      <c r="K483" s="55" t="n"/>
      <c r="L483" s="100">
        <f>IF(OR($C483="",$I483="Оплачено",$I483="Отменено",$H483&lt;&gt;""),"",$C483-TODAY())</f>
        <v/>
      </c>
      <c r="M483" s="101">
        <f>IF($C483="","",INDEX(Настройки!$V$6:$V$17,MONTH($C483))&amp;" "&amp;YEAR($C483))</f>
        <v/>
      </c>
      <c r="N483" s="57">
        <f>IF($F483="","",IF(COUNTIF(Постоянные!$C$8:$C$37,$F483)&gt;0,"есть в Постоянных",IF(COUNTIF(Покупки!$C$7:$C$18,$F483)&gt;0,"есть в Покупках","")))</f>
        <v/>
      </c>
      <c r="P483">
        <f>IF($H483&lt;&gt;"",$H483,IF($I483="Оплачено",N($G483),0))</f>
        <v/>
      </c>
      <c r="Q483">
        <f>IF($I483="Отменено",0,IF($G483&lt;&gt;"",$G483,N($H483)))</f>
        <v/>
      </c>
      <c r="R483">
        <f>IF($C483="","",IFERROR(DATE(Настройки!$C$8,Настройки!$D$9+MATCH($M483,Настройки!$X$6:$X$17,0)-1,1),DATE(YEAR($C483),MONTH($C483),1)))</f>
        <v/>
      </c>
      <c r="S483">
        <f>IF(OR($I483="Оплачено",$H483&lt;&gt;""),$P483,$Q483)</f>
        <v/>
      </c>
      <c r="T483">
        <f>IF(OR($C483="",$D483="Доход",$I483="Оплачено",$I483="Отменено",$H483&lt;&gt;"",$C483&lt;TODAY()),"",$C483)</f>
        <v/>
      </c>
      <c r="U483">
        <f>IF(AND($D483&lt;&gt;"Доход",COUNTIFS(Счета!$B$10:$B$21,$J483,Счета!$C$10:$C$21,"Кредитная")&gt;0),1,0)</f>
        <v/>
      </c>
    </row>
    <row r="484" ht="19" customHeight="1">
      <c r="B484" s="53">
        <f>IF(AND($C484="",$F484=""),"",ROW()-9)</f>
        <v/>
      </c>
      <c r="C484" s="213" t="n"/>
      <c r="D484" s="55" t="n"/>
      <c r="E484" s="55" t="n"/>
      <c r="F484" s="56" t="n"/>
      <c r="G484" s="196" t="n"/>
      <c r="H484" s="196" t="n"/>
      <c r="I484" s="55" t="n"/>
      <c r="J484" s="55" t="n"/>
      <c r="K484" s="55" t="n"/>
      <c r="L484" s="100">
        <f>IF(OR($C484="",$I484="Оплачено",$I484="Отменено",$H484&lt;&gt;""),"",$C484-TODAY())</f>
        <v/>
      </c>
      <c r="M484" s="101">
        <f>IF($C484="","",INDEX(Настройки!$V$6:$V$17,MONTH($C484))&amp;" "&amp;YEAR($C484))</f>
        <v/>
      </c>
      <c r="N484" s="57">
        <f>IF($F484="","",IF(COUNTIF(Постоянные!$C$8:$C$37,$F484)&gt;0,"есть в Постоянных",IF(COUNTIF(Покупки!$C$7:$C$18,$F484)&gt;0,"есть в Покупках","")))</f>
        <v/>
      </c>
      <c r="P484">
        <f>IF($H484&lt;&gt;"",$H484,IF($I484="Оплачено",N($G484),0))</f>
        <v/>
      </c>
      <c r="Q484">
        <f>IF($I484="Отменено",0,IF($G484&lt;&gt;"",$G484,N($H484)))</f>
        <v/>
      </c>
      <c r="R484">
        <f>IF($C484="","",IFERROR(DATE(Настройки!$C$8,Настройки!$D$9+MATCH($M484,Настройки!$X$6:$X$17,0)-1,1),DATE(YEAR($C484),MONTH($C484),1)))</f>
        <v/>
      </c>
      <c r="S484">
        <f>IF(OR($I484="Оплачено",$H484&lt;&gt;""),$P484,$Q484)</f>
        <v/>
      </c>
      <c r="T484">
        <f>IF(OR($C484="",$D484="Доход",$I484="Оплачено",$I484="Отменено",$H484&lt;&gt;"",$C484&lt;TODAY()),"",$C484)</f>
        <v/>
      </c>
      <c r="U484">
        <f>IF(AND($D484&lt;&gt;"Доход",COUNTIFS(Счета!$B$10:$B$21,$J484,Счета!$C$10:$C$21,"Кредитная")&gt;0),1,0)</f>
        <v/>
      </c>
    </row>
    <row r="485" ht="19" customHeight="1">
      <c r="B485" s="53">
        <f>IF(AND($C485="",$F485=""),"",ROW()-9)</f>
        <v/>
      </c>
      <c r="C485" s="213" t="n"/>
      <c r="D485" s="55" t="n"/>
      <c r="E485" s="55" t="n"/>
      <c r="F485" s="56" t="n"/>
      <c r="G485" s="196" t="n"/>
      <c r="H485" s="196" t="n"/>
      <c r="I485" s="55" t="n"/>
      <c r="J485" s="55" t="n"/>
      <c r="K485" s="55" t="n"/>
      <c r="L485" s="100">
        <f>IF(OR($C485="",$I485="Оплачено",$I485="Отменено",$H485&lt;&gt;""),"",$C485-TODAY())</f>
        <v/>
      </c>
      <c r="M485" s="101">
        <f>IF($C485="","",INDEX(Настройки!$V$6:$V$17,MONTH($C485))&amp;" "&amp;YEAR($C485))</f>
        <v/>
      </c>
      <c r="N485" s="57">
        <f>IF($F485="","",IF(COUNTIF(Постоянные!$C$8:$C$37,$F485)&gt;0,"есть в Постоянных",IF(COUNTIF(Покупки!$C$7:$C$18,$F485)&gt;0,"есть в Покупках","")))</f>
        <v/>
      </c>
      <c r="P485">
        <f>IF($H485&lt;&gt;"",$H485,IF($I485="Оплачено",N($G485),0))</f>
        <v/>
      </c>
      <c r="Q485">
        <f>IF($I485="Отменено",0,IF($G485&lt;&gt;"",$G485,N($H485)))</f>
        <v/>
      </c>
      <c r="R485">
        <f>IF($C485="","",IFERROR(DATE(Настройки!$C$8,Настройки!$D$9+MATCH($M485,Настройки!$X$6:$X$17,0)-1,1),DATE(YEAR($C485),MONTH($C485),1)))</f>
        <v/>
      </c>
      <c r="S485">
        <f>IF(OR($I485="Оплачено",$H485&lt;&gt;""),$P485,$Q485)</f>
        <v/>
      </c>
      <c r="T485">
        <f>IF(OR($C485="",$D485="Доход",$I485="Оплачено",$I485="Отменено",$H485&lt;&gt;"",$C485&lt;TODAY()),"",$C485)</f>
        <v/>
      </c>
      <c r="U485">
        <f>IF(AND($D485&lt;&gt;"Доход",COUNTIFS(Счета!$B$10:$B$21,$J485,Счета!$C$10:$C$21,"Кредитная")&gt;0),1,0)</f>
        <v/>
      </c>
    </row>
    <row r="486" ht="19" customHeight="1">
      <c r="B486" s="53">
        <f>IF(AND($C486="",$F486=""),"",ROW()-9)</f>
        <v/>
      </c>
      <c r="C486" s="213" t="n"/>
      <c r="D486" s="55" t="n"/>
      <c r="E486" s="55" t="n"/>
      <c r="F486" s="56" t="n"/>
      <c r="G486" s="196" t="n"/>
      <c r="H486" s="196" t="n"/>
      <c r="I486" s="55" t="n"/>
      <c r="J486" s="55" t="n"/>
      <c r="K486" s="55" t="n"/>
      <c r="L486" s="100">
        <f>IF(OR($C486="",$I486="Оплачено",$I486="Отменено",$H486&lt;&gt;""),"",$C486-TODAY())</f>
        <v/>
      </c>
      <c r="M486" s="101">
        <f>IF($C486="","",INDEX(Настройки!$V$6:$V$17,MONTH($C486))&amp;" "&amp;YEAR($C486))</f>
        <v/>
      </c>
      <c r="N486" s="57">
        <f>IF($F486="","",IF(COUNTIF(Постоянные!$C$8:$C$37,$F486)&gt;0,"есть в Постоянных",IF(COUNTIF(Покупки!$C$7:$C$18,$F486)&gt;0,"есть в Покупках","")))</f>
        <v/>
      </c>
      <c r="P486">
        <f>IF($H486&lt;&gt;"",$H486,IF($I486="Оплачено",N($G486),0))</f>
        <v/>
      </c>
      <c r="Q486">
        <f>IF($I486="Отменено",0,IF($G486&lt;&gt;"",$G486,N($H486)))</f>
        <v/>
      </c>
      <c r="R486">
        <f>IF($C486="","",IFERROR(DATE(Настройки!$C$8,Настройки!$D$9+MATCH($M486,Настройки!$X$6:$X$17,0)-1,1),DATE(YEAR($C486),MONTH($C486),1)))</f>
        <v/>
      </c>
      <c r="S486">
        <f>IF(OR($I486="Оплачено",$H486&lt;&gt;""),$P486,$Q486)</f>
        <v/>
      </c>
      <c r="T486">
        <f>IF(OR($C486="",$D486="Доход",$I486="Оплачено",$I486="Отменено",$H486&lt;&gt;"",$C486&lt;TODAY()),"",$C486)</f>
        <v/>
      </c>
      <c r="U486">
        <f>IF(AND($D486&lt;&gt;"Доход",COUNTIFS(Счета!$B$10:$B$21,$J486,Счета!$C$10:$C$21,"Кредитная")&gt;0),1,0)</f>
        <v/>
      </c>
    </row>
    <row r="487" ht="19" customHeight="1">
      <c r="B487" s="53">
        <f>IF(AND($C487="",$F487=""),"",ROW()-9)</f>
        <v/>
      </c>
      <c r="C487" s="213" t="n"/>
      <c r="D487" s="55" t="n"/>
      <c r="E487" s="55" t="n"/>
      <c r="F487" s="56" t="n"/>
      <c r="G487" s="196" t="n"/>
      <c r="H487" s="196" t="n"/>
      <c r="I487" s="55" t="n"/>
      <c r="J487" s="55" t="n"/>
      <c r="K487" s="55" t="n"/>
      <c r="L487" s="100">
        <f>IF(OR($C487="",$I487="Оплачено",$I487="Отменено",$H487&lt;&gt;""),"",$C487-TODAY())</f>
        <v/>
      </c>
      <c r="M487" s="101">
        <f>IF($C487="","",INDEX(Настройки!$V$6:$V$17,MONTH($C487))&amp;" "&amp;YEAR($C487))</f>
        <v/>
      </c>
      <c r="N487" s="57">
        <f>IF($F487="","",IF(COUNTIF(Постоянные!$C$8:$C$37,$F487)&gt;0,"есть в Постоянных",IF(COUNTIF(Покупки!$C$7:$C$18,$F487)&gt;0,"есть в Покупках","")))</f>
        <v/>
      </c>
      <c r="P487">
        <f>IF($H487&lt;&gt;"",$H487,IF($I487="Оплачено",N($G487),0))</f>
        <v/>
      </c>
      <c r="Q487">
        <f>IF($I487="Отменено",0,IF($G487&lt;&gt;"",$G487,N($H487)))</f>
        <v/>
      </c>
      <c r="R487">
        <f>IF($C487="","",IFERROR(DATE(Настройки!$C$8,Настройки!$D$9+MATCH($M487,Настройки!$X$6:$X$17,0)-1,1),DATE(YEAR($C487),MONTH($C487),1)))</f>
        <v/>
      </c>
      <c r="S487">
        <f>IF(OR($I487="Оплачено",$H487&lt;&gt;""),$P487,$Q487)</f>
        <v/>
      </c>
      <c r="T487">
        <f>IF(OR($C487="",$D487="Доход",$I487="Оплачено",$I487="Отменено",$H487&lt;&gt;"",$C487&lt;TODAY()),"",$C487)</f>
        <v/>
      </c>
      <c r="U487">
        <f>IF(AND($D487&lt;&gt;"Доход",COUNTIFS(Счета!$B$10:$B$21,$J487,Счета!$C$10:$C$21,"Кредитная")&gt;0),1,0)</f>
        <v/>
      </c>
    </row>
    <row r="488" ht="19" customHeight="1">
      <c r="B488" s="53">
        <f>IF(AND($C488="",$F488=""),"",ROW()-9)</f>
        <v/>
      </c>
      <c r="C488" s="213" t="n"/>
      <c r="D488" s="55" t="n"/>
      <c r="E488" s="55" t="n"/>
      <c r="F488" s="56" t="n"/>
      <c r="G488" s="196" t="n"/>
      <c r="H488" s="196" t="n"/>
      <c r="I488" s="55" t="n"/>
      <c r="J488" s="55" t="n"/>
      <c r="K488" s="55" t="n"/>
      <c r="L488" s="100">
        <f>IF(OR($C488="",$I488="Оплачено",$I488="Отменено",$H488&lt;&gt;""),"",$C488-TODAY())</f>
        <v/>
      </c>
      <c r="M488" s="101">
        <f>IF($C488="","",INDEX(Настройки!$V$6:$V$17,MONTH($C488))&amp;" "&amp;YEAR($C488))</f>
        <v/>
      </c>
      <c r="N488" s="57">
        <f>IF($F488="","",IF(COUNTIF(Постоянные!$C$8:$C$37,$F488)&gt;0,"есть в Постоянных",IF(COUNTIF(Покупки!$C$7:$C$18,$F488)&gt;0,"есть в Покупках","")))</f>
        <v/>
      </c>
      <c r="P488">
        <f>IF($H488&lt;&gt;"",$H488,IF($I488="Оплачено",N($G488),0))</f>
        <v/>
      </c>
      <c r="Q488">
        <f>IF($I488="Отменено",0,IF($G488&lt;&gt;"",$G488,N($H488)))</f>
        <v/>
      </c>
      <c r="R488">
        <f>IF($C488="","",IFERROR(DATE(Настройки!$C$8,Настройки!$D$9+MATCH($M488,Настройки!$X$6:$X$17,0)-1,1),DATE(YEAR($C488),MONTH($C488),1)))</f>
        <v/>
      </c>
      <c r="S488">
        <f>IF(OR($I488="Оплачено",$H488&lt;&gt;""),$P488,$Q488)</f>
        <v/>
      </c>
      <c r="T488">
        <f>IF(OR($C488="",$D488="Доход",$I488="Оплачено",$I488="Отменено",$H488&lt;&gt;"",$C488&lt;TODAY()),"",$C488)</f>
        <v/>
      </c>
      <c r="U488">
        <f>IF(AND($D488&lt;&gt;"Доход",COUNTIFS(Счета!$B$10:$B$21,$J488,Счета!$C$10:$C$21,"Кредитная")&gt;0),1,0)</f>
        <v/>
      </c>
    </row>
    <row r="489" ht="19" customHeight="1">
      <c r="B489" s="53">
        <f>IF(AND($C489="",$F489=""),"",ROW()-9)</f>
        <v/>
      </c>
      <c r="C489" s="213" t="n"/>
      <c r="D489" s="55" t="n"/>
      <c r="E489" s="55" t="n"/>
      <c r="F489" s="56" t="n"/>
      <c r="G489" s="196" t="n"/>
      <c r="H489" s="196" t="n"/>
      <c r="I489" s="55" t="n"/>
      <c r="J489" s="55" t="n"/>
      <c r="K489" s="55" t="n"/>
      <c r="L489" s="100">
        <f>IF(OR($C489="",$I489="Оплачено",$I489="Отменено",$H489&lt;&gt;""),"",$C489-TODAY())</f>
        <v/>
      </c>
      <c r="M489" s="101">
        <f>IF($C489="","",INDEX(Настройки!$V$6:$V$17,MONTH($C489))&amp;" "&amp;YEAR($C489))</f>
        <v/>
      </c>
      <c r="N489" s="57">
        <f>IF($F489="","",IF(COUNTIF(Постоянные!$C$8:$C$37,$F489)&gt;0,"есть в Постоянных",IF(COUNTIF(Покупки!$C$7:$C$18,$F489)&gt;0,"есть в Покупках","")))</f>
        <v/>
      </c>
      <c r="P489">
        <f>IF($H489&lt;&gt;"",$H489,IF($I489="Оплачено",N($G489),0))</f>
        <v/>
      </c>
      <c r="Q489">
        <f>IF($I489="Отменено",0,IF($G489&lt;&gt;"",$G489,N($H489)))</f>
        <v/>
      </c>
      <c r="R489">
        <f>IF($C489="","",IFERROR(DATE(Настройки!$C$8,Настройки!$D$9+MATCH($M489,Настройки!$X$6:$X$17,0)-1,1),DATE(YEAR($C489),MONTH($C489),1)))</f>
        <v/>
      </c>
      <c r="S489">
        <f>IF(OR($I489="Оплачено",$H489&lt;&gt;""),$P489,$Q489)</f>
        <v/>
      </c>
      <c r="T489">
        <f>IF(OR($C489="",$D489="Доход",$I489="Оплачено",$I489="Отменено",$H489&lt;&gt;"",$C489&lt;TODAY()),"",$C489)</f>
        <v/>
      </c>
      <c r="U489">
        <f>IF(AND($D489&lt;&gt;"Доход",COUNTIFS(Счета!$B$10:$B$21,$J489,Счета!$C$10:$C$21,"Кредитная")&gt;0),1,0)</f>
        <v/>
      </c>
    </row>
    <row r="490" ht="19" customHeight="1">
      <c r="B490" s="53">
        <f>IF(AND($C490="",$F490=""),"",ROW()-9)</f>
        <v/>
      </c>
      <c r="C490" s="213" t="n"/>
      <c r="D490" s="55" t="n"/>
      <c r="E490" s="55" t="n"/>
      <c r="F490" s="56" t="n"/>
      <c r="G490" s="196" t="n"/>
      <c r="H490" s="196" t="n"/>
      <c r="I490" s="55" t="n"/>
      <c r="J490" s="55" t="n"/>
      <c r="K490" s="55" t="n"/>
      <c r="L490" s="100">
        <f>IF(OR($C490="",$I490="Оплачено",$I490="Отменено",$H490&lt;&gt;""),"",$C490-TODAY())</f>
        <v/>
      </c>
      <c r="M490" s="101">
        <f>IF($C490="","",INDEX(Настройки!$V$6:$V$17,MONTH($C490))&amp;" "&amp;YEAR($C490))</f>
        <v/>
      </c>
      <c r="N490" s="57">
        <f>IF($F490="","",IF(COUNTIF(Постоянные!$C$8:$C$37,$F490)&gt;0,"есть в Постоянных",IF(COUNTIF(Покупки!$C$7:$C$18,$F490)&gt;0,"есть в Покупках","")))</f>
        <v/>
      </c>
      <c r="P490">
        <f>IF($H490&lt;&gt;"",$H490,IF($I490="Оплачено",N($G490),0))</f>
        <v/>
      </c>
      <c r="Q490">
        <f>IF($I490="Отменено",0,IF($G490&lt;&gt;"",$G490,N($H490)))</f>
        <v/>
      </c>
      <c r="R490">
        <f>IF($C490="","",IFERROR(DATE(Настройки!$C$8,Настройки!$D$9+MATCH($M490,Настройки!$X$6:$X$17,0)-1,1),DATE(YEAR($C490),MONTH($C490),1)))</f>
        <v/>
      </c>
      <c r="S490">
        <f>IF(OR($I490="Оплачено",$H490&lt;&gt;""),$P490,$Q490)</f>
        <v/>
      </c>
      <c r="T490">
        <f>IF(OR($C490="",$D490="Доход",$I490="Оплачено",$I490="Отменено",$H490&lt;&gt;"",$C490&lt;TODAY()),"",$C490)</f>
        <v/>
      </c>
      <c r="U490">
        <f>IF(AND($D490&lt;&gt;"Доход",COUNTIFS(Счета!$B$10:$B$21,$J490,Счета!$C$10:$C$21,"Кредитная")&gt;0),1,0)</f>
        <v/>
      </c>
    </row>
    <row r="491" ht="19" customHeight="1">
      <c r="B491" s="53">
        <f>IF(AND($C491="",$F491=""),"",ROW()-9)</f>
        <v/>
      </c>
      <c r="C491" s="213" t="n"/>
      <c r="D491" s="55" t="n"/>
      <c r="E491" s="55" t="n"/>
      <c r="F491" s="56" t="n"/>
      <c r="G491" s="196" t="n"/>
      <c r="H491" s="196" t="n"/>
      <c r="I491" s="55" t="n"/>
      <c r="J491" s="55" t="n"/>
      <c r="K491" s="55" t="n"/>
      <c r="L491" s="100">
        <f>IF(OR($C491="",$I491="Оплачено",$I491="Отменено",$H491&lt;&gt;""),"",$C491-TODAY())</f>
        <v/>
      </c>
      <c r="M491" s="101">
        <f>IF($C491="","",INDEX(Настройки!$V$6:$V$17,MONTH($C491))&amp;" "&amp;YEAR($C491))</f>
        <v/>
      </c>
      <c r="N491" s="57">
        <f>IF($F491="","",IF(COUNTIF(Постоянные!$C$8:$C$37,$F491)&gt;0,"есть в Постоянных",IF(COUNTIF(Покупки!$C$7:$C$18,$F491)&gt;0,"есть в Покупках","")))</f>
        <v/>
      </c>
      <c r="P491">
        <f>IF($H491&lt;&gt;"",$H491,IF($I491="Оплачено",N($G491),0))</f>
        <v/>
      </c>
      <c r="Q491">
        <f>IF($I491="Отменено",0,IF($G491&lt;&gt;"",$G491,N($H491)))</f>
        <v/>
      </c>
      <c r="R491">
        <f>IF($C491="","",IFERROR(DATE(Настройки!$C$8,Настройки!$D$9+MATCH($M491,Настройки!$X$6:$X$17,0)-1,1),DATE(YEAR($C491),MONTH($C491),1)))</f>
        <v/>
      </c>
      <c r="S491">
        <f>IF(OR($I491="Оплачено",$H491&lt;&gt;""),$P491,$Q491)</f>
        <v/>
      </c>
      <c r="T491">
        <f>IF(OR($C491="",$D491="Доход",$I491="Оплачено",$I491="Отменено",$H491&lt;&gt;"",$C491&lt;TODAY()),"",$C491)</f>
        <v/>
      </c>
      <c r="U491">
        <f>IF(AND($D491&lt;&gt;"Доход",COUNTIFS(Счета!$B$10:$B$21,$J491,Счета!$C$10:$C$21,"Кредитная")&gt;0),1,0)</f>
        <v/>
      </c>
    </row>
    <row r="492" ht="19" customHeight="1">
      <c r="B492" s="53">
        <f>IF(AND($C492="",$F492=""),"",ROW()-9)</f>
        <v/>
      </c>
      <c r="C492" s="213" t="n"/>
      <c r="D492" s="55" t="n"/>
      <c r="E492" s="55" t="n"/>
      <c r="F492" s="56" t="n"/>
      <c r="G492" s="196" t="n"/>
      <c r="H492" s="196" t="n"/>
      <c r="I492" s="55" t="n"/>
      <c r="J492" s="55" t="n"/>
      <c r="K492" s="55" t="n"/>
      <c r="L492" s="100">
        <f>IF(OR($C492="",$I492="Оплачено",$I492="Отменено",$H492&lt;&gt;""),"",$C492-TODAY())</f>
        <v/>
      </c>
      <c r="M492" s="101">
        <f>IF($C492="","",INDEX(Настройки!$V$6:$V$17,MONTH($C492))&amp;" "&amp;YEAR($C492))</f>
        <v/>
      </c>
      <c r="N492" s="57">
        <f>IF($F492="","",IF(COUNTIF(Постоянные!$C$8:$C$37,$F492)&gt;0,"есть в Постоянных",IF(COUNTIF(Покупки!$C$7:$C$18,$F492)&gt;0,"есть в Покупках","")))</f>
        <v/>
      </c>
      <c r="P492">
        <f>IF($H492&lt;&gt;"",$H492,IF($I492="Оплачено",N($G492),0))</f>
        <v/>
      </c>
      <c r="Q492">
        <f>IF($I492="Отменено",0,IF($G492&lt;&gt;"",$G492,N($H492)))</f>
        <v/>
      </c>
      <c r="R492">
        <f>IF($C492="","",IFERROR(DATE(Настройки!$C$8,Настройки!$D$9+MATCH($M492,Настройки!$X$6:$X$17,0)-1,1),DATE(YEAR($C492),MONTH($C492),1)))</f>
        <v/>
      </c>
      <c r="S492">
        <f>IF(OR($I492="Оплачено",$H492&lt;&gt;""),$P492,$Q492)</f>
        <v/>
      </c>
      <c r="T492">
        <f>IF(OR($C492="",$D492="Доход",$I492="Оплачено",$I492="Отменено",$H492&lt;&gt;"",$C492&lt;TODAY()),"",$C492)</f>
        <v/>
      </c>
      <c r="U492">
        <f>IF(AND($D492&lt;&gt;"Доход",COUNTIFS(Счета!$B$10:$B$21,$J492,Счета!$C$10:$C$21,"Кредитная")&gt;0),1,0)</f>
        <v/>
      </c>
    </row>
    <row r="493" ht="19" customHeight="1">
      <c r="B493" s="53">
        <f>IF(AND($C493="",$F493=""),"",ROW()-9)</f>
        <v/>
      </c>
      <c r="C493" s="213" t="n"/>
      <c r="D493" s="55" t="n"/>
      <c r="E493" s="55" t="n"/>
      <c r="F493" s="56" t="n"/>
      <c r="G493" s="196" t="n"/>
      <c r="H493" s="196" t="n"/>
      <c r="I493" s="55" t="n"/>
      <c r="J493" s="55" t="n"/>
      <c r="K493" s="55" t="n"/>
      <c r="L493" s="100">
        <f>IF(OR($C493="",$I493="Оплачено",$I493="Отменено",$H493&lt;&gt;""),"",$C493-TODAY())</f>
        <v/>
      </c>
      <c r="M493" s="101">
        <f>IF($C493="","",INDEX(Настройки!$V$6:$V$17,MONTH($C493))&amp;" "&amp;YEAR($C493))</f>
        <v/>
      </c>
      <c r="N493" s="57">
        <f>IF($F493="","",IF(COUNTIF(Постоянные!$C$8:$C$37,$F493)&gt;0,"есть в Постоянных",IF(COUNTIF(Покупки!$C$7:$C$18,$F493)&gt;0,"есть в Покупках","")))</f>
        <v/>
      </c>
      <c r="P493">
        <f>IF($H493&lt;&gt;"",$H493,IF($I493="Оплачено",N($G493),0))</f>
        <v/>
      </c>
      <c r="Q493">
        <f>IF($I493="Отменено",0,IF($G493&lt;&gt;"",$G493,N($H493)))</f>
        <v/>
      </c>
      <c r="R493">
        <f>IF($C493="","",IFERROR(DATE(Настройки!$C$8,Настройки!$D$9+MATCH($M493,Настройки!$X$6:$X$17,0)-1,1),DATE(YEAR($C493),MONTH($C493),1)))</f>
        <v/>
      </c>
      <c r="S493">
        <f>IF(OR($I493="Оплачено",$H493&lt;&gt;""),$P493,$Q493)</f>
        <v/>
      </c>
      <c r="T493">
        <f>IF(OR($C493="",$D493="Доход",$I493="Оплачено",$I493="Отменено",$H493&lt;&gt;"",$C493&lt;TODAY()),"",$C493)</f>
        <v/>
      </c>
      <c r="U493">
        <f>IF(AND($D493&lt;&gt;"Доход",COUNTIFS(Счета!$B$10:$B$21,$J493,Счета!$C$10:$C$21,"Кредитная")&gt;0),1,0)</f>
        <v/>
      </c>
    </row>
    <row r="494" ht="19" customHeight="1">
      <c r="B494" s="53">
        <f>IF(AND($C494="",$F494=""),"",ROW()-9)</f>
        <v/>
      </c>
      <c r="C494" s="213" t="n"/>
      <c r="D494" s="55" t="n"/>
      <c r="E494" s="55" t="n"/>
      <c r="F494" s="56" t="n"/>
      <c r="G494" s="196" t="n"/>
      <c r="H494" s="196" t="n"/>
      <c r="I494" s="55" t="n"/>
      <c r="J494" s="55" t="n"/>
      <c r="K494" s="55" t="n"/>
      <c r="L494" s="100">
        <f>IF(OR($C494="",$I494="Оплачено",$I494="Отменено",$H494&lt;&gt;""),"",$C494-TODAY())</f>
        <v/>
      </c>
      <c r="M494" s="101">
        <f>IF($C494="","",INDEX(Настройки!$V$6:$V$17,MONTH($C494))&amp;" "&amp;YEAR($C494))</f>
        <v/>
      </c>
      <c r="N494" s="57">
        <f>IF($F494="","",IF(COUNTIF(Постоянные!$C$8:$C$37,$F494)&gt;0,"есть в Постоянных",IF(COUNTIF(Покупки!$C$7:$C$18,$F494)&gt;0,"есть в Покупках","")))</f>
        <v/>
      </c>
      <c r="P494">
        <f>IF($H494&lt;&gt;"",$H494,IF($I494="Оплачено",N($G494),0))</f>
        <v/>
      </c>
      <c r="Q494">
        <f>IF($I494="Отменено",0,IF($G494&lt;&gt;"",$G494,N($H494)))</f>
        <v/>
      </c>
      <c r="R494">
        <f>IF($C494="","",IFERROR(DATE(Настройки!$C$8,Настройки!$D$9+MATCH($M494,Настройки!$X$6:$X$17,0)-1,1),DATE(YEAR($C494),MONTH($C494),1)))</f>
        <v/>
      </c>
      <c r="S494">
        <f>IF(OR($I494="Оплачено",$H494&lt;&gt;""),$P494,$Q494)</f>
        <v/>
      </c>
      <c r="T494">
        <f>IF(OR($C494="",$D494="Доход",$I494="Оплачено",$I494="Отменено",$H494&lt;&gt;"",$C494&lt;TODAY()),"",$C494)</f>
        <v/>
      </c>
      <c r="U494">
        <f>IF(AND($D494&lt;&gt;"Доход",COUNTIFS(Счета!$B$10:$B$21,$J494,Счета!$C$10:$C$21,"Кредитная")&gt;0),1,0)</f>
        <v/>
      </c>
    </row>
    <row r="495" ht="19" customHeight="1">
      <c r="B495" s="53">
        <f>IF(AND($C495="",$F495=""),"",ROW()-9)</f>
        <v/>
      </c>
      <c r="C495" s="213" t="n"/>
      <c r="D495" s="55" t="n"/>
      <c r="E495" s="55" t="n"/>
      <c r="F495" s="56" t="n"/>
      <c r="G495" s="196" t="n"/>
      <c r="H495" s="196" t="n"/>
      <c r="I495" s="55" t="n"/>
      <c r="J495" s="55" t="n"/>
      <c r="K495" s="55" t="n"/>
      <c r="L495" s="100">
        <f>IF(OR($C495="",$I495="Оплачено",$I495="Отменено",$H495&lt;&gt;""),"",$C495-TODAY())</f>
        <v/>
      </c>
      <c r="M495" s="101">
        <f>IF($C495="","",INDEX(Настройки!$V$6:$V$17,MONTH($C495))&amp;" "&amp;YEAR($C495))</f>
        <v/>
      </c>
      <c r="N495" s="57">
        <f>IF($F495="","",IF(COUNTIF(Постоянные!$C$8:$C$37,$F495)&gt;0,"есть в Постоянных",IF(COUNTIF(Покупки!$C$7:$C$18,$F495)&gt;0,"есть в Покупках","")))</f>
        <v/>
      </c>
      <c r="P495">
        <f>IF($H495&lt;&gt;"",$H495,IF($I495="Оплачено",N($G495),0))</f>
        <v/>
      </c>
      <c r="Q495">
        <f>IF($I495="Отменено",0,IF($G495&lt;&gt;"",$G495,N($H495)))</f>
        <v/>
      </c>
      <c r="R495">
        <f>IF($C495="","",IFERROR(DATE(Настройки!$C$8,Настройки!$D$9+MATCH($M495,Настройки!$X$6:$X$17,0)-1,1),DATE(YEAR($C495),MONTH($C495),1)))</f>
        <v/>
      </c>
      <c r="S495">
        <f>IF(OR($I495="Оплачено",$H495&lt;&gt;""),$P495,$Q495)</f>
        <v/>
      </c>
      <c r="T495">
        <f>IF(OR($C495="",$D495="Доход",$I495="Оплачено",$I495="Отменено",$H495&lt;&gt;"",$C495&lt;TODAY()),"",$C495)</f>
        <v/>
      </c>
      <c r="U495">
        <f>IF(AND($D495&lt;&gt;"Доход",COUNTIFS(Счета!$B$10:$B$21,$J495,Счета!$C$10:$C$21,"Кредитная")&gt;0),1,0)</f>
        <v/>
      </c>
    </row>
    <row r="496" ht="19" customHeight="1">
      <c r="B496" s="53">
        <f>IF(AND($C496="",$F496=""),"",ROW()-9)</f>
        <v/>
      </c>
      <c r="C496" s="213" t="n"/>
      <c r="D496" s="55" t="n"/>
      <c r="E496" s="55" t="n"/>
      <c r="F496" s="56" t="n"/>
      <c r="G496" s="196" t="n"/>
      <c r="H496" s="196" t="n"/>
      <c r="I496" s="55" t="n"/>
      <c r="J496" s="55" t="n"/>
      <c r="K496" s="55" t="n"/>
      <c r="L496" s="100">
        <f>IF(OR($C496="",$I496="Оплачено",$I496="Отменено",$H496&lt;&gt;""),"",$C496-TODAY())</f>
        <v/>
      </c>
      <c r="M496" s="101">
        <f>IF($C496="","",INDEX(Настройки!$V$6:$V$17,MONTH($C496))&amp;" "&amp;YEAR($C496))</f>
        <v/>
      </c>
      <c r="N496" s="57">
        <f>IF($F496="","",IF(COUNTIF(Постоянные!$C$8:$C$37,$F496)&gt;0,"есть в Постоянных",IF(COUNTIF(Покупки!$C$7:$C$18,$F496)&gt;0,"есть в Покупках","")))</f>
        <v/>
      </c>
      <c r="P496">
        <f>IF($H496&lt;&gt;"",$H496,IF($I496="Оплачено",N($G496),0))</f>
        <v/>
      </c>
      <c r="Q496">
        <f>IF($I496="Отменено",0,IF($G496&lt;&gt;"",$G496,N($H496)))</f>
        <v/>
      </c>
      <c r="R496">
        <f>IF($C496="","",IFERROR(DATE(Настройки!$C$8,Настройки!$D$9+MATCH($M496,Настройки!$X$6:$X$17,0)-1,1),DATE(YEAR($C496),MONTH($C496),1)))</f>
        <v/>
      </c>
      <c r="S496">
        <f>IF(OR($I496="Оплачено",$H496&lt;&gt;""),$P496,$Q496)</f>
        <v/>
      </c>
      <c r="T496">
        <f>IF(OR($C496="",$D496="Доход",$I496="Оплачено",$I496="Отменено",$H496&lt;&gt;"",$C496&lt;TODAY()),"",$C496)</f>
        <v/>
      </c>
      <c r="U496">
        <f>IF(AND($D496&lt;&gt;"Доход",COUNTIFS(Счета!$B$10:$B$21,$J496,Счета!$C$10:$C$21,"Кредитная")&gt;0),1,0)</f>
        <v/>
      </c>
    </row>
    <row r="497" ht="19" customHeight="1">
      <c r="B497" s="53">
        <f>IF(AND($C497="",$F497=""),"",ROW()-9)</f>
        <v/>
      </c>
      <c r="C497" s="213" t="n"/>
      <c r="D497" s="55" t="n"/>
      <c r="E497" s="55" t="n"/>
      <c r="F497" s="56" t="n"/>
      <c r="G497" s="196" t="n"/>
      <c r="H497" s="196" t="n"/>
      <c r="I497" s="55" t="n"/>
      <c r="J497" s="55" t="n"/>
      <c r="K497" s="55" t="n"/>
      <c r="L497" s="100">
        <f>IF(OR($C497="",$I497="Оплачено",$I497="Отменено",$H497&lt;&gt;""),"",$C497-TODAY())</f>
        <v/>
      </c>
      <c r="M497" s="101">
        <f>IF($C497="","",INDEX(Настройки!$V$6:$V$17,MONTH($C497))&amp;" "&amp;YEAR($C497))</f>
        <v/>
      </c>
      <c r="N497" s="57">
        <f>IF($F497="","",IF(COUNTIF(Постоянные!$C$8:$C$37,$F497)&gt;0,"есть в Постоянных",IF(COUNTIF(Покупки!$C$7:$C$18,$F497)&gt;0,"есть в Покупках","")))</f>
        <v/>
      </c>
      <c r="P497">
        <f>IF($H497&lt;&gt;"",$H497,IF($I497="Оплачено",N($G497),0))</f>
        <v/>
      </c>
      <c r="Q497">
        <f>IF($I497="Отменено",0,IF($G497&lt;&gt;"",$G497,N($H497)))</f>
        <v/>
      </c>
      <c r="R497">
        <f>IF($C497="","",IFERROR(DATE(Настройки!$C$8,Настройки!$D$9+MATCH($M497,Настройки!$X$6:$X$17,0)-1,1),DATE(YEAR($C497),MONTH($C497),1)))</f>
        <v/>
      </c>
      <c r="S497">
        <f>IF(OR($I497="Оплачено",$H497&lt;&gt;""),$P497,$Q497)</f>
        <v/>
      </c>
      <c r="T497">
        <f>IF(OR($C497="",$D497="Доход",$I497="Оплачено",$I497="Отменено",$H497&lt;&gt;"",$C497&lt;TODAY()),"",$C497)</f>
        <v/>
      </c>
      <c r="U497">
        <f>IF(AND($D497&lt;&gt;"Доход",COUNTIFS(Счета!$B$10:$B$21,$J497,Счета!$C$10:$C$21,"Кредитная")&gt;0),1,0)</f>
        <v/>
      </c>
    </row>
    <row r="498" ht="19" customHeight="1">
      <c r="B498" s="53">
        <f>IF(AND($C498="",$F498=""),"",ROW()-9)</f>
        <v/>
      </c>
      <c r="C498" s="213" t="n"/>
      <c r="D498" s="55" t="n"/>
      <c r="E498" s="55" t="n"/>
      <c r="F498" s="56" t="n"/>
      <c r="G498" s="196" t="n"/>
      <c r="H498" s="196" t="n"/>
      <c r="I498" s="55" t="n"/>
      <c r="J498" s="55" t="n"/>
      <c r="K498" s="55" t="n"/>
      <c r="L498" s="100">
        <f>IF(OR($C498="",$I498="Оплачено",$I498="Отменено",$H498&lt;&gt;""),"",$C498-TODAY())</f>
        <v/>
      </c>
      <c r="M498" s="101">
        <f>IF($C498="","",INDEX(Настройки!$V$6:$V$17,MONTH($C498))&amp;" "&amp;YEAR($C498))</f>
        <v/>
      </c>
      <c r="N498" s="57">
        <f>IF($F498="","",IF(COUNTIF(Постоянные!$C$8:$C$37,$F498)&gt;0,"есть в Постоянных",IF(COUNTIF(Покупки!$C$7:$C$18,$F498)&gt;0,"есть в Покупках","")))</f>
        <v/>
      </c>
      <c r="P498">
        <f>IF($H498&lt;&gt;"",$H498,IF($I498="Оплачено",N($G498),0))</f>
        <v/>
      </c>
      <c r="Q498">
        <f>IF($I498="Отменено",0,IF($G498&lt;&gt;"",$G498,N($H498)))</f>
        <v/>
      </c>
      <c r="R498">
        <f>IF($C498="","",IFERROR(DATE(Настройки!$C$8,Настройки!$D$9+MATCH($M498,Настройки!$X$6:$X$17,0)-1,1),DATE(YEAR($C498),MONTH($C498),1)))</f>
        <v/>
      </c>
      <c r="S498">
        <f>IF(OR($I498="Оплачено",$H498&lt;&gt;""),$P498,$Q498)</f>
        <v/>
      </c>
      <c r="T498">
        <f>IF(OR($C498="",$D498="Доход",$I498="Оплачено",$I498="Отменено",$H498&lt;&gt;"",$C498&lt;TODAY()),"",$C498)</f>
        <v/>
      </c>
      <c r="U498">
        <f>IF(AND($D498&lt;&gt;"Доход",COUNTIFS(Счета!$B$10:$B$21,$J498,Счета!$C$10:$C$21,"Кредитная")&gt;0),1,0)</f>
        <v/>
      </c>
    </row>
    <row r="499" ht="19" customHeight="1">
      <c r="B499" s="53">
        <f>IF(AND($C499="",$F499=""),"",ROW()-9)</f>
        <v/>
      </c>
      <c r="C499" s="213" t="n"/>
      <c r="D499" s="55" t="n"/>
      <c r="E499" s="55" t="n"/>
      <c r="F499" s="56" t="n"/>
      <c r="G499" s="196" t="n"/>
      <c r="H499" s="196" t="n"/>
      <c r="I499" s="55" t="n"/>
      <c r="J499" s="55" t="n"/>
      <c r="K499" s="55" t="n"/>
      <c r="L499" s="100">
        <f>IF(OR($C499="",$I499="Оплачено",$I499="Отменено",$H499&lt;&gt;""),"",$C499-TODAY())</f>
        <v/>
      </c>
      <c r="M499" s="101">
        <f>IF($C499="","",INDEX(Настройки!$V$6:$V$17,MONTH($C499))&amp;" "&amp;YEAR($C499))</f>
        <v/>
      </c>
      <c r="N499" s="57">
        <f>IF($F499="","",IF(COUNTIF(Постоянные!$C$8:$C$37,$F499)&gt;0,"есть в Постоянных",IF(COUNTIF(Покупки!$C$7:$C$18,$F499)&gt;0,"есть в Покупках","")))</f>
        <v/>
      </c>
      <c r="P499">
        <f>IF($H499&lt;&gt;"",$H499,IF($I499="Оплачено",N($G499),0))</f>
        <v/>
      </c>
      <c r="Q499">
        <f>IF($I499="Отменено",0,IF($G499&lt;&gt;"",$G499,N($H499)))</f>
        <v/>
      </c>
      <c r="R499">
        <f>IF($C499="","",IFERROR(DATE(Настройки!$C$8,Настройки!$D$9+MATCH($M499,Настройки!$X$6:$X$17,0)-1,1),DATE(YEAR($C499),MONTH($C499),1)))</f>
        <v/>
      </c>
      <c r="S499">
        <f>IF(OR($I499="Оплачено",$H499&lt;&gt;""),$P499,$Q499)</f>
        <v/>
      </c>
      <c r="T499">
        <f>IF(OR($C499="",$D499="Доход",$I499="Оплачено",$I499="Отменено",$H499&lt;&gt;"",$C499&lt;TODAY()),"",$C499)</f>
        <v/>
      </c>
      <c r="U499">
        <f>IF(AND($D499&lt;&gt;"Доход",COUNTIFS(Счета!$B$10:$B$21,$J499,Счета!$C$10:$C$21,"Кредитная")&gt;0),1,0)</f>
        <v/>
      </c>
    </row>
    <row r="500" ht="19" customHeight="1">
      <c r="B500" s="53">
        <f>IF(AND($C500="",$F500=""),"",ROW()-9)</f>
        <v/>
      </c>
      <c r="C500" s="213" t="n"/>
      <c r="D500" s="55" t="n"/>
      <c r="E500" s="55" t="n"/>
      <c r="F500" s="56" t="n"/>
      <c r="G500" s="196" t="n"/>
      <c r="H500" s="196" t="n"/>
      <c r="I500" s="55" t="n"/>
      <c r="J500" s="55" t="n"/>
      <c r="K500" s="55" t="n"/>
      <c r="L500" s="100">
        <f>IF(OR($C500="",$I500="Оплачено",$I500="Отменено",$H500&lt;&gt;""),"",$C500-TODAY())</f>
        <v/>
      </c>
      <c r="M500" s="101">
        <f>IF($C500="","",INDEX(Настройки!$V$6:$V$17,MONTH($C500))&amp;" "&amp;YEAR($C500))</f>
        <v/>
      </c>
      <c r="N500" s="57">
        <f>IF($F500="","",IF(COUNTIF(Постоянные!$C$8:$C$37,$F500)&gt;0,"есть в Постоянных",IF(COUNTIF(Покупки!$C$7:$C$18,$F500)&gt;0,"есть в Покупках","")))</f>
        <v/>
      </c>
      <c r="P500">
        <f>IF($H500&lt;&gt;"",$H500,IF($I500="Оплачено",N($G500),0))</f>
        <v/>
      </c>
      <c r="Q500">
        <f>IF($I500="Отменено",0,IF($G500&lt;&gt;"",$G500,N($H500)))</f>
        <v/>
      </c>
      <c r="R500">
        <f>IF($C500="","",IFERROR(DATE(Настройки!$C$8,Настройки!$D$9+MATCH($M500,Настройки!$X$6:$X$17,0)-1,1),DATE(YEAR($C500),MONTH($C500),1)))</f>
        <v/>
      </c>
      <c r="S500">
        <f>IF(OR($I500="Оплачено",$H500&lt;&gt;""),$P500,$Q500)</f>
        <v/>
      </c>
      <c r="T500">
        <f>IF(OR($C500="",$D500="Доход",$I500="Оплачено",$I500="Отменено",$H500&lt;&gt;"",$C500&lt;TODAY()),"",$C500)</f>
        <v/>
      </c>
      <c r="U500">
        <f>IF(AND($D500&lt;&gt;"Доход",COUNTIFS(Счета!$B$10:$B$21,$J500,Счета!$C$10:$C$21,"Кредитная")&gt;0),1,0)</f>
        <v/>
      </c>
    </row>
    <row r="501" ht="19" customHeight="1">
      <c r="B501" s="53">
        <f>IF(AND($C501="",$F501=""),"",ROW()-9)</f>
        <v/>
      </c>
      <c r="C501" s="213" t="n"/>
      <c r="D501" s="55" t="n"/>
      <c r="E501" s="55" t="n"/>
      <c r="F501" s="56" t="n"/>
      <c r="G501" s="196" t="n"/>
      <c r="H501" s="196" t="n"/>
      <c r="I501" s="55" t="n"/>
      <c r="J501" s="55" t="n"/>
      <c r="K501" s="55" t="n"/>
      <c r="L501" s="100">
        <f>IF(OR($C501="",$I501="Оплачено",$I501="Отменено",$H501&lt;&gt;""),"",$C501-TODAY())</f>
        <v/>
      </c>
      <c r="M501" s="101">
        <f>IF($C501="","",INDEX(Настройки!$V$6:$V$17,MONTH($C501))&amp;" "&amp;YEAR($C501))</f>
        <v/>
      </c>
      <c r="N501" s="57">
        <f>IF($F501="","",IF(COUNTIF(Постоянные!$C$8:$C$37,$F501)&gt;0,"есть в Постоянных",IF(COUNTIF(Покупки!$C$7:$C$18,$F501)&gt;0,"есть в Покупках","")))</f>
        <v/>
      </c>
      <c r="P501">
        <f>IF($H501&lt;&gt;"",$H501,IF($I501="Оплачено",N($G501),0))</f>
        <v/>
      </c>
      <c r="Q501">
        <f>IF($I501="Отменено",0,IF($G501&lt;&gt;"",$G501,N($H501)))</f>
        <v/>
      </c>
      <c r="R501">
        <f>IF($C501="","",IFERROR(DATE(Настройки!$C$8,Настройки!$D$9+MATCH($M501,Настройки!$X$6:$X$17,0)-1,1),DATE(YEAR($C501),MONTH($C501),1)))</f>
        <v/>
      </c>
      <c r="S501">
        <f>IF(OR($I501="Оплачено",$H501&lt;&gt;""),$P501,$Q501)</f>
        <v/>
      </c>
      <c r="T501">
        <f>IF(OR($C501="",$D501="Доход",$I501="Оплачено",$I501="Отменено",$H501&lt;&gt;"",$C501&lt;TODAY()),"",$C501)</f>
        <v/>
      </c>
      <c r="U501">
        <f>IF(AND($D501&lt;&gt;"Доход",COUNTIFS(Счета!$B$10:$B$21,$J501,Счета!$C$10:$C$21,"Кредитная")&gt;0),1,0)</f>
        <v/>
      </c>
    </row>
    <row r="502" ht="19" customHeight="1">
      <c r="B502" s="53">
        <f>IF(AND($C502="",$F502=""),"",ROW()-9)</f>
        <v/>
      </c>
      <c r="C502" s="213" t="n"/>
      <c r="D502" s="55" t="n"/>
      <c r="E502" s="55" t="n"/>
      <c r="F502" s="56" t="n"/>
      <c r="G502" s="196" t="n"/>
      <c r="H502" s="196" t="n"/>
      <c r="I502" s="55" t="n"/>
      <c r="J502" s="55" t="n"/>
      <c r="K502" s="55" t="n"/>
      <c r="L502" s="100">
        <f>IF(OR($C502="",$I502="Оплачено",$I502="Отменено",$H502&lt;&gt;""),"",$C502-TODAY())</f>
        <v/>
      </c>
      <c r="M502" s="101">
        <f>IF($C502="","",INDEX(Настройки!$V$6:$V$17,MONTH($C502))&amp;" "&amp;YEAR($C502))</f>
        <v/>
      </c>
      <c r="N502" s="57">
        <f>IF($F502="","",IF(COUNTIF(Постоянные!$C$8:$C$37,$F502)&gt;0,"есть в Постоянных",IF(COUNTIF(Покупки!$C$7:$C$18,$F502)&gt;0,"есть в Покупках","")))</f>
        <v/>
      </c>
      <c r="P502">
        <f>IF($H502&lt;&gt;"",$H502,IF($I502="Оплачено",N($G502),0))</f>
        <v/>
      </c>
      <c r="Q502">
        <f>IF($I502="Отменено",0,IF($G502&lt;&gt;"",$G502,N($H502)))</f>
        <v/>
      </c>
      <c r="R502">
        <f>IF($C502="","",IFERROR(DATE(Настройки!$C$8,Настройки!$D$9+MATCH($M502,Настройки!$X$6:$X$17,0)-1,1),DATE(YEAR($C502),MONTH($C502),1)))</f>
        <v/>
      </c>
      <c r="S502">
        <f>IF(OR($I502="Оплачено",$H502&lt;&gt;""),$P502,$Q502)</f>
        <v/>
      </c>
      <c r="T502">
        <f>IF(OR($C502="",$D502="Доход",$I502="Оплачено",$I502="Отменено",$H502&lt;&gt;"",$C502&lt;TODAY()),"",$C502)</f>
        <v/>
      </c>
      <c r="U502">
        <f>IF(AND($D502&lt;&gt;"Доход",COUNTIFS(Счета!$B$10:$B$21,$J502,Счета!$C$10:$C$21,"Кредитная")&gt;0),1,0)</f>
        <v/>
      </c>
    </row>
    <row r="503" ht="19" customHeight="1">
      <c r="B503" s="53">
        <f>IF(AND($C503="",$F503=""),"",ROW()-9)</f>
        <v/>
      </c>
      <c r="C503" s="213" t="n"/>
      <c r="D503" s="55" t="n"/>
      <c r="E503" s="55" t="n"/>
      <c r="F503" s="56" t="n"/>
      <c r="G503" s="196" t="n"/>
      <c r="H503" s="196" t="n"/>
      <c r="I503" s="55" t="n"/>
      <c r="J503" s="55" t="n"/>
      <c r="K503" s="55" t="n"/>
      <c r="L503" s="100">
        <f>IF(OR($C503="",$I503="Оплачено",$I503="Отменено",$H503&lt;&gt;""),"",$C503-TODAY())</f>
        <v/>
      </c>
      <c r="M503" s="101">
        <f>IF($C503="","",INDEX(Настройки!$V$6:$V$17,MONTH($C503))&amp;" "&amp;YEAR($C503))</f>
        <v/>
      </c>
      <c r="N503" s="57">
        <f>IF($F503="","",IF(COUNTIF(Постоянные!$C$8:$C$37,$F503)&gt;0,"есть в Постоянных",IF(COUNTIF(Покупки!$C$7:$C$18,$F503)&gt;0,"есть в Покупках","")))</f>
        <v/>
      </c>
      <c r="P503">
        <f>IF($H503&lt;&gt;"",$H503,IF($I503="Оплачено",N($G503),0))</f>
        <v/>
      </c>
      <c r="Q503">
        <f>IF($I503="Отменено",0,IF($G503&lt;&gt;"",$G503,N($H503)))</f>
        <v/>
      </c>
      <c r="R503">
        <f>IF($C503="","",IFERROR(DATE(Настройки!$C$8,Настройки!$D$9+MATCH($M503,Настройки!$X$6:$X$17,0)-1,1),DATE(YEAR($C503),MONTH($C503),1)))</f>
        <v/>
      </c>
      <c r="S503">
        <f>IF(OR($I503="Оплачено",$H503&lt;&gt;""),$P503,$Q503)</f>
        <v/>
      </c>
      <c r="T503">
        <f>IF(OR($C503="",$D503="Доход",$I503="Оплачено",$I503="Отменено",$H503&lt;&gt;"",$C503&lt;TODAY()),"",$C503)</f>
        <v/>
      </c>
      <c r="U503">
        <f>IF(AND($D503&lt;&gt;"Доход",COUNTIFS(Счета!$B$10:$B$21,$J503,Счета!$C$10:$C$21,"Кредитная")&gt;0),1,0)</f>
        <v/>
      </c>
    </row>
    <row r="504" ht="19" customHeight="1">
      <c r="B504" s="53">
        <f>IF(AND($C504="",$F504=""),"",ROW()-9)</f>
        <v/>
      </c>
      <c r="C504" s="213" t="n"/>
      <c r="D504" s="55" t="n"/>
      <c r="E504" s="55" t="n"/>
      <c r="F504" s="56" t="n"/>
      <c r="G504" s="196" t="n"/>
      <c r="H504" s="196" t="n"/>
      <c r="I504" s="55" t="n"/>
      <c r="J504" s="55" t="n"/>
      <c r="K504" s="55" t="n"/>
      <c r="L504" s="100">
        <f>IF(OR($C504="",$I504="Оплачено",$I504="Отменено",$H504&lt;&gt;""),"",$C504-TODAY())</f>
        <v/>
      </c>
      <c r="M504" s="101">
        <f>IF($C504="","",INDEX(Настройки!$V$6:$V$17,MONTH($C504))&amp;" "&amp;YEAR($C504))</f>
        <v/>
      </c>
      <c r="N504" s="57">
        <f>IF($F504="","",IF(COUNTIF(Постоянные!$C$8:$C$37,$F504)&gt;0,"есть в Постоянных",IF(COUNTIF(Покупки!$C$7:$C$18,$F504)&gt;0,"есть в Покупках","")))</f>
        <v/>
      </c>
      <c r="P504">
        <f>IF($H504&lt;&gt;"",$H504,IF($I504="Оплачено",N($G504),0))</f>
        <v/>
      </c>
      <c r="Q504">
        <f>IF($I504="Отменено",0,IF($G504&lt;&gt;"",$G504,N($H504)))</f>
        <v/>
      </c>
      <c r="R504">
        <f>IF($C504="","",IFERROR(DATE(Настройки!$C$8,Настройки!$D$9+MATCH($M504,Настройки!$X$6:$X$17,0)-1,1),DATE(YEAR($C504),MONTH($C504),1)))</f>
        <v/>
      </c>
      <c r="S504">
        <f>IF(OR($I504="Оплачено",$H504&lt;&gt;""),$P504,$Q504)</f>
        <v/>
      </c>
      <c r="T504">
        <f>IF(OR($C504="",$D504="Доход",$I504="Оплачено",$I504="Отменено",$H504&lt;&gt;"",$C504&lt;TODAY()),"",$C504)</f>
        <v/>
      </c>
      <c r="U504">
        <f>IF(AND($D504&lt;&gt;"Доход",COUNTIFS(Счета!$B$10:$B$21,$J504,Счета!$C$10:$C$21,"Кредитная")&gt;0),1,0)</f>
        <v/>
      </c>
    </row>
    <row r="505" ht="19" customHeight="1">
      <c r="B505" s="53">
        <f>IF(AND($C505="",$F505=""),"",ROW()-9)</f>
        <v/>
      </c>
      <c r="C505" s="213" t="n"/>
      <c r="D505" s="55" t="n"/>
      <c r="E505" s="55" t="n"/>
      <c r="F505" s="56" t="n"/>
      <c r="G505" s="196" t="n"/>
      <c r="H505" s="196" t="n"/>
      <c r="I505" s="55" t="n"/>
      <c r="J505" s="55" t="n"/>
      <c r="K505" s="55" t="n"/>
      <c r="L505" s="100">
        <f>IF(OR($C505="",$I505="Оплачено",$I505="Отменено",$H505&lt;&gt;""),"",$C505-TODAY())</f>
        <v/>
      </c>
      <c r="M505" s="101">
        <f>IF($C505="","",INDEX(Настройки!$V$6:$V$17,MONTH($C505))&amp;" "&amp;YEAR($C505))</f>
        <v/>
      </c>
      <c r="N505" s="57">
        <f>IF($F505="","",IF(COUNTIF(Постоянные!$C$8:$C$37,$F505)&gt;0,"есть в Постоянных",IF(COUNTIF(Покупки!$C$7:$C$18,$F505)&gt;0,"есть в Покупках","")))</f>
        <v/>
      </c>
      <c r="P505">
        <f>IF($H505&lt;&gt;"",$H505,IF($I505="Оплачено",N($G505),0))</f>
        <v/>
      </c>
      <c r="Q505">
        <f>IF($I505="Отменено",0,IF($G505&lt;&gt;"",$G505,N($H505)))</f>
        <v/>
      </c>
      <c r="R505">
        <f>IF($C505="","",IFERROR(DATE(Настройки!$C$8,Настройки!$D$9+MATCH($M505,Настройки!$X$6:$X$17,0)-1,1),DATE(YEAR($C505),MONTH($C505),1)))</f>
        <v/>
      </c>
      <c r="S505">
        <f>IF(OR($I505="Оплачено",$H505&lt;&gt;""),$P505,$Q505)</f>
        <v/>
      </c>
      <c r="T505">
        <f>IF(OR($C505="",$D505="Доход",$I505="Оплачено",$I505="Отменено",$H505&lt;&gt;"",$C505&lt;TODAY()),"",$C505)</f>
        <v/>
      </c>
      <c r="U505">
        <f>IF(AND($D505&lt;&gt;"Доход",COUNTIFS(Счета!$B$10:$B$21,$J505,Счета!$C$10:$C$21,"Кредитная")&gt;0),1,0)</f>
        <v/>
      </c>
    </row>
    <row r="506" ht="19" customHeight="1">
      <c r="B506" s="53">
        <f>IF(AND($C506="",$F506=""),"",ROW()-9)</f>
        <v/>
      </c>
      <c r="C506" s="213" t="n"/>
      <c r="D506" s="55" t="n"/>
      <c r="E506" s="55" t="n"/>
      <c r="F506" s="56" t="n"/>
      <c r="G506" s="196" t="n"/>
      <c r="H506" s="196" t="n"/>
      <c r="I506" s="55" t="n"/>
      <c r="J506" s="55" t="n"/>
      <c r="K506" s="55" t="n"/>
      <c r="L506" s="100">
        <f>IF(OR($C506="",$I506="Оплачено",$I506="Отменено",$H506&lt;&gt;""),"",$C506-TODAY())</f>
        <v/>
      </c>
      <c r="M506" s="101">
        <f>IF($C506="","",INDEX(Настройки!$V$6:$V$17,MONTH($C506))&amp;" "&amp;YEAR($C506))</f>
        <v/>
      </c>
      <c r="N506" s="57">
        <f>IF($F506="","",IF(COUNTIF(Постоянные!$C$8:$C$37,$F506)&gt;0,"есть в Постоянных",IF(COUNTIF(Покупки!$C$7:$C$18,$F506)&gt;0,"есть в Покупках","")))</f>
        <v/>
      </c>
      <c r="P506">
        <f>IF($H506&lt;&gt;"",$H506,IF($I506="Оплачено",N($G506),0))</f>
        <v/>
      </c>
      <c r="Q506">
        <f>IF($I506="Отменено",0,IF($G506&lt;&gt;"",$G506,N($H506)))</f>
        <v/>
      </c>
      <c r="R506">
        <f>IF($C506="","",IFERROR(DATE(Настройки!$C$8,Настройки!$D$9+MATCH($M506,Настройки!$X$6:$X$17,0)-1,1),DATE(YEAR($C506),MONTH($C506),1)))</f>
        <v/>
      </c>
      <c r="S506">
        <f>IF(OR($I506="Оплачено",$H506&lt;&gt;""),$P506,$Q506)</f>
        <v/>
      </c>
      <c r="T506">
        <f>IF(OR($C506="",$D506="Доход",$I506="Оплачено",$I506="Отменено",$H506&lt;&gt;"",$C506&lt;TODAY()),"",$C506)</f>
        <v/>
      </c>
      <c r="U506">
        <f>IF(AND($D506&lt;&gt;"Доход",COUNTIFS(Счета!$B$10:$B$21,$J506,Счета!$C$10:$C$21,"Кредитная")&gt;0),1,0)</f>
        <v/>
      </c>
    </row>
    <row r="507" ht="19" customHeight="1">
      <c r="B507" s="53">
        <f>IF(AND($C507="",$F507=""),"",ROW()-9)</f>
        <v/>
      </c>
      <c r="C507" s="213" t="n"/>
      <c r="D507" s="55" t="n"/>
      <c r="E507" s="55" t="n"/>
      <c r="F507" s="56" t="n"/>
      <c r="G507" s="196" t="n"/>
      <c r="H507" s="196" t="n"/>
      <c r="I507" s="55" t="n"/>
      <c r="J507" s="55" t="n"/>
      <c r="K507" s="55" t="n"/>
      <c r="L507" s="100">
        <f>IF(OR($C507="",$I507="Оплачено",$I507="Отменено",$H507&lt;&gt;""),"",$C507-TODAY())</f>
        <v/>
      </c>
      <c r="M507" s="101">
        <f>IF($C507="","",INDEX(Настройки!$V$6:$V$17,MONTH($C507))&amp;" "&amp;YEAR($C507))</f>
        <v/>
      </c>
      <c r="N507" s="57">
        <f>IF($F507="","",IF(COUNTIF(Постоянные!$C$8:$C$37,$F507)&gt;0,"есть в Постоянных",IF(COUNTIF(Покупки!$C$7:$C$18,$F507)&gt;0,"есть в Покупках","")))</f>
        <v/>
      </c>
      <c r="P507">
        <f>IF($H507&lt;&gt;"",$H507,IF($I507="Оплачено",N($G507),0))</f>
        <v/>
      </c>
      <c r="Q507">
        <f>IF($I507="Отменено",0,IF($G507&lt;&gt;"",$G507,N($H507)))</f>
        <v/>
      </c>
      <c r="R507">
        <f>IF($C507="","",IFERROR(DATE(Настройки!$C$8,Настройки!$D$9+MATCH($M507,Настройки!$X$6:$X$17,0)-1,1),DATE(YEAR($C507),MONTH($C507),1)))</f>
        <v/>
      </c>
      <c r="S507">
        <f>IF(OR($I507="Оплачено",$H507&lt;&gt;""),$P507,$Q507)</f>
        <v/>
      </c>
      <c r="T507">
        <f>IF(OR($C507="",$D507="Доход",$I507="Оплачено",$I507="Отменено",$H507&lt;&gt;"",$C507&lt;TODAY()),"",$C507)</f>
        <v/>
      </c>
      <c r="U507">
        <f>IF(AND($D507&lt;&gt;"Доход",COUNTIFS(Счета!$B$10:$B$21,$J507,Счета!$C$10:$C$21,"Кредитная")&gt;0),1,0)</f>
        <v/>
      </c>
    </row>
    <row r="508" ht="19" customHeight="1">
      <c r="B508" s="53">
        <f>IF(AND($C508="",$F508=""),"",ROW()-9)</f>
        <v/>
      </c>
      <c r="C508" s="213" t="n"/>
      <c r="D508" s="55" t="n"/>
      <c r="E508" s="55" t="n"/>
      <c r="F508" s="56" t="n"/>
      <c r="G508" s="196" t="n"/>
      <c r="H508" s="196" t="n"/>
      <c r="I508" s="55" t="n"/>
      <c r="J508" s="55" t="n"/>
      <c r="K508" s="55" t="n"/>
      <c r="L508" s="100">
        <f>IF(OR($C508="",$I508="Оплачено",$I508="Отменено",$H508&lt;&gt;""),"",$C508-TODAY())</f>
        <v/>
      </c>
      <c r="M508" s="101">
        <f>IF($C508="","",INDEX(Настройки!$V$6:$V$17,MONTH($C508))&amp;" "&amp;YEAR($C508))</f>
        <v/>
      </c>
      <c r="N508" s="57">
        <f>IF($F508="","",IF(COUNTIF(Постоянные!$C$8:$C$37,$F508)&gt;0,"есть в Постоянных",IF(COUNTIF(Покупки!$C$7:$C$18,$F508)&gt;0,"есть в Покупках","")))</f>
        <v/>
      </c>
      <c r="P508">
        <f>IF($H508&lt;&gt;"",$H508,IF($I508="Оплачено",N($G508),0))</f>
        <v/>
      </c>
      <c r="Q508">
        <f>IF($I508="Отменено",0,IF($G508&lt;&gt;"",$G508,N($H508)))</f>
        <v/>
      </c>
      <c r="R508">
        <f>IF($C508="","",IFERROR(DATE(Настройки!$C$8,Настройки!$D$9+MATCH($M508,Настройки!$X$6:$X$17,0)-1,1),DATE(YEAR($C508),MONTH($C508),1)))</f>
        <v/>
      </c>
      <c r="S508">
        <f>IF(OR($I508="Оплачено",$H508&lt;&gt;""),$P508,$Q508)</f>
        <v/>
      </c>
      <c r="T508">
        <f>IF(OR($C508="",$D508="Доход",$I508="Оплачено",$I508="Отменено",$H508&lt;&gt;"",$C508&lt;TODAY()),"",$C508)</f>
        <v/>
      </c>
      <c r="U508">
        <f>IF(AND($D508&lt;&gt;"Доход",COUNTIFS(Счета!$B$10:$B$21,$J508,Счета!$C$10:$C$21,"Кредитная")&gt;0),1,0)</f>
        <v/>
      </c>
    </row>
    <row r="509" ht="19" customHeight="1">
      <c r="B509" s="53">
        <f>IF(AND($C509="",$F509=""),"",ROW()-9)</f>
        <v/>
      </c>
      <c r="C509" s="213" t="n"/>
      <c r="D509" s="55" t="n"/>
      <c r="E509" s="55" t="n"/>
      <c r="F509" s="56" t="n"/>
      <c r="G509" s="196" t="n"/>
      <c r="H509" s="196" t="n"/>
      <c r="I509" s="55" t="n"/>
      <c r="J509" s="55" t="n"/>
      <c r="K509" s="55" t="n"/>
      <c r="L509" s="100">
        <f>IF(OR($C509="",$I509="Оплачено",$I509="Отменено",$H509&lt;&gt;""),"",$C509-TODAY())</f>
        <v/>
      </c>
      <c r="M509" s="101">
        <f>IF($C509="","",INDEX(Настройки!$V$6:$V$17,MONTH($C509))&amp;" "&amp;YEAR($C509))</f>
        <v/>
      </c>
      <c r="N509" s="57">
        <f>IF($F509="","",IF(COUNTIF(Постоянные!$C$8:$C$37,$F509)&gt;0,"есть в Постоянных",IF(COUNTIF(Покупки!$C$7:$C$18,$F509)&gt;0,"есть в Покупках","")))</f>
        <v/>
      </c>
      <c r="P509">
        <f>IF($H509&lt;&gt;"",$H509,IF($I509="Оплачено",N($G509),0))</f>
        <v/>
      </c>
      <c r="Q509">
        <f>IF($I509="Отменено",0,IF($G509&lt;&gt;"",$G509,N($H509)))</f>
        <v/>
      </c>
      <c r="R509">
        <f>IF($C509="","",IFERROR(DATE(Настройки!$C$8,Настройки!$D$9+MATCH($M509,Настройки!$X$6:$X$17,0)-1,1),DATE(YEAR($C509),MONTH($C509),1)))</f>
        <v/>
      </c>
      <c r="S509">
        <f>IF(OR($I509="Оплачено",$H509&lt;&gt;""),$P509,$Q509)</f>
        <v/>
      </c>
      <c r="T509">
        <f>IF(OR($C509="",$D509="Доход",$I509="Оплачено",$I509="Отменено",$H509&lt;&gt;"",$C509&lt;TODAY()),"",$C509)</f>
        <v/>
      </c>
      <c r="U509">
        <f>IF(AND($D509&lt;&gt;"Доход",COUNTIFS(Счета!$B$10:$B$21,$J509,Счета!$C$10:$C$21,"Кредитная")&gt;0),1,0)</f>
        <v/>
      </c>
    </row>
    <row r="510" ht="19" customHeight="1">
      <c r="B510" s="53">
        <f>IF(AND($C510="",$F510=""),"",ROW()-9)</f>
        <v/>
      </c>
      <c r="C510" s="213" t="n"/>
      <c r="D510" s="55" t="n"/>
      <c r="E510" s="55" t="n"/>
      <c r="F510" s="56" t="n"/>
      <c r="G510" s="196" t="n"/>
      <c r="H510" s="196" t="n"/>
      <c r="I510" s="55" t="n"/>
      <c r="J510" s="55" t="n"/>
      <c r="K510" s="55" t="n"/>
      <c r="L510" s="100">
        <f>IF(OR($C510="",$I510="Оплачено",$I510="Отменено",$H510&lt;&gt;""),"",$C510-TODAY())</f>
        <v/>
      </c>
      <c r="M510" s="101">
        <f>IF($C510="","",INDEX(Настройки!$V$6:$V$17,MONTH($C510))&amp;" "&amp;YEAR($C510))</f>
        <v/>
      </c>
      <c r="N510" s="57">
        <f>IF($F510="","",IF(COUNTIF(Постоянные!$C$8:$C$37,$F510)&gt;0,"есть в Постоянных",IF(COUNTIF(Покупки!$C$7:$C$18,$F510)&gt;0,"есть в Покупках","")))</f>
        <v/>
      </c>
      <c r="P510">
        <f>IF($H510&lt;&gt;"",$H510,IF($I510="Оплачено",N($G510),0))</f>
        <v/>
      </c>
      <c r="Q510">
        <f>IF($I510="Отменено",0,IF($G510&lt;&gt;"",$G510,N($H510)))</f>
        <v/>
      </c>
      <c r="R510">
        <f>IF($C510="","",IFERROR(DATE(Настройки!$C$8,Настройки!$D$9+MATCH($M510,Настройки!$X$6:$X$17,0)-1,1),DATE(YEAR($C510),MONTH($C510),1)))</f>
        <v/>
      </c>
      <c r="S510">
        <f>IF(OR($I510="Оплачено",$H510&lt;&gt;""),$P510,$Q510)</f>
        <v/>
      </c>
      <c r="T510">
        <f>IF(OR($C510="",$D510="Доход",$I510="Оплачено",$I510="Отменено",$H510&lt;&gt;"",$C510&lt;TODAY()),"",$C510)</f>
        <v/>
      </c>
      <c r="U510">
        <f>IF(AND($D510&lt;&gt;"Доход",COUNTIFS(Счета!$B$10:$B$21,$J510,Счета!$C$10:$C$21,"Кредитная")&gt;0),1,0)</f>
        <v/>
      </c>
    </row>
    <row r="511" ht="19" customHeight="1">
      <c r="B511" s="53">
        <f>IF(AND($C511="",$F511=""),"",ROW()-9)</f>
        <v/>
      </c>
      <c r="C511" s="213" t="n"/>
      <c r="D511" s="55" t="n"/>
      <c r="E511" s="55" t="n"/>
      <c r="F511" s="56" t="n"/>
      <c r="G511" s="196" t="n"/>
      <c r="H511" s="196" t="n"/>
      <c r="I511" s="55" t="n"/>
      <c r="J511" s="55" t="n"/>
      <c r="K511" s="55" t="n"/>
      <c r="L511" s="100">
        <f>IF(OR($C511="",$I511="Оплачено",$I511="Отменено",$H511&lt;&gt;""),"",$C511-TODAY())</f>
        <v/>
      </c>
      <c r="M511" s="101">
        <f>IF($C511="","",INDEX(Настройки!$V$6:$V$17,MONTH($C511))&amp;" "&amp;YEAR($C511))</f>
        <v/>
      </c>
      <c r="N511" s="57">
        <f>IF($F511="","",IF(COUNTIF(Постоянные!$C$8:$C$37,$F511)&gt;0,"есть в Постоянных",IF(COUNTIF(Покупки!$C$7:$C$18,$F511)&gt;0,"есть в Покупках","")))</f>
        <v/>
      </c>
      <c r="P511">
        <f>IF($H511&lt;&gt;"",$H511,IF($I511="Оплачено",N($G511),0))</f>
        <v/>
      </c>
      <c r="Q511">
        <f>IF($I511="Отменено",0,IF($G511&lt;&gt;"",$G511,N($H511)))</f>
        <v/>
      </c>
      <c r="R511">
        <f>IF($C511="","",IFERROR(DATE(Настройки!$C$8,Настройки!$D$9+MATCH($M511,Настройки!$X$6:$X$17,0)-1,1),DATE(YEAR($C511),MONTH($C511),1)))</f>
        <v/>
      </c>
      <c r="S511">
        <f>IF(OR($I511="Оплачено",$H511&lt;&gt;""),$P511,$Q511)</f>
        <v/>
      </c>
      <c r="T511">
        <f>IF(OR($C511="",$D511="Доход",$I511="Оплачено",$I511="Отменено",$H511&lt;&gt;"",$C511&lt;TODAY()),"",$C511)</f>
        <v/>
      </c>
      <c r="U511">
        <f>IF(AND($D511&lt;&gt;"Доход",COUNTIFS(Счета!$B$10:$B$21,$J511,Счета!$C$10:$C$21,"Кредитная")&gt;0),1,0)</f>
        <v/>
      </c>
    </row>
    <row r="512" ht="19" customHeight="1">
      <c r="B512" s="53">
        <f>IF(AND($C512="",$F512=""),"",ROW()-9)</f>
        <v/>
      </c>
      <c r="C512" s="213" t="n"/>
      <c r="D512" s="55" t="n"/>
      <c r="E512" s="55" t="n"/>
      <c r="F512" s="56" t="n"/>
      <c r="G512" s="196" t="n"/>
      <c r="H512" s="196" t="n"/>
      <c r="I512" s="55" t="n"/>
      <c r="J512" s="55" t="n"/>
      <c r="K512" s="55" t="n"/>
      <c r="L512" s="100">
        <f>IF(OR($C512="",$I512="Оплачено",$I512="Отменено",$H512&lt;&gt;""),"",$C512-TODAY())</f>
        <v/>
      </c>
      <c r="M512" s="101">
        <f>IF($C512="","",INDEX(Настройки!$V$6:$V$17,MONTH($C512))&amp;" "&amp;YEAR($C512))</f>
        <v/>
      </c>
      <c r="N512" s="57">
        <f>IF($F512="","",IF(COUNTIF(Постоянные!$C$8:$C$37,$F512)&gt;0,"есть в Постоянных",IF(COUNTIF(Покупки!$C$7:$C$18,$F512)&gt;0,"есть в Покупках","")))</f>
        <v/>
      </c>
      <c r="P512">
        <f>IF($H512&lt;&gt;"",$H512,IF($I512="Оплачено",N($G512),0))</f>
        <v/>
      </c>
      <c r="Q512">
        <f>IF($I512="Отменено",0,IF($G512&lt;&gt;"",$G512,N($H512)))</f>
        <v/>
      </c>
      <c r="R512">
        <f>IF($C512="","",IFERROR(DATE(Настройки!$C$8,Настройки!$D$9+MATCH($M512,Настройки!$X$6:$X$17,0)-1,1),DATE(YEAR($C512),MONTH($C512),1)))</f>
        <v/>
      </c>
      <c r="S512">
        <f>IF(OR($I512="Оплачено",$H512&lt;&gt;""),$P512,$Q512)</f>
        <v/>
      </c>
      <c r="T512">
        <f>IF(OR($C512="",$D512="Доход",$I512="Оплачено",$I512="Отменено",$H512&lt;&gt;"",$C512&lt;TODAY()),"",$C512)</f>
        <v/>
      </c>
      <c r="U512">
        <f>IF(AND($D512&lt;&gt;"Доход",COUNTIFS(Счета!$B$10:$B$21,$J512,Счета!$C$10:$C$21,"Кредитная")&gt;0),1,0)</f>
        <v/>
      </c>
    </row>
    <row r="513" ht="19" customHeight="1">
      <c r="B513" s="53">
        <f>IF(AND($C513="",$F513=""),"",ROW()-9)</f>
        <v/>
      </c>
      <c r="C513" s="213" t="n"/>
      <c r="D513" s="55" t="n"/>
      <c r="E513" s="55" t="n"/>
      <c r="F513" s="56" t="n"/>
      <c r="G513" s="196" t="n"/>
      <c r="H513" s="196" t="n"/>
      <c r="I513" s="55" t="n"/>
      <c r="J513" s="55" t="n"/>
      <c r="K513" s="55" t="n"/>
      <c r="L513" s="100">
        <f>IF(OR($C513="",$I513="Оплачено",$I513="Отменено",$H513&lt;&gt;""),"",$C513-TODAY())</f>
        <v/>
      </c>
      <c r="M513" s="101">
        <f>IF($C513="","",INDEX(Настройки!$V$6:$V$17,MONTH($C513))&amp;" "&amp;YEAR($C513))</f>
        <v/>
      </c>
      <c r="N513" s="57">
        <f>IF($F513="","",IF(COUNTIF(Постоянные!$C$8:$C$37,$F513)&gt;0,"есть в Постоянных",IF(COUNTIF(Покупки!$C$7:$C$18,$F513)&gt;0,"есть в Покупках","")))</f>
        <v/>
      </c>
      <c r="P513">
        <f>IF($H513&lt;&gt;"",$H513,IF($I513="Оплачено",N($G513),0))</f>
        <v/>
      </c>
      <c r="Q513">
        <f>IF($I513="Отменено",0,IF($G513&lt;&gt;"",$G513,N($H513)))</f>
        <v/>
      </c>
      <c r="R513">
        <f>IF($C513="","",IFERROR(DATE(Настройки!$C$8,Настройки!$D$9+MATCH($M513,Настройки!$X$6:$X$17,0)-1,1),DATE(YEAR($C513),MONTH($C513),1)))</f>
        <v/>
      </c>
      <c r="S513">
        <f>IF(OR($I513="Оплачено",$H513&lt;&gt;""),$P513,$Q513)</f>
        <v/>
      </c>
      <c r="T513">
        <f>IF(OR($C513="",$D513="Доход",$I513="Оплачено",$I513="Отменено",$H513&lt;&gt;"",$C513&lt;TODAY()),"",$C513)</f>
        <v/>
      </c>
      <c r="U513">
        <f>IF(AND($D513&lt;&gt;"Доход",COUNTIFS(Счета!$B$10:$B$21,$J513,Счета!$C$10:$C$21,"Кредитная")&gt;0),1,0)</f>
        <v/>
      </c>
    </row>
    <row r="514" ht="19" customHeight="1">
      <c r="B514" s="53">
        <f>IF(AND($C514="",$F514=""),"",ROW()-9)</f>
        <v/>
      </c>
      <c r="C514" s="213" t="n"/>
      <c r="D514" s="55" t="n"/>
      <c r="E514" s="55" t="n"/>
      <c r="F514" s="56" t="n"/>
      <c r="G514" s="196" t="n"/>
      <c r="H514" s="196" t="n"/>
      <c r="I514" s="55" t="n"/>
      <c r="J514" s="55" t="n"/>
      <c r="K514" s="55" t="n"/>
      <c r="L514" s="100">
        <f>IF(OR($C514="",$I514="Оплачено",$I514="Отменено",$H514&lt;&gt;""),"",$C514-TODAY())</f>
        <v/>
      </c>
      <c r="M514" s="101">
        <f>IF($C514="","",INDEX(Настройки!$V$6:$V$17,MONTH($C514))&amp;" "&amp;YEAR($C514))</f>
        <v/>
      </c>
      <c r="N514" s="57">
        <f>IF($F514="","",IF(COUNTIF(Постоянные!$C$8:$C$37,$F514)&gt;0,"есть в Постоянных",IF(COUNTIF(Покупки!$C$7:$C$18,$F514)&gt;0,"есть в Покупках","")))</f>
        <v/>
      </c>
      <c r="P514">
        <f>IF($H514&lt;&gt;"",$H514,IF($I514="Оплачено",N($G514),0))</f>
        <v/>
      </c>
      <c r="Q514">
        <f>IF($I514="Отменено",0,IF($G514&lt;&gt;"",$G514,N($H514)))</f>
        <v/>
      </c>
      <c r="R514">
        <f>IF($C514="","",IFERROR(DATE(Настройки!$C$8,Настройки!$D$9+MATCH($M514,Настройки!$X$6:$X$17,0)-1,1),DATE(YEAR($C514),MONTH($C514),1)))</f>
        <v/>
      </c>
      <c r="S514">
        <f>IF(OR($I514="Оплачено",$H514&lt;&gt;""),$P514,$Q514)</f>
        <v/>
      </c>
      <c r="T514">
        <f>IF(OR($C514="",$D514="Доход",$I514="Оплачено",$I514="Отменено",$H514&lt;&gt;"",$C514&lt;TODAY()),"",$C514)</f>
        <v/>
      </c>
      <c r="U514">
        <f>IF(AND($D514&lt;&gt;"Доход",COUNTIFS(Счета!$B$10:$B$21,$J514,Счета!$C$10:$C$21,"Кредитная")&gt;0),1,0)</f>
        <v/>
      </c>
    </row>
    <row r="515" ht="19" customHeight="1">
      <c r="B515" s="53">
        <f>IF(AND($C515="",$F515=""),"",ROW()-9)</f>
        <v/>
      </c>
      <c r="C515" s="213" t="n"/>
      <c r="D515" s="55" t="n"/>
      <c r="E515" s="55" t="n"/>
      <c r="F515" s="56" t="n"/>
      <c r="G515" s="196" t="n"/>
      <c r="H515" s="196" t="n"/>
      <c r="I515" s="55" t="n"/>
      <c r="J515" s="55" t="n"/>
      <c r="K515" s="55" t="n"/>
      <c r="L515" s="100">
        <f>IF(OR($C515="",$I515="Оплачено",$I515="Отменено",$H515&lt;&gt;""),"",$C515-TODAY())</f>
        <v/>
      </c>
      <c r="M515" s="101">
        <f>IF($C515="","",INDEX(Настройки!$V$6:$V$17,MONTH($C515))&amp;" "&amp;YEAR($C515))</f>
        <v/>
      </c>
      <c r="N515" s="57">
        <f>IF($F515="","",IF(COUNTIF(Постоянные!$C$8:$C$37,$F515)&gt;0,"есть в Постоянных",IF(COUNTIF(Покупки!$C$7:$C$18,$F515)&gt;0,"есть в Покупках","")))</f>
        <v/>
      </c>
      <c r="P515">
        <f>IF($H515&lt;&gt;"",$H515,IF($I515="Оплачено",N($G515),0))</f>
        <v/>
      </c>
      <c r="Q515">
        <f>IF($I515="Отменено",0,IF($G515&lt;&gt;"",$G515,N($H515)))</f>
        <v/>
      </c>
      <c r="R515">
        <f>IF($C515="","",IFERROR(DATE(Настройки!$C$8,Настройки!$D$9+MATCH($M515,Настройки!$X$6:$X$17,0)-1,1),DATE(YEAR($C515),MONTH($C515),1)))</f>
        <v/>
      </c>
      <c r="S515">
        <f>IF(OR($I515="Оплачено",$H515&lt;&gt;""),$P515,$Q515)</f>
        <v/>
      </c>
      <c r="T515">
        <f>IF(OR($C515="",$D515="Доход",$I515="Оплачено",$I515="Отменено",$H515&lt;&gt;"",$C515&lt;TODAY()),"",$C515)</f>
        <v/>
      </c>
      <c r="U515">
        <f>IF(AND($D515&lt;&gt;"Доход",COUNTIFS(Счета!$B$10:$B$21,$J515,Счета!$C$10:$C$21,"Кредитная")&gt;0),1,0)</f>
        <v/>
      </c>
    </row>
    <row r="516" ht="19" customHeight="1">
      <c r="B516" s="53">
        <f>IF(AND($C516="",$F516=""),"",ROW()-9)</f>
        <v/>
      </c>
      <c r="C516" s="213" t="n"/>
      <c r="D516" s="55" t="n"/>
      <c r="E516" s="55" t="n"/>
      <c r="F516" s="56" t="n"/>
      <c r="G516" s="196" t="n"/>
      <c r="H516" s="196" t="n"/>
      <c r="I516" s="55" t="n"/>
      <c r="J516" s="55" t="n"/>
      <c r="K516" s="55" t="n"/>
      <c r="L516" s="100">
        <f>IF(OR($C516="",$I516="Оплачено",$I516="Отменено",$H516&lt;&gt;""),"",$C516-TODAY())</f>
        <v/>
      </c>
      <c r="M516" s="101">
        <f>IF($C516="","",INDEX(Настройки!$V$6:$V$17,MONTH($C516))&amp;" "&amp;YEAR($C516))</f>
        <v/>
      </c>
      <c r="N516" s="57">
        <f>IF($F516="","",IF(COUNTIF(Постоянные!$C$8:$C$37,$F516)&gt;0,"есть в Постоянных",IF(COUNTIF(Покупки!$C$7:$C$18,$F516)&gt;0,"есть в Покупках","")))</f>
        <v/>
      </c>
      <c r="P516">
        <f>IF($H516&lt;&gt;"",$H516,IF($I516="Оплачено",N($G516),0))</f>
        <v/>
      </c>
      <c r="Q516">
        <f>IF($I516="Отменено",0,IF($G516&lt;&gt;"",$G516,N($H516)))</f>
        <v/>
      </c>
      <c r="R516">
        <f>IF($C516="","",IFERROR(DATE(Настройки!$C$8,Настройки!$D$9+MATCH($M516,Настройки!$X$6:$X$17,0)-1,1),DATE(YEAR($C516),MONTH($C516),1)))</f>
        <v/>
      </c>
      <c r="S516">
        <f>IF(OR($I516="Оплачено",$H516&lt;&gt;""),$P516,$Q516)</f>
        <v/>
      </c>
      <c r="T516">
        <f>IF(OR($C516="",$D516="Доход",$I516="Оплачено",$I516="Отменено",$H516&lt;&gt;"",$C516&lt;TODAY()),"",$C516)</f>
        <v/>
      </c>
      <c r="U516">
        <f>IF(AND($D516&lt;&gt;"Доход",COUNTIFS(Счета!$B$10:$B$21,$J516,Счета!$C$10:$C$21,"Кредитная")&gt;0),1,0)</f>
        <v/>
      </c>
    </row>
    <row r="517" ht="19" customHeight="1">
      <c r="B517" s="53">
        <f>IF(AND($C517="",$F517=""),"",ROW()-9)</f>
        <v/>
      </c>
      <c r="C517" s="213" t="n"/>
      <c r="D517" s="55" t="n"/>
      <c r="E517" s="55" t="n"/>
      <c r="F517" s="56" t="n"/>
      <c r="G517" s="196" t="n"/>
      <c r="H517" s="196" t="n"/>
      <c r="I517" s="55" t="n"/>
      <c r="J517" s="55" t="n"/>
      <c r="K517" s="55" t="n"/>
      <c r="L517" s="100">
        <f>IF(OR($C517="",$I517="Оплачено",$I517="Отменено",$H517&lt;&gt;""),"",$C517-TODAY())</f>
        <v/>
      </c>
      <c r="M517" s="101">
        <f>IF($C517="","",INDEX(Настройки!$V$6:$V$17,MONTH($C517))&amp;" "&amp;YEAR($C517))</f>
        <v/>
      </c>
      <c r="N517" s="57">
        <f>IF($F517="","",IF(COUNTIF(Постоянные!$C$8:$C$37,$F517)&gt;0,"есть в Постоянных",IF(COUNTIF(Покупки!$C$7:$C$18,$F517)&gt;0,"есть в Покупках","")))</f>
        <v/>
      </c>
      <c r="P517">
        <f>IF($H517&lt;&gt;"",$H517,IF($I517="Оплачено",N($G517),0))</f>
        <v/>
      </c>
      <c r="Q517">
        <f>IF($I517="Отменено",0,IF($G517&lt;&gt;"",$G517,N($H517)))</f>
        <v/>
      </c>
      <c r="R517">
        <f>IF($C517="","",IFERROR(DATE(Настройки!$C$8,Настройки!$D$9+MATCH($M517,Настройки!$X$6:$X$17,0)-1,1),DATE(YEAR($C517),MONTH($C517),1)))</f>
        <v/>
      </c>
      <c r="S517">
        <f>IF(OR($I517="Оплачено",$H517&lt;&gt;""),$P517,$Q517)</f>
        <v/>
      </c>
      <c r="T517">
        <f>IF(OR($C517="",$D517="Доход",$I517="Оплачено",$I517="Отменено",$H517&lt;&gt;"",$C517&lt;TODAY()),"",$C517)</f>
        <v/>
      </c>
      <c r="U517">
        <f>IF(AND($D517&lt;&gt;"Доход",COUNTIFS(Счета!$B$10:$B$21,$J517,Счета!$C$10:$C$21,"Кредитная")&gt;0),1,0)</f>
        <v/>
      </c>
    </row>
    <row r="518" ht="19" customHeight="1">
      <c r="B518" s="53">
        <f>IF(AND($C518="",$F518=""),"",ROW()-9)</f>
        <v/>
      </c>
      <c r="C518" s="213" t="n"/>
      <c r="D518" s="55" t="n"/>
      <c r="E518" s="55" t="n"/>
      <c r="F518" s="56" t="n"/>
      <c r="G518" s="196" t="n"/>
      <c r="H518" s="196" t="n"/>
      <c r="I518" s="55" t="n"/>
      <c r="J518" s="55" t="n"/>
      <c r="K518" s="55" t="n"/>
      <c r="L518" s="100">
        <f>IF(OR($C518="",$I518="Оплачено",$I518="Отменено",$H518&lt;&gt;""),"",$C518-TODAY())</f>
        <v/>
      </c>
      <c r="M518" s="101">
        <f>IF($C518="","",INDEX(Настройки!$V$6:$V$17,MONTH($C518))&amp;" "&amp;YEAR($C518))</f>
        <v/>
      </c>
      <c r="N518" s="57">
        <f>IF($F518="","",IF(COUNTIF(Постоянные!$C$8:$C$37,$F518)&gt;0,"есть в Постоянных",IF(COUNTIF(Покупки!$C$7:$C$18,$F518)&gt;0,"есть в Покупках","")))</f>
        <v/>
      </c>
      <c r="P518">
        <f>IF($H518&lt;&gt;"",$H518,IF($I518="Оплачено",N($G518),0))</f>
        <v/>
      </c>
      <c r="Q518">
        <f>IF($I518="Отменено",0,IF($G518&lt;&gt;"",$G518,N($H518)))</f>
        <v/>
      </c>
      <c r="R518">
        <f>IF($C518="","",IFERROR(DATE(Настройки!$C$8,Настройки!$D$9+MATCH($M518,Настройки!$X$6:$X$17,0)-1,1),DATE(YEAR($C518),MONTH($C518),1)))</f>
        <v/>
      </c>
      <c r="S518">
        <f>IF(OR($I518="Оплачено",$H518&lt;&gt;""),$P518,$Q518)</f>
        <v/>
      </c>
      <c r="T518">
        <f>IF(OR($C518="",$D518="Доход",$I518="Оплачено",$I518="Отменено",$H518&lt;&gt;"",$C518&lt;TODAY()),"",$C518)</f>
        <v/>
      </c>
      <c r="U518">
        <f>IF(AND($D518&lt;&gt;"Доход",COUNTIFS(Счета!$B$10:$B$21,$J518,Счета!$C$10:$C$21,"Кредитная")&gt;0),1,0)</f>
        <v/>
      </c>
    </row>
    <row r="519" ht="19" customHeight="1">
      <c r="B519" s="53">
        <f>IF(AND($C519="",$F519=""),"",ROW()-9)</f>
        <v/>
      </c>
      <c r="C519" s="213" t="n"/>
      <c r="D519" s="55" t="n"/>
      <c r="E519" s="55" t="n"/>
      <c r="F519" s="56" t="n"/>
      <c r="G519" s="196" t="n"/>
      <c r="H519" s="196" t="n"/>
      <c r="I519" s="55" t="n"/>
      <c r="J519" s="55" t="n"/>
      <c r="K519" s="55" t="n"/>
      <c r="L519" s="100">
        <f>IF(OR($C519="",$I519="Оплачено",$I519="Отменено",$H519&lt;&gt;""),"",$C519-TODAY())</f>
        <v/>
      </c>
      <c r="M519" s="101">
        <f>IF($C519="","",INDEX(Настройки!$V$6:$V$17,MONTH($C519))&amp;" "&amp;YEAR($C519))</f>
        <v/>
      </c>
      <c r="N519" s="57">
        <f>IF($F519="","",IF(COUNTIF(Постоянные!$C$8:$C$37,$F519)&gt;0,"есть в Постоянных",IF(COUNTIF(Покупки!$C$7:$C$18,$F519)&gt;0,"есть в Покупках","")))</f>
        <v/>
      </c>
      <c r="P519">
        <f>IF($H519&lt;&gt;"",$H519,IF($I519="Оплачено",N($G519),0))</f>
        <v/>
      </c>
      <c r="Q519">
        <f>IF($I519="Отменено",0,IF($G519&lt;&gt;"",$G519,N($H519)))</f>
        <v/>
      </c>
      <c r="R519">
        <f>IF($C519="","",IFERROR(DATE(Настройки!$C$8,Настройки!$D$9+MATCH($M519,Настройки!$X$6:$X$17,0)-1,1),DATE(YEAR($C519),MONTH($C519),1)))</f>
        <v/>
      </c>
      <c r="S519">
        <f>IF(OR($I519="Оплачено",$H519&lt;&gt;""),$P519,$Q519)</f>
        <v/>
      </c>
      <c r="T519">
        <f>IF(OR($C519="",$D519="Доход",$I519="Оплачено",$I519="Отменено",$H519&lt;&gt;"",$C519&lt;TODAY()),"",$C519)</f>
        <v/>
      </c>
      <c r="U519">
        <f>IF(AND($D519&lt;&gt;"Доход",COUNTIFS(Счета!$B$10:$B$21,$J519,Счета!$C$10:$C$21,"Кредитная")&gt;0),1,0)</f>
        <v/>
      </c>
    </row>
    <row r="520" ht="19" customHeight="1">
      <c r="B520" s="53">
        <f>IF(AND($C520="",$F520=""),"",ROW()-9)</f>
        <v/>
      </c>
      <c r="C520" s="213" t="n"/>
      <c r="D520" s="55" t="n"/>
      <c r="E520" s="55" t="n"/>
      <c r="F520" s="56" t="n"/>
      <c r="G520" s="196" t="n"/>
      <c r="H520" s="196" t="n"/>
      <c r="I520" s="55" t="n"/>
      <c r="J520" s="55" t="n"/>
      <c r="K520" s="55" t="n"/>
      <c r="L520" s="100">
        <f>IF(OR($C520="",$I520="Оплачено",$I520="Отменено",$H520&lt;&gt;""),"",$C520-TODAY())</f>
        <v/>
      </c>
      <c r="M520" s="101">
        <f>IF($C520="","",INDEX(Настройки!$V$6:$V$17,MONTH($C520))&amp;" "&amp;YEAR($C520))</f>
        <v/>
      </c>
      <c r="N520" s="57">
        <f>IF($F520="","",IF(COUNTIF(Постоянные!$C$8:$C$37,$F520)&gt;0,"есть в Постоянных",IF(COUNTIF(Покупки!$C$7:$C$18,$F520)&gt;0,"есть в Покупках","")))</f>
        <v/>
      </c>
      <c r="P520">
        <f>IF($H520&lt;&gt;"",$H520,IF($I520="Оплачено",N($G520),0))</f>
        <v/>
      </c>
      <c r="Q520">
        <f>IF($I520="Отменено",0,IF($G520&lt;&gt;"",$G520,N($H520)))</f>
        <v/>
      </c>
      <c r="R520">
        <f>IF($C520="","",IFERROR(DATE(Настройки!$C$8,Настройки!$D$9+MATCH($M520,Настройки!$X$6:$X$17,0)-1,1),DATE(YEAR($C520),MONTH($C520),1)))</f>
        <v/>
      </c>
      <c r="S520">
        <f>IF(OR($I520="Оплачено",$H520&lt;&gt;""),$P520,$Q520)</f>
        <v/>
      </c>
      <c r="T520">
        <f>IF(OR($C520="",$D520="Доход",$I520="Оплачено",$I520="Отменено",$H520&lt;&gt;"",$C520&lt;TODAY()),"",$C520)</f>
        <v/>
      </c>
      <c r="U520">
        <f>IF(AND($D520&lt;&gt;"Доход",COUNTIFS(Счета!$B$10:$B$21,$J520,Счета!$C$10:$C$21,"Кредитная")&gt;0),1,0)</f>
        <v/>
      </c>
    </row>
    <row r="521" ht="19" customHeight="1">
      <c r="B521" s="53">
        <f>IF(AND($C521="",$F521=""),"",ROW()-9)</f>
        <v/>
      </c>
      <c r="C521" s="213" t="n"/>
      <c r="D521" s="55" t="n"/>
      <c r="E521" s="55" t="n"/>
      <c r="F521" s="56" t="n"/>
      <c r="G521" s="196" t="n"/>
      <c r="H521" s="196" t="n"/>
      <c r="I521" s="55" t="n"/>
      <c r="J521" s="55" t="n"/>
      <c r="K521" s="55" t="n"/>
      <c r="L521" s="100">
        <f>IF(OR($C521="",$I521="Оплачено",$I521="Отменено",$H521&lt;&gt;""),"",$C521-TODAY())</f>
        <v/>
      </c>
      <c r="M521" s="101">
        <f>IF($C521="","",INDEX(Настройки!$V$6:$V$17,MONTH($C521))&amp;" "&amp;YEAR($C521))</f>
        <v/>
      </c>
      <c r="N521" s="57">
        <f>IF($F521="","",IF(COUNTIF(Постоянные!$C$8:$C$37,$F521)&gt;0,"есть в Постоянных",IF(COUNTIF(Покупки!$C$7:$C$18,$F521)&gt;0,"есть в Покупках","")))</f>
        <v/>
      </c>
      <c r="P521">
        <f>IF($H521&lt;&gt;"",$H521,IF($I521="Оплачено",N($G521),0))</f>
        <v/>
      </c>
      <c r="Q521">
        <f>IF($I521="Отменено",0,IF($G521&lt;&gt;"",$G521,N($H521)))</f>
        <v/>
      </c>
      <c r="R521">
        <f>IF($C521="","",IFERROR(DATE(Настройки!$C$8,Настройки!$D$9+MATCH($M521,Настройки!$X$6:$X$17,0)-1,1),DATE(YEAR($C521),MONTH($C521),1)))</f>
        <v/>
      </c>
      <c r="S521">
        <f>IF(OR($I521="Оплачено",$H521&lt;&gt;""),$P521,$Q521)</f>
        <v/>
      </c>
      <c r="T521">
        <f>IF(OR($C521="",$D521="Доход",$I521="Оплачено",$I521="Отменено",$H521&lt;&gt;"",$C521&lt;TODAY()),"",$C521)</f>
        <v/>
      </c>
      <c r="U521">
        <f>IF(AND($D521&lt;&gt;"Доход",COUNTIFS(Счета!$B$10:$B$21,$J521,Счета!$C$10:$C$21,"Кредитная")&gt;0),1,0)</f>
        <v/>
      </c>
    </row>
    <row r="522" ht="19" customHeight="1">
      <c r="B522" s="53">
        <f>IF(AND($C522="",$F522=""),"",ROW()-9)</f>
        <v/>
      </c>
      <c r="C522" s="213" t="n"/>
      <c r="D522" s="55" t="n"/>
      <c r="E522" s="55" t="n"/>
      <c r="F522" s="56" t="n"/>
      <c r="G522" s="196" t="n"/>
      <c r="H522" s="196" t="n"/>
      <c r="I522" s="55" t="n"/>
      <c r="J522" s="55" t="n"/>
      <c r="K522" s="55" t="n"/>
      <c r="L522" s="100">
        <f>IF(OR($C522="",$I522="Оплачено",$I522="Отменено",$H522&lt;&gt;""),"",$C522-TODAY())</f>
        <v/>
      </c>
      <c r="M522" s="101">
        <f>IF($C522="","",INDEX(Настройки!$V$6:$V$17,MONTH($C522))&amp;" "&amp;YEAR($C522))</f>
        <v/>
      </c>
      <c r="N522" s="57">
        <f>IF($F522="","",IF(COUNTIF(Постоянные!$C$8:$C$37,$F522)&gt;0,"есть в Постоянных",IF(COUNTIF(Покупки!$C$7:$C$18,$F522)&gt;0,"есть в Покупках","")))</f>
        <v/>
      </c>
      <c r="P522">
        <f>IF($H522&lt;&gt;"",$H522,IF($I522="Оплачено",N($G522),0))</f>
        <v/>
      </c>
      <c r="Q522">
        <f>IF($I522="Отменено",0,IF($G522&lt;&gt;"",$G522,N($H522)))</f>
        <v/>
      </c>
      <c r="R522">
        <f>IF($C522="","",IFERROR(DATE(Настройки!$C$8,Настройки!$D$9+MATCH($M522,Настройки!$X$6:$X$17,0)-1,1),DATE(YEAR($C522),MONTH($C522),1)))</f>
        <v/>
      </c>
      <c r="S522">
        <f>IF(OR($I522="Оплачено",$H522&lt;&gt;""),$P522,$Q522)</f>
        <v/>
      </c>
      <c r="T522">
        <f>IF(OR($C522="",$D522="Доход",$I522="Оплачено",$I522="Отменено",$H522&lt;&gt;"",$C522&lt;TODAY()),"",$C522)</f>
        <v/>
      </c>
      <c r="U522">
        <f>IF(AND($D522&lt;&gt;"Доход",COUNTIFS(Счета!$B$10:$B$21,$J522,Счета!$C$10:$C$21,"Кредитная")&gt;0),1,0)</f>
        <v/>
      </c>
    </row>
    <row r="523" ht="19" customHeight="1">
      <c r="B523" s="53">
        <f>IF(AND($C523="",$F523=""),"",ROW()-9)</f>
        <v/>
      </c>
      <c r="C523" s="213" t="n"/>
      <c r="D523" s="55" t="n"/>
      <c r="E523" s="55" t="n"/>
      <c r="F523" s="56" t="n"/>
      <c r="G523" s="196" t="n"/>
      <c r="H523" s="196" t="n"/>
      <c r="I523" s="55" t="n"/>
      <c r="J523" s="55" t="n"/>
      <c r="K523" s="55" t="n"/>
      <c r="L523" s="100">
        <f>IF(OR($C523="",$I523="Оплачено",$I523="Отменено",$H523&lt;&gt;""),"",$C523-TODAY())</f>
        <v/>
      </c>
      <c r="M523" s="101">
        <f>IF($C523="","",INDEX(Настройки!$V$6:$V$17,MONTH($C523))&amp;" "&amp;YEAR($C523))</f>
        <v/>
      </c>
      <c r="N523" s="57">
        <f>IF($F523="","",IF(COUNTIF(Постоянные!$C$8:$C$37,$F523)&gt;0,"есть в Постоянных",IF(COUNTIF(Покупки!$C$7:$C$18,$F523)&gt;0,"есть в Покупках","")))</f>
        <v/>
      </c>
      <c r="P523">
        <f>IF($H523&lt;&gt;"",$H523,IF($I523="Оплачено",N($G523),0))</f>
        <v/>
      </c>
      <c r="Q523">
        <f>IF($I523="Отменено",0,IF($G523&lt;&gt;"",$G523,N($H523)))</f>
        <v/>
      </c>
      <c r="R523">
        <f>IF($C523="","",IFERROR(DATE(Настройки!$C$8,Настройки!$D$9+MATCH($M523,Настройки!$X$6:$X$17,0)-1,1),DATE(YEAR($C523),MONTH($C523),1)))</f>
        <v/>
      </c>
      <c r="S523">
        <f>IF(OR($I523="Оплачено",$H523&lt;&gt;""),$P523,$Q523)</f>
        <v/>
      </c>
      <c r="T523">
        <f>IF(OR($C523="",$D523="Доход",$I523="Оплачено",$I523="Отменено",$H523&lt;&gt;"",$C523&lt;TODAY()),"",$C523)</f>
        <v/>
      </c>
      <c r="U523">
        <f>IF(AND($D523&lt;&gt;"Доход",COUNTIFS(Счета!$B$10:$B$21,$J523,Счета!$C$10:$C$21,"Кредитная")&gt;0),1,0)</f>
        <v/>
      </c>
    </row>
    <row r="524" ht="19" customHeight="1">
      <c r="B524" s="53">
        <f>IF(AND($C524="",$F524=""),"",ROW()-9)</f>
        <v/>
      </c>
      <c r="C524" s="213" t="n"/>
      <c r="D524" s="55" t="n"/>
      <c r="E524" s="55" t="n"/>
      <c r="F524" s="56" t="n"/>
      <c r="G524" s="196" t="n"/>
      <c r="H524" s="196" t="n"/>
      <c r="I524" s="55" t="n"/>
      <c r="J524" s="55" t="n"/>
      <c r="K524" s="55" t="n"/>
      <c r="L524" s="100">
        <f>IF(OR($C524="",$I524="Оплачено",$I524="Отменено",$H524&lt;&gt;""),"",$C524-TODAY())</f>
        <v/>
      </c>
      <c r="M524" s="101">
        <f>IF($C524="","",INDEX(Настройки!$V$6:$V$17,MONTH($C524))&amp;" "&amp;YEAR($C524))</f>
        <v/>
      </c>
      <c r="N524" s="57">
        <f>IF($F524="","",IF(COUNTIF(Постоянные!$C$8:$C$37,$F524)&gt;0,"есть в Постоянных",IF(COUNTIF(Покупки!$C$7:$C$18,$F524)&gt;0,"есть в Покупках","")))</f>
        <v/>
      </c>
      <c r="P524">
        <f>IF($H524&lt;&gt;"",$H524,IF($I524="Оплачено",N($G524),0))</f>
        <v/>
      </c>
      <c r="Q524">
        <f>IF($I524="Отменено",0,IF($G524&lt;&gt;"",$G524,N($H524)))</f>
        <v/>
      </c>
      <c r="R524">
        <f>IF($C524="","",IFERROR(DATE(Настройки!$C$8,Настройки!$D$9+MATCH($M524,Настройки!$X$6:$X$17,0)-1,1),DATE(YEAR($C524),MONTH($C524),1)))</f>
        <v/>
      </c>
      <c r="S524">
        <f>IF(OR($I524="Оплачено",$H524&lt;&gt;""),$P524,$Q524)</f>
        <v/>
      </c>
      <c r="T524">
        <f>IF(OR($C524="",$D524="Доход",$I524="Оплачено",$I524="Отменено",$H524&lt;&gt;"",$C524&lt;TODAY()),"",$C524)</f>
        <v/>
      </c>
      <c r="U524">
        <f>IF(AND($D524&lt;&gt;"Доход",COUNTIFS(Счета!$B$10:$B$21,$J524,Счета!$C$10:$C$21,"Кредитная")&gt;0),1,0)</f>
        <v/>
      </c>
    </row>
    <row r="525" ht="19" customHeight="1">
      <c r="B525" s="53">
        <f>IF(AND($C525="",$F525=""),"",ROW()-9)</f>
        <v/>
      </c>
      <c r="C525" s="213" t="n"/>
      <c r="D525" s="55" t="n"/>
      <c r="E525" s="55" t="n"/>
      <c r="F525" s="56" t="n"/>
      <c r="G525" s="196" t="n"/>
      <c r="H525" s="196" t="n"/>
      <c r="I525" s="55" t="n"/>
      <c r="J525" s="55" t="n"/>
      <c r="K525" s="55" t="n"/>
      <c r="L525" s="100">
        <f>IF(OR($C525="",$I525="Оплачено",$I525="Отменено",$H525&lt;&gt;""),"",$C525-TODAY())</f>
        <v/>
      </c>
      <c r="M525" s="101">
        <f>IF($C525="","",INDEX(Настройки!$V$6:$V$17,MONTH($C525))&amp;" "&amp;YEAR($C525))</f>
        <v/>
      </c>
      <c r="N525" s="57">
        <f>IF($F525="","",IF(COUNTIF(Постоянные!$C$8:$C$37,$F525)&gt;0,"есть в Постоянных",IF(COUNTIF(Покупки!$C$7:$C$18,$F525)&gt;0,"есть в Покупках","")))</f>
        <v/>
      </c>
      <c r="P525">
        <f>IF($H525&lt;&gt;"",$H525,IF($I525="Оплачено",N($G525),0))</f>
        <v/>
      </c>
      <c r="Q525">
        <f>IF($I525="Отменено",0,IF($G525&lt;&gt;"",$G525,N($H525)))</f>
        <v/>
      </c>
      <c r="R525">
        <f>IF($C525="","",IFERROR(DATE(Настройки!$C$8,Настройки!$D$9+MATCH($M525,Настройки!$X$6:$X$17,0)-1,1),DATE(YEAR($C525),MONTH($C525),1)))</f>
        <v/>
      </c>
      <c r="S525">
        <f>IF(OR($I525="Оплачено",$H525&lt;&gt;""),$P525,$Q525)</f>
        <v/>
      </c>
      <c r="T525">
        <f>IF(OR($C525="",$D525="Доход",$I525="Оплачено",$I525="Отменено",$H525&lt;&gt;"",$C525&lt;TODAY()),"",$C525)</f>
        <v/>
      </c>
      <c r="U525">
        <f>IF(AND($D525&lt;&gt;"Доход",COUNTIFS(Счета!$B$10:$B$21,$J525,Счета!$C$10:$C$21,"Кредитная")&gt;0),1,0)</f>
        <v/>
      </c>
    </row>
    <row r="526" ht="19" customHeight="1">
      <c r="B526" s="53">
        <f>IF(AND($C526="",$F526=""),"",ROW()-9)</f>
        <v/>
      </c>
      <c r="C526" s="213" t="n"/>
      <c r="D526" s="55" t="n"/>
      <c r="E526" s="55" t="n"/>
      <c r="F526" s="56" t="n"/>
      <c r="G526" s="196" t="n"/>
      <c r="H526" s="196" t="n"/>
      <c r="I526" s="55" t="n"/>
      <c r="J526" s="55" t="n"/>
      <c r="K526" s="55" t="n"/>
      <c r="L526" s="100">
        <f>IF(OR($C526="",$I526="Оплачено",$I526="Отменено",$H526&lt;&gt;""),"",$C526-TODAY())</f>
        <v/>
      </c>
      <c r="M526" s="101">
        <f>IF($C526="","",INDEX(Настройки!$V$6:$V$17,MONTH($C526))&amp;" "&amp;YEAR($C526))</f>
        <v/>
      </c>
      <c r="N526" s="57">
        <f>IF($F526="","",IF(COUNTIF(Постоянные!$C$8:$C$37,$F526)&gt;0,"есть в Постоянных",IF(COUNTIF(Покупки!$C$7:$C$18,$F526)&gt;0,"есть в Покупках","")))</f>
        <v/>
      </c>
      <c r="P526">
        <f>IF($H526&lt;&gt;"",$H526,IF($I526="Оплачено",N($G526),0))</f>
        <v/>
      </c>
      <c r="Q526">
        <f>IF($I526="Отменено",0,IF($G526&lt;&gt;"",$G526,N($H526)))</f>
        <v/>
      </c>
      <c r="R526">
        <f>IF($C526="","",IFERROR(DATE(Настройки!$C$8,Настройки!$D$9+MATCH($M526,Настройки!$X$6:$X$17,0)-1,1),DATE(YEAR($C526),MONTH($C526),1)))</f>
        <v/>
      </c>
      <c r="S526">
        <f>IF(OR($I526="Оплачено",$H526&lt;&gt;""),$P526,$Q526)</f>
        <v/>
      </c>
      <c r="T526">
        <f>IF(OR($C526="",$D526="Доход",$I526="Оплачено",$I526="Отменено",$H526&lt;&gt;"",$C526&lt;TODAY()),"",$C526)</f>
        <v/>
      </c>
      <c r="U526">
        <f>IF(AND($D526&lt;&gt;"Доход",COUNTIFS(Счета!$B$10:$B$21,$J526,Счета!$C$10:$C$21,"Кредитная")&gt;0),1,0)</f>
        <v/>
      </c>
    </row>
    <row r="527" ht="19" customHeight="1">
      <c r="B527" s="53">
        <f>IF(AND($C527="",$F527=""),"",ROW()-9)</f>
        <v/>
      </c>
      <c r="C527" s="213" t="n"/>
      <c r="D527" s="55" t="n"/>
      <c r="E527" s="55" t="n"/>
      <c r="F527" s="56" t="n"/>
      <c r="G527" s="196" t="n"/>
      <c r="H527" s="196" t="n"/>
      <c r="I527" s="55" t="n"/>
      <c r="J527" s="55" t="n"/>
      <c r="K527" s="55" t="n"/>
      <c r="L527" s="100">
        <f>IF(OR($C527="",$I527="Оплачено",$I527="Отменено",$H527&lt;&gt;""),"",$C527-TODAY())</f>
        <v/>
      </c>
      <c r="M527" s="101">
        <f>IF($C527="","",INDEX(Настройки!$V$6:$V$17,MONTH($C527))&amp;" "&amp;YEAR($C527))</f>
        <v/>
      </c>
      <c r="N527" s="57">
        <f>IF($F527="","",IF(COUNTIF(Постоянные!$C$8:$C$37,$F527)&gt;0,"есть в Постоянных",IF(COUNTIF(Покупки!$C$7:$C$18,$F527)&gt;0,"есть в Покупках","")))</f>
        <v/>
      </c>
      <c r="P527">
        <f>IF($H527&lt;&gt;"",$H527,IF($I527="Оплачено",N($G527),0))</f>
        <v/>
      </c>
      <c r="Q527">
        <f>IF($I527="Отменено",0,IF($G527&lt;&gt;"",$G527,N($H527)))</f>
        <v/>
      </c>
      <c r="R527">
        <f>IF($C527="","",IFERROR(DATE(Настройки!$C$8,Настройки!$D$9+MATCH($M527,Настройки!$X$6:$X$17,0)-1,1),DATE(YEAR($C527),MONTH($C527),1)))</f>
        <v/>
      </c>
      <c r="S527">
        <f>IF(OR($I527="Оплачено",$H527&lt;&gt;""),$P527,$Q527)</f>
        <v/>
      </c>
      <c r="T527">
        <f>IF(OR($C527="",$D527="Доход",$I527="Оплачено",$I527="Отменено",$H527&lt;&gt;"",$C527&lt;TODAY()),"",$C527)</f>
        <v/>
      </c>
      <c r="U527">
        <f>IF(AND($D527&lt;&gt;"Доход",COUNTIFS(Счета!$B$10:$B$21,$J527,Счета!$C$10:$C$21,"Кредитная")&gt;0),1,0)</f>
        <v/>
      </c>
    </row>
    <row r="528" ht="19" customHeight="1">
      <c r="B528" s="53">
        <f>IF(AND($C528="",$F528=""),"",ROW()-9)</f>
        <v/>
      </c>
      <c r="C528" s="213" t="n"/>
      <c r="D528" s="55" t="n"/>
      <c r="E528" s="55" t="n"/>
      <c r="F528" s="56" t="n"/>
      <c r="G528" s="196" t="n"/>
      <c r="H528" s="196" t="n"/>
      <c r="I528" s="55" t="n"/>
      <c r="J528" s="55" t="n"/>
      <c r="K528" s="55" t="n"/>
      <c r="L528" s="100">
        <f>IF(OR($C528="",$I528="Оплачено",$I528="Отменено",$H528&lt;&gt;""),"",$C528-TODAY())</f>
        <v/>
      </c>
      <c r="M528" s="101">
        <f>IF($C528="","",INDEX(Настройки!$V$6:$V$17,MONTH($C528))&amp;" "&amp;YEAR($C528))</f>
        <v/>
      </c>
      <c r="N528" s="57">
        <f>IF($F528="","",IF(COUNTIF(Постоянные!$C$8:$C$37,$F528)&gt;0,"есть в Постоянных",IF(COUNTIF(Покупки!$C$7:$C$18,$F528)&gt;0,"есть в Покупках","")))</f>
        <v/>
      </c>
      <c r="P528">
        <f>IF($H528&lt;&gt;"",$H528,IF($I528="Оплачено",N($G528),0))</f>
        <v/>
      </c>
      <c r="Q528">
        <f>IF($I528="Отменено",0,IF($G528&lt;&gt;"",$G528,N($H528)))</f>
        <v/>
      </c>
      <c r="R528">
        <f>IF($C528="","",IFERROR(DATE(Настройки!$C$8,Настройки!$D$9+MATCH($M528,Настройки!$X$6:$X$17,0)-1,1),DATE(YEAR($C528),MONTH($C528),1)))</f>
        <v/>
      </c>
      <c r="S528">
        <f>IF(OR($I528="Оплачено",$H528&lt;&gt;""),$P528,$Q528)</f>
        <v/>
      </c>
      <c r="T528">
        <f>IF(OR($C528="",$D528="Доход",$I528="Оплачено",$I528="Отменено",$H528&lt;&gt;"",$C528&lt;TODAY()),"",$C528)</f>
        <v/>
      </c>
      <c r="U528">
        <f>IF(AND($D528&lt;&gt;"Доход",COUNTIFS(Счета!$B$10:$B$21,$J528,Счета!$C$10:$C$21,"Кредитная")&gt;0),1,0)</f>
        <v/>
      </c>
    </row>
    <row r="529" ht="19" customHeight="1">
      <c r="B529" s="53">
        <f>IF(AND($C529="",$F529=""),"",ROW()-9)</f>
        <v/>
      </c>
      <c r="C529" s="213" t="n"/>
      <c r="D529" s="55" t="n"/>
      <c r="E529" s="55" t="n"/>
      <c r="F529" s="56" t="n"/>
      <c r="G529" s="196" t="n"/>
      <c r="H529" s="196" t="n"/>
      <c r="I529" s="55" t="n"/>
      <c r="J529" s="55" t="n"/>
      <c r="K529" s="55" t="n"/>
      <c r="L529" s="100">
        <f>IF(OR($C529="",$I529="Оплачено",$I529="Отменено",$H529&lt;&gt;""),"",$C529-TODAY())</f>
        <v/>
      </c>
      <c r="M529" s="101">
        <f>IF($C529="","",INDEX(Настройки!$V$6:$V$17,MONTH($C529))&amp;" "&amp;YEAR($C529))</f>
        <v/>
      </c>
      <c r="N529" s="57">
        <f>IF($F529="","",IF(COUNTIF(Постоянные!$C$8:$C$37,$F529)&gt;0,"есть в Постоянных",IF(COUNTIF(Покупки!$C$7:$C$18,$F529)&gt;0,"есть в Покупках","")))</f>
        <v/>
      </c>
      <c r="P529">
        <f>IF($H529&lt;&gt;"",$H529,IF($I529="Оплачено",N($G529),0))</f>
        <v/>
      </c>
      <c r="Q529">
        <f>IF($I529="Отменено",0,IF($G529&lt;&gt;"",$G529,N($H529)))</f>
        <v/>
      </c>
      <c r="R529">
        <f>IF($C529="","",IFERROR(DATE(Настройки!$C$8,Настройки!$D$9+MATCH($M529,Настройки!$X$6:$X$17,0)-1,1),DATE(YEAR($C529),MONTH($C529),1)))</f>
        <v/>
      </c>
      <c r="S529">
        <f>IF(OR($I529="Оплачено",$H529&lt;&gt;""),$P529,$Q529)</f>
        <v/>
      </c>
      <c r="T529">
        <f>IF(OR($C529="",$D529="Доход",$I529="Оплачено",$I529="Отменено",$H529&lt;&gt;"",$C529&lt;TODAY()),"",$C529)</f>
        <v/>
      </c>
      <c r="U529">
        <f>IF(AND($D529&lt;&gt;"Доход",COUNTIFS(Счета!$B$10:$B$21,$J529,Счета!$C$10:$C$21,"Кредитная")&gt;0),1,0)</f>
        <v/>
      </c>
    </row>
    <row r="530" ht="19" customHeight="1">
      <c r="B530" s="53">
        <f>IF(AND($C530="",$F530=""),"",ROW()-9)</f>
        <v/>
      </c>
      <c r="C530" s="213" t="n"/>
      <c r="D530" s="55" t="n"/>
      <c r="E530" s="55" t="n"/>
      <c r="F530" s="56" t="n"/>
      <c r="G530" s="196" t="n"/>
      <c r="H530" s="196" t="n"/>
      <c r="I530" s="55" t="n"/>
      <c r="J530" s="55" t="n"/>
      <c r="K530" s="55" t="n"/>
      <c r="L530" s="100">
        <f>IF(OR($C530="",$I530="Оплачено",$I530="Отменено",$H530&lt;&gt;""),"",$C530-TODAY())</f>
        <v/>
      </c>
      <c r="M530" s="101">
        <f>IF($C530="","",INDEX(Настройки!$V$6:$V$17,MONTH($C530))&amp;" "&amp;YEAR($C530))</f>
        <v/>
      </c>
      <c r="N530" s="57">
        <f>IF($F530="","",IF(COUNTIF(Постоянные!$C$8:$C$37,$F530)&gt;0,"есть в Постоянных",IF(COUNTIF(Покупки!$C$7:$C$18,$F530)&gt;0,"есть в Покупках","")))</f>
        <v/>
      </c>
      <c r="P530">
        <f>IF($H530&lt;&gt;"",$H530,IF($I530="Оплачено",N($G530),0))</f>
        <v/>
      </c>
      <c r="Q530">
        <f>IF($I530="Отменено",0,IF($G530&lt;&gt;"",$G530,N($H530)))</f>
        <v/>
      </c>
      <c r="R530">
        <f>IF($C530="","",IFERROR(DATE(Настройки!$C$8,Настройки!$D$9+MATCH($M530,Настройки!$X$6:$X$17,0)-1,1),DATE(YEAR($C530),MONTH($C530),1)))</f>
        <v/>
      </c>
      <c r="S530">
        <f>IF(OR($I530="Оплачено",$H530&lt;&gt;""),$P530,$Q530)</f>
        <v/>
      </c>
      <c r="T530">
        <f>IF(OR($C530="",$D530="Доход",$I530="Оплачено",$I530="Отменено",$H530&lt;&gt;"",$C530&lt;TODAY()),"",$C530)</f>
        <v/>
      </c>
      <c r="U530">
        <f>IF(AND($D530&lt;&gt;"Доход",COUNTIFS(Счета!$B$10:$B$21,$J530,Счета!$C$10:$C$21,"Кредитная")&gt;0),1,0)</f>
        <v/>
      </c>
    </row>
    <row r="531" ht="19" customHeight="1">
      <c r="B531" s="53">
        <f>IF(AND($C531="",$F531=""),"",ROW()-9)</f>
        <v/>
      </c>
      <c r="C531" s="213" t="n"/>
      <c r="D531" s="55" t="n"/>
      <c r="E531" s="55" t="n"/>
      <c r="F531" s="56" t="n"/>
      <c r="G531" s="196" t="n"/>
      <c r="H531" s="196" t="n"/>
      <c r="I531" s="55" t="n"/>
      <c r="J531" s="55" t="n"/>
      <c r="K531" s="55" t="n"/>
      <c r="L531" s="100">
        <f>IF(OR($C531="",$I531="Оплачено",$I531="Отменено",$H531&lt;&gt;""),"",$C531-TODAY())</f>
        <v/>
      </c>
      <c r="M531" s="101">
        <f>IF($C531="","",INDEX(Настройки!$V$6:$V$17,MONTH($C531))&amp;" "&amp;YEAR($C531))</f>
        <v/>
      </c>
      <c r="N531" s="57">
        <f>IF($F531="","",IF(COUNTIF(Постоянные!$C$8:$C$37,$F531)&gt;0,"есть в Постоянных",IF(COUNTIF(Покупки!$C$7:$C$18,$F531)&gt;0,"есть в Покупках","")))</f>
        <v/>
      </c>
      <c r="P531">
        <f>IF($H531&lt;&gt;"",$H531,IF($I531="Оплачено",N($G531),0))</f>
        <v/>
      </c>
      <c r="Q531">
        <f>IF($I531="Отменено",0,IF($G531&lt;&gt;"",$G531,N($H531)))</f>
        <v/>
      </c>
      <c r="R531">
        <f>IF($C531="","",IFERROR(DATE(Настройки!$C$8,Настройки!$D$9+MATCH($M531,Настройки!$X$6:$X$17,0)-1,1),DATE(YEAR($C531),MONTH($C531),1)))</f>
        <v/>
      </c>
      <c r="S531">
        <f>IF(OR($I531="Оплачено",$H531&lt;&gt;""),$P531,$Q531)</f>
        <v/>
      </c>
      <c r="T531">
        <f>IF(OR($C531="",$D531="Доход",$I531="Оплачено",$I531="Отменено",$H531&lt;&gt;"",$C531&lt;TODAY()),"",$C531)</f>
        <v/>
      </c>
      <c r="U531">
        <f>IF(AND($D531&lt;&gt;"Доход",COUNTIFS(Счета!$B$10:$B$21,$J531,Счета!$C$10:$C$21,"Кредитная")&gt;0),1,0)</f>
        <v/>
      </c>
    </row>
    <row r="532" ht="19" customHeight="1">
      <c r="B532" s="53">
        <f>IF(AND($C532="",$F532=""),"",ROW()-9)</f>
        <v/>
      </c>
      <c r="C532" s="213" t="n"/>
      <c r="D532" s="55" t="n"/>
      <c r="E532" s="55" t="n"/>
      <c r="F532" s="56" t="n"/>
      <c r="G532" s="196" t="n"/>
      <c r="H532" s="196" t="n"/>
      <c r="I532" s="55" t="n"/>
      <c r="J532" s="55" t="n"/>
      <c r="K532" s="55" t="n"/>
      <c r="L532" s="100">
        <f>IF(OR($C532="",$I532="Оплачено",$I532="Отменено",$H532&lt;&gt;""),"",$C532-TODAY())</f>
        <v/>
      </c>
      <c r="M532" s="101">
        <f>IF($C532="","",INDEX(Настройки!$V$6:$V$17,MONTH($C532))&amp;" "&amp;YEAR($C532))</f>
        <v/>
      </c>
      <c r="N532" s="57">
        <f>IF($F532="","",IF(COUNTIF(Постоянные!$C$8:$C$37,$F532)&gt;0,"есть в Постоянных",IF(COUNTIF(Покупки!$C$7:$C$18,$F532)&gt;0,"есть в Покупках","")))</f>
        <v/>
      </c>
      <c r="P532">
        <f>IF($H532&lt;&gt;"",$H532,IF($I532="Оплачено",N($G532),0))</f>
        <v/>
      </c>
      <c r="Q532">
        <f>IF($I532="Отменено",0,IF($G532&lt;&gt;"",$G532,N($H532)))</f>
        <v/>
      </c>
      <c r="R532">
        <f>IF($C532="","",IFERROR(DATE(Настройки!$C$8,Настройки!$D$9+MATCH($M532,Настройки!$X$6:$X$17,0)-1,1),DATE(YEAR($C532),MONTH($C532),1)))</f>
        <v/>
      </c>
      <c r="S532">
        <f>IF(OR($I532="Оплачено",$H532&lt;&gt;""),$P532,$Q532)</f>
        <v/>
      </c>
      <c r="T532">
        <f>IF(OR($C532="",$D532="Доход",$I532="Оплачено",$I532="Отменено",$H532&lt;&gt;"",$C532&lt;TODAY()),"",$C532)</f>
        <v/>
      </c>
      <c r="U532">
        <f>IF(AND($D532&lt;&gt;"Доход",COUNTIFS(Счета!$B$10:$B$21,$J532,Счета!$C$10:$C$21,"Кредитная")&gt;0),1,0)</f>
        <v/>
      </c>
    </row>
    <row r="533" ht="19" customHeight="1">
      <c r="B533" s="53">
        <f>IF(AND($C533="",$F533=""),"",ROW()-9)</f>
        <v/>
      </c>
      <c r="C533" s="213" t="n"/>
      <c r="D533" s="55" t="n"/>
      <c r="E533" s="55" t="n"/>
      <c r="F533" s="56" t="n"/>
      <c r="G533" s="196" t="n"/>
      <c r="H533" s="196" t="n"/>
      <c r="I533" s="55" t="n"/>
      <c r="J533" s="55" t="n"/>
      <c r="K533" s="55" t="n"/>
      <c r="L533" s="100">
        <f>IF(OR($C533="",$I533="Оплачено",$I533="Отменено",$H533&lt;&gt;""),"",$C533-TODAY())</f>
        <v/>
      </c>
      <c r="M533" s="101">
        <f>IF($C533="","",INDEX(Настройки!$V$6:$V$17,MONTH($C533))&amp;" "&amp;YEAR($C533))</f>
        <v/>
      </c>
      <c r="N533" s="57">
        <f>IF($F533="","",IF(COUNTIF(Постоянные!$C$8:$C$37,$F533)&gt;0,"есть в Постоянных",IF(COUNTIF(Покупки!$C$7:$C$18,$F533)&gt;0,"есть в Покупках","")))</f>
        <v/>
      </c>
      <c r="P533">
        <f>IF($H533&lt;&gt;"",$H533,IF($I533="Оплачено",N($G533),0))</f>
        <v/>
      </c>
      <c r="Q533">
        <f>IF($I533="Отменено",0,IF($G533&lt;&gt;"",$G533,N($H533)))</f>
        <v/>
      </c>
      <c r="R533">
        <f>IF($C533="","",IFERROR(DATE(Настройки!$C$8,Настройки!$D$9+MATCH($M533,Настройки!$X$6:$X$17,0)-1,1),DATE(YEAR($C533),MONTH($C533),1)))</f>
        <v/>
      </c>
      <c r="S533">
        <f>IF(OR($I533="Оплачено",$H533&lt;&gt;""),$P533,$Q533)</f>
        <v/>
      </c>
      <c r="T533">
        <f>IF(OR($C533="",$D533="Доход",$I533="Оплачено",$I533="Отменено",$H533&lt;&gt;"",$C533&lt;TODAY()),"",$C533)</f>
        <v/>
      </c>
      <c r="U533">
        <f>IF(AND($D533&lt;&gt;"Доход",COUNTIFS(Счета!$B$10:$B$21,$J533,Счета!$C$10:$C$21,"Кредитная")&gt;0),1,0)</f>
        <v/>
      </c>
    </row>
    <row r="534" ht="19" customHeight="1">
      <c r="B534" s="53">
        <f>IF(AND($C534="",$F534=""),"",ROW()-9)</f>
        <v/>
      </c>
      <c r="C534" s="213" t="n"/>
      <c r="D534" s="55" t="n"/>
      <c r="E534" s="55" t="n"/>
      <c r="F534" s="56" t="n"/>
      <c r="G534" s="196" t="n"/>
      <c r="H534" s="196" t="n"/>
      <c r="I534" s="55" t="n"/>
      <c r="J534" s="55" t="n"/>
      <c r="K534" s="55" t="n"/>
      <c r="L534" s="100">
        <f>IF(OR($C534="",$I534="Оплачено",$I534="Отменено",$H534&lt;&gt;""),"",$C534-TODAY())</f>
        <v/>
      </c>
      <c r="M534" s="101">
        <f>IF($C534="","",INDEX(Настройки!$V$6:$V$17,MONTH($C534))&amp;" "&amp;YEAR($C534))</f>
        <v/>
      </c>
      <c r="N534" s="57">
        <f>IF($F534="","",IF(COUNTIF(Постоянные!$C$8:$C$37,$F534)&gt;0,"есть в Постоянных",IF(COUNTIF(Покупки!$C$7:$C$18,$F534)&gt;0,"есть в Покупках","")))</f>
        <v/>
      </c>
      <c r="P534">
        <f>IF($H534&lt;&gt;"",$H534,IF($I534="Оплачено",N($G534),0))</f>
        <v/>
      </c>
      <c r="Q534">
        <f>IF($I534="Отменено",0,IF($G534&lt;&gt;"",$G534,N($H534)))</f>
        <v/>
      </c>
      <c r="R534">
        <f>IF($C534="","",IFERROR(DATE(Настройки!$C$8,Настройки!$D$9+MATCH($M534,Настройки!$X$6:$X$17,0)-1,1),DATE(YEAR($C534),MONTH($C534),1)))</f>
        <v/>
      </c>
      <c r="S534">
        <f>IF(OR($I534="Оплачено",$H534&lt;&gt;""),$P534,$Q534)</f>
        <v/>
      </c>
      <c r="T534">
        <f>IF(OR($C534="",$D534="Доход",$I534="Оплачено",$I534="Отменено",$H534&lt;&gt;"",$C534&lt;TODAY()),"",$C534)</f>
        <v/>
      </c>
      <c r="U534">
        <f>IF(AND($D534&lt;&gt;"Доход",COUNTIFS(Счета!$B$10:$B$21,$J534,Счета!$C$10:$C$21,"Кредитная")&gt;0),1,0)</f>
        <v/>
      </c>
    </row>
    <row r="535" ht="19" customHeight="1">
      <c r="B535" s="53">
        <f>IF(AND($C535="",$F535=""),"",ROW()-9)</f>
        <v/>
      </c>
      <c r="C535" s="213" t="n"/>
      <c r="D535" s="55" t="n"/>
      <c r="E535" s="55" t="n"/>
      <c r="F535" s="56" t="n"/>
      <c r="G535" s="196" t="n"/>
      <c r="H535" s="196" t="n"/>
      <c r="I535" s="55" t="n"/>
      <c r="J535" s="55" t="n"/>
      <c r="K535" s="55" t="n"/>
      <c r="L535" s="100">
        <f>IF(OR($C535="",$I535="Оплачено",$I535="Отменено",$H535&lt;&gt;""),"",$C535-TODAY())</f>
        <v/>
      </c>
      <c r="M535" s="101">
        <f>IF($C535="","",INDEX(Настройки!$V$6:$V$17,MONTH($C535))&amp;" "&amp;YEAR($C535))</f>
        <v/>
      </c>
      <c r="N535" s="57">
        <f>IF($F535="","",IF(COUNTIF(Постоянные!$C$8:$C$37,$F535)&gt;0,"есть в Постоянных",IF(COUNTIF(Покупки!$C$7:$C$18,$F535)&gt;0,"есть в Покупках","")))</f>
        <v/>
      </c>
      <c r="P535">
        <f>IF($H535&lt;&gt;"",$H535,IF($I535="Оплачено",N($G535),0))</f>
        <v/>
      </c>
      <c r="Q535">
        <f>IF($I535="Отменено",0,IF($G535&lt;&gt;"",$G535,N($H535)))</f>
        <v/>
      </c>
      <c r="R535">
        <f>IF($C535="","",IFERROR(DATE(Настройки!$C$8,Настройки!$D$9+MATCH($M535,Настройки!$X$6:$X$17,0)-1,1),DATE(YEAR($C535),MONTH($C535),1)))</f>
        <v/>
      </c>
      <c r="S535">
        <f>IF(OR($I535="Оплачено",$H535&lt;&gt;""),$P535,$Q535)</f>
        <v/>
      </c>
      <c r="T535">
        <f>IF(OR($C535="",$D535="Доход",$I535="Оплачено",$I535="Отменено",$H535&lt;&gt;"",$C535&lt;TODAY()),"",$C535)</f>
        <v/>
      </c>
      <c r="U535">
        <f>IF(AND($D535&lt;&gt;"Доход",COUNTIFS(Счета!$B$10:$B$21,$J535,Счета!$C$10:$C$21,"Кредитная")&gt;0),1,0)</f>
        <v/>
      </c>
    </row>
    <row r="536" ht="19" customHeight="1">
      <c r="B536" s="53">
        <f>IF(AND($C536="",$F536=""),"",ROW()-9)</f>
        <v/>
      </c>
      <c r="C536" s="213" t="n"/>
      <c r="D536" s="55" t="n"/>
      <c r="E536" s="55" t="n"/>
      <c r="F536" s="56" t="n"/>
      <c r="G536" s="196" t="n"/>
      <c r="H536" s="196" t="n"/>
      <c r="I536" s="55" t="n"/>
      <c r="J536" s="55" t="n"/>
      <c r="K536" s="55" t="n"/>
      <c r="L536" s="100">
        <f>IF(OR($C536="",$I536="Оплачено",$I536="Отменено",$H536&lt;&gt;""),"",$C536-TODAY())</f>
        <v/>
      </c>
      <c r="M536" s="101">
        <f>IF($C536="","",INDEX(Настройки!$V$6:$V$17,MONTH($C536))&amp;" "&amp;YEAR($C536))</f>
        <v/>
      </c>
      <c r="N536" s="57">
        <f>IF($F536="","",IF(COUNTIF(Постоянные!$C$8:$C$37,$F536)&gt;0,"есть в Постоянных",IF(COUNTIF(Покупки!$C$7:$C$18,$F536)&gt;0,"есть в Покупках","")))</f>
        <v/>
      </c>
      <c r="P536">
        <f>IF($H536&lt;&gt;"",$H536,IF($I536="Оплачено",N($G536),0))</f>
        <v/>
      </c>
      <c r="Q536">
        <f>IF($I536="Отменено",0,IF($G536&lt;&gt;"",$G536,N($H536)))</f>
        <v/>
      </c>
      <c r="R536">
        <f>IF($C536="","",IFERROR(DATE(Настройки!$C$8,Настройки!$D$9+MATCH($M536,Настройки!$X$6:$X$17,0)-1,1),DATE(YEAR($C536),MONTH($C536),1)))</f>
        <v/>
      </c>
      <c r="S536">
        <f>IF(OR($I536="Оплачено",$H536&lt;&gt;""),$P536,$Q536)</f>
        <v/>
      </c>
      <c r="T536">
        <f>IF(OR($C536="",$D536="Доход",$I536="Оплачено",$I536="Отменено",$H536&lt;&gt;"",$C536&lt;TODAY()),"",$C536)</f>
        <v/>
      </c>
      <c r="U536">
        <f>IF(AND($D536&lt;&gt;"Доход",COUNTIFS(Счета!$B$10:$B$21,$J536,Счета!$C$10:$C$21,"Кредитная")&gt;0),1,0)</f>
        <v/>
      </c>
    </row>
    <row r="537" ht="19" customHeight="1">
      <c r="B537" s="53">
        <f>IF(AND($C537="",$F537=""),"",ROW()-9)</f>
        <v/>
      </c>
      <c r="C537" s="213" t="n"/>
      <c r="D537" s="55" t="n"/>
      <c r="E537" s="55" t="n"/>
      <c r="F537" s="56" t="n"/>
      <c r="G537" s="196" t="n"/>
      <c r="H537" s="196" t="n"/>
      <c r="I537" s="55" t="n"/>
      <c r="J537" s="55" t="n"/>
      <c r="K537" s="55" t="n"/>
      <c r="L537" s="100">
        <f>IF(OR($C537="",$I537="Оплачено",$I537="Отменено",$H537&lt;&gt;""),"",$C537-TODAY())</f>
        <v/>
      </c>
      <c r="M537" s="101">
        <f>IF($C537="","",INDEX(Настройки!$V$6:$V$17,MONTH($C537))&amp;" "&amp;YEAR($C537))</f>
        <v/>
      </c>
      <c r="N537" s="57">
        <f>IF($F537="","",IF(COUNTIF(Постоянные!$C$8:$C$37,$F537)&gt;0,"есть в Постоянных",IF(COUNTIF(Покупки!$C$7:$C$18,$F537)&gt;0,"есть в Покупках","")))</f>
        <v/>
      </c>
      <c r="P537">
        <f>IF($H537&lt;&gt;"",$H537,IF($I537="Оплачено",N($G537),0))</f>
        <v/>
      </c>
      <c r="Q537">
        <f>IF($I537="Отменено",0,IF($G537&lt;&gt;"",$G537,N($H537)))</f>
        <v/>
      </c>
      <c r="R537">
        <f>IF($C537="","",IFERROR(DATE(Настройки!$C$8,Настройки!$D$9+MATCH($M537,Настройки!$X$6:$X$17,0)-1,1),DATE(YEAR($C537),MONTH($C537),1)))</f>
        <v/>
      </c>
      <c r="S537">
        <f>IF(OR($I537="Оплачено",$H537&lt;&gt;""),$P537,$Q537)</f>
        <v/>
      </c>
      <c r="T537">
        <f>IF(OR($C537="",$D537="Доход",$I537="Оплачено",$I537="Отменено",$H537&lt;&gt;"",$C537&lt;TODAY()),"",$C537)</f>
        <v/>
      </c>
      <c r="U537">
        <f>IF(AND($D537&lt;&gt;"Доход",COUNTIFS(Счета!$B$10:$B$21,$J537,Счета!$C$10:$C$21,"Кредитная")&gt;0),1,0)</f>
        <v/>
      </c>
    </row>
    <row r="538" ht="19" customHeight="1">
      <c r="B538" s="53">
        <f>IF(AND($C538="",$F538=""),"",ROW()-9)</f>
        <v/>
      </c>
      <c r="C538" s="213" t="n"/>
      <c r="D538" s="55" t="n"/>
      <c r="E538" s="55" t="n"/>
      <c r="F538" s="56" t="n"/>
      <c r="G538" s="196" t="n"/>
      <c r="H538" s="196" t="n"/>
      <c r="I538" s="55" t="n"/>
      <c r="J538" s="55" t="n"/>
      <c r="K538" s="55" t="n"/>
      <c r="L538" s="100">
        <f>IF(OR($C538="",$I538="Оплачено",$I538="Отменено",$H538&lt;&gt;""),"",$C538-TODAY())</f>
        <v/>
      </c>
      <c r="M538" s="101">
        <f>IF($C538="","",INDEX(Настройки!$V$6:$V$17,MONTH($C538))&amp;" "&amp;YEAR($C538))</f>
        <v/>
      </c>
      <c r="N538" s="57">
        <f>IF($F538="","",IF(COUNTIF(Постоянные!$C$8:$C$37,$F538)&gt;0,"есть в Постоянных",IF(COUNTIF(Покупки!$C$7:$C$18,$F538)&gt;0,"есть в Покупках","")))</f>
        <v/>
      </c>
      <c r="P538">
        <f>IF($H538&lt;&gt;"",$H538,IF($I538="Оплачено",N($G538),0))</f>
        <v/>
      </c>
      <c r="Q538">
        <f>IF($I538="Отменено",0,IF($G538&lt;&gt;"",$G538,N($H538)))</f>
        <v/>
      </c>
      <c r="R538">
        <f>IF($C538="","",IFERROR(DATE(Настройки!$C$8,Настройки!$D$9+MATCH($M538,Настройки!$X$6:$X$17,0)-1,1),DATE(YEAR($C538),MONTH($C538),1)))</f>
        <v/>
      </c>
      <c r="S538">
        <f>IF(OR($I538="Оплачено",$H538&lt;&gt;""),$P538,$Q538)</f>
        <v/>
      </c>
      <c r="T538">
        <f>IF(OR($C538="",$D538="Доход",$I538="Оплачено",$I538="Отменено",$H538&lt;&gt;"",$C538&lt;TODAY()),"",$C538)</f>
        <v/>
      </c>
      <c r="U538">
        <f>IF(AND($D538&lt;&gt;"Доход",COUNTIFS(Счета!$B$10:$B$21,$J538,Счета!$C$10:$C$21,"Кредитная")&gt;0),1,0)</f>
        <v/>
      </c>
    </row>
    <row r="539" ht="19" customHeight="1">
      <c r="B539" s="53">
        <f>IF(AND($C539="",$F539=""),"",ROW()-9)</f>
        <v/>
      </c>
      <c r="C539" s="213" t="n"/>
      <c r="D539" s="55" t="n"/>
      <c r="E539" s="55" t="n"/>
      <c r="F539" s="56" t="n"/>
      <c r="G539" s="196" t="n"/>
      <c r="H539" s="196" t="n"/>
      <c r="I539" s="55" t="n"/>
      <c r="J539" s="55" t="n"/>
      <c r="K539" s="55" t="n"/>
      <c r="L539" s="100">
        <f>IF(OR($C539="",$I539="Оплачено",$I539="Отменено",$H539&lt;&gt;""),"",$C539-TODAY())</f>
        <v/>
      </c>
      <c r="M539" s="101">
        <f>IF($C539="","",INDEX(Настройки!$V$6:$V$17,MONTH($C539))&amp;" "&amp;YEAR($C539))</f>
        <v/>
      </c>
      <c r="N539" s="57">
        <f>IF($F539="","",IF(COUNTIF(Постоянные!$C$8:$C$37,$F539)&gt;0,"есть в Постоянных",IF(COUNTIF(Покупки!$C$7:$C$18,$F539)&gt;0,"есть в Покупках","")))</f>
        <v/>
      </c>
      <c r="P539">
        <f>IF($H539&lt;&gt;"",$H539,IF($I539="Оплачено",N($G539),0))</f>
        <v/>
      </c>
      <c r="Q539">
        <f>IF($I539="Отменено",0,IF($G539&lt;&gt;"",$G539,N($H539)))</f>
        <v/>
      </c>
      <c r="R539">
        <f>IF($C539="","",IFERROR(DATE(Настройки!$C$8,Настройки!$D$9+MATCH($M539,Настройки!$X$6:$X$17,0)-1,1),DATE(YEAR($C539),MONTH($C539),1)))</f>
        <v/>
      </c>
      <c r="S539">
        <f>IF(OR($I539="Оплачено",$H539&lt;&gt;""),$P539,$Q539)</f>
        <v/>
      </c>
      <c r="T539">
        <f>IF(OR($C539="",$D539="Доход",$I539="Оплачено",$I539="Отменено",$H539&lt;&gt;"",$C539&lt;TODAY()),"",$C539)</f>
        <v/>
      </c>
      <c r="U539">
        <f>IF(AND($D539&lt;&gt;"Доход",COUNTIFS(Счета!$B$10:$B$21,$J539,Счета!$C$10:$C$21,"Кредитная")&gt;0),1,0)</f>
        <v/>
      </c>
    </row>
    <row r="540" ht="19" customHeight="1">
      <c r="B540" s="53">
        <f>IF(AND($C540="",$F540=""),"",ROW()-9)</f>
        <v/>
      </c>
      <c r="C540" s="213" t="n"/>
      <c r="D540" s="55" t="n"/>
      <c r="E540" s="55" t="n"/>
      <c r="F540" s="56" t="n"/>
      <c r="G540" s="196" t="n"/>
      <c r="H540" s="196" t="n"/>
      <c r="I540" s="55" t="n"/>
      <c r="J540" s="55" t="n"/>
      <c r="K540" s="55" t="n"/>
      <c r="L540" s="100">
        <f>IF(OR($C540="",$I540="Оплачено",$I540="Отменено",$H540&lt;&gt;""),"",$C540-TODAY())</f>
        <v/>
      </c>
      <c r="M540" s="101">
        <f>IF($C540="","",INDEX(Настройки!$V$6:$V$17,MONTH($C540))&amp;" "&amp;YEAR($C540))</f>
        <v/>
      </c>
      <c r="N540" s="57">
        <f>IF($F540="","",IF(COUNTIF(Постоянные!$C$8:$C$37,$F540)&gt;0,"есть в Постоянных",IF(COUNTIF(Покупки!$C$7:$C$18,$F540)&gt;0,"есть в Покупках","")))</f>
        <v/>
      </c>
      <c r="P540">
        <f>IF($H540&lt;&gt;"",$H540,IF($I540="Оплачено",N($G540),0))</f>
        <v/>
      </c>
      <c r="Q540">
        <f>IF($I540="Отменено",0,IF($G540&lt;&gt;"",$G540,N($H540)))</f>
        <v/>
      </c>
      <c r="R540">
        <f>IF($C540="","",IFERROR(DATE(Настройки!$C$8,Настройки!$D$9+MATCH($M540,Настройки!$X$6:$X$17,0)-1,1),DATE(YEAR($C540),MONTH($C540),1)))</f>
        <v/>
      </c>
      <c r="S540">
        <f>IF(OR($I540="Оплачено",$H540&lt;&gt;""),$P540,$Q540)</f>
        <v/>
      </c>
      <c r="T540">
        <f>IF(OR($C540="",$D540="Доход",$I540="Оплачено",$I540="Отменено",$H540&lt;&gt;"",$C540&lt;TODAY()),"",$C540)</f>
        <v/>
      </c>
      <c r="U540">
        <f>IF(AND($D540&lt;&gt;"Доход",COUNTIFS(Счета!$B$10:$B$21,$J540,Счета!$C$10:$C$21,"Кредитная")&gt;0),1,0)</f>
        <v/>
      </c>
    </row>
    <row r="541" ht="19" customHeight="1">
      <c r="B541" s="53">
        <f>IF(AND($C541="",$F541=""),"",ROW()-9)</f>
        <v/>
      </c>
      <c r="C541" s="213" t="n"/>
      <c r="D541" s="55" t="n"/>
      <c r="E541" s="55" t="n"/>
      <c r="F541" s="56" t="n"/>
      <c r="G541" s="196" t="n"/>
      <c r="H541" s="196" t="n"/>
      <c r="I541" s="55" t="n"/>
      <c r="J541" s="55" t="n"/>
      <c r="K541" s="55" t="n"/>
      <c r="L541" s="100">
        <f>IF(OR($C541="",$I541="Оплачено",$I541="Отменено",$H541&lt;&gt;""),"",$C541-TODAY())</f>
        <v/>
      </c>
      <c r="M541" s="101">
        <f>IF($C541="","",INDEX(Настройки!$V$6:$V$17,MONTH($C541))&amp;" "&amp;YEAR($C541))</f>
        <v/>
      </c>
      <c r="N541" s="57">
        <f>IF($F541="","",IF(COUNTIF(Постоянные!$C$8:$C$37,$F541)&gt;0,"есть в Постоянных",IF(COUNTIF(Покупки!$C$7:$C$18,$F541)&gt;0,"есть в Покупках","")))</f>
        <v/>
      </c>
      <c r="P541">
        <f>IF($H541&lt;&gt;"",$H541,IF($I541="Оплачено",N($G541),0))</f>
        <v/>
      </c>
      <c r="Q541">
        <f>IF($I541="Отменено",0,IF($G541&lt;&gt;"",$G541,N($H541)))</f>
        <v/>
      </c>
      <c r="R541">
        <f>IF($C541="","",IFERROR(DATE(Настройки!$C$8,Настройки!$D$9+MATCH($M541,Настройки!$X$6:$X$17,0)-1,1),DATE(YEAR($C541),MONTH($C541),1)))</f>
        <v/>
      </c>
      <c r="S541">
        <f>IF(OR($I541="Оплачено",$H541&lt;&gt;""),$P541,$Q541)</f>
        <v/>
      </c>
      <c r="T541">
        <f>IF(OR($C541="",$D541="Доход",$I541="Оплачено",$I541="Отменено",$H541&lt;&gt;"",$C541&lt;TODAY()),"",$C541)</f>
        <v/>
      </c>
      <c r="U541">
        <f>IF(AND($D541&lt;&gt;"Доход",COUNTIFS(Счета!$B$10:$B$21,$J541,Счета!$C$10:$C$21,"Кредитная")&gt;0),1,0)</f>
        <v/>
      </c>
    </row>
    <row r="542" ht="19" customHeight="1">
      <c r="B542" s="53">
        <f>IF(AND($C542="",$F542=""),"",ROW()-9)</f>
        <v/>
      </c>
      <c r="C542" s="213" t="n"/>
      <c r="D542" s="55" t="n"/>
      <c r="E542" s="55" t="n"/>
      <c r="F542" s="56" t="n"/>
      <c r="G542" s="196" t="n"/>
      <c r="H542" s="196" t="n"/>
      <c r="I542" s="55" t="n"/>
      <c r="J542" s="55" t="n"/>
      <c r="K542" s="55" t="n"/>
      <c r="L542" s="100">
        <f>IF(OR($C542="",$I542="Оплачено",$I542="Отменено",$H542&lt;&gt;""),"",$C542-TODAY())</f>
        <v/>
      </c>
      <c r="M542" s="101">
        <f>IF($C542="","",INDEX(Настройки!$V$6:$V$17,MONTH($C542))&amp;" "&amp;YEAR($C542))</f>
        <v/>
      </c>
      <c r="N542" s="57">
        <f>IF($F542="","",IF(COUNTIF(Постоянные!$C$8:$C$37,$F542)&gt;0,"есть в Постоянных",IF(COUNTIF(Покупки!$C$7:$C$18,$F542)&gt;0,"есть в Покупках","")))</f>
        <v/>
      </c>
      <c r="P542">
        <f>IF($H542&lt;&gt;"",$H542,IF($I542="Оплачено",N($G542),0))</f>
        <v/>
      </c>
      <c r="Q542">
        <f>IF($I542="Отменено",0,IF($G542&lt;&gt;"",$G542,N($H542)))</f>
        <v/>
      </c>
      <c r="R542">
        <f>IF($C542="","",IFERROR(DATE(Настройки!$C$8,Настройки!$D$9+MATCH($M542,Настройки!$X$6:$X$17,0)-1,1),DATE(YEAR($C542),MONTH($C542),1)))</f>
        <v/>
      </c>
      <c r="S542">
        <f>IF(OR($I542="Оплачено",$H542&lt;&gt;""),$P542,$Q542)</f>
        <v/>
      </c>
      <c r="T542">
        <f>IF(OR($C542="",$D542="Доход",$I542="Оплачено",$I542="Отменено",$H542&lt;&gt;"",$C542&lt;TODAY()),"",$C542)</f>
        <v/>
      </c>
      <c r="U542">
        <f>IF(AND($D542&lt;&gt;"Доход",COUNTIFS(Счета!$B$10:$B$21,$J542,Счета!$C$10:$C$21,"Кредитная")&gt;0),1,0)</f>
        <v/>
      </c>
    </row>
    <row r="543" ht="19" customHeight="1">
      <c r="B543" s="53">
        <f>IF(AND($C543="",$F543=""),"",ROW()-9)</f>
        <v/>
      </c>
      <c r="C543" s="213" t="n"/>
      <c r="D543" s="55" t="n"/>
      <c r="E543" s="55" t="n"/>
      <c r="F543" s="56" t="n"/>
      <c r="G543" s="196" t="n"/>
      <c r="H543" s="196" t="n"/>
      <c r="I543" s="55" t="n"/>
      <c r="J543" s="55" t="n"/>
      <c r="K543" s="55" t="n"/>
      <c r="L543" s="100">
        <f>IF(OR($C543="",$I543="Оплачено",$I543="Отменено",$H543&lt;&gt;""),"",$C543-TODAY())</f>
        <v/>
      </c>
      <c r="M543" s="101">
        <f>IF($C543="","",INDEX(Настройки!$V$6:$V$17,MONTH($C543))&amp;" "&amp;YEAR($C543))</f>
        <v/>
      </c>
      <c r="N543" s="57">
        <f>IF($F543="","",IF(COUNTIF(Постоянные!$C$8:$C$37,$F543)&gt;0,"есть в Постоянных",IF(COUNTIF(Покупки!$C$7:$C$18,$F543)&gt;0,"есть в Покупках","")))</f>
        <v/>
      </c>
      <c r="P543">
        <f>IF($H543&lt;&gt;"",$H543,IF($I543="Оплачено",N($G543),0))</f>
        <v/>
      </c>
      <c r="Q543">
        <f>IF($I543="Отменено",0,IF($G543&lt;&gt;"",$G543,N($H543)))</f>
        <v/>
      </c>
      <c r="R543">
        <f>IF($C543="","",IFERROR(DATE(Настройки!$C$8,Настройки!$D$9+MATCH($M543,Настройки!$X$6:$X$17,0)-1,1),DATE(YEAR($C543),MONTH($C543),1)))</f>
        <v/>
      </c>
      <c r="S543">
        <f>IF(OR($I543="Оплачено",$H543&lt;&gt;""),$P543,$Q543)</f>
        <v/>
      </c>
      <c r="T543">
        <f>IF(OR($C543="",$D543="Доход",$I543="Оплачено",$I543="Отменено",$H543&lt;&gt;"",$C543&lt;TODAY()),"",$C543)</f>
        <v/>
      </c>
      <c r="U543">
        <f>IF(AND($D543&lt;&gt;"Доход",COUNTIFS(Счета!$B$10:$B$21,$J543,Счета!$C$10:$C$21,"Кредитная")&gt;0),1,0)</f>
        <v/>
      </c>
    </row>
    <row r="544" ht="19" customHeight="1">
      <c r="B544" s="53">
        <f>IF(AND($C544="",$F544=""),"",ROW()-9)</f>
        <v/>
      </c>
      <c r="C544" s="213" t="n"/>
      <c r="D544" s="55" t="n"/>
      <c r="E544" s="55" t="n"/>
      <c r="F544" s="56" t="n"/>
      <c r="G544" s="196" t="n"/>
      <c r="H544" s="196" t="n"/>
      <c r="I544" s="55" t="n"/>
      <c r="J544" s="55" t="n"/>
      <c r="K544" s="55" t="n"/>
      <c r="L544" s="100">
        <f>IF(OR($C544="",$I544="Оплачено",$I544="Отменено",$H544&lt;&gt;""),"",$C544-TODAY())</f>
        <v/>
      </c>
      <c r="M544" s="101">
        <f>IF($C544="","",INDEX(Настройки!$V$6:$V$17,MONTH($C544))&amp;" "&amp;YEAR($C544))</f>
        <v/>
      </c>
      <c r="N544" s="57">
        <f>IF($F544="","",IF(COUNTIF(Постоянные!$C$8:$C$37,$F544)&gt;0,"есть в Постоянных",IF(COUNTIF(Покупки!$C$7:$C$18,$F544)&gt;0,"есть в Покупках","")))</f>
        <v/>
      </c>
      <c r="P544">
        <f>IF($H544&lt;&gt;"",$H544,IF($I544="Оплачено",N($G544),0))</f>
        <v/>
      </c>
      <c r="Q544">
        <f>IF($I544="Отменено",0,IF($G544&lt;&gt;"",$G544,N($H544)))</f>
        <v/>
      </c>
      <c r="R544">
        <f>IF($C544="","",IFERROR(DATE(Настройки!$C$8,Настройки!$D$9+MATCH($M544,Настройки!$X$6:$X$17,0)-1,1),DATE(YEAR($C544),MONTH($C544),1)))</f>
        <v/>
      </c>
      <c r="S544">
        <f>IF(OR($I544="Оплачено",$H544&lt;&gt;""),$P544,$Q544)</f>
        <v/>
      </c>
      <c r="T544">
        <f>IF(OR($C544="",$D544="Доход",$I544="Оплачено",$I544="Отменено",$H544&lt;&gt;"",$C544&lt;TODAY()),"",$C544)</f>
        <v/>
      </c>
      <c r="U544">
        <f>IF(AND($D544&lt;&gt;"Доход",COUNTIFS(Счета!$B$10:$B$21,$J544,Счета!$C$10:$C$21,"Кредитная")&gt;0),1,0)</f>
        <v/>
      </c>
    </row>
    <row r="545" ht="19" customHeight="1">
      <c r="B545" s="53">
        <f>IF(AND($C545="",$F545=""),"",ROW()-9)</f>
        <v/>
      </c>
      <c r="C545" s="213" t="n"/>
      <c r="D545" s="55" t="n"/>
      <c r="E545" s="55" t="n"/>
      <c r="F545" s="56" t="n"/>
      <c r="G545" s="196" t="n"/>
      <c r="H545" s="196" t="n"/>
      <c r="I545" s="55" t="n"/>
      <c r="J545" s="55" t="n"/>
      <c r="K545" s="55" t="n"/>
      <c r="L545" s="100">
        <f>IF(OR($C545="",$I545="Оплачено",$I545="Отменено",$H545&lt;&gt;""),"",$C545-TODAY())</f>
        <v/>
      </c>
      <c r="M545" s="101">
        <f>IF($C545="","",INDEX(Настройки!$V$6:$V$17,MONTH($C545))&amp;" "&amp;YEAR($C545))</f>
        <v/>
      </c>
      <c r="N545" s="57">
        <f>IF($F545="","",IF(COUNTIF(Постоянные!$C$8:$C$37,$F545)&gt;0,"есть в Постоянных",IF(COUNTIF(Покупки!$C$7:$C$18,$F545)&gt;0,"есть в Покупках","")))</f>
        <v/>
      </c>
      <c r="P545">
        <f>IF($H545&lt;&gt;"",$H545,IF($I545="Оплачено",N($G545),0))</f>
        <v/>
      </c>
      <c r="Q545">
        <f>IF($I545="Отменено",0,IF($G545&lt;&gt;"",$G545,N($H545)))</f>
        <v/>
      </c>
      <c r="R545">
        <f>IF($C545="","",IFERROR(DATE(Настройки!$C$8,Настройки!$D$9+MATCH($M545,Настройки!$X$6:$X$17,0)-1,1),DATE(YEAR($C545),MONTH($C545),1)))</f>
        <v/>
      </c>
      <c r="S545">
        <f>IF(OR($I545="Оплачено",$H545&lt;&gt;""),$P545,$Q545)</f>
        <v/>
      </c>
      <c r="T545">
        <f>IF(OR($C545="",$D545="Доход",$I545="Оплачено",$I545="Отменено",$H545&lt;&gt;"",$C545&lt;TODAY()),"",$C545)</f>
        <v/>
      </c>
      <c r="U545">
        <f>IF(AND($D545&lt;&gt;"Доход",COUNTIFS(Счета!$B$10:$B$21,$J545,Счета!$C$10:$C$21,"Кредитная")&gt;0),1,0)</f>
        <v/>
      </c>
    </row>
    <row r="546" ht="19" customHeight="1">
      <c r="B546" s="53">
        <f>IF(AND($C546="",$F546=""),"",ROW()-9)</f>
        <v/>
      </c>
      <c r="C546" s="213" t="n"/>
      <c r="D546" s="55" t="n"/>
      <c r="E546" s="55" t="n"/>
      <c r="F546" s="56" t="n"/>
      <c r="G546" s="196" t="n"/>
      <c r="H546" s="196" t="n"/>
      <c r="I546" s="55" t="n"/>
      <c r="J546" s="55" t="n"/>
      <c r="K546" s="55" t="n"/>
      <c r="L546" s="100">
        <f>IF(OR($C546="",$I546="Оплачено",$I546="Отменено",$H546&lt;&gt;""),"",$C546-TODAY())</f>
        <v/>
      </c>
      <c r="M546" s="101">
        <f>IF($C546="","",INDEX(Настройки!$V$6:$V$17,MONTH($C546))&amp;" "&amp;YEAR($C546))</f>
        <v/>
      </c>
      <c r="N546" s="57">
        <f>IF($F546="","",IF(COUNTIF(Постоянные!$C$8:$C$37,$F546)&gt;0,"есть в Постоянных",IF(COUNTIF(Покупки!$C$7:$C$18,$F546)&gt;0,"есть в Покупках","")))</f>
        <v/>
      </c>
      <c r="P546">
        <f>IF($H546&lt;&gt;"",$H546,IF($I546="Оплачено",N($G546),0))</f>
        <v/>
      </c>
      <c r="Q546">
        <f>IF($I546="Отменено",0,IF($G546&lt;&gt;"",$G546,N($H546)))</f>
        <v/>
      </c>
      <c r="R546">
        <f>IF($C546="","",IFERROR(DATE(Настройки!$C$8,Настройки!$D$9+MATCH($M546,Настройки!$X$6:$X$17,0)-1,1),DATE(YEAR($C546),MONTH($C546),1)))</f>
        <v/>
      </c>
      <c r="S546">
        <f>IF(OR($I546="Оплачено",$H546&lt;&gt;""),$P546,$Q546)</f>
        <v/>
      </c>
      <c r="T546">
        <f>IF(OR($C546="",$D546="Доход",$I546="Оплачено",$I546="Отменено",$H546&lt;&gt;"",$C546&lt;TODAY()),"",$C546)</f>
        <v/>
      </c>
      <c r="U546">
        <f>IF(AND($D546&lt;&gt;"Доход",COUNTIFS(Счета!$B$10:$B$21,$J546,Счета!$C$10:$C$21,"Кредитная")&gt;0),1,0)</f>
        <v/>
      </c>
    </row>
    <row r="547" ht="19" customHeight="1">
      <c r="B547" s="53">
        <f>IF(AND($C547="",$F547=""),"",ROW()-9)</f>
        <v/>
      </c>
      <c r="C547" s="213" t="n"/>
      <c r="D547" s="55" t="n"/>
      <c r="E547" s="55" t="n"/>
      <c r="F547" s="56" t="n"/>
      <c r="G547" s="196" t="n"/>
      <c r="H547" s="196" t="n"/>
      <c r="I547" s="55" t="n"/>
      <c r="J547" s="55" t="n"/>
      <c r="K547" s="55" t="n"/>
      <c r="L547" s="100">
        <f>IF(OR($C547="",$I547="Оплачено",$I547="Отменено",$H547&lt;&gt;""),"",$C547-TODAY())</f>
        <v/>
      </c>
      <c r="M547" s="101">
        <f>IF($C547="","",INDEX(Настройки!$V$6:$V$17,MONTH($C547))&amp;" "&amp;YEAR($C547))</f>
        <v/>
      </c>
      <c r="N547" s="57">
        <f>IF($F547="","",IF(COUNTIF(Постоянные!$C$8:$C$37,$F547)&gt;0,"есть в Постоянных",IF(COUNTIF(Покупки!$C$7:$C$18,$F547)&gt;0,"есть в Покупках","")))</f>
        <v/>
      </c>
      <c r="P547">
        <f>IF($H547&lt;&gt;"",$H547,IF($I547="Оплачено",N($G547),0))</f>
        <v/>
      </c>
      <c r="Q547">
        <f>IF($I547="Отменено",0,IF($G547&lt;&gt;"",$G547,N($H547)))</f>
        <v/>
      </c>
      <c r="R547">
        <f>IF($C547="","",IFERROR(DATE(Настройки!$C$8,Настройки!$D$9+MATCH($M547,Настройки!$X$6:$X$17,0)-1,1),DATE(YEAR($C547),MONTH($C547),1)))</f>
        <v/>
      </c>
      <c r="S547">
        <f>IF(OR($I547="Оплачено",$H547&lt;&gt;""),$P547,$Q547)</f>
        <v/>
      </c>
      <c r="T547">
        <f>IF(OR($C547="",$D547="Доход",$I547="Оплачено",$I547="Отменено",$H547&lt;&gt;"",$C547&lt;TODAY()),"",$C547)</f>
        <v/>
      </c>
      <c r="U547">
        <f>IF(AND($D547&lt;&gt;"Доход",COUNTIFS(Счета!$B$10:$B$21,$J547,Счета!$C$10:$C$21,"Кредитная")&gt;0),1,0)</f>
        <v/>
      </c>
    </row>
    <row r="548" ht="19" customHeight="1">
      <c r="B548" s="53">
        <f>IF(AND($C548="",$F548=""),"",ROW()-9)</f>
        <v/>
      </c>
      <c r="C548" s="213" t="n"/>
      <c r="D548" s="55" t="n"/>
      <c r="E548" s="55" t="n"/>
      <c r="F548" s="56" t="n"/>
      <c r="G548" s="196" t="n"/>
      <c r="H548" s="196" t="n"/>
      <c r="I548" s="55" t="n"/>
      <c r="J548" s="55" t="n"/>
      <c r="K548" s="55" t="n"/>
      <c r="L548" s="100">
        <f>IF(OR($C548="",$I548="Оплачено",$I548="Отменено",$H548&lt;&gt;""),"",$C548-TODAY())</f>
        <v/>
      </c>
      <c r="M548" s="101">
        <f>IF($C548="","",INDEX(Настройки!$V$6:$V$17,MONTH($C548))&amp;" "&amp;YEAR($C548))</f>
        <v/>
      </c>
      <c r="N548" s="57">
        <f>IF($F548="","",IF(COUNTIF(Постоянные!$C$8:$C$37,$F548)&gt;0,"есть в Постоянных",IF(COUNTIF(Покупки!$C$7:$C$18,$F548)&gt;0,"есть в Покупках","")))</f>
        <v/>
      </c>
      <c r="P548">
        <f>IF($H548&lt;&gt;"",$H548,IF($I548="Оплачено",N($G548),0))</f>
        <v/>
      </c>
      <c r="Q548">
        <f>IF($I548="Отменено",0,IF($G548&lt;&gt;"",$G548,N($H548)))</f>
        <v/>
      </c>
      <c r="R548">
        <f>IF($C548="","",IFERROR(DATE(Настройки!$C$8,Настройки!$D$9+MATCH($M548,Настройки!$X$6:$X$17,0)-1,1),DATE(YEAR($C548),MONTH($C548),1)))</f>
        <v/>
      </c>
      <c r="S548">
        <f>IF(OR($I548="Оплачено",$H548&lt;&gt;""),$P548,$Q548)</f>
        <v/>
      </c>
      <c r="T548">
        <f>IF(OR($C548="",$D548="Доход",$I548="Оплачено",$I548="Отменено",$H548&lt;&gt;"",$C548&lt;TODAY()),"",$C548)</f>
        <v/>
      </c>
      <c r="U548">
        <f>IF(AND($D548&lt;&gt;"Доход",COUNTIFS(Счета!$B$10:$B$21,$J548,Счета!$C$10:$C$21,"Кредитная")&gt;0),1,0)</f>
        <v/>
      </c>
    </row>
    <row r="549" ht="19" customHeight="1">
      <c r="B549" s="53">
        <f>IF(AND($C549="",$F549=""),"",ROW()-9)</f>
        <v/>
      </c>
      <c r="C549" s="213" t="n"/>
      <c r="D549" s="55" t="n"/>
      <c r="E549" s="55" t="n"/>
      <c r="F549" s="56" t="n"/>
      <c r="G549" s="196" t="n"/>
      <c r="H549" s="196" t="n"/>
      <c r="I549" s="55" t="n"/>
      <c r="J549" s="55" t="n"/>
      <c r="K549" s="55" t="n"/>
      <c r="L549" s="100">
        <f>IF(OR($C549="",$I549="Оплачено",$I549="Отменено",$H549&lt;&gt;""),"",$C549-TODAY())</f>
        <v/>
      </c>
      <c r="M549" s="101">
        <f>IF($C549="","",INDEX(Настройки!$V$6:$V$17,MONTH($C549))&amp;" "&amp;YEAR($C549))</f>
        <v/>
      </c>
      <c r="N549" s="57">
        <f>IF($F549="","",IF(COUNTIF(Постоянные!$C$8:$C$37,$F549)&gt;0,"есть в Постоянных",IF(COUNTIF(Покупки!$C$7:$C$18,$F549)&gt;0,"есть в Покупках","")))</f>
        <v/>
      </c>
      <c r="P549">
        <f>IF($H549&lt;&gt;"",$H549,IF($I549="Оплачено",N($G549),0))</f>
        <v/>
      </c>
      <c r="Q549">
        <f>IF($I549="Отменено",0,IF($G549&lt;&gt;"",$G549,N($H549)))</f>
        <v/>
      </c>
      <c r="R549">
        <f>IF($C549="","",IFERROR(DATE(Настройки!$C$8,Настройки!$D$9+MATCH($M549,Настройки!$X$6:$X$17,0)-1,1),DATE(YEAR($C549),MONTH($C549),1)))</f>
        <v/>
      </c>
      <c r="S549">
        <f>IF(OR($I549="Оплачено",$H549&lt;&gt;""),$P549,$Q549)</f>
        <v/>
      </c>
      <c r="T549">
        <f>IF(OR($C549="",$D549="Доход",$I549="Оплачено",$I549="Отменено",$H549&lt;&gt;"",$C549&lt;TODAY()),"",$C549)</f>
        <v/>
      </c>
      <c r="U549">
        <f>IF(AND($D549&lt;&gt;"Доход",COUNTIFS(Счета!$B$10:$B$21,$J549,Счета!$C$10:$C$21,"Кредитная")&gt;0),1,0)</f>
        <v/>
      </c>
    </row>
    <row r="550" ht="19" customHeight="1">
      <c r="B550" s="53">
        <f>IF(AND($C550="",$F550=""),"",ROW()-9)</f>
        <v/>
      </c>
      <c r="C550" s="213" t="n"/>
      <c r="D550" s="55" t="n"/>
      <c r="E550" s="55" t="n"/>
      <c r="F550" s="56" t="n"/>
      <c r="G550" s="196" t="n"/>
      <c r="H550" s="196" t="n"/>
      <c r="I550" s="55" t="n"/>
      <c r="J550" s="55" t="n"/>
      <c r="K550" s="55" t="n"/>
      <c r="L550" s="100">
        <f>IF(OR($C550="",$I550="Оплачено",$I550="Отменено",$H550&lt;&gt;""),"",$C550-TODAY())</f>
        <v/>
      </c>
      <c r="M550" s="101">
        <f>IF($C550="","",INDEX(Настройки!$V$6:$V$17,MONTH($C550))&amp;" "&amp;YEAR($C550))</f>
        <v/>
      </c>
      <c r="N550" s="57">
        <f>IF($F550="","",IF(COUNTIF(Постоянные!$C$8:$C$37,$F550)&gt;0,"есть в Постоянных",IF(COUNTIF(Покупки!$C$7:$C$18,$F550)&gt;0,"есть в Покупках","")))</f>
        <v/>
      </c>
      <c r="P550">
        <f>IF($H550&lt;&gt;"",$H550,IF($I550="Оплачено",N($G550),0))</f>
        <v/>
      </c>
      <c r="Q550">
        <f>IF($I550="Отменено",0,IF($G550&lt;&gt;"",$G550,N($H550)))</f>
        <v/>
      </c>
      <c r="R550">
        <f>IF($C550="","",IFERROR(DATE(Настройки!$C$8,Настройки!$D$9+MATCH($M550,Настройки!$X$6:$X$17,0)-1,1),DATE(YEAR($C550),MONTH($C550),1)))</f>
        <v/>
      </c>
      <c r="S550">
        <f>IF(OR($I550="Оплачено",$H550&lt;&gt;""),$P550,$Q550)</f>
        <v/>
      </c>
      <c r="T550">
        <f>IF(OR($C550="",$D550="Доход",$I550="Оплачено",$I550="Отменено",$H550&lt;&gt;"",$C550&lt;TODAY()),"",$C550)</f>
        <v/>
      </c>
      <c r="U550">
        <f>IF(AND($D550&lt;&gt;"Доход",COUNTIFS(Счета!$B$10:$B$21,$J550,Счета!$C$10:$C$21,"Кредитная")&gt;0),1,0)</f>
        <v/>
      </c>
    </row>
    <row r="551" ht="19" customHeight="1">
      <c r="B551" s="53">
        <f>IF(AND($C551="",$F551=""),"",ROW()-9)</f>
        <v/>
      </c>
      <c r="C551" s="213" t="n"/>
      <c r="D551" s="55" t="n"/>
      <c r="E551" s="55" t="n"/>
      <c r="F551" s="56" t="n"/>
      <c r="G551" s="196" t="n"/>
      <c r="H551" s="196" t="n"/>
      <c r="I551" s="55" t="n"/>
      <c r="J551" s="55" t="n"/>
      <c r="K551" s="55" t="n"/>
      <c r="L551" s="100">
        <f>IF(OR($C551="",$I551="Оплачено",$I551="Отменено",$H551&lt;&gt;""),"",$C551-TODAY())</f>
        <v/>
      </c>
      <c r="M551" s="101">
        <f>IF($C551="","",INDEX(Настройки!$V$6:$V$17,MONTH($C551))&amp;" "&amp;YEAR($C551))</f>
        <v/>
      </c>
      <c r="N551" s="57">
        <f>IF($F551="","",IF(COUNTIF(Постоянные!$C$8:$C$37,$F551)&gt;0,"есть в Постоянных",IF(COUNTIF(Покупки!$C$7:$C$18,$F551)&gt;0,"есть в Покупках","")))</f>
        <v/>
      </c>
      <c r="P551">
        <f>IF($H551&lt;&gt;"",$H551,IF($I551="Оплачено",N($G551),0))</f>
        <v/>
      </c>
      <c r="Q551">
        <f>IF($I551="Отменено",0,IF($G551&lt;&gt;"",$G551,N($H551)))</f>
        <v/>
      </c>
      <c r="R551">
        <f>IF($C551="","",IFERROR(DATE(Настройки!$C$8,Настройки!$D$9+MATCH($M551,Настройки!$X$6:$X$17,0)-1,1),DATE(YEAR($C551),MONTH($C551),1)))</f>
        <v/>
      </c>
      <c r="S551">
        <f>IF(OR($I551="Оплачено",$H551&lt;&gt;""),$P551,$Q551)</f>
        <v/>
      </c>
      <c r="T551">
        <f>IF(OR($C551="",$D551="Доход",$I551="Оплачено",$I551="Отменено",$H551&lt;&gt;"",$C551&lt;TODAY()),"",$C551)</f>
        <v/>
      </c>
      <c r="U551">
        <f>IF(AND($D551&lt;&gt;"Доход",COUNTIFS(Счета!$B$10:$B$21,$J551,Счета!$C$10:$C$21,"Кредитная")&gt;0),1,0)</f>
        <v/>
      </c>
    </row>
    <row r="552" ht="19" customHeight="1">
      <c r="B552" s="53">
        <f>IF(AND($C552="",$F552=""),"",ROW()-9)</f>
        <v/>
      </c>
      <c r="C552" s="213" t="n"/>
      <c r="D552" s="55" t="n"/>
      <c r="E552" s="55" t="n"/>
      <c r="F552" s="56" t="n"/>
      <c r="G552" s="196" t="n"/>
      <c r="H552" s="196" t="n"/>
      <c r="I552" s="55" t="n"/>
      <c r="J552" s="55" t="n"/>
      <c r="K552" s="55" t="n"/>
      <c r="L552" s="100">
        <f>IF(OR($C552="",$I552="Оплачено",$I552="Отменено",$H552&lt;&gt;""),"",$C552-TODAY())</f>
        <v/>
      </c>
      <c r="M552" s="101">
        <f>IF($C552="","",INDEX(Настройки!$V$6:$V$17,MONTH($C552))&amp;" "&amp;YEAR($C552))</f>
        <v/>
      </c>
      <c r="N552" s="57">
        <f>IF($F552="","",IF(COUNTIF(Постоянные!$C$8:$C$37,$F552)&gt;0,"есть в Постоянных",IF(COUNTIF(Покупки!$C$7:$C$18,$F552)&gt;0,"есть в Покупках","")))</f>
        <v/>
      </c>
      <c r="P552">
        <f>IF($H552&lt;&gt;"",$H552,IF($I552="Оплачено",N($G552),0))</f>
        <v/>
      </c>
      <c r="Q552">
        <f>IF($I552="Отменено",0,IF($G552&lt;&gt;"",$G552,N($H552)))</f>
        <v/>
      </c>
      <c r="R552">
        <f>IF($C552="","",IFERROR(DATE(Настройки!$C$8,Настройки!$D$9+MATCH($M552,Настройки!$X$6:$X$17,0)-1,1),DATE(YEAR($C552),MONTH($C552),1)))</f>
        <v/>
      </c>
      <c r="S552">
        <f>IF(OR($I552="Оплачено",$H552&lt;&gt;""),$P552,$Q552)</f>
        <v/>
      </c>
      <c r="T552">
        <f>IF(OR($C552="",$D552="Доход",$I552="Оплачено",$I552="Отменено",$H552&lt;&gt;"",$C552&lt;TODAY()),"",$C552)</f>
        <v/>
      </c>
      <c r="U552">
        <f>IF(AND($D552&lt;&gt;"Доход",COUNTIFS(Счета!$B$10:$B$21,$J552,Счета!$C$10:$C$21,"Кредитная")&gt;0),1,0)</f>
        <v/>
      </c>
    </row>
    <row r="553" ht="19" customHeight="1">
      <c r="B553" s="53">
        <f>IF(AND($C553="",$F553=""),"",ROW()-9)</f>
        <v/>
      </c>
      <c r="C553" s="213" t="n"/>
      <c r="D553" s="55" t="n"/>
      <c r="E553" s="55" t="n"/>
      <c r="F553" s="56" t="n"/>
      <c r="G553" s="196" t="n"/>
      <c r="H553" s="196" t="n"/>
      <c r="I553" s="55" t="n"/>
      <c r="J553" s="55" t="n"/>
      <c r="K553" s="55" t="n"/>
      <c r="L553" s="100">
        <f>IF(OR($C553="",$I553="Оплачено",$I553="Отменено",$H553&lt;&gt;""),"",$C553-TODAY())</f>
        <v/>
      </c>
      <c r="M553" s="101">
        <f>IF($C553="","",INDEX(Настройки!$V$6:$V$17,MONTH($C553))&amp;" "&amp;YEAR($C553))</f>
        <v/>
      </c>
      <c r="N553" s="57">
        <f>IF($F553="","",IF(COUNTIF(Постоянные!$C$8:$C$37,$F553)&gt;0,"есть в Постоянных",IF(COUNTIF(Покупки!$C$7:$C$18,$F553)&gt;0,"есть в Покупках","")))</f>
        <v/>
      </c>
      <c r="P553">
        <f>IF($H553&lt;&gt;"",$H553,IF($I553="Оплачено",N($G553),0))</f>
        <v/>
      </c>
      <c r="Q553">
        <f>IF($I553="Отменено",0,IF($G553&lt;&gt;"",$G553,N($H553)))</f>
        <v/>
      </c>
      <c r="R553">
        <f>IF($C553="","",IFERROR(DATE(Настройки!$C$8,Настройки!$D$9+MATCH($M553,Настройки!$X$6:$X$17,0)-1,1),DATE(YEAR($C553),MONTH($C553),1)))</f>
        <v/>
      </c>
      <c r="S553">
        <f>IF(OR($I553="Оплачено",$H553&lt;&gt;""),$P553,$Q553)</f>
        <v/>
      </c>
      <c r="T553">
        <f>IF(OR($C553="",$D553="Доход",$I553="Оплачено",$I553="Отменено",$H553&lt;&gt;"",$C553&lt;TODAY()),"",$C553)</f>
        <v/>
      </c>
      <c r="U553">
        <f>IF(AND($D553&lt;&gt;"Доход",COUNTIFS(Счета!$B$10:$B$21,$J553,Счета!$C$10:$C$21,"Кредитная")&gt;0),1,0)</f>
        <v/>
      </c>
    </row>
    <row r="554" ht="19" customHeight="1">
      <c r="B554" s="53">
        <f>IF(AND($C554="",$F554=""),"",ROW()-9)</f>
        <v/>
      </c>
      <c r="C554" s="213" t="n"/>
      <c r="D554" s="55" t="n"/>
      <c r="E554" s="55" t="n"/>
      <c r="F554" s="56" t="n"/>
      <c r="G554" s="196" t="n"/>
      <c r="H554" s="196" t="n"/>
      <c r="I554" s="55" t="n"/>
      <c r="J554" s="55" t="n"/>
      <c r="K554" s="55" t="n"/>
      <c r="L554" s="100">
        <f>IF(OR($C554="",$I554="Оплачено",$I554="Отменено",$H554&lt;&gt;""),"",$C554-TODAY())</f>
        <v/>
      </c>
      <c r="M554" s="101">
        <f>IF($C554="","",INDEX(Настройки!$V$6:$V$17,MONTH($C554))&amp;" "&amp;YEAR($C554))</f>
        <v/>
      </c>
      <c r="N554" s="57">
        <f>IF($F554="","",IF(COUNTIF(Постоянные!$C$8:$C$37,$F554)&gt;0,"есть в Постоянных",IF(COUNTIF(Покупки!$C$7:$C$18,$F554)&gt;0,"есть в Покупках","")))</f>
        <v/>
      </c>
      <c r="P554">
        <f>IF($H554&lt;&gt;"",$H554,IF($I554="Оплачено",N($G554),0))</f>
        <v/>
      </c>
      <c r="Q554">
        <f>IF($I554="Отменено",0,IF($G554&lt;&gt;"",$G554,N($H554)))</f>
        <v/>
      </c>
      <c r="R554">
        <f>IF($C554="","",IFERROR(DATE(Настройки!$C$8,Настройки!$D$9+MATCH($M554,Настройки!$X$6:$X$17,0)-1,1),DATE(YEAR($C554),MONTH($C554),1)))</f>
        <v/>
      </c>
      <c r="S554">
        <f>IF(OR($I554="Оплачено",$H554&lt;&gt;""),$P554,$Q554)</f>
        <v/>
      </c>
      <c r="T554">
        <f>IF(OR($C554="",$D554="Доход",$I554="Оплачено",$I554="Отменено",$H554&lt;&gt;"",$C554&lt;TODAY()),"",$C554)</f>
        <v/>
      </c>
      <c r="U554">
        <f>IF(AND($D554&lt;&gt;"Доход",COUNTIFS(Счета!$B$10:$B$21,$J554,Счета!$C$10:$C$21,"Кредитная")&gt;0),1,0)</f>
        <v/>
      </c>
    </row>
    <row r="555" ht="19" customHeight="1">
      <c r="B555" s="53">
        <f>IF(AND($C555="",$F555=""),"",ROW()-9)</f>
        <v/>
      </c>
      <c r="C555" s="213" t="n"/>
      <c r="D555" s="55" t="n"/>
      <c r="E555" s="55" t="n"/>
      <c r="F555" s="56" t="n"/>
      <c r="G555" s="196" t="n"/>
      <c r="H555" s="196" t="n"/>
      <c r="I555" s="55" t="n"/>
      <c r="J555" s="55" t="n"/>
      <c r="K555" s="55" t="n"/>
      <c r="L555" s="100">
        <f>IF(OR($C555="",$I555="Оплачено",$I555="Отменено",$H555&lt;&gt;""),"",$C555-TODAY())</f>
        <v/>
      </c>
      <c r="M555" s="101">
        <f>IF($C555="","",INDEX(Настройки!$V$6:$V$17,MONTH($C555))&amp;" "&amp;YEAR($C555))</f>
        <v/>
      </c>
      <c r="N555" s="57">
        <f>IF($F555="","",IF(COUNTIF(Постоянные!$C$8:$C$37,$F555)&gt;0,"есть в Постоянных",IF(COUNTIF(Покупки!$C$7:$C$18,$F555)&gt;0,"есть в Покупках","")))</f>
        <v/>
      </c>
      <c r="P555">
        <f>IF($H555&lt;&gt;"",$H555,IF($I555="Оплачено",N($G555),0))</f>
        <v/>
      </c>
      <c r="Q555">
        <f>IF($I555="Отменено",0,IF($G555&lt;&gt;"",$G555,N($H555)))</f>
        <v/>
      </c>
      <c r="R555">
        <f>IF($C555="","",IFERROR(DATE(Настройки!$C$8,Настройки!$D$9+MATCH($M555,Настройки!$X$6:$X$17,0)-1,1),DATE(YEAR($C555),MONTH($C555),1)))</f>
        <v/>
      </c>
      <c r="S555">
        <f>IF(OR($I555="Оплачено",$H555&lt;&gt;""),$P555,$Q555)</f>
        <v/>
      </c>
      <c r="T555">
        <f>IF(OR($C555="",$D555="Доход",$I555="Оплачено",$I555="Отменено",$H555&lt;&gt;"",$C555&lt;TODAY()),"",$C555)</f>
        <v/>
      </c>
      <c r="U555">
        <f>IF(AND($D555&lt;&gt;"Доход",COUNTIFS(Счета!$B$10:$B$21,$J555,Счета!$C$10:$C$21,"Кредитная")&gt;0),1,0)</f>
        <v/>
      </c>
    </row>
    <row r="556" ht="19" customHeight="1">
      <c r="B556" s="53">
        <f>IF(AND($C556="",$F556=""),"",ROW()-9)</f>
        <v/>
      </c>
      <c r="C556" s="213" t="n"/>
      <c r="D556" s="55" t="n"/>
      <c r="E556" s="55" t="n"/>
      <c r="F556" s="56" t="n"/>
      <c r="G556" s="196" t="n"/>
      <c r="H556" s="196" t="n"/>
      <c r="I556" s="55" t="n"/>
      <c r="J556" s="55" t="n"/>
      <c r="K556" s="55" t="n"/>
      <c r="L556" s="100">
        <f>IF(OR($C556="",$I556="Оплачено",$I556="Отменено",$H556&lt;&gt;""),"",$C556-TODAY())</f>
        <v/>
      </c>
      <c r="M556" s="101">
        <f>IF($C556="","",INDEX(Настройки!$V$6:$V$17,MONTH($C556))&amp;" "&amp;YEAR($C556))</f>
        <v/>
      </c>
      <c r="N556" s="57">
        <f>IF($F556="","",IF(COUNTIF(Постоянные!$C$8:$C$37,$F556)&gt;0,"есть в Постоянных",IF(COUNTIF(Покупки!$C$7:$C$18,$F556)&gt;0,"есть в Покупках","")))</f>
        <v/>
      </c>
      <c r="P556">
        <f>IF($H556&lt;&gt;"",$H556,IF($I556="Оплачено",N($G556),0))</f>
        <v/>
      </c>
      <c r="Q556">
        <f>IF($I556="Отменено",0,IF($G556&lt;&gt;"",$G556,N($H556)))</f>
        <v/>
      </c>
      <c r="R556">
        <f>IF($C556="","",IFERROR(DATE(Настройки!$C$8,Настройки!$D$9+MATCH($M556,Настройки!$X$6:$X$17,0)-1,1),DATE(YEAR($C556),MONTH($C556),1)))</f>
        <v/>
      </c>
      <c r="S556">
        <f>IF(OR($I556="Оплачено",$H556&lt;&gt;""),$P556,$Q556)</f>
        <v/>
      </c>
      <c r="T556">
        <f>IF(OR($C556="",$D556="Доход",$I556="Оплачено",$I556="Отменено",$H556&lt;&gt;"",$C556&lt;TODAY()),"",$C556)</f>
        <v/>
      </c>
      <c r="U556">
        <f>IF(AND($D556&lt;&gt;"Доход",COUNTIFS(Счета!$B$10:$B$21,$J556,Счета!$C$10:$C$21,"Кредитная")&gt;0),1,0)</f>
        <v/>
      </c>
    </row>
    <row r="557" ht="19" customHeight="1">
      <c r="B557" s="53">
        <f>IF(AND($C557="",$F557=""),"",ROW()-9)</f>
        <v/>
      </c>
      <c r="C557" s="213" t="n"/>
      <c r="D557" s="55" t="n"/>
      <c r="E557" s="55" t="n"/>
      <c r="F557" s="56" t="n"/>
      <c r="G557" s="196" t="n"/>
      <c r="H557" s="196" t="n"/>
      <c r="I557" s="55" t="n"/>
      <c r="J557" s="55" t="n"/>
      <c r="K557" s="55" t="n"/>
      <c r="L557" s="100">
        <f>IF(OR($C557="",$I557="Оплачено",$I557="Отменено",$H557&lt;&gt;""),"",$C557-TODAY())</f>
        <v/>
      </c>
      <c r="M557" s="101">
        <f>IF($C557="","",INDEX(Настройки!$V$6:$V$17,MONTH($C557))&amp;" "&amp;YEAR($C557))</f>
        <v/>
      </c>
      <c r="N557" s="57">
        <f>IF($F557="","",IF(COUNTIF(Постоянные!$C$8:$C$37,$F557)&gt;0,"есть в Постоянных",IF(COUNTIF(Покупки!$C$7:$C$18,$F557)&gt;0,"есть в Покупках","")))</f>
        <v/>
      </c>
      <c r="P557">
        <f>IF($H557&lt;&gt;"",$H557,IF($I557="Оплачено",N($G557),0))</f>
        <v/>
      </c>
      <c r="Q557">
        <f>IF($I557="Отменено",0,IF($G557&lt;&gt;"",$G557,N($H557)))</f>
        <v/>
      </c>
      <c r="R557">
        <f>IF($C557="","",IFERROR(DATE(Настройки!$C$8,Настройки!$D$9+MATCH($M557,Настройки!$X$6:$X$17,0)-1,1),DATE(YEAR($C557),MONTH($C557),1)))</f>
        <v/>
      </c>
      <c r="S557">
        <f>IF(OR($I557="Оплачено",$H557&lt;&gt;""),$P557,$Q557)</f>
        <v/>
      </c>
      <c r="T557">
        <f>IF(OR($C557="",$D557="Доход",$I557="Оплачено",$I557="Отменено",$H557&lt;&gt;"",$C557&lt;TODAY()),"",$C557)</f>
        <v/>
      </c>
      <c r="U557">
        <f>IF(AND($D557&lt;&gt;"Доход",COUNTIFS(Счета!$B$10:$B$21,$J557,Счета!$C$10:$C$21,"Кредитная")&gt;0),1,0)</f>
        <v/>
      </c>
    </row>
    <row r="558" ht="19" customHeight="1">
      <c r="B558" s="53">
        <f>IF(AND($C558="",$F558=""),"",ROW()-9)</f>
        <v/>
      </c>
      <c r="C558" s="213" t="n"/>
      <c r="D558" s="55" t="n"/>
      <c r="E558" s="55" t="n"/>
      <c r="F558" s="56" t="n"/>
      <c r="G558" s="196" t="n"/>
      <c r="H558" s="196" t="n"/>
      <c r="I558" s="55" t="n"/>
      <c r="J558" s="55" t="n"/>
      <c r="K558" s="55" t="n"/>
      <c r="L558" s="100">
        <f>IF(OR($C558="",$I558="Оплачено",$I558="Отменено",$H558&lt;&gt;""),"",$C558-TODAY())</f>
        <v/>
      </c>
      <c r="M558" s="101">
        <f>IF($C558="","",INDEX(Настройки!$V$6:$V$17,MONTH($C558))&amp;" "&amp;YEAR($C558))</f>
        <v/>
      </c>
      <c r="N558" s="57">
        <f>IF($F558="","",IF(COUNTIF(Постоянные!$C$8:$C$37,$F558)&gt;0,"есть в Постоянных",IF(COUNTIF(Покупки!$C$7:$C$18,$F558)&gt;0,"есть в Покупках","")))</f>
        <v/>
      </c>
      <c r="P558">
        <f>IF($H558&lt;&gt;"",$H558,IF($I558="Оплачено",N($G558),0))</f>
        <v/>
      </c>
      <c r="Q558">
        <f>IF($I558="Отменено",0,IF($G558&lt;&gt;"",$G558,N($H558)))</f>
        <v/>
      </c>
      <c r="R558">
        <f>IF($C558="","",IFERROR(DATE(Настройки!$C$8,Настройки!$D$9+MATCH($M558,Настройки!$X$6:$X$17,0)-1,1),DATE(YEAR($C558),MONTH($C558),1)))</f>
        <v/>
      </c>
      <c r="S558">
        <f>IF(OR($I558="Оплачено",$H558&lt;&gt;""),$P558,$Q558)</f>
        <v/>
      </c>
      <c r="T558">
        <f>IF(OR($C558="",$D558="Доход",$I558="Оплачено",$I558="Отменено",$H558&lt;&gt;"",$C558&lt;TODAY()),"",$C558)</f>
        <v/>
      </c>
      <c r="U558">
        <f>IF(AND($D558&lt;&gt;"Доход",COUNTIFS(Счета!$B$10:$B$21,$J558,Счета!$C$10:$C$21,"Кредитная")&gt;0),1,0)</f>
        <v/>
      </c>
    </row>
    <row r="559" ht="19" customHeight="1">
      <c r="B559" s="53">
        <f>IF(AND($C559="",$F559=""),"",ROW()-9)</f>
        <v/>
      </c>
      <c r="C559" s="213" t="n"/>
      <c r="D559" s="55" t="n"/>
      <c r="E559" s="55" t="n"/>
      <c r="F559" s="56" t="n"/>
      <c r="G559" s="196" t="n"/>
      <c r="H559" s="196" t="n"/>
      <c r="I559" s="55" t="n"/>
      <c r="J559" s="55" t="n"/>
      <c r="K559" s="55" t="n"/>
      <c r="L559" s="100">
        <f>IF(OR($C559="",$I559="Оплачено",$I559="Отменено",$H559&lt;&gt;""),"",$C559-TODAY())</f>
        <v/>
      </c>
      <c r="M559" s="101">
        <f>IF($C559="","",INDEX(Настройки!$V$6:$V$17,MONTH($C559))&amp;" "&amp;YEAR($C559))</f>
        <v/>
      </c>
      <c r="N559" s="57">
        <f>IF($F559="","",IF(COUNTIF(Постоянные!$C$8:$C$37,$F559)&gt;0,"есть в Постоянных",IF(COUNTIF(Покупки!$C$7:$C$18,$F559)&gt;0,"есть в Покупках","")))</f>
        <v/>
      </c>
      <c r="P559">
        <f>IF($H559&lt;&gt;"",$H559,IF($I559="Оплачено",N($G559),0))</f>
        <v/>
      </c>
      <c r="Q559">
        <f>IF($I559="Отменено",0,IF($G559&lt;&gt;"",$G559,N($H559)))</f>
        <v/>
      </c>
      <c r="R559">
        <f>IF($C559="","",IFERROR(DATE(Настройки!$C$8,Настройки!$D$9+MATCH($M559,Настройки!$X$6:$X$17,0)-1,1),DATE(YEAR($C559),MONTH($C559),1)))</f>
        <v/>
      </c>
      <c r="S559">
        <f>IF(OR($I559="Оплачено",$H559&lt;&gt;""),$P559,$Q559)</f>
        <v/>
      </c>
      <c r="T559">
        <f>IF(OR($C559="",$D559="Доход",$I559="Оплачено",$I559="Отменено",$H559&lt;&gt;"",$C559&lt;TODAY()),"",$C559)</f>
        <v/>
      </c>
      <c r="U559">
        <f>IF(AND($D559&lt;&gt;"Доход",COUNTIFS(Счета!$B$10:$B$21,$J559,Счета!$C$10:$C$21,"Кредитная")&gt;0),1,0)</f>
        <v/>
      </c>
    </row>
    <row r="560" ht="19" customHeight="1">
      <c r="B560" s="53">
        <f>IF(AND($C560="",$F560=""),"",ROW()-9)</f>
        <v/>
      </c>
      <c r="C560" s="213" t="n"/>
      <c r="D560" s="55" t="n"/>
      <c r="E560" s="55" t="n"/>
      <c r="F560" s="56" t="n"/>
      <c r="G560" s="196" t="n"/>
      <c r="H560" s="196" t="n"/>
      <c r="I560" s="55" t="n"/>
      <c r="J560" s="55" t="n"/>
      <c r="K560" s="55" t="n"/>
      <c r="L560" s="100">
        <f>IF(OR($C560="",$I560="Оплачено",$I560="Отменено",$H560&lt;&gt;""),"",$C560-TODAY())</f>
        <v/>
      </c>
      <c r="M560" s="101">
        <f>IF($C560="","",INDEX(Настройки!$V$6:$V$17,MONTH($C560))&amp;" "&amp;YEAR($C560))</f>
        <v/>
      </c>
      <c r="N560" s="57">
        <f>IF($F560="","",IF(COUNTIF(Постоянные!$C$8:$C$37,$F560)&gt;0,"есть в Постоянных",IF(COUNTIF(Покупки!$C$7:$C$18,$F560)&gt;0,"есть в Покупках","")))</f>
        <v/>
      </c>
      <c r="P560">
        <f>IF($H560&lt;&gt;"",$H560,IF($I560="Оплачено",N($G560),0))</f>
        <v/>
      </c>
      <c r="Q560">
        <f>IF($I560="Отменено",0,IF($G560&lt;&gt;"",$G560,N($H560)))</f>
        <v/>
      </c>
      <c r="R560">
        <f>IF($C560="","",IFERROR(DATE(Настройки!$C$8,Настройки!$D$9+MATCH($M560,Настройки!$X$6:$X$17,0)-1,1),DATE(YEAR($C560),MONTH($C560),1)))</f>
        <v/>
      </c>
      <c r="S560">
        <f>IF(OR($I560="Оплачено",$H560&lt;&gt;""),$P560,$Q560)</f>
        <v/>
      </c>
      <c r="T560">
        <f>IF(OR($C560="",$D560="Доход",$I560="Оплачено",$I560="Отменено",$H560&lt;&gt;"",$C560&lt;TODAY()),"",$C560)</f>
        <v/>
      </c>
      <c r="U560">
        <f>IF(AND($D560&lt;&gt;"Доход",COUNTIFS(Счета!$B$10:$B$21,$J560,Счета!$C$10:$C$21,"Кредитная")&gt;0),1,0)</f>
        <v/>
      </c>
    </row>
    <row r="561" ht="19" customHeight="1">
      <c r="B561" s="53">
        <f>IF(AND($C561="",$F561=""),"",ROW()-9)</f>
        <v/>
      </c>
      <c r="C561" s="213" t="n"/>
      <c r="D561" s="55" t="n"/>
      <c r="E561" s="55" t="n"/>
      <c r="F561" s="56" t="n"/>
      <c r="G561" s="196" t="n"/>
      <c r="H561" s="196" t="n"/>
      <c r="I561" s="55" t="n"/>
      <c r="J561" s="55" t="n"/>
      <c r="K561" s="55" t="n"/>
      <c r="L561" s="100">
        <f>IF(OR($C561="",$I561="Оплачено",$I561="Отменено",$H561&lt;&gt;""),"",$C561-TODAY())</f>
        <v/>
      </c>
      <c r="M561" s="101">
        <f>IF($C561="","",INDEX(Настройки!$V$6:$V$17,MONTH($C561))&amp;" "&amp;YEAR($C561))</f>
        <v/>
      </c>
      <c r="N561" s="57">
        <f>IF($F561="","",IF(COUNTIF(Постоянные!$C$8:$C$37,$F561)&gt;0,"есть в Постоянных",IF(COUNTIF(Покупки!$C$7:$C$18,$F561)&gt;0,"есть в Покупках","")))</f>
        <v/>
      </c>
      <c r="P561">
        <f>IF($H561&lt;&gt;"",$H561,IF($I561="Оплачено",N($G561),0))</f>
        <v/>
      </c>
      <c r="Q561">
        <f>IF($I561="Отменено",0,IF($G561&lt;&gt;"",$G561,N($H561)))</f>
        <v/>
      </c>
      <c r="R561">
        <f>IF($C561="","",IFERROR(DATE(Настройки!$C$8,Настройки!$D$9+MATCH($M561,Настройки!$X$6:$X$17,0)-1,1),DATE(YEAR($C561),MONTH($C561),1)))</f>
        <v/>
      </c>
      <c r="S561">
        <f>IF(OR($I561="Оплачено",$H561&lt;&gt;""),$P561,$Q561)</f>
        <v/>
      </c>
      <c r="T561">
        <f>IF(OR($C561="",$D561="Доход",$I561="Оплачено",$I561="Отменено",$H561&lt;&gt;"",$C561&lt;TODAY()),"",$C561)</f>
        <v/>
      </c>
      <c r="U561">
        <f>IF(AND($D561&lt;&gt;"Доход",COUNTIFS(Счета!$B$10:$B$21,$J561,Счета!$C$10:$C$21,"Кредитная")&gt;0),1,0)</f>
        <v/>
      </c>
    </row>
    <row r="562" ht="19" customHeight="1">
      <c r="B562" s="53">
        <f>IF(AND($C562="",$F562=""),"",ROW()-9)</f>
        <v/>
      </c>
      <c r="C562" s="213" t="n"/>
      <c r="D562" s="55" t="n"/>
      <c r="E562" s="55" t="n"/>
      <c r="F562" s="56" t="n"/>
      <c r="G562" s="196" t="n"/>
      <c r="H562" s="196" t="n"/>
      <c r="I562" s="55" t="n"/>
      <c r="J562" s="55" t="n"/>
      <c r="K562" s="55" t="n"/>
      <c r="L562" s="100">
        <f>IF(OR($C562="",$I562="Оплачено",$I562="Отменено",$H562&lt;&gt;""),"",$C562-TODAY())</f>
        <v/>
      </c>
      <c r="M562" s="101">
        <f>IF($C562="","",INDEX(Настройки!$V$6:$V$17,MONTH($C562))&amp;" "&amp;YEAR($C562))</f>
        <v/>
      </c>
      <c r="N562" s="57">
        <f>IF($F562="","",IF(COUNTIF(Постоянные!$C$8:$C$37,$F562)&gt;0,"есть в Постоянных",IF(COUNTIF(Покупки!$C$7:$C$18,$F562)&gt;0,"есть в Покупках","")))</f>
        <v/>
      </c>
      <c r="P562">
        <f>IF($H562&lt;&gt;"",$H562,IF($I562="Оплачено",N($G562),0))</f>
        <v/>
      </c>
      <c r="Q562">
        <f>IF($I562="Отменено",0,IF($G562&lt;&gt;"",$G562,N($H562)))</f>
        <v/>
      </c>
      <c r="R562">
        <f>IF($C562="","",IFERROR(DATE(Настройки!$C$8,Настройки!$D$9+MATCH($M562,Настройки!$X$6:$X$17,0)-1,1),DATE(YEAR($C562),MONTH($C562),1)))</f>
        <v/>
      </c>
      <c r="S562">
        <f>IF(OR($I562="Оплачено",$H562&lt;&gt;""),$P562,$Q562)</f>
        <v/>
      </c>
      <c r="T562">
        <f>IF(OR($C562="",$D562="Доход",$I562="Оплачено",$I562="Отменено",$H562&lt;&gt;"",$C562&lt;TODAY()),"",$C562)</f>
        <v/>
      </c>
      <c r="U562">
        <f>IF(AND($D562&lt;&gt;"Доход",COUNTIFS(Счета!$B$10:$B$21,$J562,Счета!$C$10:$C$21,"Кредитная")&gt;0),1,0)</f>
        <v/>
      </c>
    </row>
    <row r="563" ht="19" customHeight="1">
      <c r="B563" s="53">
        <f>IF(AND($C563="",$F563=""),"",ROW()-9)</f>
        <v/>
      </c>
      <c r="C563" s="213" t="n"/>
      <c r="D563" s="55" t="n"/>
      <c r="E563" s="55" t="n"/>
      <c r="F563" s="56" t="n"/>
      <c r="G563" s="196" t="n"/>
      <c r="H563" s="196" t="n"/>
      <c r="I563" s="55" t="n"/>
      <c r="J563" s="55" t="n"/>
      <c r="K563" s="55" t="n"/>
      <c r="L563" s="100">
        <f>IF(OR($C563="",$I563="Оплачено",$I563="Отменено",$H563&lt;&gt;""),"",$C563-TODAY())</f>
        <v/>
      </c>
      <c r="M563" s="101">
        <f>IF($C563="","",INDEX(Настройки!$V$6:$V$17,MONTH($C563))&amp;" "&amp;YEAR($C563))</f>
        <v/>
      </c>
      <c r="N563" s="57">
        <f>IF($F563="","",IF(COUNTIF(Постоянные!$C$8:$C$37,$F563)&gt;0,"есть в Постоянных",IF(COUNTIF(Покупки!$C$7:$C$18,$F563)&gt;0,"есть в Покупках","")))</f>
        <v/>
      </c>
      <c r="P563">
        <f>IF($H563&lt;&gt;"",$H563,IF($I563="Оплачено",N($G563),0))</f>
        <v/>
      </c>
      <c r="Q563">
        <f>IF($I563="Отменено",0,IF($G563&lt;&gt;"",$G563,N($H563)))</f>
        <v/>
      </c>
      <c r="R563">
        <f>IF($C563="","",IFERROR(DATE(Настройки!$C$8,Настройки!$D$9+MATCH($M563,Настройки!$X$6:$X$17,0)-1,1),DATE(YEAR($C563),MONTH($C563),1)))</f>
        <v/>
      </c>
      <c r="S563">
        <f>IF(OR($I563="Оплачено",$H563&lt;&gt;""),$P563,$Q563)</f>
        <v/>
      </c>
      <c r="T563">
        <f>IF(OR($C563="",$D563="Доход",$I563="Оплачено",$I563="Отменено",$H563&lt;&gt;"",$C563&lt;TODAY()),"",$C563)</f>
        <v/>
      </c>
      <c r="U563">
        <f>IF(AND($D563&lt;&gt;"Доход",COUNTIFS(Счета!$B$10:$B$21,$J563,Счета!$C$10:$C$21,"Кредитная")&gt;0),1,0)</f>
        <v/>
      </c>
    </row>
    <row r="564" ht="19" customHeight="1">
      <c r="B564" s="53">
        <f>IF(AND($C564="",$F564=""),"",ROW()-9)</f>
        <v/>
      </c>
      <c r="C564" s="213" t="n"/>
      <c r="D564" s="55" t="n"/>
      <c r="E564" s="55" t="n"/>
      <c r="F564" s="56" t="n"/>
      <c r="G564" s="196" t="n"/>
      <c r="H564" s="196" t="n"/>
      <c r="I564" s="55" t="n"/>
      <c r="J564" s="55" t="n"/>
      <c r="K564" s="55" t="n"/>
      <c r="L564" s="100">
        <f>IF(OR($C564="",$I564="Оплачено",$I564="Отменено",$H564&lt;&gt;""),"",$C564-TODAY())</f>
        <v/>
      </c>
      <c r="M564" s="101">
        <f>IF($C564="","",INDEX(Настройки!$V$6:$V$17,MONTH($C564))&amp;" "&amp;YEAR($C564))</f>
        <v/>
      </c>
      <c r="N564" s="57">
        <f>IF($F564="","",IF(COUNTIF(Постоянные!$C$8:$C$37,$F564)&gt;0,"есть в Постоянных",IF(COUNTIF(Покупки!$C$7:$C$18,$F564)&gt;0,"есть в Покупках","")))</f>
        <v/>
      </c>
      <c r="P564">
        <f>IF($H564&lt;&gt;"",$H564,IF($I564="Оплачено",N($G564),0))</f>
        <v/>
      </c>
      <c r="Q564">
        <f>IF($I564="Отменено",0,IF($G564&lt;&gt;"",$G564,N($H564)))</f>
        <v/>
      </c>
      <c r="R564">
        <f>IF($C564="","",IFERROR(DATE(Настройки!$C$8,Настройки!$D$9+MATCH($M564,Настройки!$X$6:$X$17,0)-1,1),DATE(YEAR($C564),MONTH($C564),1)))</f>
        <v/>
      </c>
      <c r="S564">
        <f>IF(OR($I564="Оплачено",$H564&lt;&gt;""),$P564,$Q564)</f>
        <v/>
      </c>
      <c r="T564">
        <f>IF(OR($C564="",$D564="Доход",$I564="Оплачено",$I564="Отменено",$H564&lt;&gt;"",$C564&lt;TODAY()),"",$C564)</f>
        <v/>
      </c>
      <c r="U564">
        <f>IF(AND($D564&lt;&gt;"Доход",COUNTIFS(Счета!$B$10:$B$21,$J564,Счета!$C$10:$C$21,"Кредитная")&gt;0),1,0)</f>
        <v/>
      </c>
    </row>
    <row r="565" ht="19" customHeight="1">
      <c r="B565" s="53">
        <f>IF(AND($C565="",$F565=""),"",ROW()-9)</f>
        <v/>
      </c>
      <c r="C565" s="213" t="n"/>
      <c r="D565" s="55" t="n"/>
      <c r="E565" s="55" t="n"/>
      <c r="F565" s="56" t="n"/>
      <c r="G565" s="196" t="n"/>
      <c r="H565" s="196" t="n"/>
      <c r="I565" s="55" t="n"/>
      <c r="J565" s="55" t="n"/>
      <c r="K565" s="55" t="n"/>
      <c r="L565" s="100">
        <f>IF(OR($C565="",$I565="Оплачено",$I565="Отменено",$H565&lt;&gt;""),"",$C565-TODAY())</f>
        <v/>
      </c>
      <c r="M565" s="101">
        <f>IF($C565="","",INDEX(Настройки!$V$6:$V$17,MONTH($C565))&amp;" "&amp;YEAR($C565))</f>
        <v/>
      </c>
      <c r="N565" s="57">
        <f>IF($F565="","",IF(COUNTIF(Постоянные!$C$8:$C$37,$F565)&gt;0,"есть в Постоянных",IF(COUNTIF(Покупки!$C$7:$C$18,$F565)&gt;0,"есть в Покупках","")))</f>
        <v/>
      </c>
      <c r="P565">
        <f>IF($H565&lt;&gt;"",$H565,IF($I565="Оплачено",N($G565),0))</f>
        <v/>
      </c>
      <c r="Q565">
        <f>IF($I565="Отменено",0,IF($G565&lt;&gt;"",$G565,N($H565)))</f>
        <v/>
      </c>
      <c r="R565">
        <f>IF($C565="","",IFERROR(DATE(Настройки!$C$8,Настройки!$D$9+MATCH($M565,Настройки!$X$6:$X$17,0)-1,1),DATE(YEAR($C565),MONTH($C565),1)))</f>
        <v/>
      </c>
      <c r="S565">
        <f>IF(OR($I565="Оплачено",$H565&lt;&gt;""),$P565,$Q565)</f>
        <v/>
      </c>
      <c r="T565">
        <f>IF(OR($C565="",$D565="Доход",$I565="Оплачено",$I565="Отменено",$H565&lt;&gt;"",$C565&lt;TODAY()),"",$C565)</f>
        <v/>
      </c>
      <c r="U565">
        <f>IF(AND($D565&lt;&gt;"Доход",COUNTIFS(Счета!$B$10:$B$21,$J565,Счета!$C$10:$C$21,"Кредитная")&gt;0),1,0)</f>
        <v/>
      </c>
    </row>
    <row r="566" ht="19" customHeight="1">
      <c r="B566" s="53">
        <f>IF(AND($C566="",$F566=""),"",ROW()-9)</f>
        <v/>
      </c>
      <c r="C566" s="213" t="n"/>
      <c r="D566" s="55" t="n"/>
      <c r="E566" s="55" t="n"/>
      <c r="F566" s="56" t="n"/>
      <c r="G566" s="196" t="n"/>
      <c r="H566" s="196" t="n"/>
      <c r="I566" s="55" t="n"/>
      <c r="J566" s="55" t="n"/>
      <c r="K566" s="55" t="n"/>
      <c r="L566" s="100">
        <f>IF(OR($C566="",$I566="Оплачено",$I566="Отменено",$H566&lt;&gt;""),"",$C566-TODAY())</f>
        <v/>
      </c>
      <c r="M566" s="101">
        <f>IF($C566="","",INDEX(Настройки!$V$6:$V$17,MONTH($C566))&amp;" "&amp;YEAR($C566))</f>
        <v/>
      </c>
      <c r="N566" s="57">
        <f>IF($F566="","",IF(COUNTIF(Постоянные!$C$8:$C$37,$F566)&gt;0,"есть в Постоянных",IF(COUNTIF(Покупки!$C$7:$C$18,$F566)&gt;0,"есть в Покупках","")))</f>
        <v/>
      </c>
      <c r="P566">
        <f>IF($H566&lt;&gt;"",$H566,IF($I566="Оплачено",N($G566),0))</f>
        <v/>
      </c>
      <c r="Q566">
        <f>IF($I566="Отменено",0,IF($G566&lt;&gt;"",$G566,N($H566)))</f>
        <v/>
      </c>
      <c r="R566">
        <f>IF($C566="","",IFERROR(DATE(Настройки!$C$8,Настройки!$D$9+MATCH($M566,Настройки!$X$6:$X$17,0)-1,1),DATE(YEAR($C566),MONTH($C566),1)))</f>
        <v/>
      </c>
      <c r="S566">
        <f>IF(OR($I566="Оплачено",$H566&lt;&gt;""),$P566,$Q566)</f>
        <v/>
      </c>
      <c r="T566">
        <f>IF(OR($C566="",$D566="Доход",$I566="Оплачено",$I566="Отменено",$H566&lt;&gt;"",$C566&lt;TODAY()),"",$C566)</f>
        <v/>
      </c>
      <c r="U566">
        <f>IF(AND($D566&lt;&gt;"Доход",COUNTIFS(Счета!$B$10:$B$21,$J566,Счета!$C$10:$C$21,"Кредитная")&gt;0),1,0)</f>
        <v/>
      </c>
    </row>
    <row r="567" ht="19" customHeight="1">
      <c r="B567" s="53">
        <f>IF(AND($C567="",$F567=""),"",ROW()-9)</f>
        <v/>
      </c>
      <c r="C567" s="213" t="n"/>
      <c r="D567" s="55" t="n"/>
      <c r="E567" s="55" t="n"/>
      <c r="F567" s="56" t="n"/>
      <c r="G567" s="196" t="n"/>
      <c r="H567" s="196" t="n"/>
      <c r="I567" s="55" t="n"/>
      <c r="J567" s="55" t="n"/>
      <c r="K567" s="55" t="n"/>
      <c r="L567" s="100">
        <f>IF(OR($C567="",$I567="Оплачено",$I567="Отменено",$H567&lt;&gt;""),"",$C567-TODAY())</f>
        <v/>
      </c>
      <c r="M567" s="101">
        <f>IF($C567="","",INDEX(Настройки!$V$6:$V$17,MONTH($C567))&amp;" "&amp;YEAR($C567))</f>
        <v/>
      </c>
      <c r="N567" s="57">
        <f>IF($F567="","",IF(COUNTIF(Постоянные!$C$8:$C$37,$F567)&gt;0,"есть в Постоянных",IF(COUNTIF(Покупки!$C$7:$C$18,$F567)&gt;0,"есть в Покупках","")))</f>
        <v/>
      </c>
      <c r="P567">
        <f>IF($H567&lt;&gt;"",$H567,IF($I567="Оплачено",N($G567),0))</f>
        <v/>
      </c>
      <c r="Q567">
        <f>IF($I567="Отменено",0,IF($G567&lt;&gt;"",$G567,N($H567)))</f>
        <v/>
      </c>
      <c r="R567">
        <f>IF($C567="","",IFERROR(DATE(Настройки!$C$8,Настройки!$D$9+MATCH($M567,Настройки!$X$6:$X$17,0)-1,1),DATE(YEAR($C567),MONTH($C567),1)))</f>
        <v/>
      </c>
      <c r="S567">
        <f>IF(OR($I567="Оплачено",$H567&lt;&gt;""),$P567,$Q567)</f>
        <v/>
      </c>
      <c r="T567">
        <f>IF(OR($C567="",$D567="Доход",$I567="Оплачено",$I567="Отменено",$H567&lt;&gt;"",$C567&lt;TODAY()),"",$C567)</f>
        <v/>
      </c>
      <c r="U567">
        <f>IF(AND($D567&lt;&gt;"Доход",COUNTIFS(Счета!$B$10:$B$21,$J567,Счета!$C$10:$C$21,"Кредитная")&gt;0),1,0)</f>
        <v/>
      </c>
    </row>
    <row r="568" ht="19" customHeight="1">
      <c r="B568" s="53">
        <f>IF(AND($C568="",$F568=""),"",ROW()-9)</f>
        <v/>
      </c>
      <c r="C568" s="213" t="n"/>
      <c r="D568" s="55" t="n"/>
      <c r="E568" s="55" t="n"/>
      <c r="F568" s="56" t="n"/>
      <c r="G568" s="196" t="n"/>
      <c r="H568" s="196" t="n"/>
      <c r="I568" s="55" t="n"/>
      <c r="J568" s="55" t="n"/>
      <c r="K568" s="55" t="n"/>
      <c r="L568" s="100">
        <f>IF(OR($C568="",$I568="Оплачено",$I568="Отменено",$H568&lt;&gt;""),"",$C568-TODAY())</f>
        <v/>
      </c>
      <c r="M568" s="101">
        <f>IF($C568="","",INDEX(Настройки!$V$6:$V$17,MONTH($C568))&amp;" "&amp;YEAR($C568))</f>
        <v/>
      </c>
      <c r="N568" s="57">
        <f>IF($F568="","",IF(COUNTIF(Постоянные!$C$8:$C$37,$F568)&gt;0,"есть в Постоянных",IF(COUNTIF(Покупки!$C$7:$C$18,$F568)&gt;0,"есть в Покупках","")))</f>
        <v/>
      </c>
      <c r="P568">
        <f>IF($H568&lt;&gt;"",$H568,IF($I568="Оплачено",N($G568),0))</f>
        <v/>
      </c>
      <c r="Q568">
        <f>IF($I568="Отменено",0,IF($G568&lt;&gt;"",$G568,N($H568)))</f>
        <v/>
      </c>
      <c r="R568">
        <f>IF($C568="","",IFERROR(DATE(Настройки!$C$8,Настройки!$D$9+MATCH($M568,Настройки!$X$6:$X$17,0)-1,1),DATE(YEAR($C568),MONTH($C568),1)))</f>
        <v/>
      </c>
      <c r="S568">
        <f>IF(OR($I568="Оплачено",$H568&lt;&gt;""),$P568,$Q568)</f>
        <v/>
      </c>
      <c r="T568">
        <f>IF(OR($C568="",$D568="Доход",$I568="Оплачено",$I568="Отменено",$H568&lt;&gt;"",$C568&lt;TODAY()),"",$C568)</f>
        <v/>
      </c>
      <c r="U568">
        <f>IF(AND($D568&lt;&gt;"Доход",COUNTIFS(Счета!$B$10:$B$21,$J568,Счета!$C$10:$C$21,"Кредитная")&gt;0),1,0)</f>
        <v/>
      </c>
    </row>
    <row r="569" ht="19" customHeight="1">
      <c r="B569" s="53">
        <f>IF(AND($C569="",$F569=""),"",ROW()-9)</f>
        <v/>
      </c>
      <c r="C569" s="213" t="n"/>
      <c r="D569" s="55" t="n"/>
      <c r="E569" s="55" t="n"/>
      <c r="F569" s="56" t="n"/>
      <c r="G569" s="196" t="n"/>
      <c r="H569" s="196" t="n"/>
      <c r="I569" s="55" t="n"/>
      <c r="J569" s="55" t="n"/>
      <c r="K569" s="55" t="n"/>
      <c r="L569" s="100">
        <f>IF(OR($C569="",$I569="Оплачено",$I569="Отменено",$H569&lt;&gt;""),"",$C569-TODAY())</f>
        <v/>
      </c>
      <c r="M569" s="101">
        <f>IF($C569="","",INDEX(Настройки!$V$6:$V$17,MONTH($C569))&amp;" "&amp;YEAR($C569))</f>
        <v/>
      </c>
      <c r="N569" s="57">
        <f>IF($F569="","",IF(COUNTIF(Постоянные!$C$8:$C$37,$F569)&gt;0,"есть в Постоянных",IF(COUNTIF(Покупки!$C$7:$C$18,$F569)&gt;0,"есть в Покупках","")))</f>
        <v/>
      </c>
      <c r="P569">
        <f>IF($H569&lt;&gt;"",$H569,IF($I569="Оплачено",N($G569),0))</f>
        <v/>
      </c>
      <c r="Q569">
        <f>IF($I569="Отменено",0,IF($G569&lt;&gt;"",$G569,N($H569)))</f>
        <v/>
      </c>
      <c r="R569">
        <f>IF($C569="","",IFERROR(DATE(Настройки!$C$8,Настройки!$D$9+MATCH($M569,Настройки!$X$6:$X$17,0)-1,1),DATE(YEAR($C569),MONTH($C569),1)))</f>
        <v/>
      </c>
      <c r="S569">
        <f>IF(OR($I569="Оплачено",$H569&lt;&gt;""),$P569,$Q569)</f>
        <v/>
      </c>
      <c r="T569">
        <f>IF(OR($C569="",$D569="Доход",$I569="Оплачено",$I569="Отменено",$H569&lt;&gt;"",$C569&lt;TODAY()),"",$C569)</f>
        <v/>
      </c>
      <c r="U569">
        <f>IF(AND($D569&lt;&gt;"Доход",COUNTIFS(Счета!$B$10:$B$21,$J569,Счета!$C$10:$C$21,"Кредитная")&gt;0),1,0)</f>
        <v/>
      </c>
    </row>
    <row r="570" ht="19" customHeight="1">
      <c r="B570" s="53">
        <f>IF(AND($C570="",$F570=""),"",ROW()-9)</f>
        <v/>
      </c>
      <c r="C570" s="213" t="n"/>
      <c r="D570" s="55" t="n"/>
      <c r="E570" s="55" t="n"/>
      <c r="F570" s="56" t="n"/>
      <c r="G570" s="196" t="n"/>
      <c r="H570" s="196" t="n"/>
      <c r="I570" s="55" t="n"/>
      <c r="J570" s="55" t="n"/>
      <c r="K570" s="55" t="n"/>
      <c r="L570" s="100">
        <f>IF(OR($C570="",$I570="Оплачено",$I570="Отменено",$H570&lt;&gt;""),"",$C570-TODAY())</f>
        <v/>
      </c>
      <c r="M570" s="101">
        <f>IF($C570="","",INDEX(Настройки!$V$6:$V$17,MONTH($C570))&amp;" "&amp;YEAR($C570))</f>
        <v/>
      </c>
      <c r="N570" s="57">
        <f>IF($F570="","",IF(COUNTIF(Постоянные!$C$8:$C$37,$F570)&gt;0,"есть в Постоянных",IF(COUNTIF(Покупки!$C$7:$C$18,$F570)&gt;0,"есть в Покупках","")))</f>
        <v/>
      </c>
      <c r="P570">
        <f>IF($H570&lt;&gt;"",$H570,IF($I570="Оплачено",N($G570),0))</f>
        <v/>
      </c>
      <c r="Q570">
        <f>IF($I570="Отменено",0,IF($G570&lt;&gt;"",$G570,N($H570)))</f>
        <v/>
      </c>
      <c r="R570">
        <f>IF($C570="","",IFERROR(DATE(Настройки!$C$8,Настройки!$D$9+MATCH($M570,Настройки!$X$6:$X$17,0)-1,1),DATE(YEAR($C570),MONTH($C570),1)))</f>
        <v/>
      </c>
      <c r="S570">
        <f>IF(OR($I570="Оплачено",$H570&lt;&gt;""),$P570,$Q570)</f>
        <v/>
      </c>
      <c r="T570">
        <f>IF(OR($C570="",$D570="Доход",$I570="Оплачено",$I570="Отменено",$H570&lt;&gt;"",$C570&lt;TODAY()),"",$C570)</f>
        <v/>
      </c>
      <c r="U570">
        <f>IF(AND($D570&lt;&gt;"Доход",COUNTIFS(Счета!$B$10:$B$21,$J570,Счета!$C$10:$C$21,"Кредитная")&gt;0),1,0)</f>
        <v/>
      </c>
    </row>
    <row r="571" ht="19" customHeight="1">
      <c r="B571" s="53">
        <f>IF(AND($C571="",$F571=""),"",ROW()-9)</f>
        <v/>
      </c>
      <c r="C571" s="213" t="n"/>
      <c r="D571" s="55" t="n"/>
      <c r="E571" s="55" t="n"/>
      <c r="F571" s="56" t="n"/>
      <c r="G571" s="196" t="n"/>
      <c r="H571" s="196" t="n"/>
      <c r="I571" s="55" t="n"/>
      <c r="J571" s="55" t="n"/>
      <c r="K571" s="55" t="n"/>
      <c r="L571" s="100">
        <f>IF(OR($C571="",$I571="Оплачено",$I571="Отменено",$H571&lt;&gt;""),"",$C571-TODAY())</f>
        <v/>
      </c>
      <c r="M571" s="101">
        <f>IF($C571="","",INDEX(Настройки!$V$6:$V$17,MONTH($C571))&amp;" "&amp;YEAR($C571))</f>
        <v/>
      </c>
      <c r="N571" s="57">
        <f>IF($F571="","",IF(COUNTIF(Постоянные!$C$8:$C$37,$F571)&gt;0,"есть в Постоянных",IF(COUNTIF(Покупки!$C$7:$C$18,$F571)&gt;0,"есть в Покупках","")))</f>
        <v/>
      </c>
      <c r="P571">
        <f>IF($H571&lt;&gt;"",$H571,IF($I571="Оплачено",N($G571),0))</f>
        <v/>
      </c>
      <c r="Q571">
        <f>IF($I571="Отменено",0,IF($G571&lt;&gt;"",$G571,N($H571)))</f>
        <v/>
      </c>
      <c r="R571">
        <f>IF($C571="","",IFERROR(DATE(Настройки!$C$8,Настройки!$D$9+MATCH($M571,Настройки!$X$6:$X$17,0)-1,1),DATE(YEAR($C571),MONTH($C571),1)))</f>
        <v/>
      </c>
      <c r="S571">
        <f>IF(OR($I571="Оплачено",$H571&lt;&gt;""),$P571,$Q571)</f>
        <v/>
      </c>
      <c r="T571">
        <f>IF(OR($C571="",$D571="Доход",$I571="Оплачено",$I571="Отменено",$H571&lt;&gt;"",$C571&lt;TODAY()),"",$C571)</f>
        <v/>
      </c>
      <c r="U571">
        <f>IF(AND($D571&lt;&gt;"Доход",COUNTIFS(Счета!$B$10:$B$21,$J571,Счета!$C$10:$C$21,"Кредитная")&gt;0),1,0)</f>
        <v/>
      </c>
    </row>
    <row r="572" ht="19" customHeight="1">
      <c r="B572" s="53">
        <f>IF(AND($C572="",$F572=""),"",ROW()-9)</f>
        <v/>
      </c>
      <c r="C572" s="213" t="n"/>
      <c r="D572" s="55" t="n"/>
      <c r="E572" s="55" t="n"/>
      <c r="F572" s="56" t="n"/>
      <c r="G572" s="196" t="n"/>
      <c r="H572" s="196" t="n"/>
      <c r="I572" s="55" t="n"/>
      <c r="J572" s="55" t="n"/>
      <c r="K572" s="55" t="n"/>
      <c r="L572" s="100">
        <f>IF(OR($C572="",$I572="Оплачено",$I572="Отменено",$H572&lt;&gt;""),"",$C572-TODAY())</f>
        <v/>
      </c>
      <c r="M572" s="101">
        <f>IF($C572="","",INDEX(Настройки!$V$6:$V$17,MONTH($C572))&amp;" "&amp;YEAR($C572))</f>
        <v/>
      </c>
      <c r="N572" s="57">
        <f>IF($F572="","",IF(COUNTIF(Постоянные!$C$8:$C$37,$F572)&gt;0,"есть в Постоянных",IF(COUNTIF(Покупки!$C$7:$C$18,$F572)&gt;0,"есть в Покупках","")))</f>
        <v/>
      </c>
      <c r="P572">
        <f>IF($H572&lt;&gt;"",$H572,IF($I572="Оплачено",N($G572),0))</f>
        <v/>
      </c>
      <c r="Q572">
        <f>IF($I572="Отменено",0,IF($G572&lt;&gt;"",$G572,N($H572)))</f>
        <v/>
      </c>
      <c r="R572">
        <f>IF($C572="","",IFERROR(DATE(Настройки!$C$8,Настройки!$D$9+MATCH($M572,Настройки!$X$6:$X$17,0)-1,1),DATE(YEAR($C572),MONTH($C572),1)))</f>
        <v/>
      </c>
      <c r="S572">
        <f>IF(OR($I572="Оплачено",$H572&lt;&gt;""),$P572,$Q572)</f>
        <v/>
      </c>
      <c r="T572">
        <f>IF(OR($C572="",$D572="Доход",$I572="Оплачено",$I572="Отменено",$H572&lt;&gt;"",$C572&lt;TODAY()),"",$C572)</f>
        <v/>
      </c>
      <c r="U572">
        <f>IF(AND($D572&lt;&gt;"Доход",COUNTIFS(Счета!$B$10:$B$21,$J572,Счета!$C$10:$C$21,"Кредитная")&gt;0),1,0)</f>
        <v/>
      </c>
    </row>
    <row r="573" ht="19" customHeight="1">
      <c r="B573" s="53">
        <f>IF(AND($C573="",$F573=""),"",ROW()-9)</f>
        <v/>
      </c>
      <c r="C573" s="213" t="n"/>
      <c r="D573" s="55" t="n"/>
      <c r="E573" s="55" t="n"/>
      <c r="F573" s="56" t="n"/>
      <c r="G573" s="196" t="n"/>
      <c r="H573" s="196" t="n"/>
      <c r="I573" s="55" t="n"/>
      <c r="J573" s="55" t="n"/>
      <c r="K573" s="55" t="n"/>
      <c r="L573" s="100">
        <f>IF(OR($C573="",$I573="Оплачено",$I573="Отменено",$H573&lt;&gt;""),"",$C573-TODAY())</f>
        <v/>
      </c>
      <c r="M573" s="101">
        <f>IF($C573="","",INDEX(Настройки!$V$6:$V$17,MONTH($C573))&amp;" "&amp;YEAR($C573))</f>
        <v/>
      </c>
      <c r="N573" s="57">
        <f>IF($F573="","",IF(COUNTIF(Постоянные!$C$8:$C$37,$F573)&gt;0,"есть в Постоянных",IF(COUNTIF(Покупки!$C$7:$C$18,$F573)&gt;0,"есть в Покупках","")))</f>
        <v/>
      </c>
      <c r="P573">
        <f>IF($H573&lt;&gt;"",$H573,IF($I573="Оплачено",N($G573),0))</f>
        <v/>
      </c>
      <c r="Q573">
        <f>IF($I573="Отменено",0,IF($G573&lt;&gt;"",$G573,N($H573)))</f>
        <v/>
      </c>
      <c r="R573">
        <f>IF($C573="","",IFERROR(DATE(Настройки!$C$8,Настройки!$D$9+MATCH($M573,Настройки!$X$6:$X$17,0)-1,1),DATE(YEAR($C573),MONTH($C573),1)))</f>
        <v/>
      </c>
      <c r="S573">
        <f>IF(OR($I573="Оплачено",$H573&lt;&gt;""),$P573,$Q573)</f>
        <v/>
      </c>
      <c r="T573">
        <f>IF(OR($C573="",$D573="Доход",$I573="Оплачено",$I573="Отменено",$H573&lt;&gt;"",$C573&lt;TODAY()),"",$C573)</f>
        <v/>
      </c>
      <c r="U573">
        <f>IF(AND($D573&lt;&gt;"Доход",COUNTIFS(Счета!$B$10:$B$21,$J573,Счета!$C$10:$C$21,"Кредитная")&gt;0),1,0)</f>
        <v/>
      </c>
    </row>
    <row r="574" ht="19" customHeight="1">
      <c r="B574" s="53">
        <f>IF(AND($C574="",$F574=""),"",ROW()-9)</f>
        <v/>
      </c>
      <c r="C574" s="213" t="n"/>
      <c r="D574" s="55" t="n"/>
      <c r="E574" s="55" t="n"/>
      <c r="F574" s="56" t="n"/>
      <c r="G574" s="196" t="n"/>
      <c r="H574" s="196" t="n"/>
      <c r="I574" s="55" t="n"/>
      <c r="J574" s="55" t="n"/>
      <c r="K574" s="55" t="n"/>
      <c r="L574" s="100">
        <f>IF(OR($C574="",$I574="Оплачено",$I574="Отменено",$H574&lt;&gt;""),"",$C574-TODAY())</f>
        <v/>
      </c>
      <c r="M574" s="101">
        <f>IF($C574="","",INDEX(Настройки!$V$6:$V$17,MONTH($C574))&amp;" "&amp;YEAR($C574))</f>
        <v/>
      </c>
      <c r="N574" s="57">
        <f>IF($F574="","",IF(COUNTIF(Постоянные!$C$8:$C$37,$F574)&gt;0,"есть в Постоянных",IF(COUNTIF(Покупки!$C$7:$C$18,$F574)&gt;0,"есть в Покупках","")))</f>
        <v/>
      </c>
      <c r="P574">
        <f>IF($H574&lt;&gt;"",$H574,IF($I574="Оплачено",N($G574),0))</f>
        <v/>
      </c>
      <c r="Q574">
        <f>IF($I574="Отменено",0,IF($G574&lt;&gt;"",$G574,N($H574)))</f>
        <v/>
      </c>
      <c r="R574">
        <f>IF($C574="","",IFERROR(DATE(Настройки!$C$8,Настройки!$D$9+MATCH($M574,Настройки!$X$6:$X$17,0)-1,1),DATE(YEAR($C574),MONTH($C574),1)))</f>
        <v/>
      </c>
      <c r="S574">
        <f>IF(OR($I574="Оплачено",$H574&lt;&gt;""),$P574,$Q574)</f>
        <v/>
      </c>
      <c r="T574">
        <f>IF(OR($C574="",$D574="Доход",$I574="Оплачено",$I574="Отменено",$H574&lt;&gt;"",$C574&lt;TODAY()),"",$C574)</f>
        <v/>
      </c>
      <c r="U574">
        <f>IF(AND($D574&lt;&gt;"Доход",COUNTIFS(Счета!$B$10:$B$21,$J574,Счета!$C$10:$C$21,"Кредитная")&gt;0),1,0)</f>
        <v/>
      </c>
    </row>
    <row r="575" ht="19" customHeight="1">
      <c r="B575" s="53">
        <f>IF(AND($C575="",$F575=""),"",ROW()-9)</f>
        <v/>
      </c>
      <c r="C575" s="213" t="n"/>
      <c r="D575" s="55" t="n"/>
      <c r="E575" s="55" t="n"/>
      <c r="F575" s="56" t="n"/>
      <c r="G575" s="196" t="n"/>
      <c r="H575" s="196" t="n"/>
      <c r="I575" s="55" t="n"/>
      <c r="J575" s="55" t="n"/>
      <c r="K575" s="55" t="n"/>
      <c r="L575" s="100">
        <f>IF(OR($C575="",$I575="Оплачено",$I575="Отменено",$H575&lt;&gt;""),"",$C575-TODAY())</f>
        <v/>
      </c>
      <c r="M575" s="101">
        <f>IF($C575="","",INDEX(Настройки!$V$6:$V$17,MONTH($C575))&amp;" "&amp;YEAR($C575))</f>
        <v/>
      </c>
      <c r="N575" s="57">
        <f>IF($F575="","",IF(COUNTIF(Постоянные!$C$8:$C$37,$F575)&gt;0,"есть в Постоянных",IF(COUNTIF(Покупки!$C$7:$C$18,$F575)&gt;0,"есть в Покупках","")))</f>
        <v/>
      </c>
      <c r="P575">
        <f>IF($H575&lt;&gt;"",$H575,IF($I575="Оплачено",N($G575),0))</f>
        <v/>
      </c>
      <c r="Q575">
        <f>IF($I575="Отменено",0,IF($G575&lt;&gt;"",$G575,N($H575)))</f>
        <v/>
      </c>
      <c r="R575">
        <f>IF($C575="","",IFERROR(DATE(Настройки!$C$8,Настройки!$D$9+MATCH($M575,Настройки!$X$6:$X$17,0)-1,1),DATE(YEAR($C575),MONTH($C575),1)))</f>
        <v/>
      </c>
      <c r="S575">
        <f>IF(OR($I575="Оплачено",$H575&lt;&gt;""),$P575,$Q575)</f>
        <v/>
      </c>
      <c r="T575">
        <f>IF(OR($C575="",$D575="Доход",$I575="Оплачено",$I575="Отменено",$H575&lt;&gt;"",$C575&lt;TODAY()),"",$C575)</f>
        <v/>
      </c>
      <c r="U575">
        <f>IF(AND($D575&lt;&gt;"Доход",COUNTIFS(Счета!$B$10:$B$21,$J575,Счета!$C$10:$C$21,"Кредитная")&gt;0),1,0)</f>
        <v/>
      </c>
    </row>
    <row r="576" ht="19" customHeight="1">
      <c r="B576" s="53">
        <f>IF(AND($C576="",$F576=""),"",ROW()-9)</f>
        <v/>
      </c>
      <c r="C576" s="213" t="n"/>
      <c r="D576" s="55" t="n"/>
      <c r="E576" s="55" t="n"/>
      <c r="F576" s="56" t="n"/>
      <c r="G576" s="196" t="n"/>
      <c r="H576" s="196" t="n"/>
      <c r="I576" s="55" t="n"/>
      <c r="J576" s="55" t="n"/>
      <c r="K576" s="55" t="n"/>
      <c r="L576" s="100">
        <f>IF(OR($C576="",$I576="Оплачено",$I576="Отменено",$H576&lt;&gt;""),"",$C576-TODAY())</f>
        <v/>
      </c>
      <c r="M576" s="101">
        <f>IF($C576="","",INDEX(Настройки!$V$6:$V$17,MONTH($C576))&amp;" "&amp;YEAR($C576))</f>
        <v/>
      </c>
      <c r="N576" s="57">
        <f>IF($F576="","",IF(COUNTIF(Постоянные!$C$8:$C$37,$F576)&gt;0,"есть в Постоянных",IF(COUNTIF(Покупки!$C$7:$C$18,$F576)&gt;0,"есть в Покупках","")))</f>
        <v/>
      </c>
      <c r="P576">
        <f>IF($H576&lt;&gt;"",$H576,IF($I576="Оплачено",N($G576),0))</f>
        <v/>
      </c>
      <c r="Q576">
        <f>IF($I576="Отменено",0,IF($G576&lt;&gt;"",$G576,N($H576)))</f>
        <v/>
      </c>
      <c r="R576">
        <f>IF($C576="","",IFERROR(DATE(Настройки!$C$8,Настройки!$D$9+MATCH($M576,Настройки!$X$6:$X$17,0)-1,1),DATE(YEAR($C576),MONTH($C576),1)))</f>
        <v/>
      </c>
      <c r="S576">
        <f>IF(OR($I576="Оплачено",$H576&lt;&gt;""),$P576,$Q576)</f>
        <v/>
      </c>
      <c r="T576">
        <f>IF(OR($C576="",$D576="Доход",$I576="Оплачено",$I576="Отменено",$H576&lt;&gt;"",$C576&lt;TODAY()),"",$C576)</f>
        <v/>
      </c>
      <c r="U576">
        <f>IF(AND($D576&lt;&gt;"Доход",COUNTIFS(Счета!$B$10:$B$21,$J576,Счета!$C$10:$C$21,"Кредитная")&gt;0),1,0)</f>
        <v/>
      </c>
    </row>
    <row r="577" ht="19" customHeight="1">
      <c r="B577" s="53">
        <f>IF(AND($C577="",$F577=""),"",ROW()-9)</f>
        <v/>
      </c>
      <c r="C577" s="213" t="n"/>
      <c r="D577" s="55" t="n"/>
      <c r="E577" s="55" t="n"/>
      <c r="F577" s="56" t="n"/>
      <c r="G577" s="196" t="n"/>
      <c r="H577" s="196" t="n"/>
      <c r="I577" s="55" t="n"/>
      <c r="J577" s="55" t="n"/>
      <c r="K577" s="55" t="n"/>
      <c r="L577" s="100">
        <f>IF(OR($C577="",$I577="Оплачено",$I577="Отменено",$H577&lt;&gt;""),"",$C577-TODAY())</f>
        <v/>
      </c>
      <c r="M577" s="101">
        <f>IF($C577="","",INDEX(Настройки!$V$6:$V$17,MONTH($C577))&amp;" "&amp;YEAR($C577))</f>
        <v/>
      </c>
      <c r="N577" s="57">
        <f>IF($F577="","",IF(COUNTIF(Постоянные!$C$8:$C$37,$F577)&gt;0,"есть в Постоянных",IF(COUNTIF(Покупки!$C$7:$C$18,$F577)&gt;0,"есть в Покупках","")))</f>
        <v/>
      </c>
      <c r="P577">
        <f>IF($H577&lt;&gt;"",$H577,IF($I577="Оплачено",N($G577),0))</f>
        <v/>
      </c>
      <c r="Q577">
        <f>IF($I577="Отменено",0,IF($G577&lt;&gt;"",$G577,N($H577)))</f>
        <v/>
      </c>
      <c r="R577">
        <f>IF($C577="","",IFERROR(DATE(Настройки!$C$8,Настройки!$D$9+MATCH($M577,Настройки!$X$6:$X$17,0)-1,1),DATE(YEAR($C577),MONTH($C577),1)))</f>
        <v/>
      </c>
      <c r="S577">
        <f>IF(OR($I577="Оплачено",$H577&lt;&gt;""),$P577,$Q577)</f>
        <v/>
      </c>
      <c r="T577">
        <f>IF(OR($C577="",$D577="Доход",$I577="Оплачено",$I577="Отменено",$H577&lt;&gt;"",$C577&lt;TODAY()),"",$C577)</f>
        <v/>
      </c>
      <c r="U577">
        <f>IF(AND($D577&lt;&gt;"Доход",COUNTIFS(Счета!$B$10:$B$21,$J577,Счета!$C$10:$C$21,"Кредитная")&gt;0),1,0)</f>
        <v/>
      </c>
    </row>
    <row r="578" ht="19" customHeight="1">
      <c r="B578" s="53">
        <f>IF(AND($C578="",$F578=""),"",ROW()-9)</f>
        <v/>
      </c>
      <c r="C578" s="213" t="n"/>
      <c r="D578" s="55" t="n"/>
      <c r="E578" s="55" t="n"/>
      <c r="F578" s="56" t="n"/>
      <c r="G578" s="196" t="n"/>
      <c r="H578" s="196" t="n"/>
      <c r="I578" s="55" t="n"/>
      <c r="J578" s="55" t="n"/>
      <c r="K578" s="55" t="n"/>
      <c r="L578" s="100">
        <f>IF(OR($C578="",$I578="Оплачено",$I578="Отменено",$H578&lt;&gt;""),"",$C578-TODAY())</f>
        <v/>
      </c>
      <c r="M578" s="101">
        <f>IF($C578="","",INDEX(Настройки!$V$6:$V$17,MONTH($C578))&amp;" "&amp;YEAR($C578))</f>
        <v/>
      </c>
      <c r="N578" s="57">
        <f>IF($F578="","",IF(COUNTIF(Постоянные!$C$8:$C$37,$F578)&gt;0,"есть в Постоянных",IF(COUNTIF(Покупки!$C$7:$C$18,$F578)&gt;0,"есть в Покупках","")))</f>
        <v/>
      </c>
      <c r="P578">
        <f>IF($H578&lt;&gt;"",$H578,IF($I578="Оплачено",N($G578),0))</f>
        <v/>
      </c>
      <c r="Q578">
        <f>IF($I578="Отменено",0,IF($G578&lt;&gt;"",$G578,N($H578)))</f>
        <v/>
      </c>
      <c r="R578">
        <f>IF($C578="","",IFERROR(DATE(Настройки!$C$8,Настройки!$D$9+MATCH($M578,Настройки!$X$6:$X$17,0)-1,1),DATE(YEAR($C578),MONTH($C578),1)))</f>
        <v/>
      </c>
      <c r="S578">
        <f>IF(OR($I578="Оплачено",$H578&lt;&gt;""),$P578,$Q578)</f>
        <v/>
      </c>
      <c r="T578">
        <f>IF(OR($C578="",$D578="Доход",$I578="Оплачено",$I578="Отменено",$H578&lt;&gt;"",$C578&lt;TODAY()),"",$C578)</f>
        <v/>
      </c>
      <c r="U578">
        <f>IF(AND($D578&lt;&gt;"Доход",COUNTIFS(Счета!$B$10:$B$21,$J578,Счета!$C$10:$C$21,"Кредитная")&gt;0),1,0)</f>
        <v/>
      </c>
    </row>
    <row r="579" ht="19" customHeight="1">
      <c r="B579" s="53">
        <f>IF(AND($C579="",$F579=""),"",ROW()-9)</f>
        <v/>
      </c>
      <c r="C579" s="213" t="n"/>
      <c r="D579" s="55" t="n"/>
      <c r="E579" s="55" t="n"/>
      <c r="F579" s="56" t="n"/>
      <c r="G579" s="196" t="n"/>
      <c r="H579" s="196" t="n"/>
      <c r="I579" s="55" t="n"/>
      <c r="J579" s="55" t="n"/>
      <c r="K579" s="55" t="n"/>
      <c r="L579" s="100">
        <f>IF(OR($C579="",$I579="Оплачено",$I579="Отменено",$H579&lt;&gt;""),"",$C579-TODAY())</f>
        <v/>
      </c>
      <c r="M579" s="101">
        <f>IF($C579="","",INDEX(Настройки!$V$6:$V$17,MONTH($C579))&amp;" "&amp;YEAR($C579))</f>
        <v/>
      </c>
      <c r="N579" s="57">
        <f>IF($F579="","",IF(COUNTIF(Постоянные!$C$8:$C$37,$F579)&gt;0,"есть в Постоянных",IF(COUNTIF(Покупки!$C$7:$C$18,$F579)&gt;0,"есть в Покупках","")))</f>
        <v/>
      </c>
      <c r="P579">
        <f>IF($H579&lt;&gt;"",$H579,IF($I579="Оплачено",N($G579),0))</f>
        <v/>
      </c>
      <c r="Q579">
        <f>IF($I579="Отменено",0,IF($G579&lt;&gt;"",$G579,N($H579)))</f>
        <v/>
      </c>
      <c r="R579">
        <f>IF($C579="","",IFERROR(DATE(Настройки!$C$8,Настройки!$D$9+MATCH($M579,Настройки!$X$6:$X$17,0)-1,1),DATE(YEAR($C579),MONTH($C579),1)))</f>
        <v/>
      </c>
      <c r="S579">
        <f>IF(OR($I579="Оплачено",$H579&lt;&gt;""),$P579,$Q579)</f>
        <v/>
      </c>
      <c r="T579">
        <f>IF(OR($C579="",$D579="Доход",$I579="Оплачено",$I579="Отменено",$H579&lt;&gt;"",$C579&lt;TODAY()),"",$C579)</f>
        <v/>
      </c>
      <c r="U579">
        <f>IF(AND($D579&lt;&gt;"Доход",COUNTIFS(Счета!$B$10:$B$21,$J579,Счета!$C$10:$C$21,"Кредитная")&gt;0),1,0)</f>
        <v/>
      </c>
    </row>
    <row r="580" ht="19" customHeight="1">
      <c r="B580" s="53">
        <f>IF(AND($C580="",$F580=""),"",ROW()-9)</f>
        <v/>
      </c>
      <c r="C580" s="213" t="n"/>
      <c r="D580" s="55" t="n"/>
      <c r="E580" s="55" t="n"/>
      <c r="F580" s="56" t="n"/>
      <c r="G580" s="196" t="n"/>
      <c r="H580" s="196" t="n"/>
      <c r="I580" s="55" t="n"/>
      <c r="J580" s="55" t="n"/>
      <c r="K580" s="55" t="n"/>
      <c r="L580" s="100">
        <f>IF(OR($C580="",$I580="Оплачено",$I580="Отменено",$H580&lt;&gt;""),"",$C580-TODAY())</f>
        <v/>
      </c>
      <c r="M580" s="101">
        <f>IF($C580="","",INDEX(Настройки!$V$6:$V$17,MONTH($C580))&amp;" "&amp;YEAR($C580))</f>
        <v/>
      </c>
      <c r="N580" s="57">
        <f>IF($F580="","",IF(COUNTIF(Постоянные!$C$8:$C$37,$F580)&gt;0,"есть в Постоянных",IF(COUNTIF(Покупки!$C$7:$C$18,$F580)&gt;0,"есть в Покупках","")))</f>
        <v/>
      </c>
      <c r="P580">
        <f>IF($H580&lt;&gt;"",$H580,IF($I580="Оплачено",N($G580),0))</f>
        <v/>
      </c>
      <c r="Q580">
        <f>IF($I580="Отменено",0,IF($G580&lt;&gt;"",$G580,N($H580)))</f>
        <v/>
      </c>
      <c r="R580">
        <f>IF($C580="","",IFERROR(DATE(Настройки!$C$8,Настройки!$D$9+MATCH($M580,Настройки!$X$6:$X$17,0)-1,1),DATE(YEAR($C580),MONTH($C580),1)))</f>
        <v/>
      </c>
      <c r="S580">
        <f>IF(OR($I580="Оплачено",$H580&lt;&gt;""),$P580,$Q580)</f>
        <v/>
      </c>
      <c r="T580">
        <f>IF(OR($C580="",$D580="Доход",$I580="Оплачено",$I580="Отменено",$H580&lt;&gt;"",$C580&lt;TODAY()),"",$C580)</f>
        <v/>
      </c>
      <c r="U580">
        <f>IF(AND($D580&lt;&gt;"Доход",COUNTIFS(Счета!$B$10:$B$21,$J580,Счета!$C$10:$C$21,"Кредитная")&gt;0),1,0)</f>
        <v/>
      </c>
    </row>
    <row r="581" ht="19" customHeight="1">
      <c r="B581" s="53">
        <f>IF(AND($C581="",$F581=""),"",ROW()-9)</f>
        <v/>
      </c>
      <c r="C581" s="213" t="n"/>
      <c r="D581" s="55" t="n"/>
      <c r="E581" s="55" t="n"/>
      <c r="F581" s="56" t="n"/>
      <c r="G581" s="196" t="n"/>
      <c r="H581" s="196" t="n"/>
      <c r="I581" s="55" t="n"/>
      <c r="J581" s="55" t="n"/>
      <c r="K581" s="55" t="n"/>
      <c r="L581" s="100">
        <f>IF(OR($C581="",$I581="Оплачено",$I581="Отменено",$H581&lt;&gt;""),"",$C581-TODAY())</f>
        <v/>
      </c>
      <c r="M581" s="101">
        <f>IF($C581="","",INDEX(Настройки!$V$6:$V$17,MONTH($C581))&amp;" "&amp;YEAR($C581))</f>
        <v/>
      </c>
      <c r="N581" s="57">
        <f>IF($F581="","",IF(COUNTIF(Постоянные!$C$8:$C$37,$F581)&gt;0,"есть в Постоянных",IF(COUNTIF(Покупки!$C$7:$C$18,$F581)&gt;0,"есть в Покупках","")))</f>
        <v/>
      </c>
      <c r="P581">
        <f>IF($H581&lt;&gt;"",$H581,IF($I581="Оплачено",N($G581),0))</f>
        <v/>
      </c>
      <c r="Q581">
        <f>IF($I581="Отменено",0,IF($G581&lt;&gt;"",$G581,N($H581)))</f>
        <v/>
      </c>
      <c r="R581">
        <f>IF($C581="","",IFERROR(DATE(Настройки!$C$8,Настройки!$D$9+MATCH($M581,Настройки!$X$6:$X$17,0)-1,1),DATE(YEAR($C581),MONTH($C581),1)))</f>
        <v/>
      </c>
      <c r="S581">
        <f>IF(OR($I581="Оплачено",$H581&lt;&gt;""),$P581,$Q581)</f>
        <v/>
      </c>
      <c r="T581">
        <f>IF(OR($C581="",$D581="Доход",$I581="Оплачено",$I581="Отменено",$H581&lt;&gt;"",$C581&lt;TODAY()),"",$C581)</f>
        <v/>
      </c>
      <c r="U581">
        <f>IF(AND($D581&lt;&gt;"Доход",COUNTIFS(Счета!$B$10:$B$21,$J581,Счета!$C$10:$C$21,"Кредитная")&gt;0),1,0)</f>
        <v/>
      </c>
    </row>
    <row r="582" ht="19" customHeight="1">
      <c r="B582" s="53">
        <f>IF(AND($C582="",$F582=""),"",ROW()-9)</f>
        <v/>
      </c>
      <c r="C582" s="213" t="n"/>
      <c r="D582" s="55" t="n"/>
      <c r="E582" s="55" t="n"/>
      <c r="F582" s="56" t="n"/>
      <c r="G582" s="196" t="n"/>
      <c r="H582" s="196" t="n"/>
      <c r="I582" s="55" t="n"/>
      <c r="J582" s="55" t="n"/>
      <c r="K582" s="55" t="n"/>
      <c r="L582" s="100">
        <f>IF(OR($C582="",$I582="Оплачено",$I582="Отменено",$H582&lt;&gt;""),"",$C582-TODAY())</f>
        <v/>
      </c>
      <c r="M582" s="101">
        <f>IF($C582="","",INDEX(Настройки!$V$6:$V$17,MONTH($C582))&amp;" "&amp;YEAR($C582))</f>
        <v/>
      </c>
      <c r="N582" s="57">
        <f>IF($F582="","",IF(COUNTIF(Постоянные!$C$8:$C$37,$F582)&gt;0,"есть в Постоянных",IF(COUNTIF(Покупки!$C$7:$C$18,$F582)&gt;0,"есть в Покупках","")))</f>
        <v/>
      </c>
      <c r="P582">
        <f>IF($H582&lt;&gt;"",$H582,IF($I582="Оплачено",N($G582),0))</f>
        <v/>
      </c>
      <c r="Q582">
        <f>IF($I582="Отменено",0,IF($G582&lt;&gt;"",$G582,N($H582)))</f>
        <v/>
      </c>
      <c r="R582">
        <f>IF($C582="","",IFERROR(DATE(Настройки!$C$8,Настройки!$D$9+MATCH($M582,Настройки!$X$6:$X$17,0)-1,1),DATE(YEAR($C582),MONTH($C582),1)))</f>
        <v/>
      </c>
      <c r="S582">
        <f>IF(OR($I582="Оплачено",$H582&lt;&gt;""),$P582,$Q582)</f>
        <v/>
      </c>
      <c r="T582">
        <f>IF(OR($C582="",$D582="Доход",$I582="Оплачено",$I582="Отменено",$H582&lt;&gt;"",$C582&lt;TODAY()),"",$C582)</f>
        <v/>
      </c>
      <c r="U582">
        <f>IF(AND($D582&lt;&gt;"Доход",COUNTIFS(Счета!$B$10:$B$21,$J582,Счета!$C$10:$C$21,"Кредитная")&gt;0),1,0)</f>
        <v/>
      </c>
    </row>
    <row r="583" ht="19" customHeight="1">
      <c r="B583" s="53">
        <f>IF(AND($C583="",$F583=""),"",ROW()-9)</f>
        <v/>
      </c>
      <c r="C583" s="213" t="n"/>
      <c r="D583" s="55" t="n"/>
      <c r="E583" s="55" t="n"/>
      <c r="F583" s="56" t="n"/>
      <c r="G583" s="196" t="n"/>
      <c r="H583" s="196" t="n"/>
      <c r="I583" s="55" t="n"/>
      <c r="J583" s="55" t="n"/>
      <c r="K583" s="55" t="n"/>
      <c r="L583" s="100">
        <f>IF(OR($C583="",$I583="Оплачено",$I583="Отменено",$H583&lt;&gt;""),"",$C583-TODAY())</f>
        <v/>
      </c>
      <c r="M583" s="101">
        <f>IF($C583="","",INDEX(Настройки!$V$6:$V$17,MONTH($C583))&amp;" "&amp;YEAR($C583))</f>
        <v/>
      </c>
      <c r="N583" s="57">
        <f>IF($F583="","",IF(COUNTIF(Постоянные!$C$8:$C$37,$F583)&gt;0,"есть в Постоянных",IF(COUNTIF(Покупки!$C$7:$C$18,$F583)&gt;0,"есть в Покупках","")))</f>
        <v/>
      </c>
      <c r="P583">
        <f>IF($H583&lt;&gt;"",$H583,IF($I583="Оплачено",N($G583),0))</f>
        <v/>
      </c>
      <c r="Q583">
        <f>IF($I583="Отменено",0,IF($G583&lt;&gt;"",$G583,N($H583)))</f>
        <v/>
      </c>
      <c r="R583">
        <f>IF($C583="","",IFERROR(DATE(Настройки!$C$8,Настройки!$D$9+MATCH($M583,Настройки!$X$6:$X$17,0)-1,1),DATE(YEAR($C583),MONTH($C583),1)))</f>
        <v/>
      </c>
      <c r="S583">
        <f>IF(OR($I583="Оплачено",$H583&lt;&gt;""),$P583,$Q583)</f>
        <v/>
      </c>
      <c r="T583">
        <f>IF(OR($C583="",$D583="Доход",$I583="Оплачено",$I583="Отменено",$H583&lt;&gt;"",$C583&lt;TODAY()),"",$C583)</f>
        <v/>
      </c>
      <c r="U583">
        <f>IF(AND($D583&lt;&gt;"Доход",COUNTIFS(Счета!$B$10:$B$21,$J583,Счета!$C$10:$C$21,"Кредитная")&gt;0),1,0)</f>
        <v/>
      </c>
    </row>
    <row r="584" ht="19" customHeight="1">
      <c r="B584" s="53">
        <f>IF(AND($C584="",$F584=""),"",ROW()-9)</f>
        <v/>
      </c>
      <c r="C584" s="213" t="n"/>
      <c r="D584" s="55" t="n"/>
      <c r="E584" s="55" t="n"/>
      <c r="F584" s="56" t="n"/>
      <c r="G584" s="196" t="n"/>
      <c r="H584" s="196" t="n"/>
      <c r="I584" s="55" t="n"/>
      <c r="J584" s="55" t="n"/>
      <c r="K584" s="55" t="n"/>
      <c r="L584" s="100">
        <f>IF(OR($C584="",$I584="Оплачено",$I584="Отменено",$H584&lt;&gt;""),"",$C584-TODAY())</f>
        <v/>
      </c>
      <c r="M584" s="101">
        <f>IF($C584="","",INDEX(Настройки!$V$6:$V$17,MONTH($C584))&amp;" "&amp;YEAR($C584))</f>
        <v/>
      </c>
      <c r="N584" s="57">
        <f>IF($F584="","",IF(COUNTIF(Постоянные!$C$8:$C$37,$F584)&gt;0,"есть в Постоянных",IF(COUNTIF(Покупки!$C$7:$C$18,$F584)&gt;0,"есть в Покупках","")))</f>
        <v/>
      </c>
      <c r="P584">
        <f>IF($H584&lt;&gt;"",$H584,IF($I584="Оплачено",N($G584),0))</f>
        <v/>
      </c>
      <c r="Q584">
        <f>IF($I584="Отменено",0,IF($G584&lt;&gt;"",$G584,N($H584)))</f>
        <v/>
      </c>
      <c r="R584">
        <f>IF($C584="","",IFERROR(DATE(Настройки!$C$8,Настройки!$D$9+MATCH($M584,Настройки!$X$6:$X$17,0)-1,1),DATE(YEAR($C584),MONTH($C584),1)))</f>
        <v/>
      </c>
      <c r="S584">
        <f>IF(OR($I584="Оплачено",$H584&lt;&gt;""),$P584,$Q584)</f>
        <v/>
      </c>
      <c r="T584">
        <f>IF(OR($C584="",$D584="Доход",$I584="Оплачено",$I584="Отменено",$H584&lt;&gt;"",$C584&lt;TODAY()),"",$C584)</f>
        <v/>
      </c>
      <c r="U584">
        <f>IF(AND($D584&lt;&gt;"Доход",COUNTIFS(Счета!$B$10:$B$21,$J584,Счета!$C$10:$C$21,"Кредитная")&gt;0),1,0)</f>
        <v/>
      </c>
    </row>
    <row r="585" ht="19" customHeight="1">
      <c r="B585" s="53">
        <f>IF(AND($C585="",$F585=""),"",ROW()-9)</f>
        <v/>
      </c>
      <c r="C585" s="213" t="n"/>
      <c r="D585" s="55" t="n"/>
      <c r="E585" s="55" t="n"/>
      <c r="F585" s="56" t="n"/>
      <c r="G585" s="196" t="n"/>
      <c r="H585" s="196" t="n"/>
      <c r="I585" s="55" t="n"/>
      <c r="J585" s="55" t="n"/>
      <c r="K585" s="55" t="n"/>
      <c r="L585" s="100">
        <f>IF(OR($C585="",$I585="Оплачено",$I585="Отменено",$H585&lt;&gt;""),"",$C585-TODAY())</f>
        <v/>
      </c>
      <c r="M585" s="101">
        <f>IF($C585="","",INDEX(Настройки!$V$6:$V$17,MONTH($C585))&amp;" "&amp;YEAR($C585))</f>
        <v/>
      </c>
      <c r="N585" s="57">
        <f>IF($F585="","",IF(COUNTIF(Постоянные!$C$8:$C$37,$F585)&gt;0,"есть в Постоянных",IF(COUNTIF(Покупки!$C$7:$C$18,$F585)&gt;0,"есть в Покупках","")))</f>
        <v/>
      </c>
      <c r="P585">
        <f>IF($H585&lt;&gt;"",$H585,IF($I585="Оплачено",N($G585),0))</f>
        <v/>
      </c>
      <c r="Q585">
        <f>IF($I585="Отменено",0,IF($G585&lt;&gt;"",$G585,N($H585)))</f>
        <v/>
      </c>
      <c r="R585">
        <f>IF($C585="","",IFERROR(DATE(Настройки!$C$8,Настройки!$D$9+MATCH($M585,Настройки!$X$6:$X$17,0)-1,1),DATE(YEAR($C585),MONTH($C585),1)))</f>
        <v/>
      </c>
      <c r="S585">
        <f>IF(OR($I585="Оплачено",$H585&lt;&gt;""),$P585,$Q585)</f>
        <v/>
      </c>
      <c r="T585">
        <f>IF(OR($C585="",$D585="Доход",$I585="Оплачено",$I585="Отменено",$H585&lt;&gt;"",$C585&lt;TODAY()),"",$C585)</f>
        <v/>
      </c>
      <c r="U585">
        <f>IF(AND($D585&lt;&gt;"Доход",COUNTIFS(Счета!$B$10:$B$21,$J585,Счета!$C$10:$C$21,"Кредитная")&gt;0),1,0)</f>
        <v/>
      </c>
    </row>
    <row r="586" ht="19" customHeight="1">
      <c r="B586" s="53">
        <f>IF(AND($C586="",$F586=""),"",ROW()-9)</f>
        <v/>
      </c>
      <c r="C586" s="213" t="n"/>
      <c r="D586" s="55" t="n"/>
      <c r="E586" s="55" t="n"/>
      <c r="F586" s="56" t="n"/>
      <c r="G586" s="196" t="n"/>
      <c r="H586" s="196" t="n"/>
      <c r="I586" s="55" t="n"/>
      <c r="J586" s="55" t="n"/>
      <c r="K586" s="55" t="n"/>
      <c r="L586" s="100">
        <f>IF(OR($C586="",$I586="Оплачено",$I586="Отменено",$H586&lt;&gt;""),"",$C586-TODAY())</f>
        <v/>
      </c>
      <c r="M586" s="101">
        <f>IF($C586="","",INDEX(Настройки!$V$6:$V$17,MONTH($C586))&amp;" "&amp;YEAR($C586))</f>
        <v/>
      </c>
      <c r="N586" s="57">
        <f>IF($F586="","",IF(COUNTIF(Постоянные!$C$8:$C$37,$F586)&gt;0,"есть в Постоянных",IF(COUNTIF(Покупки!$C$7:$C$18,$F586)&gt;0,"есть в Покупках","")))</f>
        <v/>
      </c>
      <c r="P586">
        <f>IF($H586&lt;&gt;"",$H586,IF($I586="Оплачено",N($G586),0))</f>
        <v/>
      </c>
      <c r="Q586">
        <f>IF($I586="Отменено",0,IF($G586&lt;&gt;"",$G586,N($H586)))</f>
        <v/>
      </c>
      <c r="R586">
        <f>IF($C586="","",IFERROR(DATE(Настройки!$C$8,Настройки!$D$9+MATCH($M586,Настройки!$X$6:$X$17,0)-1,1),DATE(YEAR($C586),MONTH($C586),1)))</f>
        <v/>
      </c>
      <c r="S586">
        <f>IF(OR($I586="Оплачено",$H586&lt;&gt;""),$P586,$Q586)</f>
        <v/>
      </c>
      <c r="T586">
        <f>IF(OR($C586="",$D586="Доход",$I586="Оплачено",$I586="Отменено",$H586&lt;&gt;"",$C586&lt;TODAY()),"",$C586)</f>
        <v/>
      </c>
      <c r="U586">
        <f>IF(AND($D586&lt;&gt;"Доход",COUNTIFS(Счета!$B$10:$B$21,$J586,Счета!$C$10:$C$21,"Кредитная")&gt;0),1,0)</f>
        <v/>
      </c>
    </row>
    <row r="587" ht="19" customHeight="1">
      <c r="B587" s="53">
        <f>IF(AND($C587="",$F587=""),"",ROW()-9)</f>
        <v/>
      </c>
      <c r="C587" s="213" t="n"/>
      <c r="D587" s="55" t="n"/>
      <c r="E587" s="55" t="n"/>
      <c r="F587" s="56" t="n"/>
      <c r="G587" s="196" t="n"/>
      <c r="H587" s="196" t="n"/>
      <c r="I587" s="55" t="n"/>
      <c r="J587" s="55" t="n"/>
      <c r="K587" s="55" t="n"/>
      <c r="L587" s="100">
        <f>IF(OR($C587="",$I587="Оплачено",$I587="Отменено",$H587&lt;&gt;""),"",$C587-TODAY())</f>
        <v/>
      </c>
      <c r="M587" s="101">
        <f>IF($C587="","",INDEX(Настройки!$V$6:$V$17,MONTH($C587))&amp;" "&amp;YEAR($C587))</f>
        <v/>
      </c>
      <c r="N587" s="57">
        <f>IF($F587="","",IF(COUNTIF(Постоянные!$C$8:$C$37,$F587)&gt;0,"есть в Постоянных",IF(COUNTIF(Покупки!$C$7:$C$18,$F587)&gt;0,"есть в Покупках","")))</f>
        <v/>
      </c>
      <c r="P587">
        <f>IF($H587&lt;&gt;"",$H587,IF($I587="Оплачено",N($G587),0))</f>
        <v/>
      </c>
      <c r="Q587">
        <f>IF($I587="Отменено",0,IF($G587&lt;&gt;"",$G587,N($H587)))</f>
        <v/>
      </c>
      <c r="R587">
        <f>IF($C587="","",IFERROR(DATE(Настройки!$C$8,Настройки!$D$9+MATCH($M587,Настройки!$X$6:$X$17,0)-1,1),DATE(YEAR($C587),MONTH($C587),1)))</f>
        <v/>
      </c>
      <c r="S587">
        <f>IF(OR($I587="Оплачено",$H587&lt;&gt;""),$P587,$Q587)</f>
        <v/>
      </c>
      <c r="T587">
        <f>IF(OR($C587="",$D587="Доход",$I587="Оплачено",$I587="Отменено",$H587&lt;&gt;"",$C587&lt;TODAY()),"",$C587)</f>
        <v/>
      </c>
      <c r="U587">
        <f>IF(AND($D587&lt;&gt;"Доход",COUNTIFS(Счета!$B$10:$B$21,$J587,Счета!$C$10:$C$21,"Кредитная")&gt;0),1,0)</f>
        <v/>
      </c>
    </row>
    <row r="588" ht="19" customHeight="1">
      <c r="B588" s="53">
        <f>IF(AND($C588="",$F588=""),"",ROW()-9)</f>
        <v/>
      </c>
      <c r="C588" s="213" t="n"/>
      <c r="D588" s="55" t="n"/>
      <c r="E588" s="55" t="n"/>
      <c r="F588" s="56" t="n"/>
      <c r="G588" s="196" t="n"/>
      <c r="H588" s="196" t="n"/>
      <c r="I588" s="55" t="n"/>
      <c r="J588" s="55" t="n"/>
      <c r="K588" s="55" t="n"/>
      <c r="L588" s="100">
        <f>IF(OR($C588="",$I588="Оплачено",$I588="Отменено",$H588&lt;&gt;""),"",$C588-TODAY())</f>
        <v/>
      </c>
      <c r="M588" s="101">
        <f>IF($C588="","",INDEX(Настройки!$V$6:$V$17,MONTH($C588))&amp;" "&amp;YEAR($C588))</f>
        <v/>
      </c>
      <c r="N588" s="57">
        <f>IF($F588="","",IF(COUNTIF(Постоянные!$C$8:$C$37,$F588)&gt;0,"есть в Постоянных",IF(COUNTIF(Покупки!$C$7:$C$18,$F588)&gt;0,"есть в Покупках","")))</f>
        <v/>
      </c>
      <c r="P588">
        <f>IF($H588&lt;&gt;"",$H588,IF($I588="Оплачено",N($G588),0))</f>
        <v/>
      </c>
      <c r="Q588">
        <f>IF($I588="Отменено",0,IF($G588&lt;&gt;"",$G588,N($H588)))</f>
        <v/>
      </c>
      <c r="R588">
        <f>IF($C588="","",IFERROR(DATE(Настройки!$C$8,Настройки!$D$9+MATCH($M588,Настройки!$X$6:$X$17,0)-1,1),DATE(YEAR($C588),MONTH($C588),1)))</f>
        <v/>
      </c>
      <c r="S588">
        <f>IF(OR($I588="Оплачено",$H588&lt;&gt;""),$P588,$Q588)</f>
        <v/>
      </c>
      <c r="T588">
        <f>IF(OR($C588="",$D588="Доход",$I588="Оплачено",$I588="Отменено",$H588&lt;&gt;"",$C588&lt;TODAY()),"",$C588)</f>
        <v/>
      </c>
      <c r="U588">
        <f>IF(AND($D588&lt;&gt;"Доход",COUNTIFS(Счета!$B$10:$B$21,$J588,Счета!$C$10:$C$21,"Кредитная")&gt;0),1,0)</f>
        <v/>
      </c>
    </row>
    <row r="589" ht="19" customHeight="1">
      <c r="B589" s="53">
        <f>IF(AND($C589="",$F589=""),"",ROW()-9)</f>
        <v/>
      </c>
      <c r="C589" s="213" t="n"/>
      <c r="D589" s="55" t="n"/>
      <c r="E589" s="55" t="n"/>
      <c r="F589" s="56" t="n"/>
      <c r="G589" s="196" t="n"/>
      <c r="H589" s="196" t="n"/>
      <c r="I589" s="55" t="n"/>
      <c r="J589" s="55" t="n"/>
      <c r="K589" s="55" t="n"/>
      <c r="L589" s="100">
        <f>IF(OR($C589="",$I589="Оплачено",$I589="Отменено",$H589&lt;&gt;""),"",$C589-TODAY())</f>
        <v/>
      </c>
      <c r="M589" s="101">
        <f>IF($C589="","",INDEX(Настройки!$V$6:$V$17,MONTH($C589))&amp;" "&amp;YEAR($C589))</f>
        <v/>
      </c>
      <c r="N589" s="57">
        <f>IF($F589="","",IF(COUNTIF(Постоянные!$C$8:$C$37,$F589)&gt;0,"есть в Постоянных",IF(COUNTIF(Покупки!$C$7:$C$18,$F589)&gt;0,"есть в Покупках","")))</f>
        <v/>
      </c>
      <c r="P589">
        <f>IF($H589&lt;&gt;"",$H589,IF($I589="Оплачено",N($G589),0))</f>
        <v/>
      </c>
      <c r="Q589">
        <f>IF($I589="Отменено",0,IF($G589&lt;&gt;"",$G589,N($H589)))</f>
        <v/>
      </c>
      <c r="R589">
        <f>IF($C589="","",IFERROR(DATE(Настройки!$C$8,Настройки!$D$9+MATCH($M589,Настройки!$X$6:$X$17,0)-1,1),DATE(YEAR($C589),MONTH($C589),1)))</f>
        <v/>
      </c>
      <c r="S589">
        <f>IF(OR($I589="Оплачено",$H589&lt;&gt;""),$P589,$Q589)</f>
        <v/>
      </c>
      <c r="T589">
        <f>IF(OR($C589="",$D589="Доход",$I589="Оплачено",$I589="Отменено",$H589&lt;&gt;"",$C589&lt;TODAY()),"",$C589)</f>
        <v/>
      </c>
      <c r="U589">
        <f>IF(AND($D589&lt;&gt;"Доход",COUNTIFS(Счета!$B$10:$B$21,$J589,Счета!$C$10:$C$21,"Кредитная")&gt;0),1,0)</f>
        <v/>
      </c>
    </row>
    <row r="590" ht="19" customHeight="1">
      <c r="B590" s="53">
        <f>IF(AND($C590="",$F590=""),"",ROW()-9)</f>
        <v/>
      </c>
      <c r="C590" s="213" t="n"/>
      <c r="D590" s="55" t="n"/>
      <c r="E590" s="55" t="n"/>
      <c r="F590" s="56" t="n"/>
      <c r="G590" s="196" t="n"/>
      <c r="H590" s="196" t="n"/>
      <c r="I590" s="55" t="n"/>
      <c r="J590" s="55" t="n"/>
      <c r="K590" s="55" t="n"/>
      <c r="L590" s="100">
        <f>IF(OR($C590="",$I590="Оплачено",$I590="Отменено",$H590&lt;&gt;""),"",$C590-TODAY())</f>
        <v/>
      </c>
      <c r="M590" s="101">
        <f>IF($C590="","",INDEX(Настройки!$V$6:$V$17,MONTH($C590))&amp;" "&amp;YEAR($C590))</f>
        <v/>
      </c>
      <c r="N590" s="57">
        <f>IF($F590="","",IF(COUNTIF(Постоянные!$C$8:$C$37,$F590)&gt;0,"есть в Постоянных",IF(COUNTIF(Покупки!$C$7:$C$18,$F590)&gt;0,"есть в Покупках","")))</f>
        <v/>
      </c>
      <c r="P590">
        <f>IF($H590&lt;&gt;"",$H590,IF($I590="Оплачено",N($G590),0))</f>
        <v/>
      </c>
      <c r="Q590">
        <f>IF($I590="Отменено",0,IF($G590&lt;&gt;"",$G590,N($H590)))</f>
        <v/>
      </c>
      <c r="R590">
        <f>IF($C590="","",IFERROR(DATE(Настройки!$C$8,Настройки!$D$9+MATCH($M590,Настройки!$X$6:$X$17,0)-1,1),DATE(YEAR($C590),MONTH($C590),1)))</f>
        <v/>
      </c>
      <c r="S590">
        <f>IF(OR($I590="Оплачено",$H590&lt;&gt;""),$P590,$Q590)</f>
        <v/>
      </c>
      <c r="T590">
        <f>IF(OR($C590="",$D590="Доход",$I590="Оплачено",$I590="Отменено",$H590&lt;&gt;"",$C590&lt;TODAY()),"",$C590)</f>
        <v/>
      </c>
      <c r="U590">
        <f>IF(AND($D590&lt;&gt;"Доход",COUNTIFS(Счета!$B$10:$B$21,$J590,Счета!$C$10:$C$21,"Кредитная")&gt;0),1,0)</f>
        <v/>
      </c>
    </row>
    <row r="591" ht="19" customHeight="1">
      <c r="B591" s="53">
        <f>IF(AND($C591="",$F591=""),"",ROW()-9)</f>
        <v/>
      </c>
      <c r="C591" s="213" t="n"/>
      <c r="D591" s="55" t="n"/>
      <c r="E591" s="55" t="n"/>
      <c r="F591" s="56" t="n"/>
      <c r="G591" s="196" t="n"/>
      <c r="H591" s="196" t="n"/>
      <c r="I591" s="55" t="n"/>
      <c r="J591" s="55" t="n"/>
      <c r="K591" s="55" t="n"/>
      <c r="L591" s="100">
        <f>IF(OR($C591="",$I591="Оплачено",$I591="Отменено",$H591&lt;&gt;""),"",$C591-TODAY())</f>
        <v/>
      </c>
      <c r="M591" s="101">
        <f>IF($C591="","",INDEX(Настройки!$V$6:$V$17,MONTH($C591))&amp;" "&amp;YEAR($C591))</f>
        <v/>
      </c>
      <c r="N591" s="57">
        <f>IF($F591="","",IF(COUNTIF(Постоянные!$C$8:$C$37,$F591)&gt;0,"есть в Постоянных",IF(COUNTIF(Покупки!$C$7:$C$18,$F591)&gt;0,"есть в Покупках","")))</f>
        <v/>
      </c>
      <c r="P591">
        <f>IF($H591&lt;&gt;"",$H591,IF($I591="Оплачено",N($G591),0))</f>
        <v/>
      </c>
      <c r="Q591">
        <f>IF($I591="Отменено",0,IF($G591&lt;&gt;"",$G591,N($H591)))</f>
        <v/>
      </c>
      <c r="R591">
        <f>IF($C591="","",IFERROR(DATE(Настройки!$C$8,Настройки!$D$9+MATCH($M591,Настройки!$X$6:$X$17,0)-1,1),DATE(YEAR($C591),MONTH($C591),1)))</f>
        <v/>
      </c>
      <c r="S591">
        <f>IF(OR($I591="Оплачено",$H591&lt;&gt;""),$P591,$Q591)</f>
        <v/>
      </c>
      <c r="T591">
        <f>IF(OR($C591="",$D591="Доход",$I591="Оплачено",$I591="Отменено",$H591&lt;&gt;"",$C591&lt;TODAY()),"",$C591)</f>
        <v/>
      </c>
      <c r="U591">
        <f>IF(AND($D591&lt;&gt;"Доход",COUNTIFS(Счета!$B$10:$B$21,$J591,Счета!$C$10:$C$21,"Кредитная")&gt;0),1,0)</f>
        <v/>
      </c>
    </row>
    <row r="592" ht="19" customHeight="1">
      <c r="B592" s="53">
        <f>IF(AND($C592="",$F592=""),"",ROW()-9)</f>
        <v/>
      </c>
      <c r="C592" s="213" t="n"/>
      <c r="D592" s="55" t="n"/>
      <c r="E592" s="55" t="n"/>
      <c r="F592" s="56" t="n"/>
      <c r="G592" s="196" t="n"/>
      <c r="H592" s="196" t="n"/>
      <c r="I592" s="55" t="n"/>
      <c r="J592" s="55" t="n"/>
      <c r="K592" s="55" t="n"/>
      <c r="L592" s="100">
        <f>IF(OR($C592="",$I592="Оплачено",$I592="Отменено",$H592&lt;&gt;""),"",$C592-TODAY())</f>
        <v/>
      </c>
      <c r="M592" s="101">
        <f>IF($C592="","",INDEX(Настройки!$V$6:$V$17,MONTH($C592))&amp;" "&amp;YEAR($C592))</f>
        <v/>
      </c>
      <c r="N592" s="57">
        <f>IF($F592="","",IF(COUNTIF(Постоянные!$C$8:$C$37,$F592)&gt;0,"есть в Постоянных",IF(COUNTIF(Покупки!$C$7:$C$18,$F592)&gt;0,"есть в Покупках","")))</f>
        <v/>
      </c>
      <c r="P592">
        <f>IF($H592&lt;&gt;"",$H592,IF($I592="Оплачено",N($G592),0))</f>
        <v/>
      </c>
      <c r="Q592">
        <f>IF($I592="Отменено",0,IF($G592&lt;&gt;"",$G592,N($H592)))</f>
        <v/>
      </c>
      <c r="R592">
        <f>IF($C592="","",IFERROR(DATE(Настройки!$C$8,Настройки!$D$9+MATCH($M592,Настройки!$X$6:$X$17,0)-1,1),DATE(YEAR($C592),MONTH($C592),1)))</f>
        <v/>
      </c>
      <c r="S592">
        <f>IF(OR($I592="Оплачено",$H592&lt;&gt;""),$P592,$Q592)</f>
        <v/>
      </c>
      <c r="T592">
        <f>IF(OR($C592="",$D592="Доход",$I592="Оплачено",$I592="Отменено",$H592&lt;&gt;"",$C592&lt;TODAY()),"",$C592)</f>
        <v/>
      </c>
      <c r="U592">
        <f>IF(AND($D592&lt;&gt;"Доход",COUNTIFS(Счета!$B$10:$B$21,$J592,Счета!$C$10:$C$21,"Кредитная")&gt;0),1,0)</f>
        <v/>
      </c>
    </row>
    <row r="593" ht="19" customHeight="1">
      <c r="B593" s="53">
        <f>IF(AND($C593="",$F593=""),"",ROW()-9)</f>
        <v/>
      </c>
      <c r="C593" s="213" t="n"/>
      <c r="D593" s="55" t="n"/>
      <c r="E593" s="55" t="n"/>
      <c r="F593" s="56" t="n"/>
      <c r="G593" s="196" t="n"/>
      <c r="H593" s="196" t="n"/>
      <c r="I593" s="55" t="n"/>
      <c r="J593" s="55" t="n"/>
      <c r="K593" s="55" t="n"/>
      <c r="L593" s="100">
        <f>IF(OR($C593="",$I593="Оплачено",$I593="Отменено",$H593&lt;&gt;""),"",$C593-TODAY())</f>
        <v/>
      </c>
      <c r="M593" s="101">
        <f>IF($C593="","",INDEX(Настройки!$V$6:$V$17,MONTH($C593))&amp;" "&amp;YEAR($C593))</f>
        <v/>
      </c>
      <c r="N593" s="57">
        <f>IF($F593="","",IF(COUNTIF(Постоянные!$C$8:$C$37,$F593)&gt;0,"есть в Постоянных",IF(COUNTIF(Покупки!$C$7:$C$18,$F593)&gt;0,"есть в Покупках","")))</f>
        <v/>
      </c>
      <c r="P593">
        <f>IF($H593&lt;&gt;"",$H593,IF($I593="Оплачено",N($G593),0))</f>
        <v/>
      </c>
      <c r="Q593">
        <f>IF($I593="Отменено",0,IF($G593&lt;&gt;"",$G593,N($H593)))</f>
        <v/>
      </c>
      <c r="R593">
        <f>IF($C593="","",IFERROR(DATE(Настройки!$C$8,Настройки!$D$9+MATCH($M593,Настройки!$X$6:$X$17,0)-1,1),DATE(YEAR($C593),MONTH($C593),1)))</f>
        <v/>
      </c>
      <c r="S593">
        <f>IF(OR($I593="Оплачено",$H593&lt;&gt;""),$P593,$Q593)</f>
        <v/>
      </c>
      <c r="T593">
        <f>IF(OR($C593="",$D593="Доход",$I593="Оплачено",$I593="Отменено",$H593&lt;&gt;"",$C593&lt;TODAY()),"",$C593)</f>
        <v/>
      </c>
      <c r="U593">
        <f>IF(AND($D593&lt;&gt;"Доход",COUNTIFS(Счета!$B$10:$B$21,$J593,Счета!$C$10:$C$21,"Кредитная")&gt;0),1,0)</f>
        <v/>
      </c>
    </row>
    <row r="594" ht="19" customHeight="1">
      <c r="B594" s="53">
        <f>IF(AND($C594="",$F594=""),"",ROW()-9)</f>
        <v/>
      </c>
      <c r="C594" s="213" t="n"/>
      <c r="D594" s="55" t="n"/>
      <c r="E594" s="55" t="n"/>
      <c r="F594" s="56" t="n"/>
      <c r="G594" s="196" t="n"/>
      <c r="H594" s="196" t="n"/>
      <c r="I594" s="55" t="n"/>
      <c r="J594" s="55" t="n"/>
      <c r="K594" s="55" t="n"/>
      <c r="L594" s="100">
        <f>IF(OR($C594="",$I594="Оплачено",$I594="Отменено",$H594&lt;&gt;""),"",$C594-TODAY())</f>
        <v/>
      </c>
      <c r="M594" s="101">
        <f>IF($C594="","",INDEX(Настройки!$V$6:$V$17,MONTH($C594))&amp;" "&amp;YEAR($C594))</f>
        <v/>
      </c>
      <c r="N594" s="57">
        <f>IF($F594="","",IF(COUNTIF(Постоянные!$C$8:$C$37,$F594)&gt;0,"есть в Постоянных",IF(COUNTIF(Покупки!$C$7:$C$18,$F594)&gt;0,"есть в Покупках","")))</f>
        <v/>
      </c>
      <c r="P594">
        <f>IF($H594&lt;&gt;"",$H594,IF($I594="Оплачено",N($G594),0))</f>
        <v/>
      </c>
      <c r="Q594">
        <f>IF($I594="Отменено",0,IF($G594&lt;&gt;"",$G594,N($H594)))</f>
        <v/>
      </c>
      <c r="R594">
        <f>IF($C594="","",IFERROR(DATE(Настройки!$C$8,Настройки!$D$9+MATCH($M594,Настройки!$X$6:$X$17,0)-1,1),DATE(YEAR($C594),MONTH($C594),1)))</f>
        <v/>
      </c>
      <c r="S594">
        <f>IF(OR($I594="Оплачено",$H594&lt;&gt;""),$P594,$Q594)</f>
        <v/>
      </c>
      <c r="T594">
        <f>IF(OR($C594="",$D594="Доход",$I594="Оплачено",$I594="Отменено",$H594&lt;&gt;"",$C594&lt;TODAY()),"",$C594)</f>
        <v/>
      </c>
      <c r="U594">
        <f>IF(AND($D594&lt;&gt;"Доход",COUNTIFS(Счета!$B$10:$B$21,$J594,Счета!$C$10:$C$21,"Кредитная")&gt;0),1,0)</f>
        <v/>
      </c>
    </row>
    <row r="595" ht="19" customHeight="1">
      <c r="B595" s="53">
        <f>IF(AND($C595="",$F595=""),"",ROW()-9)</f>
        <v/>
      </c>
      <c r="C595" s="213" t="n"/>
      <c r="D595" s="55" t="n"/>
      <c r="E595" s="55" t="n"/>
      <c r="F595" s="56" t="n"/>
      <c r="G595" s="196" t="n"/>
      <c r="H595" s="196" t="n"/>
      <c r="I595" s="55" t="n"/>
      <c r="J595" s="55" t="n"/>
      <c r="K595" s="55" t="n"/>
      <c r="L595" s="100">
        <f>IF(OR($C595="",$I595="Оплачено",$I595="Отменено",$H595&lt;&gt;""),"",$C595-TODAY())</f>
        <v/>
      </c>
      <c r="M595" s="101">
        <f>IF($C595="","",INDEX(Настройки!$V$6:$V$17,MONTH($C595))&amp;" "&amp;YEAR($C595))</f>
        <v/>
      </c>
      <c r="N595" s="57">
        <f>IF($F595="","",IF(COUNTIF(Постоянные!$C$8:$C$37,$F595)&gt;0,"есть в Постоянных",IF(COUNTIF(Покупки!$C$7:$C$18,$F595)&gt;0,"есть в Покупках","")))</f>
        <v/>
      </c>
      <c r="P595">
        <f>IF($H595&lt;&gt;"",$H595,IF($I595="Оплачено",N($G595),0))</f>
        <v/>
      </c>
      <c r="Q595">
        <f>IF($I595="Отменено",0,IF($G595&lt;&gt;"",$G595,N($H595)))</f>
        <v/>
      </c>
      <c r="R595">
        <f>IF($C595="","",IFERROR(DATE(Настройки!$C$8,Настройки!$D$9+MATCH($M595,Настройки!$X$6:$X$17,0)-1,1),DATE(YEAR($C595),MONTH($C595),1)))</f>
        <v/>
      </c>
      <c r="S595">
        <f>IF(OR($I595="Оплачено",$H595&lt;&gt;""),$P595,$Q595)</f>
        <v/>
      </c>
      <c r="T595">
        <f>IF(OR($C595="",$D595="Доход",$I595="Оплачено",$I595="Отменено",$H595&lt;&gt;"",$C595&lt;TODAY()),"",$C595)</f>
        <v/>
      </c>
      <c r="U595">
        <f>IF(AND($D595&lt;&gt;"Доход",COUNTIFS(Счета!$B$10:$B$21,$J595,Счета!$C$10:$C$21,"Кредитная")&gt;0),1,0)</f>
        <v/>
      </c>
    </row>
    <row r="596" ht="19" customHeight="1">
      <c r="B596" s="53">
        <f>IF(AND($C596="",$F596=""),"",ROW()-9)</f>
        <v/>
      </c>
      <c r="C596" s="213" t="n"/>
      <c r="D596" s="55" t="n"/>
      <c r="E596" s="55" t="n"/>
      <c r="F596" s="56" t="n"/>
      <c r="G596" s="196" t="n"/>
      <c r="H596" s="196" t="n"/>
      <c r="I596" s="55" t="n"/>
      <c r="J596" s="55" t="n"/>
      <c r="K596" s="55" t="n"/>
      <c r="L596" s="100">
        <f>IF(OR($C596="",$I596="Оплачено",$I596="Отменено",$H596&lt;&gt;""),"",$C596-TODAY())</f>
        <v/>
      </c>
      <c r="M596" s="101">
        <f>IF($C596="","",INDEX(Настройки!$V$6:$V$17,MONTH($C596))&amp;" "&amp;YEAR($C596))</f>
        <v/>
      </c>
      <c r="N596" s="57">
        <f>IF($F596="","",IF(COUNTIF(Постоянные!$C$8:$C$37,$F596)&gt;0,"есть в Постоянных",IF(COUNTIF(Покупки!$C$7:$C$18,$F596)&gt;0,"есть в Покупках","")))</f>
        <v/>
      </c>
      <c r="P596">
        <f>IF($H596&lt;&gt;"",$H596,IF($I596="Оплачено",N($G596),0))</f>
        <v/>
      </c>
      <c r="Q596">
        <f>IF($I596="Отменено",0,IF($G596&lt;&gt;"",$G596,N($H596)))</f>
        <v/>
      </c>
      <c r="R596">
        <f>IF($C596="","",IFERROR(DATE(Настройки!$C$8,Настройки!$D$9+MATCH($M596,Настройки!$X$6:$X$17,0)-1,1),DATE(YEAR($C596),MONTH($C596),1)))</f>
        <v/>
      </c>
      <c r="S596">
        <f>IF(OR($I596="Оплачено",$H596&lt;&gt;""),$P596,$Q596)</f>
        <v/>
      </c>
      <c r="T596">
        <f>IF(OR($C596="",$D596="Доход",$I596="Оплачено",$I596="Отменено",$H596&lt;&gt;"",$C596&lt;TODAY()),"",$C596)</f>
        <v/>
      </c>
      <c r="U596">
        <f>IF(AND($D596&lt;&gt;"Доход",COUNTIFS(Счета!$B$10:$B$21,$J596,Счета!$C$10:$C$21,"Кредитная")&gt;0),1,0)</f>
        <v/>
      </c>
    </row>
    <row r="597" ht="19" customHeight="1">
      <c r="B597" s="53">
        <f>IF(AND($C597="",$F597=""),"",ROW()-9)</f>
        <v/>
      </c>
      <c r="C597" s="213" t="n"/>
      <c r="D597" s="55" t="n"/>
      <c r="E597" s="55" t="n"/>
      <c r="F597" s="56" t="n"/>
      <c r="G597" s="196" t="n"/>
      <c r="H597" s="196" t="n"/>
      <c r="I597" s="55" t="n"/>
      <c r="J597" s="55" t="n"/>
      <c r="K597" s="55" t="n"/>
      <c r="L597" s="100">
        <f>IF(OR($C597="",$I597="Оплачено",$I597="Отменено",$H597&lt;&gt;""),"",$C597-TODAY())</f>
        <v/>
      </c>
      <c r="M597" s="101">
        <f>IF($C597="","",INDEX(Настройки!$V$6:$V$17,MONTH($C597))&amp;" "&amp;YEAR($C597))</f>
        <v/>
      </c>
      <c r="N597" s="57">
        <f>IF($F597="","",IF(COUNTIF(Постоянные!$C$8:$C$37,$F597)&gt;0,"есть в Постоянных",IF(COUNTIF(Покупки!$C$7:$C$18,$F597)&gt;0,"есть в Покупках","")))</f>
        <v/>
      </c>
      <c r="P597">
        <f>IF($H597&lt;&gt;"",$H597,IF($I597="Оплачено",N($G597),0))</f>
        <v/>
      </c>
      <c r="Q597">
        <f>IF($I597="Отменено",0,IF($G597&lt;&gt;"",$G597,N($H597)))</f>
        <v/>
      </c>
      <c r="R597">
        <f>IF($C597="","",IFERROR(DATE(Настройки!$C$8,Настройки!$D$9+MATCH($M597,Настройки!$X$6:$X$17,0)-1,1),DATE(YEAR($C597),MONTH($C597),1)))</f>
        <v/>
      </c>
      <c r="S597">
        <f>IF(OR($I597="Оплачено",$H597&lt;&gt;""),$P597,$Q597)</f>
        <v/>
      </c>
      <c r="T597">
        <f>IF(OR($C597="",$D597="Доход",$I597="Оплачено",$I597="Отменено",$H597&lt;&gt;"",$C597&lt;TODAY()),"",$C597)</f>
        <v/>
      </c>
      <c r="U597">
        <f>IF(AND($D597&lt;&gt;"Доход",COUNTIFS(Счета!$B$10:$B$21,$J597,Счета!$C$10:$C$21,"Кредитная")&gt;0),1,0)</f>
        <v/>
      </c>
    </row>
    <row r="598" ht="19" customHeight="1">
      <c r="B598" s="53">
        <f>IF(AND($C598="",$F598=""),"",ROW()-9)</f>
        <v/>
      </c>
      <c r="C598" s="213" t="n"/>
      <c r="D598" s="55" t="n"/>
      <c r="E598" s="55" t="n"/>
      <c r="F598" s="56" t="n"/>
      <c r="G598" s="196" t="n"/>
      <c r="H598" s="196" t="n"/>
      <c r="I598" s="55" t="n"/>
      <c r="J598" s="55" t="n"/>
      <c r="K598" s="55" t="n"/>
      <c r="L598" s="100">
        <f>IF(OR($C598="",$I598="Оплачено",$I598="Отменено",$H598&lt;&gt;""),"",$C598-TODAY())</f>
        <v/>
      </c>
      <c r="M598" s="101">
        <f>IF($C598="","",INDEX(Настройки!$V$6:$V$17,MONTH($C598))&amp;" "&amp;YEAR($C598))</f>
        <v/>
      </c>
      <c r="N598" s="57">
        <f>IF($F598="","",IF(COUNTIF(Постоянные!$C$8:$C$37,$F598)&gt;0,"есть в Постоянных",IF(COUNTIF(Покупки!$C$7:$C$18,$F598)&gt;0,"есть в Покупках","")))</f>
        <v/>
      </c>
      <c r="P598">
        <f>IF($H598&lt;&gt;"",$H598,IF($I598="Оплачено",N($G598),0))</f>
        <v/>
      </c>
      <c r="Q598">
        <f>IF($I598="Отменено",0,IF($G598&lt;&gt;"",$G598,N($H598)))</f>
        <v/>
      </c>
      <c r="R598">
        <f>IF($C598="","",IFERROR(DATE(Настройки!$C$8,Настройки!$D$9+MATCH($M598,Настройки!$X$6:$X$17,0)-1,1),DATE(YEAR($C598),MONTH($C598),1)))</f>
        <v/>
      </c>
      <c r="S598">
        <f>IF(OR($I598="Оплачено",$H598&lt;&gt;""),$P598,$Q598)</f>
        <v/>
      </c>
      <c r="T598">
        <f>IF(OR($C598="",$D598="Доход",$I598="Оплачено",$I598="Отменено",$H598&lt;&gt;"",$C598&lt;TODAY()),"",$C598)</f>
        <v/>
      </c>
      <c r="U598">
        <f>IF(AND($D598&lt;&gt;"Доход",COUNTIFS(Счета!$B$10:$B$21,$J598,Счета!$C$10:$C$21,"Кредитная")&gt;0),1,0)</f>
        <v/>
      </c>
    </row>
    <row r="599" ht="19" customHeight="1">
      <c r="B599" s="53">
        <f>IF(AND($C599="",$F599=""),"",ROW()-9)</f>
        <v/>
      </c>
      <c r="C599" s="213" t="n"/>
      <c r="D599" s="55" t="n"/>
      <c r="E599" s="55" t="n"/>
      <c r="F599" s="56" t="n"/>
      <c r="G599" s="196" t="n"/>
      <c r="H599" s="196" t="n"/>
      <c r="I599" s="55" t="n"/>
      <c r="J599" s="55" t="n"/>
      <c r="K599" s="55" t="n"/>
      <c r="L599" s="100">
        <f>IF(OR($C599="",$I599="Оплачено",$I599="Отменено",$H599&lt;&gt;""),"",$C599-TODAY())</f>
        <v/>
      </c>
      <c r="M599" s="101">
        <f>IF($C599="","",INDEX(Настройки!$V$6:$V$17,MONTH($C599))&amp;" "&amp;YEAR($C599))</f>
        <v/>
      </c>
      <c r="N599" s="57">
        <f>IF($F599="","",IF(COUNTIF(Постоянные!$C$8:$C$37,$F599)&gt;0,"есть в Постоянных",IF(COUNTIF(Покупки!$C$7:$C$18,$F599)&gt;0,"есть в Покупках","")))</f>
        <v/>
      </c>
      <c r="P599">
        <f>IF($H599&lt;&gt;"",$H599,IF($I599="Оплачено",N($G599),0))</f>
        <v/>
      </c>
      <c r="Q599">
        <f>IF($I599="Отменено",0,IF($G599&lt;&gt;"",$G599,N($H599)))</f>
        <v/>
      </c>
      <c r="R599">
        <f>IF($C599="","",IFERROR(DATE(Настройки!$C$8,Настройки!$D$9+MATCH($M599,Настройки!$X$6:$X$17,0)-1,1),DATE(YEAR($C599),MONTH($C599),1)))</f>
        <v/>
      </c>
      <c r="S599">
        <f>IF(OR($I599="Оплачено",$H599&lt;&gt;""),$P599,$Q599)</f>
        <v/>
      </c>
      <c r="T599">
        <f>IF(OR($C599="",$D599="Доход",$I599="Оплачено",$I599="Отменено",$H599&lt;&gt;"",$C599&lt;TODAY()),"",$C599)</f>
        <v/>
      </c>
      <c r="U599">
        <f>IF(AND($D599&lt;&gt;"Доход",COUNTIFS(Счета!$B$10:$B$21,$J599,Счета!$C$10:$C$21,"Кредитная")&gt;0),1,0)</f>
        <v/>
      </c>
    </row>
    <row r="600" ht="19" customHeight="1">
      <c r="B600" s="53">
        <f>IF(AND($C600="",$F600=""),"",ROW()-9)</f>
        <v/>
      </c>
      <c r="C600" s="213" t="n"/>
      <c r="D600" s="55" t="n"/>
      <c r="E600" s="55" t="n"/>
      <c r="F600" s="56" t="n"/>
      <c r="G600" s="196" t="n"/>
      <c r="H600" s="196" t="n"/>
      <c r="I600" s="55" t="n"/>
      <c r="J600" s="55" t="n"/>
      <c r="K600" s="55" t="n"/>
      <c r="L600" s="100">
        <f>IF(OR($C600="",$I600="Оплачено",$I600="Отменено",$H600&lt;&gt;""),"",$C600-TODAY())</f>
        <v/>
      </c>
      <c r="M600" s="101">
        <f>IF($C600="","",INDEX(Настройки!$V$6:$V$17,MONTH($C600))&amp;" "&amp;YEAR($C600))</f>
        <v/>
      </c>
      <c r="N600" s="57">
        <f>IF($F600="","",IF(COUNTIF(Постоянные!$C$8:$C$37,$F600)&gt;0,"есть в Постоянных",IF(COUNTIF(Покупки!$C$7:$C$18,$F600)&gt;0,"есть в Покупках","")))</f>
        <v/>
      </c>
      <c r="P600">
        <f>IF($H600&lt;&gt;"",$H600,IF($I600="Оплачено",N($G600),0))</f>
        <v/>
      </c>
      <c r="Q600">
        <f>IF($I600="Отменено",0,IF($G600&lt;&gt;"",$G600,N($H600)))</f>
        <v/>
      </c>
      <c r="R600">
        <f>IF($C600="","",IFERROR(DATE(Настройки!$C$8,Настройки!$D$9+MATCH($M600,Настройки!$X$6:$X$17,0)-1,1),DATE(YEAR($C600),MONTH($C600),1)))</f>
        <v/>
      </c>
      <c r="S600">
        <f>IF(OR($I600="Оплачено",$H600&lt;&gt;""),$P600,$Q600)</f>
        <v/>
      </c>
      <c r="T600">
        <f>IF(OR($C600="",$D600="Доход",$I600="Оплачено",$I600="Отменено",$H600&lt;&gt;"",$C600&lt;TODAY()),"",$C600)</f>
        <v/>
      </c>
      <c r="U600">
        <f>IF(AND($D600&lt;&gt;"Доход",COUNTIFS(Счета!$B$10:$B$21,$J600,Счета!$C$10:$C$21,"Кредитная")&gt;0),1,0)</f>
        <v/>
      </c>
    </row>
    <row r="601" ht="19" customHeight="1">
      <c r="B601" s="53">
        <f>IF(AND($C601="",$F601=""),"",ROW()-9)</f>
        <v/>
      </c>
      <c r="C601" s="213" t="n"/>
      <c r="D601" s="55" t="n"/>
      <c r="E601" s="55" t="n"/>
      <c r="F601" s="56" t="n"/>
      <c r="G601" s="196" t="n"/>
      <c r="H601" s="196" t="n"/>
      <c r="I601" s="55" t="n"/>
      <c r="J601" s="55" t="n"/>
      <c r="K601" s="55" t="n"/>
      <c r="L601" s="100">
        <f>IF(OR($C601="",$I601="Оплачено",$I601="Отменено",$H601&lt;&gt;""),"",$C601-TODAY())</f>
        <v/>
      </c>
      <c r="M601" s="101">
        <f>IF($C601="","",INDEX(Настройки!$V$6:$V$17,MONTH($C601))&amp;" "&amp;YEAR($C601))</f>
        <v/>
      </c>
      <c r="N601" s="57">
        <f>IF($F601="","",IF(COUNTIF(Постоянные!$C$8:$C$37,$F601)&gt;0,"есть в Постоянных",IF(COUNTIF(Покупки!$C$7:$C$18,$F601)&gt;0,"есть в Покупках","")))</f>
        <v/>
      </c>
      <c r="P601">
        <f>IF($H601&lt;&gt;"",$H601,IF($I601="Оплачено",N($G601),0))</f>
        <v/>
      </c>
      <c r="Q601">
        <f>IF($I601="Отменено",0,IF($G601&lt;&gt;"",$G601,N($H601)))</f>
        <v/>
      </c>
      <c r="R601">
        <f>IF($C601="","",IFERROR(DATE(Настройки!$C$8,Настройки!$D$9+MATCH($M601,Настройки!$X$6:$X$17,0)-1,1),DATE(YEAR($C601),MONTH($C601),1)))</f>
        <v/>
      </c>
      <c r="S601">
        <f>IF(OR($I601="Оплачено",$H601&lt;&gt;""),$P601,$Q601)</f>
        <v/>
      </c>
      <c r="T601">
        <f>IF(OR($C601="",$D601="Доход",$I601="Оплачено",$I601="Отменено",$H601&lt;&gt;"",$C601&lt;TODAY()),"",$C601)</f>
        <v/>
      </c>
      <c r="U601">
        <f>IF(AND($D601&lt;&gt;"Доход",COUNTIFS(Счета!$B$10:$B$21,$J601,Счета!$C$10:$C$21,"Кредитная")&gt;0),1,0)</f>
        <v/>
      </c>
    </row>
    <row r="602" ht="19" customHeight="1">
      <c r="B602" s="53">
        <f>IF(AND($C602="",$F602=""),"",ROW()-9)</f>
        <v/>
      </c>
      <c r="C602" s="213" t="n"/>
      <c r="D602" s="55" t="n"/>
      <c r="E602" s="55" t="n"/>
      <c r="F602" s="56" t="n"/>
      <c r="G602" s="196" t="n"/>
      <c r="H602" s="196" t="n"/>
      <c r="I602" s="55" t="n"/>
      <c r="J602" s="55" t="n"/>
      <c r="K602" s="55" t="n"/>
      <c r="L602" s="100">
        <f>IF(OR($C602="",$I602="Оплачено",$I602="Отменено",$H602&lt;&gt;""),"",$C602-TODAY())</f>
        <v/>
      </c>
      <c r="M602" s="101">
        <f>IF($C602="","",INDEX(Настройки!$V$6:$V$17,MONTH($C602))&amp;" "&amp;YEAR($C602))</f>
        <v/>
      </c>
      <c r="N602" s="57">
        <f>IF($F602="","",IF(COUNTIF(Постоянные!$C$8:$C$37,$F602)&gt;0,"есть в Постоянных",IF(COUNTIF(Покупки!$C$7:$C$18,$F602)&gt;0,"есть в Покупках","")))</f>
        <v/>
      </c>
      <c r="P602">
        <f>IF($H602&lt;&gt;"",$H602,IF($I602="Оплачено",N($G602),0))</f>
        <v/>
      </c>
      <c r="Q602">
        <f>IF($I602="Отменено",0,IF($G602&lt;&gt;"",$G602,N($H602)))</f>
        <v/>
      </c>
      <c r="R602">
        <f>IF($C602="","",IFERROR(DATE(Настройки!$C$8,Настройки!$D$9+MATCH($M602,Настройки!$X$6:$X$17,0)-1,1),DATE(YEAR($C602),MONTH($C602),1)))</f>
        <v/>
      </c>
      <c r="S602">
        <f>IF(OR($I602="Оплачено",$H602&lt;&gt;""),$P602,$Q602)</f>
        <v/>
      </c>
      <c r="T602">
        <f>IF(OR($C602="",$D602="Доход",$I602="Оплачено",$I602="Отменено",$H602&lt;&gt;"",$C602&lt;TODAY()),"",$C602)</f>
        <v/>
      </c>
      <c r="U602">
        <f>IF(AND($D602&lt;&gt;"Доход",COUNTIFS(Счета!$B$10:$B$21,$J602,Счета!$C$10:$C$21,"Кредитная")&gt;0),1,0)</f>
        <v/>
      </c>
    </row>
    <row r="603" ht="19" customHeight="1">
      <c r="B603" s="53">
        <f>IF(AND($C603="",$F603=""),"",ROW()-9)</f>
        <v/>
      </c>
      <c r="C603" s="213" t="n"/>
      <c r="D603" s="55" t="n"/>
      <c r="E603" s="55" t="n"/>
      <c r="F603" s="56" t="n"/>
      <c r="G603" s="196" t="n"/>
      <c r="H603" s="196" t="n"/>
      <c r="I603" s="55" t="n"/>
      <c r="J603" s="55" t="n"/>
      <c r="K603" s="55" t="n"/>
      <c r="L603" s="100">
        <f>IF(OR($C603="",$I603="Оплачено",$I603="Отменено",$H603&lt;&gt;""),"",$C603-TODAY())</f>
        <v/>
      </c>
      <c r="M603" s="101">
        <f>IF($C603="","",INDEX(Настройки!$V$6:$V$17,MONTH($C603))&amp;" "&amp;YEAR($C603))</f>
        <v/>
      </c>
      <c r="N603" s="57">
        <f>IF($F603="","",IF(COUNTIF(Постоянные!$C$8:$C$37,$F603)&gt;0,"есть в Постоянных",IF(COUNTIF(Покупки!$C$7:$C$18,$F603)&gt;0,"есть в Покупках","")))</f>
        <v/>
      </c>
      <c r="P603">
        <f>IF($H603&lt;&gt;"",$H603,IF($I603="Оплачено",N($G603),0))</f>
        <v/>
      </c>
      <c r="Q603">
        <f>IF($I603="Отменено",0,IF($G603&lt;&gt;"",$G603,N($H603)))</f>
        <v/>
      </c>
      <c r="R603">
        <f>IF($C603="","",IFERROR(DATE(Настройки!$C$8,Настройки!$D$9+MATCH($M603,Настройки!$X$6:$X$17,0)-1,1),DATE(YEAR($C603),MONTH($C603),1)))</f>
        <v/>
      </c>
      <c r="S603">
        <f>IF(OR($I603="Оплачено",$H603&lt;&gt;""),$P603,$Q603)</f>
        <v/>
      </c>
      <c r="T603">
        <f>IF(OR($C603="",$D603="Доход",$I603="Оплачено",$I603="Отменено",$H603&lt;&gt;"",$C603&lt;TODAY()),"",$C603)</f>
        <v/>
      </c>
      <c r="U603">
        <f>IF(AND($D603&lt;&gt;"Доход",COUNTIFS(Счета!$B$10:$B$21,$J603,Счета!$C$10:$C$21,"Кредитная")&gt;0),1,0)</f>
        <v/>
      </c>
    </row>
    <row r="604" ht="19" customHeight="1">
      <c r="B604" s="53">
        <f>IF(AND($C604="",$F604=""),"",ROW()-9)</f>
        <v/>
      </c>
      <c r="C604" s="213" t="n"/>
      <c r="D604" s="55" t="n"/>
      <c r="E604" s="55" t="n"/>
      <c r="F604" s="56" t="n"/>
      <c r="G604" s="196" t="n"/>
      <c r="H604" s="196" t="n"/>
      <c r="I604" s="55" t="n"/>
      <c r="J604" s="55" t="n"/>
      <c r="K604" s="55" t="n"/>
      <c r="L604" s="100">
        <f>IF(OR($C604="",$I604="Оплачено",$I604="Отменено",$H604&lt;&gt;""),"",$C604-TODAY())</f>
        <v/>
      </c>
      <c r="M604" s="101">
        <f>IF($C604="","",INDEX(Настройки!$V$6:$V$17,MONTH($C604))&amp;" "&amp;YEAR($C604))</f>
        <v/>
      </c>
      <c r="N604" s="57">
        <f>IF($F604="","",IF(COUNTIF(Постоянные!$C$8:$C$37,$F604)&gt;0,"есть в Постоянных",IF(COUNTIF(Покупки!$C$7:$C$18,$F604)&gt;0,"есть в Покупках","")))</f>
        <v/>
      </c>
      <c r="P604">
        <f>IF($H604&lt;&gt;"",$H604,IF($I604="Оплачено",N($G604),0))</f>
        <v/>
      </c>
      <c r="Q604">
        <f>IF($I604="Отменено",0,IF($G604&lt;&gt;"",$G604,N($H604)))</f>
        <v/>
      </c>
      <c r="R604">
        <f>IF($C604="","",IFERROR(DATE(Настройки!$C$8,Настройки!$D$9+MATCH($M604,Настройки!$X$6:$X$17,0)-1,1),DATE(YEAR($C604),MONTH($C604),1)))</f>
        <v/>
      </c>
      <c r="S604">
        <f>IF(OR($I604="Оплачено",$H604&lt;&gt;""),$P604,$Q604)</f>
        <v/>
      </c>
      <c r="T604">
        <f>IF(OR($C604="",$D604="Доход",$I604="Оплачено",$I604="Отменено",$H604&lt;&gt;"",$C604&lt;TODAY()),"",$C604)</f>
        <v/>
      </c>
      <c r="U604">
        <f>IF(AND($D604&lt;&gt;"Доход",COUNTIFS(Счета!$B$10:$B$21,$J604,Счета!$C$10:$C$21,"Кредитная")&gt;0),1,0)</f>
        <v/>
      </c>
    </row>
    <row r="605" ht="19" customHeight="1">
      <c r="B605" s="53">
        <f>IF(AND($C605="",$F605=""),"",ROW()-9)</f>
        <v/>
      </c>
      <c r="C605" s="213" t="n"/>
      <c r="D605" s="55" t="n"/>
      <c r="E605" s="55" t="n"/>
      <c r="F605" s="56" t="n"/>
      <c r="G605" s="196" t="n"/>
      <c r="H605" s="196" t="n"/>
      <c r="I605" s="55" t="n"/>
      <c r="J605" s="55" t="n"/>
      <c r="K605" s="55" t="n"/>
      <c r="L605" s="100">
        <f>IF(OR($C605="",$I605="Оплачено",$I605="Отменено",$H605&lt;&gt;""),"",$C605-TODAY())</f>
        <v/>
      </c>
      <c r="M605" s="101">
        <f>IF($C605="","",INDEX(Настройки!$V$6:$V$17,MONTH($C605))&amp;" "&amp;YEAR($C605))</f>
        <v/>
      </c>
      <c r="N605" s="57">
        <f>IF($F605="","",IF(COUNTIF(Постоянные!$C$8:$C$37,$F605)&gt;0,"есть в Постоянных",IF(COUNTIF(Покупки!$C$7:$C$18,$F605)&gt;0,"есть в Покупках","")))</f>
        <v/>
      </c>
      <c r="P605">
        <f>IF($H605&lt;&gt;"",$H605,IF($I605="Оплачено",N($G605),0))</f>
        <v/>
      </c>
      <c r="Q605">
        <f>IF($I605="Отменено",0,IF($G605&lt;&gt;"",$G605,N($H605)))</f>
        <v/>
      </c>
      <c r="R605">
        <f>IF($C605="","",IFERROR(DATE(Настройки!$C$8,Настройки!$D$9+MATCH($M605,Настройки!$X$6:$X$17,0)-1,1),DATE(YEAR($C605),MONTH($C605),1)))</f>
        <v/>
      </c>
      <c r="S605">
        <f>IF(OR($I605="Оплачено",$H605&lt;&gt;""),$P605,$Q605)</f>
        <v/>
      </c>
      <c r="T605">
        <f>IF(OR($C605="",$D605="Доход",$I605="Оплачено",$I605="Отменено",$H605&lt;&gt;"",$C605&lt;TODAY()),"",$C605)</f>
        <v/>
      </c>
      <c r="U605">
        <f>IF(AND($D605&lt;&gt;"Доход",COUNTIFS(Счета!$B$10:$B$21,$J605,Счета!$C$10:$C$21,"Кредитная")&gt;0),1,0)</f>
        <v/>
      </c>
    </row>
    <row r="606" ht="19" customHeight="1">
      <c r="B606" s="53">
        <f>IF(AND($C606="",$F606=""),"",ROW()-9)</f>
        <v/>
      </c>
      <c r="C606" s="213" t="n"/>
      <c r="D606" s="55" t="n"/>
      <c r="E606" s="55" t="n"/>
      <c r="F606" s="56" t="n"/>
      <c r="G606" s="196" t="n"/>
      <c r="H606" s="196" t="n"/>
      <c r="I606" s="55" t="n"/>
      <c r="J606" s="55" t="n"/>
      <c r="K606" s="55" t="n"/>
      <c r="L606" s="100">
        <f>IF(OR($C606="",$I606="Оплачено",$I606="Отменено",$H606&lt;&gt;""),"",$C606-TODAY())</f>
        <v/>
      </c>
      <c r="M606" s="101">
        <f>IF($C606="","",INDEX(Настройки!$V$6:$V$17,MONTH($C606))&amp;" "&amp;YEAR($C606))</f>
        <v/>
      </c>
      <c r="N606" s="57">
        <f>IF($F606="","",IF(COUNTIF(Постоянные!$C$8:$C$37,$F606)&gt;0,"есть в Постоянных",IF(COUNTIF(Покупки!$C$7:$C$18,$F606)&gt;0,"есть в Покупках","")))</f>
        <v/>
      </c>
      <c r="P606">
        <f>IF($H606&lt;&gt;"",$H606,IF($I606="Оплачено",N($G606),0))</f>
        <v/>
      </c>
      <c r="Q606">
        <f>IF($I606="Отменено",0,IF($G606&lt;&gt;"",$G606,N($H606)))</f>
        <v/>
      </c>
      <c r="R606">
        <f>IF($C606="","",IFERROR(DATE(Настройки!$C$8,Настройки!$D$9+MATCH($M606,Настройки!$X$6:$X$17,0)-1,1),DATE(YEAR($C606),MONTH($C606),1)))</f>
        <v/>
      </c>
      <c r="S606">
        <f>IF(OR($I606="Оплачено",$H606&lt;&gt;""),$P606,$Q606)</f>
        <v/>
      </c>
      <c r="T606">
        <f>IF(OR($C606="",$D606="Доход",$I606="Оплачено",$I606="Отменено",$H606&lt;&gt;"",$C606&lt;TODAY()),"",$C606)</f>
        <v/>
      </c>
      <c r="U606">
        <f>IF(AND($D606&lt;&gt;"Доход",COUNTIFS(Счета!$B$10:$B$21,$J606,Счета!$C$10:$C$21,"Кредитная")&gt;0),1,0)</f>
        <v/>
      </c>
    </row>
    <row r="607" ht="19" customHeight="1">
      <c r="B607" s="53">
        <f>IF(AND($C607="",$F607=""),"",ROW()-9)</f>
        <v/>
      </c>
      <c r="C607" s="213" t="n"/>
      <c r="D607" s="55" t="n"/>
      <c r="E607" s="55" t="n"/>
      <c r="F607" s="56" t="n"/>
      <c r="G607" s="196" t="n"/>
      <c r="H607" s="196" t="n"/>
      <c r="I607" s="55" t="n"/>
      <c r="J607" s="55" t="n"/>
      <c r="K607" s="55" t="n"/>
      <c r="L607" s="100">
        <f>IF(OR($C607="",$I607="Оплачено",$I607="Отменено",$H607&lt;&gt;""),"",$C607-TODAY())</f>
        <v/>
      </c>
      <c r="M607" s="101">
        <f>IF($C607="","",INDEX(Настройки!$V$6:$V$17,MONTH($C607))&amp;" "&amp;YEAR($C607))</f>
        <v/>
      </c>
      <c r="N607" s="57">
        <f>IF($F607="","",IF(COUNTIF(Постоянные!$C$8:$C$37,$F607)&gt;0,"есть в Постоянных",IF(COUNTIF(Покупки!$C$7:$C$18,$F607)&gt;0,"есть в Покупках","")))</f>
        <v/>
      </c>
      <c r="P607">
        <f>IF($H607&lt;&gt;"",$H607,IF($I607="Оплачено",N($G607),0))</f>
        <v/>
      </c>
      <c r="Q607">
        <f>IF($I607="Отменено",0,IF($G607&lt;&gt;"",$G607,N($H607)))</f>
        <v/>
      </c>
      <c r="R607">
        <f>IF($C607="","",IFERROR(DATE(Настройки!$C$8,Настройки!$D$9+MATCH($M607,Настройки!$X$6:$X$17,0)-1,1),DATE(YEAR($C607),MONTH($C607),1)))</f>
        <v/>
      </c>
      <c r="S607">
        <f>IF(OR($I607="Оплачено",$H607&lt;&gt;""),$P607,$Q607)</f>
        <v/>
      </c>
      <c r="T607">
        <f>IF(OR($C607="",$D607="Доход",$I607="Оплачено",$I607="Отменено",$H607&lt;&gt;"",$C607&lt;TODAY()),"",$C607)</f>
        <v/>
      </c>
      <c r="U607">
        <f>IF(AND($D607&lt;&gt;"Доход",COUNTIFS(Счета!$B$10:$B$21,$J607,Счета!$C$10:$C$21,"Кредитная")&gt;0),1,0)</f>
        <v/>
      </c>
    </row>
    <row r="608" ht="19" customHeight="1">
      <c r="B608" s="53">
        <f>IF(AND($C608="",$F608=""),"",ROW()-9)</f>
        <v/>
      </c>
      <c r="C608" s="213" t="n"/>
      <c r="D608" s="55" t="n"/>
      <c r="E608" s="55" t="n"/>
      <c r="F608" s="56" t="n"/>
      <c r="G608" s="196" t="n"/>
      <c r="H608" s="196" t="n"/>
      <c r="I608" s="55" t="n"/>
      <c r="J608" s="55" t="n"/>
      <c r="K608" s="55" t="n"/>
      <c r="L608" s="100">
        <f>IF(OR($C608="",$I608="Оплачено",$I608="Отменено",$H608&lt;&gt;""),"",$C608-TODAY())</f>
        <v/>
      </c>
      <c r="M608" s="101">
        <f>IF($C608="","",INDEX(Настройки!$V$6:$V$17,MONTH($C608))&amp;" "&amp;YEAR($C608))</f>
        <v/>
      </c>
      <c r="N608" s="57">
        <f>IF($F608="","",IF(COUNTIF(Постоянные!$C$8:$C$37,$F608)&gt;0,"есть в Постоянных",IF(COUNTIF(Покупки!$C$7:$C$18,$F608)&gt;0,"есть в Покупках","")))</f>
        <v/>
      </c>
      <c r="P608">
        <f>IF($H608&lt;&gt;"",$H608,IF($I608="Оплачено",N($G608),0))</f>
        <v/>
      </c>
      <c r="Q608">
        <f>IF($I608="Отменено",0,IF($G608&lt;&gt;"",$G608,N($H608)))</f>
        <v/>
      </c>
      <c r="R608">
        <f>IF($C608="","",IFERROR(DATE(Настройки!$C$8,Настройки!$D$9+MATCH($M608,Настройки!$X$6:$X$17,0)-1,1),DATE(YEAR($C608),MONTH($C608),1)))</f>
        <v/>
      </c>
      <c r="S608">
        <f>IF(OR($I608="Оплачено",$H608&lt;&gt;""),$P608,$Q608)</f>
        <v/>
      </c>
      <c r="T608">
        <f>IF(OR($C608="",$D608="Доход",$I608="Оплачено",$I608="Отменено",$H608&lt;&gt;"",$C608&lt;TODAY()),"",$C608)</f>
        <v/>
      </c>
      <c r="U608">
        <f>IF(AND($D608&lt;&gt;"Доход",COUNTIFS(Счета!$B$10:$B$21,$J608,Счета!$C$10:$C$21,"Кредитная")&gt;0),1,0)</f>
        <v/>
      </c>
    </row>
    <row r="609" ht="19" customHeight="1">
      <c r="B609" s="53">
        <f>IF(AND($C609="",$F609=""),"",ROW()-9)</f>
        <v/>
      </c>
      <c r="C609" s="213" t="n"/>
      <c r="D609" s="55" t="n"/>
      <c r="E609" s="55" t="n"/>
      <c r="F609" s="56" t="n"/>
      <c r="G609" s="196" t="n"/>
      <c r="H609" s="196" t="n"/>
      <c r="I609" s="55" t="n"/>
      <c r="J609" s="55" t="n"/>
      <c r="K609" s="55" t="n"/>
      <c r="L609" s="100">
        <f>IF(OR($C609="",$I609="Оплачено",$I609="Отменено",$H609&lt;&gt;""),"",$C609-TODAY())</f>
        <v/>
      </c>
      <c r="M609" s="101">
        <f>IF($C609="","",INDEX(Настройки!$V$6:$V$17,MONTH($C609))&amp;" "&amp;YEAR($C609))</f>
        <v/>
      </c>
      <c r="N609" s="57">
        <f>IF($F609="","",IF(COUNTIF(Постоянные!$C$8:$C$37,$F609)&gt;0,"есть в Постоянных",IF(COUNTIF(Покупки!$C$7:$C$18,$F609)&gt;0,"есть в Покупках","")))</f>
        <v/>
      </c>
      <c r="P609">
        <f>IF($H609&lt;&gt;"",$H609,IF($I609="Оплачено",N($G609),0))</f>
        <v/>
      </c>
      <c r="Q609">
        <f>IF($I609="Отменено",0,IF($G609&lt;&gt;"",$G609,N($H609)))</f>
        <v/>
      </c>
      <c r="R609">
        <f>IF($C609="","",IFERROR(DATE(Настройки!$C$8,Настройки!$D$9+MATCH($M609,Настройки!$X$6:$X$17,0)-1,1),DATE(YEAR($C609),MONTH($C609),1)))</f>
        <v/>
      </c>
      <c r="S609">
        <f>IF(OR($I609="Оплачено",$H609&lt;&gt;""),$P609,$Q609)</f>
        <v/>
      </c>
      <c r="T609">
        <f>IF(OR($C609="",$D609="Доход",$I609="Оплачено",$I609="Отменено",$H609&lt;&gt;"",$C609&lt;TODAY()),"",$C609)</f>
        <v/>
      </c>
      <c r="U609">
        <f>IF(AND($D609&lt;&gt;"Доход",COUNTIFS(Счета!$B$10:$B$21,$J609,Счета!$C$10:$C$21,"Кредитная")&gt;0),1,0)</f>
        <v/>
      </c>
    </row>
    <row r="610" ht="19" customHeight="1">
      <c r="B610" s="53">
        <f>IF(AND($C610="",$F610=""),"",ROW()-9)</f>
        <v/>
      </c>
      <c r="C610" s="213" t="n"/>
      <c r="D610" s="55" t="n"/>
      <c r="E610" s="55" t="n"/>
      <c r="F610" s="56" t="n"/>
      <c r="G610" s="196" t="n"/>
      <c r="H610" s="196" t="n"/>
      <c r="I610" s="55" t="n"/>
      <c r="J610" s="55" t="n"/>
      <c r="K610" s="55" t="n"/>
      <c r="L610" s="100">
        <f>IF(OR($C610="",$I610="Оплачено",$I610="Отменено",$H610&lt;&gt;""),"",$C610-TODAY())</f>
        <v/>
      </c>
      <c r="M610" s="101">
        <f>IF($C610="","",INDEX(Настройки!$V$6:$V$17,MONTH($C610))&amp;" "&amp;YEAR($C610))</f>
        <v/>
      </c>
      <c r="N610" s="57">
        <f>IF($F610="","",IF(COUNTIF(Постоянные!$C$8:$C$37,$F610)&gt;0,"есть в Постоянных",IF(COUNTIF(Покупки!$C$7:$C$18,$F610)&gt;0,"есть в Покупках","")))</f>
        <v/>
      </c>
      <c r="P610">
        <f>IF($H610&lt;&gt;"",$H610,IF($I610="Оплачено",N($G610),0))</f>
        <v/>
      </c>
      <c r="Q610">
        <f>IF($I610="Отменено",0,IF($G610&lt;&gt;"",$G610,N($H610)))</f>
        <v/>
      </c>
      <c r="R610">
        <f>IF($C610="","",IFERROR(DATE(Настройки!$C$8,Настройки!$D$9+MATCH($M610,Настройки!$X$6:$X$17,0)-1,1),DATE(YEAR($C610),MONTH($C610),1)))</f>
        <v/>
      </c>
      <c r="S610">
        <f>IF(OR($I610="Оплачено",$H610&lt;&gt;""),$P610,$Q610)</f>
        <v/>
      </c>
      <c r="T610">
        <f>IF(OR($C610="",$D610="Доход",$I610="Оплачено",$I610="Отменено",$H610&lt;&gt;"",$C610&lt;TODAY()),"",$C610)</f>
        <v/>
      </c>
      <c r="U610">
        <f>IF(AND($D610&lt;&gt;"Доход",COUNTIFS(Счета!$B$10:$B$21,$J610,Счета!$C$10:$C$21,"Кредитная")&gt;0),1,0)</f>
        <v/>
      </c>
    </row>
    <row r="611" ht="19" customHeight="1">
      <c r="B611" s="53">
        <f>IF(AND($C611="",$F611=""),"",ROW()-9)</f>
        <v/>
      </c>
      <c r="C611" s="213" t="n"/>
      <c r="D611" s="55" t="n"/>
      <c r="E611" s="55" t="n"/>
      <c r="F611" s="56" t="n"/>
      <c r="G611" s="196" t="n"/>
      <c r="H611" s="196" t="n"/>
      <c r="I611" s="55" t="n"/>
      <c r="J611" s="55" t="n"/>
      <c r="K611" s="55" t="n"/>
      <c r="L611" s="100">
        <f>IF(OR($C611="",$I611="Оплачено",$I611="Отменено",$H611&lt;&gt;""),"",$C611-TODAY())</f>
        <v/>
      </c>
      <c r="M611" s="101">
        <f>IF($C611="","",INDEX(Настройки!$V$6:$V$17,MONTH($C611))&amp;" "&amp;YEAR($C611))</f>
        <v/>
      </c>
      <c r="N611" s="57">
        <f>IF($F611="","",IF(COUNTIF(Постоянные!$C$8:$C$37,$F611)&gt;0,"есть в Постоянных",IF(COUNTIF(Покупки!$C$7:$C$18,$F611)&gt;0,"есть в Покупках","")))</f>
        <v/>
      </c>
      <c r="P611">
        <f>IF($H611&lt;&gt;"",$H611,IF($I611="Оплачено",N($G611),0))</f>
        <v/>
      </c>
      <c r="Q611">
        <f>IF($I611="Отменено",0,IF($G611&lt;&gt;"",$G611,N($H611)))</f>
        <v/>
      </c>
      <c r="R611">
        <f>IF($C611="","",IFERROR(DATE(Настройки!$C$8,Настройки!$D$9+MATCH($M611,Настройки!$X$6:$X$17,0)-1,1),DATE(YEAR($C611),MONTH($C611),1)))</f>
        <v/>
      </c>
      <c r="S611">
        <f>IF(OR($I611="Оплачено",$H611&lt;&gt;""),$P611,$Q611)</f>
        <v/>
      </c>
      <c r="T611">
        <f>IF(OR($C611="",$D611="Доход",$I611="Оплачено",$I611="Отменено",$H611&lt;&gt;"",$C611&lt;TODAY()),"",$C611)</f>
        <v/>
      </c>
      <c r="U611">
        <f>IF(AND($D611&lt;&gt;"Доход",COUNTIFS(Счета!$B$10:$B$21,$J611,Счета!$C$10:$C$21,"Кредитная")&gt;0),1,0)</f>
        <v/>
      </c>
    </row>
    <row r="612" ht="19" customHeight="1">
      <c r="B612" s="53">
        <f>IF(AND($C612="",$F612=""),"",ROW()-9)</f>
        <v/>
      </c>
      <c r="C612" s="213" t="n"/>
      <c r="D612" s="55" t="n"/>
      <c r="E612" s="55" t="n"/>
      <c r="F612" s="56" t="n"/>
      <c r="G612" s="196" t="n"/>
      <c r="H612" s="196" t="n"/>
      <c r="I612" s="55" t="n"/>
      <c r="J612" s="55" t="n"/>
      <c r="K612" s="55" t="n"/>
      <c r="L612" s="100">
        <f>IF(OR($C612="",$I612="Оплачено",$I612="Отменено",$H612&lt;&gt;""),"",$C612-TODAY())</f>
        <v/>
      </c>
      <c r="M612" s="101">
        <f>IF($C612="","",INDEX(Настройки!$V$6:$V$17,MONTH($C612))&amp;" "&amp;YEAR($C612))</f>
        <v/>
      </c>
      <c r="N612" s="57">
        <f>IF($F612="","",IF(COUNTIF(Постоянные!$C$8:$C$37,$F612)&gt;0,"есть в Постоянных",IF(COUNTIF(Покупки!$C$7:$C$18,$F612)&gt;0,"есть в Покупках","")))</f>
        <v/>
      </c>
      <c r="P612">
        <f>IF($H612&lt;&gt;"",$H612,IF($I612="Оплачено",N($G612),0))</f>
        <v/>
      </c>
      <c r="Q612">
        <f>IF($I612="Отменено",0,IF($G612&lt;&gt;"",$G612,N($H612)))</f>
        <v/>
      </c>
      <c r="R612">
        <f>IF($C612="","",IFERROR(DATE(Настройки!$C$8,Настройки!$D$9+MATCH($M612,Настройки!$X$6:$X$17,0)-1,1),DATE(YEAR($C612),MONTH($C612),1)))</f>
        <v/>
      </c>
      <c r="S612">
        <f>IF(OR($I612="Оплачено",$H612&lt;&gt;""),$P612,$Q612)</f>
        <v/>
      </c>
      <c r="T612">
        <f>IF(OR($C612="",$D612="Доход",$I612="Оплачено",$I612="Отменено",$H612&lt;&gt;"",$C612&lt;TODAY()),"",$C612)</f>
        <v/>
      </c>
      <c r="U612">
        <f>IF(AND($D612&lt;&gt;"Доход",COUNTIFS(Счета!$B$10:$B$21,$J612,Счета!$C$10:$C$21,"Кредитная")&gt;0),1,0)</f>
        <v/>
      </c>
    </row>
    <row r="613" ht="19" customHeight="1">
      <c r="B613" s="53">
        <f>IF(AND($C613="",$F613=""),"",ROW()-9)</f>
        <v/>
      </c>
      <c r="C613" s="213" t="n"/>
      <c r="D613" s="55" t="n"/>
      <c r="E613" s="55" t="n"/>
      <c r="F613" s="56" t="n"/>
      <c r="G613" s="196" t="n"/>
      <c r="H613" s="196" t="n"/>
      <c r="I613" s="55" t="n"/>
      <c r="J613" s="55" t="n"/>
      <c r="K613" s="55" t="n"/>
      <c r="L613" s="100">
        <f>IF(OR($C613="",$I613="Оплачено",$I613="Отменено",$H613&lt;&gt;""),"",$C613-TODAY())</f>
        <v/>
      </c>
      <c r="M613" s="101">
        <f>IF($C613="","",INDEX(Настройки!$V$6:$V$17,MONTH($C613))&amp;" "&amp;YEAR($C613))</f>
        <v/>
      </c>
      <c r="N613" s="57">
        <f>IF($F613="","",IF(COUNTIF(Постоянные!$C$8:$C$37,$F613)&gt;0,"есть в Постоянных",IF(COUNTIF(Покупки!$C$7:$C$18,$F613)&gt;0,"есть в Покупках","")))</f>
        <v/>
      </c>
      <c r="P613">
        <f>IF($H613&lt;&gt;"",$H613,IF($I613="Оплачено",N($G613),0))</f>
        <v/>
      </c>
      <c r="Q613">
        <f>IF($I613="Отменено",0,IF($G613&lt;&gt;"",$G613,N($H613)))</f>
        <v/>
      </c>
      <c r="R613">
        <f>IF($C613="","",IFERROR(DATE(Настройки!$C$8,Настройки!$D$9+MATCH($M613,Настройки!$X$6:$X$17,0)-1,1),DATE(YEAR($C613),MONTH($C613),1)))</f>
        <v/>
      </c>
      <c r="S613">
        <f>IF(OR($I613="Оплачено",$H613&lt;&gt;""),$P613,$Q613)</f>
        <v/>
      </c>
      <c r="T613">
        <f>IF(OR($C613="",$D613="Доход",$I613="Оплачено",$I613="Отменено",$H613&lt;&gt;"",$C613&lt;TODAY()),"",$C613)</f>
        <v/>
      </c>
      <c r="U613">
        <f>IF(AND($D613&lt;&gt;"Доход",COUNTIFS(Счета!$B$10:$B$21,$J613,Счета!$C$10:$C$21,"Кредитная")&gt;0),1,0)</f>
        <v/>
      </c>
    </row>
    <row r="614" ht="19" customHeight="1">
      <c r="B614" s="53">
        <f>IF(AND($C614="",$F614=""),"",ROW()-9)</f>
        <v/>
      </c>
      <c r="C614" s="213" t="n"/>
      <c r="D614" s="55" t="n"/>
      <c r="E614" s="55" t="n"/>
      <c r="F614" s="56" t="n"/>
      <c r="G614" s="196" t="n"/>
      <c r="H614" s="196" t="n"/>
      <c r="I614" s="55" t="n"/>
      <c r="J614" s="55" t="n"/>
      <c r="K614" s="55" t="n"/>
      <c r="L614" s="100">
        <f>IF(OR($C614="",$I614="Оплачено",$I614="Отменено",$H614&lt;&gt;""),"",$C614-TODAY())</f>
        <v/>
      </c>
      <c r="M614" s="101">
        <f>IF($C614="","",INDEX(Настройки!$V$6:$V$17,MONTH($C614))&amp;" "&amp;YEAR($C614))</f>
        <v/>
      </c>
      <c r="N614" s="57">
        <f>IF($F614="","",IF(COUNTIF(Постоянные!$C$8:$C$37,$F614)&gt;0,"есть в Постоянных",IF(COUNTIF(Покупки!$C$7:$C$18,$F614)&gt;0,"есть в Покупках","")))</f>
        <v/>
      </c>
      <c r="P614">
        <f>IF($H614&lt;&gt;"",$H614,IF($I614="Оплачено",N($G614),0))</f>
        <v/>
      </c>
      <c r="Q614">
        <f>IF($I614="Отменено",0,IF($G614&lt;&gt;"",$G614,N($H614)))</f>
        <v/>
      </c>
      <c r="R614">
        <f>IF($C614="","",IFERROR(DATE(Настройки!$C$8,Настройки!$D$9+MATCH($M614,Настройки!$X$6:$X$17,0)-1,1),DATE(YEAR($C614),MONTH($C614),1)))</f>
        <v/>
      </c>
      <c r="S614">
        <f>IF(OR($I614="Оплачено",$H614&lt;&gt;""),$P614,$Q614)</f>
        <v/>
      </c>
      <c r="T614">
        <f>IF(OR($C614="",$D614="Доход",$I614="Оплачено",$I614="Отменено",$H614&lt;&gt;"",$C614&lt;TODAY()),"",$C614)</f>
        <v/>
      </c>
      <c r="U614">
        <f>IF(AND($D614&lt;&gt;"Доход",COUNTIFS(Счета!$B$10:$B$21,$J614,Счета!$C$10:$C$21,"Кредитная")&gt;0),1,0)</f>
        <v/>
      </c>
    </row>
    <row r="615" ht="19" customHeight="1">
      <c r="B615" s="53">
        <f>IF(AND($C615="",$F615=""),"",ROW()-9)</f>
        <v/>
      </c>
      <c r="C615" s="213" t="n"/>
      <c r="D615" s="55" t="n"/>
      <c r="E615" s="55" t="n"/>
      <c r="F615" s="56" t="n"/>
      <c r="G615" s="196" t="n"/>
      <c r="H615" s="196" t="n"/>
      <c r="I615" s="55" t="n"/>
      <c r="J615" s="55" t="n"/>
      <c r="K615" s="55" t="n"/>
      <c r="L615" s="100">
        <f>IF(OR($C615="",$I615="Оплачено",$I615="Отменено",$H615&lt;&gt;""),"",$C615-TODAY())</f>
        <v/>
      </c>
      <c r="M615" s="101">
        <f>IF($C615="","",INDEX(Настройки!$V$6:$V$17,MONTH($C615))&amp;" "&amp;YEAR($C615))</f>
        <v/>
      </c>
      <c r="N615" s="57">
        <f>IF($F615="","",IF(COUNTIF(Постоянные!$C$8:$C$37,$F615)&gt;0,"есть в Постоянных",IF(COUNTIF(Покупки!$C$7:$C$18,$F615)&gt;0,"есть в Покупках","")))</f>
        <v/>
      </c>
      <c r="P615">
        <f>IF($H615&lt;&gt;"",$H615,IF($I615="Оплачено",N($G615),0))</f>
        <v/>
      </c>
      <c r="Q615">
        <f>IF($I615="Отменено",0,IF($G615&lt;&gt;"",$G615,N($H615)))</f>
        <v/>
      </c>
      <c r="R615">
        <f>IF($C615="","",IFERROR(DATE(Настройки!$C$8,Настройки!$D$9+MATCH($M615,Настройки!$X$6:$X$17,0)-1,1),DATE(YEAR($C615),MONTH($C615),1)))</f>
        <v/>
      </c>
      <c r="S615">
        <f>IF(OR($I615="Оплачено",$H615&lt;&gt;""),$P615,$Q615)</f>
        <v/>
      </c>
      <c r="T615">
        <f>IF(OR($C615="",$D615="Доход",$I615="Оплачено",$I615="Отменено",$H615&lt;&gt;"",$C615&lt;TODAY()),"",$C615)</f>
        <v/>
      </c>
      <c r="U615">
        <f>IF(AND($D615&lt;&gt;"Доход",COUNTIFS(Счета!$B$10:$B$21,$J615,Счета!$C$10:$C$21,"Кредитная")&gt;0),1,0)</f>
        <v/>
      </c>
    </row>
    <row r="616" ht="19" customHeight="1">
      <c r="B616" s="53">
        <f>IF(AND($C616="",$F616=""),"",ROW()-9)</f>
        <v/>
      </c>
      <c r="C616" s="213" t="n"/>
      <c r="D616" s="55" t="n"/>
      <c r="E616" s="55" t="n"/>
      <c r="F616" s="56" t="n"/>
      <c r="G616" s="196" t="n"/>
      <c r="H616" s="196" t="n"/>
      <c r="I616" s="55" t="n"/>
      <c r="J616" s="55" t="n"/>
      <c r="K616" s="55" t="n"/>
      <c r="L616" s="100">
        <f>IF(OR($C616="",$I616="Оплачено",$I616="Отменено",$H616&lt;&gt;""),"",$C616-TODAY())</f>
        <v/>
      </c>
      <c r="M616" s="101">
        <f>IF($C616="","",INDEX(Настройки!$V$6:$V$17,MONTH($C616))&amp;" "&amp;YEAR($C616))</f>
        <v/>
      </c>
      <c r="N616" s="57">
        <f>IF($F616="","",IF(COUNTIF(Постоянные!$C$8:$C$37,$F616)&gt;0,"есть в Постоянных",IF(COUNTIF(Покупки!$C$7:$C$18,$F616)&gt;0,"есть в Покупках","")))</f>
        <v/>
      </c>
      <c r="P616">
        <f>IF($H616&lt;&gt;"",$H616,IF($I616="Оплачено",N($G616),0))</f>
        <v/>
      </c>
      <c r="Q616">
        <f>IF($I616="Отменено",0,IF($G616&lt;&gt;"",$G616,N($H616)))</f>
        <v/>
      </c>
      <c r="R616">
        <f>IF($C616="","",IFERROR(DATE(Настройки!$C$8,Настройки!$D$9+MATCH($M616,Настройки!$X$6:$X$17,0)-1,1),DATE(YEAR($C616),MONTH($C616),1)))</f>
        <v/>
      </c>
      <c r="S616">
        <f>IF(OR($I616="Оплачено",$H616&lt;&gt;""),$P616,$Q616)</f>
        <v/>
      </c>
      <c r="T616">
        <f>IF(OR($C616="",$D616="Доход",$I616="Оплачено",$I616="Отменено",$H616&lt;&gt;"",$C616&lt;TODAY()),"",$C616)</f>
        <v/>
      </c>
      <c r="U616">
        <f>IF(AND($D616&lt;&gt;"Доход",COUNTIFS(Счета!$B$10:$B$21,$J616,Счета!$C$10:$C$21,"Кредитная")&gt;0),1,0)</f>
        <v/>
      </c>
    </row>
    <row r="617" ht="19" customHeight="1">
      <c r="B617" s="53">
        <f>IF(AND($C617="",$F617=""),"",ROW()-9)</f>
        <v/>
      </c>
      <c r="C617" s="213" t="n"/>
      <c r="D617" s="55" t="n"/>
      <c r="E617" s="55" t="n"/>
      <c r="F617" s="56" t="n"/>
      <c r="G617" s="196" t="n"/>
      <c r="H617" s="196" t="n"/>
      <c r="I617" s="55" t="n"/>
      <c r="J617" s="55" t="n"/>
      <c r="K617" s="55" t="n"/>
      <c r="L617" s="100">
        <f>IF(OR($C617="",$I617="Оплачено",$I617="Отменено",$H617&lt;&gt;""),"",$C617-TODAY())</f>
        <v/>
      </c>
      <c r="M617" s="101">
        <f>IF($C617="","",INDEX(Настройки!$V$6:$V$17,MONTH($C617))&amp;" "&amp;YEAR($C617))</f>
        <v/>
      </c>
      <c r="N617" s="57">
        <f>IF($F617="","",IF(COUNTIF(Постоянные!$C$8:$C$37,$F617)&gt;0,"есть в Постоянных",IF(COUNTIF(Покупки!$C$7:$C$18,$F617)&gt;0,"есть в Покупках","")))</f>
        <v/>
      </c>
      <c r="P617">
        <f>IF($H617&lt;&gt;"",$H617,IF($I617="Оплачено",N($G617),0))</f>
        <v/>
      </c>
      <c r="Q617">
        <f>IF($I617="Отменено",0,IF($G617&lt;&gt;"",$G617,N($H617)))</f>
        <v/>
      </c>
      <c r="R617">
        <f>IF($C617="","",IFERROR(DATE(Настройки!$C$8,Настройки!$D$9+MATCH($M617,Настройки!$X$6:$X$17,0)-1,1),DATE(YEAR($C617),MONTH($C617),1)))</f>
        <v/>
      </c>
      <c r="S617">
        <f>IF(OR($I617="Оплачено",$H617&lt;&gt;""),$P617,$Q617)</f>
        <v/>
      </c>
      <c r="T617">
        <f>IF(OR($C617="",$D617="Доход",$I617="Оплачено",$I617="Отменено",$H617&lt;&gt;"",$C617&lt;TODAY()),"",$C617)</f>
        <v/>
      </c>
      <c r="U617">
        <f>IF(AND($D617&lt;&gt;"Доход",COUNTIFS(Счета!$B$10:$B$21,$J617,Счета!$C$10:$C$21,"Кредитная")&gt;0),1,0)</f>
        <v/>
      </c>
    </row>
    <row r="618" ht="19" customHeight="1">
      <c r="B618" s="53">
        <f>IF(AND($C618="",$F618=""),"",ROW()-9)</f>
        <v/>
      </c>
      <c r="C618" s="213" t="n"/>
      <c r="D618" s="55" t="n"/>
      <c r="E618" s="55" t="n"/>
      <c r="F618" s="56" t="n"/>
      <c r="G618" s="196" t="n"/>
      <c r="H618" s="196" t="n"/>
      <c r="I618" s="55" t="n"/>
      <c r="J618" s="55" t="n"/>
      <c r="K618" s="55" t="n"/>
      <c r="L618" s="100">
        <f>IF(OR($C618="",$I618="Оплачено",$I618="Отменено",$H618&lt;&gt;""),"",$C618-TODAY())</f>
        <v/>
      </c>
      <c r="M618" s="101">
        <f>IF($C618="","",INDEX(Настройки!$V$6:$V$17,MONTH($C618))&amp;" "&amp;YEAR($C618))</f>
        <v/>
      </c>
      <c r="N618" s="57">
        <f>IF($F618="","",IF(COUNTIF(Постоянные!$C$8:$C$37,$F618)&gt;0,"есть в Постоянных",IF(COUNTIF(Покупки!$C$7:$C$18,$F618)&gt;0,"есть в Покупках","")))</f>
        <v/>
      </c>
      <c r="P618">
        <f>IF($H618&lt;&gt;"",$H618,IF($I618="Оплачено",N($G618),0))</f>
        <v/>
      </c>
      <c r="Q618">
        <f>IF($I618="Отменено",0,IF($G618&lt;&gt;"",$G618,N($H618)))</f>
        <v/>
      </c>
      <c r="R618">
        <f>IF($C618="","",IFERROR(DATE(Настройки!$C$8,Настройки!$D$9+MATCH($M618,Настройки!$X$6:$X$17,0)-1,1),DATE(YEAR($C618),MONTH($C618),1)))</f>
        <v/>
      </c>
      <c r="S618">
        <f>IF(OR($I618="Оплачено",$H618&lt;&gt;""),$P618,$Q618)</f>
        <v/>
      </c>
      <c r="T618">
        <f>IF(OR($C618="",$D618="Доход",$I618="Оплачено",$I618="Отменено",$H618&lt;&gt;"",$C618&lt;TODAY()),"",$C618)</f>
        <v/>
      </c>
      <c r="U618">
        <f>IF(AND($D618&lt;&gt;"Доход",COUNTIFS(Счета!$B$10:$B$21,$J618,Счета!$C$10:$C$21,"Кредитная")&gt;0),1,0)</f>
        <v/>
      </c>
    </row>
    <row r="619" ht="19" customHeight="1">
      <c r="B619" s="53">
        <f>IF(AND($C619="",$F619=""),"",ROW()-9)</f>
        <v/>
      </c>
      <c r="C619" s="213" t="n"/>
      <c r="D619" s="55" t="n"/>
      <c r="E619" s="55" t="n"/>
      <c r="F619" s="56" t="n"/>
      <c r="G619" s="196" t="n"/>
      <c r="H619" s="196" t="n"/>
      <c r="I619" s="55" t="n"/>
      <c r="J619" s="55" t="n"/>
      <c r="K619" s="55" t="n"/>
      <c r="L619" s="100">
        <f>IF(OR($C619="",$I619="Оплачено",$I619="Отменено",$H619&lt;&gt;""),"",$C619-TODAY())</f>
        <v/>
      </c>
      <c r="M619" s="101">
        <f>IF($C619="","",INDEX(Настройки!$V$6:$V$17,MONTH($C619))&amp;" "&amp;YEAR($C619))</f>
        <v/>
      </c>
      <c r="N619" s="57">
        <f>IF($F619="","",IF(COUNTIF(Постоянные!$C$8:$C$37,$F619)&gt;0,"есть в Постоянных",IF(COUNTIF(Покупки!$C$7:$C$18,$F619)&gt;0,"есть в Покупках","")))</f>
        <v/>
      </c>
      <c r="P619">
        <f>IF($H619&lt;&gt;"",$H619,IF($I619="Оплачено",N($G619),0))</f>
        <v/>
      </c>
      <c r="Q619">
        <f>IF($I619="Отменено",0,IF($G619&lt;&gt;"",$G619,N($H619)))</f>
        <v/>
      </c>
      <c r="R619">
        <f>IF($C619="","",IFERROR(DATE(Настройки!$C$8,Настройки!$D$9+MATCH($M619,Настройки!$X$6:$X$17,0)-1,1),DATE(YEAR($C619),MONTH($C619),1)))</f>
        <v/>
      </c>
      <c r="S619">
        <f>IF(OR($I619="Оплачено",$H619&lt;&gt;""),$P619,$Q619)</f>
        <v/>
      </c>
      <c r="T619">
        <f>IF(OR($C619="",$D619="Доход",$I619="Оплачено",$I619="Отменено",$H619&lt;&gt;"",$C619&lt;TODAY()),"",$C619)</f>
        <v/>
      </c>
      <c r="U619">
        <f>IF(AND($D619&lt;&gt;"Доход",COUNTIFS(Счета!$B$10:$B$21,$J619,Счета!$C$10:$C$21,"Кредитная")&gt;0),1,0)</f>
        <v/>
      </c>
    </row>
    <row r="620" ht="19" customHeight="1">
      <c r="B620" s="53">
        <f>IF(AND($C620="",$F620=""),"",ROW()-9)</f>
        <v/>
      </c>
      <c r="C620" s="213" t="n"/>
      <c r="D620" s="55" t="n"/>
      <c r="E620" s="55" t="n"/>
      <c r="F620" s="56" t="n"/>
      <c r="G620" s="196" t="n"/>
      <c r="H620" s="196" t="n"/>
      <c r="I620" s="55" t="n"/>
      <c r="J620" s="55" t="n"/>
      <c r="K620" s="55" t="n"/>
      <c r="L620" s="100">
        <f>IF(OR($C620="",$I620="Оплачено",$I620="Отменено",$H620&lt;&gt;""),"",$C620-TODAY())</f>
        <v/>
      </c>
      <c r="M620" s="101">
        <f>IF($C620="","",INDEX(Настройки!$V$6:$V$17,MONTH($C620))&amp;" "&amp;YEAR($C620))</f>
        <v/>
      </c>
      <c r="N620" s="57">
        <f>IF($F620="","",IF(COUNTIF(Постоянные!$C$8:$C$37,$F620)&gt;0,"есть в Постоянных",IF(COUNTIF(Покупки!$C$7:$C$18,$F620)&gt;0,"есть в Покупках","")))</f>
        <v/>
      </c>
      <c r="P620">
        <f>IF($H620&lt;&gt;"",$H620,IF($I620="Оплачено",N($G620),0))</f>
        <v/>
      </c>
      <c r="Q620">
        <f>IF($I620="Отменено",0,IF($G620&lt;&gt;"",$G620,N($H620)))</f>
        <v/>
      </c>
      <c r="R620">
        <f>IF($C620="","",IFERROR(DATE(Настройки!$C$8,Настройки!$D$9+MATCH($M620,Настройки!$X$6:$X$17,0)-1,1),DATE(YEAR($C620),MONTH($C620),1)))</f>
        <v/>
      </c>
      <c r="S620">
        <f>IF(OR($I620="Оплачено",$H620&lt;&gt;""),$P620,$Q620)</f>
        <v/>
      </c>
      <c r="T620">
        <f>IF(OR($C620="",$D620="Доход",$I620="Оплачено",$I620="Отменено",$H620&lt;&gt;"",$C620&lt;TODAY()),"",$C620)</f>
        <v/>
      </c>
      <c r="U620">
        <f>IF(AND($D620&lt;&gt;"Доход",COUNTIFS(Счета!$B$10:$B$21,$J620,Счета!$C$10:$C$21,"Кредитная")&gt;0),1,0)</f>
        <v/>
      </c>
    </row>
    <row r="621" ht="19" customHeight="1">
      <c r="B621" s="53">
        <f>IF(AND($C621="",$F621=""),"",ROW()-9)</f>
        <v/>
      </c>
      <c r="C621" s="213" t="n"/>
      <c r="D621" s="55" t="n"/>
      <c r="E621" s="55" t="n"/>
      <c r="F621" s="56" t="n"/>
      <c r="G621" s="196" t="n"/>
      <c r="H621" s="196" t="n"/>
      <c r="I621" s="55" t="n"/>
      <c r="J621" s="55" t="n"/>
      <c r="K621" s="55" t="n"/>
      <c r="L621" s="100">
        <f>IF(OR($C621="",$I621="Оплачено",$I621="Отменено",$H621&lt;&gt;""),"",$C621-TODAY())</f>
        <v/>
      </c>
      <c r="M621" s="101">
        <f>IF($C621="","",INDEX(Настройки!$V$6:$V$17,MONTH($C621))&amp;" "&amp;YEAR($C621))</f>
        <v/>
      </c>
      <c r="N621" s="57">
        <f>IF($F621="","",IF(COUNTIF(Постоянные!$C$8:$C$37,$F621)&gt;0,"есть в Постоянных",IF(COUNTIF(Покупки!$C$7:$C$18,$F621)&gt;0,"есть в Покупках","")))</f>
        <v/>
      </c>
      <c r="P621">
        <f>IF($H621&lt;&gt;"",$H621,IF($I621="Оплачено",N($G621),0))</f>
        <v/>
      </c>
      <c r="Q621">
        <f>IF($I621="Отменено",0,IF($G621&lt;&gt;"",$G621,N($H621)))</f>
        <v/>
      </c>
      <c r="R621">
        <f>IF($C621="","",IFERROR(DATE(Настройки!$C$8,Настройки!$D$9+MATCH($M621,Настройки!$X$6:$X$17,0)-1,1),DATE(YEAR($C621),MONTH($C621),1)))</f>
        <v/>
      </c>
      <c r="S621">
        <f>IF(OR($I621="Оплачено",$H621&lt;&gt;""),$P621,$Q621)</f>
        <v/>
      </c>
      <c r="T621">
        <f>IF(OR($C621="",$D621="Доход",$I621="Оплачено",$I621="Отменено",$H621&lt;&gt;"",$C621&lt;TODAY()),"",$C621)</f>
        <v/>
      </c>
      <c r="U621">
        <f>IF(AND($D621&lt;&gt;"Доход",COUNTIFS(Счета!$B$10:$B$21,$J621,Счета!$C$10:$C$21,"Кредитная")&gt;0),1,0)</f>
        <v/>
      </c>
    </row>
    <row r="622" ht="19" customHeight="1">
      <c r="B622" s="53">
        <f>IF(AND($C622="",$F622=""),"",ROW()-9)</f>
        <v/>
      </c>
      <c r="C622" s="213" t="n"/>
      <c r="D622" s="55" t="n"/>
      <c r="E622" s="55" t="n"/>
      <c r="F622" s="56" t="n"/>
      <c r="G622" s="196" t="n"/>
      <c r="H622" s="196" t="n"/>
      <c r="I622" s="55" t="n"/>
      <c r="J622" s="55" t="n"/>
      <c r="K622" s="55" t="n"/>
      <c r="L622" s="100">
        <f>IF(OR($C622="",$I622="Оплачено",$I622="Отменено",$H622&lt;&gt;""),"",$C622-TODAY())</f>
        <v/>
      </c>
      <c r="M622" s="101">
        <f>IF($C622="","",INDEX(Настройки!$V$6:$V$17,MONTH($C622))&amp;" "&amp;YEAR($C622))</f>
        <v/>
      </c>
      <c r="N622" s="57">
        <f>IF($F622="","",IF(COUNTIF(Постоянные!$C$8:$C$37,$F622)&gt;0,"есть в Постоянных",IF(COUNTIF(Покупки!$C$7:$C$18,$F622)&gt;0,"есть в Покупках","")))</f>
        <v/>
      </c>
      <c r="P622">
        <f>IF($H622&lt;&gt;"",$H622,IF($I622="Оплачено",N($G622),0))</f>
        <v/>
      </c>
      <c r="Q622">
        <f>IF($I622="Отменено",0,IF($G622&lt;&gt;"",$G622,N($H622)))</f>
        <v/>
      </c>
      <c r="R622">
        <f>IF($C622="","",IFERROR(DATE(Настройки!$C$8,Настройки!$D$9+MATCH($M622,Настройки!$X$6:$X$17,0)-1,1),DATE(YEAR($C622),MONTH($C622),1)))</f>
        <v/>
      </c>
      <c r="S622">
        <f>IF(OR($I622="Оплачено",$H622&lt;&gt;""),$P622,$Q622)</f>
        <v/>
      </c>
      <c r="T622">
        <f>IF(OR($C622="",$D622="Доход",$I622="Оплачено",$I622="Отменено",$H622&lt;&gt;"",$C622&lt;TODAY()),"",$C622)</f>
        <v/>
      </c>
      <c r="U622">
        <f>IF(AND($D622&lt;&gt;"Доход",COUNTIFS(Счета!$B$10:$B$21,$J622,Счета!$C$10:$C$21,"Кредитная")&gt;0),1,0)</f>
        <v/>
      </c>
    </row>
    <row r="623" ht="19" customHeight="1">
      <c r="B623" s="53">
        <f>IF(AND($C623="",$F623=""),"",ROW()-9)</f>
        <v/>
      </c>
      <c r="C623" s="213" t="n"/>
      <c r="D623" s="55" t="n"/>
      <c r="E623" s="55" t="n"/>
      <c r="F623" s="56" t="n"/>
      <c r="G623" s="196" t="n"/>
      <c r="H623" s="196" t="n"/>
      <c r="I623" s="55" t="n"/>
      <c r="J623" s="55" t="n"/>
      <c r="K623" s="55" t="n"/>
      <c r="L623" s="100">
        <f>IF(OR($C623="",$I623="Оплачено",$I623="Отменено",$H623&lt;&gt;""),"",$C623-TODAY())</f>
        <v/>
      </c>
      <c r="M623" s="101">
        <f>IF($C623="","",INDEX(Настройки!$V$6:$V$17,MONTH($C623))&amp;" "&amp;YEAR($C623))</f>
        <v/>
      </c>
      <c r="N623" s="57">
        <f>IF($F623="","",IF(COUNTIF(Постоянные!$C$8:$C$37,$F623)&gt;0,"есть в Постоянных",IF(COUNTIF(Покупки!$C$7:$C$18,$F623)&gt;0,"есть в Покупках","")))</f>
        <v/>
      </c>
      <c r="P623">
        <f>IF($H623&lt;&gt;"",$H623,IF($I623="Оплачено",N($G623),0))</f>
        <v/>
      </c>
      <c r="Q623">
        <f>IF($I623="Отменено",0,IF($G623&lt;&gt;"",$G623,N($H623)))</f>
        <v/>
      </c>
      <c r="R623">
        <f>IF($C623="","",IFERROR(DATE(Настройки!$C$8,Настройки!$D$9+MATCH($M623,Настройки!$X$6:$X$17,0)-1,1),DATE(YEAR($C623),MONTH($C623),1)))</f>
        <v/>
      </c>
      <c r="S623">
        <f>IF(OR($I623="Оплачено",$H623&lt;&gt;""),$P623,$Q623)</f>
        <v/>
      </c>
      <c r="T623">
        <f>IF(OR($C623="",$D623="Доход",$I623="Оплачено",$I623="Отменено",$H623&lt;&gt;"",$C623&lt;TODAY()),"",$C623)</f>
        <v/>
      </c>
      <c r="U623">
        <f>IF(AND($D623&lt;&gt;"Доход",COUNTIFS(Счета!$B$10:$B$21,$J623,Счета!$C$10:$C$21,"Кредитная")&gt;0),1,0)</f>
        <v/>
      </c>
    </row>
    <row r="624" ht="19" customHeight="1">
      <c r="B624" s="53">
        <f>IF(AND($C624="",$F624=""),"",ROW()-9)</f>
        <v/>
      </c>
      <c r="C624" s="213" t="n"/>
      <c r="D624" s="55" t="n"/>
      <c r="E624" s="55" t="n"/>
      <c r="F624" s="56" t="n"/>
      <c r="G624" s="196" t="n"/>
      <c r="H624" s="196" t="n"/>
      <c r="I624" s="55" t="n"/>
      <c r="J624" s="55" t="n"/>
      <c r="K624" s="55" t="n"/>
      <c r="L624" s="100">
        <f>IF(OR($C624="",$I624="Оплачено",$I624="Отменено",$H624&lt;&gt;""),"",$C624-TODAY())</f>
        <v/>
      </c>
      <c r="M624" s="101">
        <f>IF($C624="","",INDEX(Настройки!$V$6:$V$17,MONTH($C624))&amp;" "&amp;YEAR($C624))</f>
        <v/>
      </c>
      <c r="N624" s="57">
        <f>IF($F624="","",IF(COUNTIF(Постоянные!$C$8:$C$37,$F624)&gt;0,"есть в Постоянных",IF(COUNTIF(Покупки!$C$7:$C$18,$F624)&gt;0,"есть в Покупках","")))</f>
        <v/>
      </c>
      <c r="P624">
        <f>IF($H624&lt;&gt;"",$H624,IF($I624="Оплачено",N($G624),0))</f>
        <v/>
      </c>
      <c r="Q624">
        <f>IF($I624="Отменено",0,IF($G624&lt;&gt;"",$G624,N($H624)))</f>
        <v/>
      </c>
      <c r="R624">
        <f>IF($C624="","",IFERROR(DATE(Настройки!$C$8,Настройки!$D$9+MATCH($M624,Настройки!$X$6:$X$17,0)-1,1),DATE(YEAR($C624),MONTH($C624),1)))</f>
        <v/>
      </c>
      <c r="S624">
        <f>IF(OR($I624="Оплачено",$H624&lt;&gt;""),$P624,$Q624)</f>
        <v/>
      </c>
      <c r="T624">
        <f>IF(OR($C624="",$D624="Доход",$I624="Оплачено",$I624="Отменено",$H624&lt;&gt;"",$C624&lt;TODAY()),"",$C624)</f>
        <v/>
      </c>
      <c r="U624">
        <f>IF(AND($D624&lt;&gt;"Доход",COUNTIFS(Счета!$B$10:$B$21,$J624,Счета!$C$10:$C$21,"Кредитная")&gt;0),1,0)</f>
        <v/>
      </c>
    </row>
    <row r="625" ht="19" customHeight="1">
      <c r="B625" s="53">
        <f>IF(AND($C625="",$F625=""),"",ROW()-9)</f>
        <v/>
      </c>
      <c r="C625" s="213" t="n"/>
      <c r="D625" s="55" t="n"/>
      <c r="E625" s="55" t="n"/>
      <c r="F625" s="56" t="n"/>
      <c r="G625" s="196" t="n"/>
      <c r="H625" s="196" t="n"/>
      <c r="I625" s="55" t="n"/>
      <c r="J625" s="55" t="n"/>
      <c r="K625" s="55" t="n"/>
      <c r="L625" s="100">
        <f>IF(OR($C625="",$I625="Оплачено",$I625="Отменено",$H625&lt;&gt;""),"",$C625-TODAY())</f>
        <v/>
      </c>
      <c r="M625" s="101">
        <f>IF($C625="","",INDEX(Настройки!$V$6:$V$17,MONTH($C625))&amp;" "&amp;YEAR($C625))</f>
        <v/>
      </c>
      <c r="N625" s="57">
        <f>IF($F625="","",IF(COUNTIF(Постоянные!$C$8:$C$37,$F625)&gt;0,"есть в Постоянных",IF(COUNTIF(Покупки!$C$7:$C$18,$F625)&gt;0,"есть в Покупках","")))</f>
        <v/>
      </c>
      <c r="P625">
        <f>IF($H625&lt;&gt;"",$H625,IF($I625="Оплачено",N($G625),0))</f>
        <v/>
      </c>
      <c r="Q625">
        <f>IF($I625="Отменено",0,IF($G625&lt;&gt;"",$G625,N($H625)))</f>
        <v/>
      </c>
      <c r="R625">
        <f>IF($C625="","",IFERROR(DATE(Настройки!$C$8,Настройки!$D$9+MATCH($M625,Настройки!$X$6:$X$17,0)-1,1),DATE(YEAR($C625),MONTH($C625),1)))</f>
        <v/>
      </c>
      <c r="S625">
        <f>IF(OR($I625="Оплачено",$H625&lt;&gt;""),$P625,$Q625)</f>
        <v/>
      </c>
      <c r="T625">
        <f>IF(OR($C625="",$D625="Доход",$I625="Оплачено",$I625="Отменено",$H625&lt;&gt;"",$C625&lt;TODAY()),"",$C625)</f>
        <v/>
      </c>
      <c r="U625">
        <f>IF(AND($D625&lt;&gt;"Доход",COUNTIFS(Счета!$B$10:$B$21,$J625,Счета!$C$10:$C$21,"Кредитная")&gt;0),1,0)</f>
        <v/>
      </c>
    </row>
    <row r="626" ht="19" customHeight="1">
      <c r="B626" s="53">
        <f>IF(AND($C626="",$F626=""),"",ROW()-9)</f>
        <v/>
      </c>
      <c r="C626" s="213" t="n"/>
      <c r="D626" s="55" t="n"/>
      <c r="E626" s="55" t="n"/>
      <c r="F626" s="56" t="n"/>
      <c r="G626" s="196" t="n"/>
      <c r="H626" s="196" t="n"/>
      <c r="I626" s="55" t="n"/>
      <c r="J626" s="55" t="n"/>
      <c r="K626" s="55" t="n"/>
      <c r="L626" s="100">
        <f>IF(OR($C626="",$I626="Оплачено",$I626="Отменено",$H626&lt;&gt;""),"",$C626-TODAY())</f>
        <v/>
      </c>
      <c r="M626" s="101">
        <f>IF($C626="","",INDEX(Настройки!$V$6:$V$17,MONTH($C626))&amp;" "&amp;YEAR($C626))</f>
        <v/>
      </c>
      <c r="N626" s="57">
        <f>IF($F626="","",IF(COUNTIF(Постоянные!$C$8:$C$37,$F626)&gt;0,"есть в Постоянных",IF(COUNTIF(Покупки!$C$7:$C$18,$F626)&gt;0,"есть в Покупках","")))</f>
        <v/>
      </c>
      <c r="P626">
        <f>IF($H626&lt;&gt;"",$H626,IF($I626="Оплачено",N($G626),0))</f>
        <v/>
      </c>
      <c r="Q626">
        <f>IF($I626="Отменено",0,IF($G626&lt;&gt;"",$G626,N($H626)))</f>
        <v/>
      </c>
      <c r="R626">
        <f>IF($C626="","",IFERROR(DATE(Настройки!$C$8,Настройки!$D$9+MATCH($M626,Настройки!$X$6:$X$17,0)-1,1),DATE(YEAR($C626),MONTH($C626),1)))</f>
        <v/>
      </c>
      <c r="S626">
        <f>IF(OR($I626="Оплачено",$H626&lt;&gt;""),$P626,$Q626)</f>
        <v/>
      </c>
      <c r="T626">
        <f>IF(OR($C626="",$D626="Доход",$I626="Оплачено",$I626="Отменено",$H626&lt;&gt;"",$C626&lt;TODAY()),"",$C626)</f>
        <v/>
      </c>
      <c r="U626">
        <f>IF(AND($D626&lt;&gt;"Доход",COUNTIFS(Счета!$B$10:$B$21,$J626,Счета!$C$10:$C$21,"Кредитная")&gt;0),1,0)</f>
        <v/>
      </c>
    </row>
    <row r="627" ht="19" customHeight="1">
      <c r="B627" s="53">
        <f>IF(AND($C627="",$F627=""),"",ROW()-9)</f>
        <v/>
      </c>
      <c r="C627" s="213" t="n"/>
      <c r="D627" s="55" t="n"/>
      <c r="E627" s="55" t="n"/>
      <c r="F627" s="56" t="n"/>
      <c r="G627" s="196" t="n"/>
      <c r="H627" s="196" t="n"/>
      <c r="I627" s="55" t="n"/>
      <c r="J627" s="55" t="n"/>
      <c r="K627" s="55" t="n"/>
      <c r="L627" s="100">
        <f>IF(OR($C627="",$I627="Оплачено",$I627="Отменено",$H627&lt;&gt;""),"",$C627-TODAY())</f>
        <v/>
      </c>
      <c r="M627" s="101">
        <f>IF($C627="","",INDEX(Настройки!$V$6:$V$17,MONTH($C627))&amp;" "&amp;YEAR($C627))</f>
        <v/>
      </c>
      <c r="N627" s="57">
        <f>IF($F627="","",IF(COUNTIF(Постоянные!$C$8:$C$37,$F627)&gt;0,"есть в Постоянных",IF(COUNTIF(Покупки!$C$7:$C$18,$F627)&gt;0,"есть в Покупках","")))</f>
        <v/>
      </c>
      <c r="P627">
        <f>IF($H627&lt;&gt;"",$H627,IF($I627="Оплачено",N($G627),0))</f>
        <v/>
      </c>
      <c r="Q627">
        <f>IF($I627="Отменено",0,IF($G627&lt;&gt;"",$G627,N($H627)))</f>
        <v/>
      </c>
      <c r="R627">
        <f>IF($C627="","",IFERROR(DATE(Настройки!$C$8,Настройки!$D$9+MATCH($M627,Настройки!$X$6:$X$17,0)-1,1),DATE(YEAR($C627),MONTH($C627),1)))</f>
        <v/>
      </c>
      <c r="S627">
        <f>IF(OR($I627="Оплачено",$H627&lt;&gt;""),$P627,$Q627)</f>
        <v/>
      </c>
      <c r="T627">
        <f>IF(OR($C627="",$D627="Доход",$I627="Оплачено",$I627="Отменено",$H627&lt;&gt;"",$C627&lt;TODAY()),"",$C627)</f>
        <v/>
      </c>
      <c r="U627">
        <f>IF(AND($D627&lt;&gt;"Доход",COUNTIFS(Счета!$B$10:$B$21,$J627,Счета!$C$10:$C$21,"Кредитная")&gt;0),1,0)</f>
        <v/>
      </c>
    </row>
    <row r="628" ht="19" customHeight="1">
      <c r="B628" s="53">
        <f>IF(AND($C628="",$F628=""),"",ROW()-9)</f>
        <v/>
      </c>
      <c r="C628" s="213" t="n"/>
      <c r="D628" s="55" t="n"/>
      <c r="E628" s="55" t="n"/>
      <c r="F628" s="56" t="n"/>
      <c r="G628" s="196" t="n"/>
      <c r="H628" s="196" t="n"/>
      <c r="I628" s="55" t="n"/>
      <c r="J628" s="55" t="n"/>
      <c r="K628" s="55" t="n"/>
      <c r="L628" s="100">
        <f>IF(OR($C628="",$I628="Оплачено",$I628="Отменено",$H628&lt;&gt;""),"",$C628-TODAY())</f>
        <v/>
      </c>
      <c r="M628" s="101">
        <f>IF($C628="","",INDEX(Настройки!$V$6:$V$17,MONTH($C628))&amp;" "&amp;YEAR($C628))</f>
        <v/>
      </c>
      <c r="N628" s="57">
        <f>IF($F628="","",IF(COUNTIF(Постоянные!$C$8:$C$37,$F628)&gt;0,"есть в Постоянных",IF(COUNTIF(Покупки!$C$7:$C$18,$F628)&gt;0,"есть в Покупках","")))</f>
        <v/>
      </c>
      <c r="P628">
        <f>IF($H628&lt;&gt;"",$H628,IF($I628="Оплачено",N($G628),0))</f>
        <v/>
      </c>
      <c r="Q628">
        <f>IF($I628="Отменено",0,IF($G628&lt;&gt;"",$G628,N($H628)))</f>
        <v/>
      </c>
      <c r="R628">
        <f>IF($C628="","",IFERROR(DATE(Настройки!$C$8,Настройки!$D$9+MATCH($M628,Настройки!$X$6:$X$17,0)-1,1),DATE(YEAR($C628),MONTH($C628),1)))</f>
        <v/>
      </c>
      <c r="S628">
        <f>IF(OR($I628="Оплачено",$H628&lt;&gt;""),$P628,$Q628)</f>
        <v/>
      </c>
      <c r="T628">
        <f>IF(OR($C628="",$D628="Доход",$I628="Оплачено",$I628="Отменено",$H628&lt;&gt;"",$C628&lt;TODAY()),"",$C628)</f>
        <v/>
      </c>
      <c r="U628">
        <f>IF(AND($D628&lt;&gt;"Доход",COUNTIFS(Счета!$B$10:$B$21,$J628,Счета!$C$10:$C$21,"Кредитная")&gt;0),1,0)</f>
        <v/>
      </c>
    </row>
    <row r="629" ht="19" customHeight="1">
      <c r="B629" s="53">
        <f>IF(AND($C629="",$F629=""),"",ROW()-9)</f>
        <v/>
      </c>
      <c r="C629" s="213" t="n"/>
      <c r="D629" s="55" t="n"/>
      <c r="E629" s="55" t="n"/>
      <c r="F629" s="56" t="n"/>
      <c r="G629" s="196" t="n"/>
      <c r="H629" s="196" t="n"/>
      <c r="I629" s="55" t="n"/>
      <c r="J629" s="55" t="n"/>
      <c r="K629" s="55" t="n"/>
      <c r="L629" s="100">
        <f>IF(OR($C629="",$I629="Оплачено",$I629="Отменено",$H629&lt;&gt;""),"",$C629-TODAY())</f>
        <v/>
      </c>
      <c r="M629" s="101">
        <f>IF($C629="","",INDEX(Настройки!$V$6:$V$17,MONTH($C629))&amp;" "&amp;YEAR($C629))</f>
        <v/>
      </c>
      <c r="N629" s="57">
        <f>IF($F629="","",IF(COUNTIF(Постоянные!$C$8:$C$37,$F629)&gt;0,"есть в Постоянных",IF(COUNTIF(Покупки!$C$7:$C$18,$F629)&gt;0,"есть в Покупках","")))</f>
        <v/>
      </c>
      <c r="P629">
        <f>IF($H629&lt;&gt;"",$H629,IF($I629="Оплачено",N($G629),0))</f>
        <v/>
      </c>
      <c r="Q629">
        <f>IF($I629="Отменено",0,IF($G629&lt;&gt;"",$G629,N($H629)))</f>
        <v/>
      </c>
      <c r="R629">
        <f>IF($C629="","",IFERROR(DATE(Настройки!$C$8,Настройки!$D$9+MATCH($M629,Настройки!$X$6:$X$17,0)-1,1),DATE(YEAR($C629),MONTH($C629),1)))</f>
        <v/>
      </c>
      <c r="S629">
        <f>IF(OR($I629="Оплачено",$H629&lt;&gt;""),$P629,$Q629)</f>
        <v/>
      </c>
      <c r="T629">
        <f>IF(OR($C629="",$D629="Доход",$I629="Оплачено",$I629="Отменено",$H629&lt;&gt;"",$C629&lt;TODAY()),"",$C629)</f>
        <v/>
      </c>
      <c r="U629">
        <f>IF(AND($D629&lt;&gt;"Доход",COUNTIFS(Счета!$B$10:$B$21,$J629,Счета!$C$10:$C$21,"Кредитная")&gt;0),1,0)</f>
        <v/>
      </c>
    </row>
    <row r="630" ht="19" customHeight="1">
      <c r="B630" s="53">
        <f>IF(AND($C630="",$F630=""),"",ROW()-9)</f>
        <v/>
      </c>
      <c r="C630" s="213" t="n"/>
      <c r="D630" s="55" t="n"/>
      <c r="E630" s="55" t="n"/>
      <c r="F630" s="56" t="n"/>
      <c r="G630" s="196" t="n"/>
      <c r="H630" s="196" t="n"/>
      <c r="I630" s="55" t="n"/>
      <c r="J630" s="55" t="n"/>
      <c r="K630" s="55" t="n"/>
      <c r="L630" s="100">
        <f>IF(OR($C630="",$I630="Оплачено",$I630="Отменено",$H630&lt;&gt;""),"",$C630-TODAY())</f>
        <v/>
      </c>
      <c r="M630" s="101">
        <f>IF($C630="","",INDEX(Настройки!$V$6:$V$17,MONTH($C630))&amp;" "&amp;YEAR($C630))</f>
        <v/>
      </c>
      <c r="N630" s="57">
        <f>IF($F630="","",IF(COUNTIF(Постоянные!$C$8:$C$37,$F630)&gt;0,"есть в Постоянных",IF(COUNTIF(Покупки!$C$7:$C$18,$F630)&gt;0,"есть в Покупках","")))</f>
        <v/>
      </c>
      <c r="P630">
        <f>IF($H630&lt;&gt;"",$H630,IF($I630="Оплачено",N($G630),0))</f>
        <v/>
      </c>
      <c r="Q630">
        <f>IF($I630="Отменено",0,IF($G630&lt;&gt;"",$G630,N($H630)))</f>
        <v/>
      </c>
      <c r="R630">
        <f>IF($C630="","",IFERROR(DATE(Настройки!$C$8,Настройки!$D$9+MATCH($M630,Настройки!$X$6:$X$17,0)-1,1),DATE(YEAR($C630),MONTH($C630),1)))</f>
        <v/>
      </c>
      <c r="S630">
        <f>IF(OR($I630="Оплачено",$H630&lt;&gt;""),$P630,$Q630)</f>
        <v/>
      </c>
      <c r="T630">
        <f>IF(OR($C630="",$D630="Доход",$I630="Оплачено",$I630="Отменено",$H630&lt;&gt;"",$C630&lt;TODAY()),"",$C630)</f>
        <v/>
      </c>
      <c r="U630">
        <f>IF(AND($D630&lt;&gt;"Доход",COUNTIFS(Счета!$B$10:$B$21,$J630,Счета!$C$10:$C$21,"Кредитная")&gt;0),1,0)</f>
        <v/>
      </c>
    </row>
    <row r="631" ht="19" customHeight="1">
      <c r="B631" s="53">
        <f>IF(AND($C631="",$F631=""),"",ROW()-9)</f>
        <v/>
      </c>
      <c r="C631" s="213" t="n"/>
      <c r="D631" s="55" t="n"/>
      <c r="E631" s="55" t="n"/>
      <c r="F631" s="56" t="n"/>
      <c r="G631" s="196" t="n"/>
      <c r="H631" s="196" t="n"/>
      <c r="I631" s="55" t="n"/>
      <c r="J631" s="55" t="n"/>
      <c r="K631" s="55" t="n"/>
      <c r="L631" s="100">
        <f>IF(OR($C631="",$I631="Оплачено",$I631="Отменено",$H631&lt;&gt;""),"",$C631-TODAY())</f>
        <v/>
      </c>
      <c r="M631" s="101">
        <f>IF($C631="","",INDEX(Настройки!$V$6:$V$17,MONTH($C631))&amp;" "&amp;YEAR($C631))</f>
        <v/>
      </c>
      <c r="N631" s="57">
        <f>IF($F631="","",IF(COUNTIF(Постоянные!$C$8:$C$37,$F631)&gt;0,"есть в Постоянных",IF(COUNTIF(Покупки!$C$7:$C$18,$F631)&gt;0,"есть в Покупках","")))</f>
        <v/>
      </c>
      <c r="P631">
        <f>IF($H631&lt;&gt;"",$H631,IF($I631="Оплачено",N($G631),0))</f>
        <v/>
      </c>
      <c r="Q631">
        <f>IF($I631="Отменено",0,IF($G631&lt;&gt;"",$G631,N($H631)))</f>
        <v/>
      </c>
      <c r="R631">
        <f>IF($C631="","",IFERROR(DATE(Настройки!$C$8,Настройки!$D$9+MATCH($M631,Настройки!$X$6:$X$17,0)-1,1),DATE(YEAR($C631),MONTH($C631),1)))</f>
        <v/>
      </c>
      <c r="S631">
        <f>IF(OR($I631="Оплачено",$H631&lt;&gt;""),$P631,$Q631)</f>
        <v/>
      </c>
      <c r="T631">
        <f>IF(OR($C631="",$D631="Доход",$I631="Оплачено",$I631="Отменено",$H631&lt;&gt;"",$C631&lt;TODAY()),"",$C631)</f>
        <v/>
      </c>
      <c r="U631">
        <f>IF(AND($D631&lt;&gt;"Доход",COUNTIFS(Счета!$B$10:$B$21,$J631,Счета!$C$10:$C$21,"Кредитная")&gt;0),1,0)</f>
        <v/>
      </c>
    </row>
    <row r="632" ht="19" customHeight="1">
      <c r="B632" s="53">
        <f>IF(AND($C632="",$F632=""),"",ROW()-9)</f>
        <v/>
      </c>
      <c r="C632" s="213" t="n"/>
      <c r="D632" s="55" t="n"/>
      <c r="E632" s="55" t="n"/>
      <c r="F632" s="56" t="n"/>
      <c r="G632" s="196" t="n"/>
      <c r="H632" s="196" t="n"/>
      <c r="I632" s="55" t="n"/>
      <c r="J632" s="55" t="n"/>
      <c r="K632" s="55" t="n"/>
      <c r="L632" s="100">
        <f>IF(OR($C632="",$I632="Оплачено",$I632="Отменено",$H632&lt;&gt;""),"",$C632-TODAY())</f>
        <v/>
      </c>
      <c r="M632" s="101">
        <f>IF($C632="","",INDEX(Настройки!$V$6:$V$17,MONTH($C632))&amp;" "&amp;YEAR($C632))</f>
        <v/>
      </c>
      <c r="N632" s="57">
        <f>IF($F632="","",IF(COUNTIF(Постоянные!$C$8:$C$37,$F632)&gt;0,"есть в Постоянных",IF(COUNTIF(Покупки!$C$7:$C$18,$F632)&gt;0,"есть в Покупках","")))</f>
        <v/>
      </c>
      <c r="P632">
        <f>IF($H632&lt;&gt;"",$H632,IF($I632="Оплачено",N($G632),0))</f>
        <v/>
      </c>
      <c r="Q632">
        <f>IF($I632="Отменено",0,IF($G632&lt;&gt;"",$G632,N($H632)))</f>
        <v/>
      </c>
      <c r="R632">
        <f>IF($C632="","",IFERROR(DATE(Настройки!$C$8,Настройки!$D$9+MATCH($M632,Настройки!$X$6:$X$17,0)-1,1),DATE(YEAR($C632),MONTH($C632),1)))</f>
        <v/>
      </c>
      <c r="S632">
        <f>IF(OR($I632="Оплачено",$H632&lt;&gt;""),$P632,$Q632)</f>
        <v/>
      </c>
      <c r="T632">
        <f>IF(OR($C632="",$D632="Доход",$I632="Оплачено",$I632="Отменено",$H632&lt;&gt;"",$C632&lt;TODAY()),"",$C632)</f>
        <v/>
      </c>
      <c r="U632">
        <f>IF(AND($D632&lt;&gt;"Доход",COUNTIFS(Счета!$B$10:$B$21,$J632,Счета!$C$10:$C$21,"Кредитная")&gt;0),1,0)</f>
        <v/>
      </c>
    </row>
    <row r="633" ht="19" customHeight="1">
      <c r="B633" s="53">
        <f>IF(AND($C633="",$F633=""),"",ROW()-9)</f>
        <v/>
      </c>
      <c r="C633" s="213" t="n"/>
      <c r="D633" s="55" t="n"/>
      <c r="E633" s="55" t="n"/>
      <c r="F633" s="56" t="n"/>
      <c r="G633" s="196" t="n"/>
      <c r="H633" s="196" t="n"/>
      <c r="I633" s="55" t="n"/>
      <c r="J633" s="55" t="n"/>
      <c r="K633" s="55" t="n"/>
      <c r="L633" s="100">
        <f>IF(OR($C633="",$I633="Оплачено",$I633="Отменено",$H633&lt;&gt;""),"",$C633-TODAY())</f>
        <v/>
      </c>
      <c r="M633" s="101">
        <f>IF($C633="","",INDEX(Настройки!$V$6:$V$17,MONTH($C633))&amp;" "&amp;YEAR($C633))</f>
        <v/>
      </c>
      <c r="N633" s="57">
        <f>IF($F633="","",IF(COUNTIF(Постоянные!$C$8:$C$37,$F633)&gt;0,"есть в Постоянных",IF(COUNTIF(Покупки!$C$7:$C$18,$F633)&gt;0,"есть в Покупках","")))</f>
        <v/>
      </c>
      <c r="P633">
        <f>IF($H633&lt;&gt;"",$H633,IF($I633="Оплачено",N($G633),0))</f>
        <v/>
      </c>
      <c r="Q633">
        <f>IF($I633="Отменено",0,IF($G633&lt;&gt;"",$G633,N($H633)))</f>
        <v/>
      </c>
      <c r="R633">
        <f>IF($C633="","",IFERROR(DATE(Настройки!$C$8,Настройки!$D$9+MATCH($M633,Настройки!$X$6:$X$17,0)-1,1),DATE(YEAR($C633),MONTH($C633),1)))</f>
        <v/>
      </c>
      <c r="S633">
        <f>IF(OR($I633="Оплачено",$H633&lt;&gt;""),$P633,$Q633)</f>
        <v/>
      </c>
      <c r="T633">
        <f>IF(OR($C633="",$D633="Доход",$I633="Оплачено",$I633="Отменено",$H633&lt;&gt;"",$C633&lt;TODAY()),"",$C633)</f>
        <v/>
      </c>
      <c r="U633">
        <f>IF(AND($D633&lt;&gt;"Доход",COUNTIFS(Счета!$B$10:$B$21,$J633,Счета!$C$10:$C$21,"Кредитная")&gt;0),1,0)</f>
        <v/>
      </c>
    </row>
    <row r="634" ht="19" customHeight="1">
      <c r="B634" s="53">
        <f>IF(AND($C634="",$F634=""),"",ROW()-9)</f>
        <v/>
      </c>
      <c r="C634" s="213" t="n"/>
      <c r="D634" s="55" t="n"/>
      <c r="E634" s="55" t="n"/>
      <c r="F634" s="56" t="n"/>
      <c r="G634" s="196" t="n"/>
      <c r="H634" s="196" t="n"/>
      <c r="I634" s="55" t="n"/>
      <c r="J634" s="55" t="n"/>
      <c r="K634" s="55" t="n"/>
      <c r="L634" s="100">
        <f>IF(OR($C634="",$I634="Оплачено",$I634="Отменено",$H634&lt;&gt;""),"",$C634-TODAY())</f>
        <v/>
      </c>
      <c r="M634" s="101">
        <f>IF($C634="","",INDEX(Настройки!$V$6:$V$17,MONTH($C634))&amp;" "&amp;YEAR($C634))</f>
        <v/>
      </c>
      <c r="N634" s="57">
        <f>IF($F634="","",IF(COUNTIF(Постоянные!$C$8:$C$37,$F634)&gt;0,"есть в Постоянных",IF(COUNTIF(Покупки!$C$7:$C$18,$F634)&gt;0,"есть в Покупках","")))</f>
        <v/>
      </c>
      <c r="P634">
        <f>IF($H634&lt;&gt;"",$H634,IF($I634="Оплачено",N($G634),0))</f>
        <v/>
      </c>
      <c r="Q634">
        <f>IF($I634="Отменено",0,IF($G634&lt;&gt;"",$G634,N($H634)))</f>
        <v/>
      </c>
      <c r="R634">
        <f>IF($C634="","",IFERROR(DATE(Настройки!$C$8,Настройки!$D$9+MATCH($M634,Настройки!$X$6:$X$17,0)-1,1),DATE(YEAR($C634),MONTH($C634),1)))</f>
        <v/>
      </c>
      <c r="S634">
        <f>IF(OR($I634="Оплачено",$H634&lt;&gt;""),$P634,$Q634)</f>
        <v/>
      </c>
      <c r="T634">
        <f>IF(OR($C634="",$D634="Доход",$I634="Оплачено",$I634="Отменено",$H634&lt;&gt;"",$C634&lt;TODAY()),"",$C634)</f>
        <v/>
      </c>
      <c r="U634">
        <f>IF(AND($D634&lt;&gt;"Доход",COUNTIFS(Счета!$B$10:$B$21,$J634,Счета!$C$10:$C$21,"Кредитная")&gt;0),1,0)</f>
        <v/>
      </c>
    </row>
    <row r="635" ht="19" customHeight="1">
      <c r="B635" s="53">
        <f>IF(AND($C635="",$F635=""),"",ROW()-9)</f>
        <v/>
      </c>
      <c r="C635" s="213" t="n"/>
      <c r="D635" s="55" t="n"/>
      <c r="E635" s="55" t="n"/>
      <c r="F635" s="56" t="n"/>
      <c r="G635" s="196" t="n"/>
      <c r="H635" s="196" t="n"/>
      <c r="I635" s="55" t="n"/>
      <c r="J635" s="55" t="n"/>
      <c r="K635" s="55" t="n"/>
      <c r="L635" s="100">
        <f>IF(OR($C635="",$I635="Оплачено",$I635="Отменено",$H635&lt;&gt;""),"",$C635-TODAY())</f>
        <v/>
      </c>
      <c r="M635" s="101">
        <f>IF($C635="","",INDEX(Настройки!$V$6:$V$17,MONTH($C635))&amp;" "&amp;YEAR($C635))</f>
        <v/>
      </c>
      <c r="N635" s="57">
        <f>IF($F635="","",IF(COUNTIF(Постоянные!$C$8:$C$37,$F635)&gt;0,"есть в Постоянных",IF(COUNTIF(Покупки!$C$7:$C$18,$F635)&gt;0,"есть в Покупках","")))</f>
        <v/>
      </c>
      <c r="P635">
        <f>IF($H635&lt;&gt;"",$H635,IF($I635="Оплачено",N($G635),0))</f>
        <v/>
      </c>
      <c r="Q635">
        <f>IF($I635="Отменено",0,IF($G635&lt;&gt;"",$G635,N($H635)))</f>
        <v/>
      </c>
      <c r="R635">
        <f>IF($C635="","",IFERROR(DATE(Настройки!$C$8,Настройки!$D$9+MATCH($M635,Настройки!$X$6:$X$17,0)-1,1),DATE(YEAR($C635),MONTH($C635),1)))</f>
        <v/>
      </c>
      <c r="S635">
        <f>IF(OR($I635="Оплачено",$H635&lt;&gt;""),$P635,$Q635)</f>
        <v/>
      </c>
      <c r="T635">
        <f>IF(OR($C635="",$D635="Доход",$I635="Оплачено",$I635="Отменено",$H635&lt;&gt;"",$C635&lt;TODAY()),"",$C635)</f>
        <v/>
      </c>
      <c r="U635">
        <f>IF(AND($D635&lt;&gt;"Доход",COUNTIFS(Счета!$B$10:$B$21,$J635,Счета!$C$10:$C$21,"Кредитная")&gt;0),1,0)</f>
        <v/>
      </c>
    </row>
    <row r="636" ht="19" customHeight="1">
      <c r="B636" s="53">
        <f>IF(AND($C636="",$F636=""),"",ROW()-9)</f>
        <v/>
      </c>
      <c r="C636" s="213" t="n"/>
      <c r="D636" s="55" t="n"/>
      <c r="E636" s="55" t="n"/>
      <c r="F636" s="56" t="n"/>
      <c r="G636" s="196" t="n"/>
      <c r="H636" s="196" t="n"/>
      <c r="I636" s="55" t="n"/>
      <c r="J636" s="55" t="n"/>
      <c r="K636" s="55" t="n"/>
      <c r="L636" s="100">
        <f>IF(OR($C636="",$I636="Оплачено",$I636="Отменено",$H636&lt;&gt;""),"",$C636-TODAY())</f>
        <v/>
      </c>
      <c r="M636" s="101">
        <f>IF($C636="","",INDEX(Настройки!$V$6:$V$17,MONTH($C636))&amp;" "&amp;YEAR($C636))</f>
        <v/>
      </c>
      <c r="N636" s="57">
        <f>IF($F636="","",IF(COUNTIF(Постоянные!$C$8:$C$37,$F636)&gt;0,"есть в Постоянных",IF(COUNTIF(Покупки!$C$7:$C$18,$F636)&gt;0,"есть в Покупках","")))</f>
        <v/>
      </c>
      <c r="P636">
        <f>IF($H636&lt;&gt;"",$H636,IF($I636="Оплачено",N($G636),0))</f>
        <v/>
      </c>
      <c r="Q636">
        <f>IF($I636="Отменено",0,IF($G636&lt;&gt;"",$G636,N($H636)))</f>
        <v/>
      </c>
      <c r="R636">
        <f>IF($C636="","",IFERROR(DATE(Настройки!$C$8,Настройки!$D$9+MATCH($M636,Настройки!$X$6:$X$17,0)-1,1),DATE(YEAR($C636),MONTH($C636),1)))</f>
        <v/>
      </c>
      <c r="S636">
        <f>IF(OR($I636="Оплачено",$H636&lt;&gt;""),$P636,$Q636)</f>
        <v/>
      </c>
      <c r="T636">
        <f>IF(OR($C636="",$D636="Доход",$I636="Оплачено",$I636="Отменено",$H636&lt;&gt;"",$C636&lt;TODAY()),"",$C636)</f>
        <v/>
      </c>
      <c r="U636">
        <f>IF(AND($D636&lt;&gt;"Доход",COUNTIFS(Счета!$B$10:$B$21,$J636,Счета!$C$10:$C$21,"Кредитная")&gt;0),1,0)</f>
        <v/>
      </c>
    </row>
    <row r="637" ht="19" customHeight="1">
      <c r="B637" s="53">
        <f>IF(AND($C637="",$F637=""),"",ROW()-9)</f>
        <v/>
      </c>
      <c r="C637" s="213" t="n"/>
      <c r="D637" s="55" t="n"/>
      <c r="E637" s="55" t="n"/>
      <c r="F637" s="56" t="n"/>
      <c r="G637" s="196" t="n"/>
      <c r="H637" s="196" t="n"/>
      <c r="I637" s="55" t="n"/>
      <c r="J637" s="55" t="n"/>
      <c r="K637" s="55" t="n"/>
      <c r="L637" s="100">
        <f>IF(OR($C637="",$I637="Оплачено",$I637="Отменено",$H637&lt;&gt;""),"",$C637-TODAY())</f>
        <v/>
      </c>
      <c r="M637" s="101">
        <f>IF($C637="","",INDEX(Настройки!$V$6:$V$17,MONTH($C637))&amp;" "&amp;YEAR($C637))</f>
        <v/>
      </c>
      <c r="N637" s="57">
        <f>IF($F637="","",IF(COUNTIF(Постоянные!$C$8:$C$37,$F637)&gt;0,"есть в Постоянных",IF(COUNTIF(Покупки!$C$7:$C$18,$F637)&gt;0,"есть в Покупках","")))</f>
        <v/>
      </c>
      <c r="P637">
        <f>IF($H637&lt;&gt;"",$H637,IF($I637="Оплачено",N($G637),0))</f>
        <v/>
      </c>
      <c r="Q637">
        <f>IF($I637="Отменено",0,IF($G637&lt;&gt;"",$G637,N($H637)))</f>
        <v/>
      </c>
      <c r="R637">
        <f>IF($C637="","",IFERROR(DATE(Настройки!$C$8,Настройки!$D$9+MATCH($M637,Настройки!$X$6:$X$17,0)-1,1),DATE(YEAR($C637),MONTH($C637),1)))</f>
        <v/>
      </c>
      <c r="S637">
        <f>IF(OR($I637="Оплачено",$H637&lt;&gt;""),$P637,$Q637)</f>
        <v/>
      </c>
      <c r="T637">
        <f>IF(OR($C637="",$D637="Доход",$I637="Оплачено",$I637="Отменено",$H637&lt;&gt;"",$C637&lt;TODAY()),"",$C637)</f>
        <v/>
      </c>
      <c r="U637">
        <f>IF(AND($D637&lt;&gt;"Доход",COUNTIFS(Счета!$B$10:$B$21,$J637,Счета!$C$10:$C$21,"Кредитная")&gt;0),1,0)</f>
        <v/>
      </c>
    </row>
    <row r="638" ht="19" customHeight="1">
      <c r="B638" s="53">
        <f>IF(AND($C638="",$F638=""),"",ROW()-9)</f>
        <v/>
      </c>
      <c r="C638" s="213" t="n"/>
      <c r="D638" s="55" t="n"/>
      <c r="E638" s="55" t="n"/>
      <c r="F638" s="56" t="n"/>
      <c r="G638" s="196" t="n"/>
      <c r="H638" s="196" t="n"/>
      <c r="I638" s="55" t="n"/>
      <c r="J638" s="55" t="n"/>
      <c r="K638" s="55" t="n"/>
      <c r="L638" s="100">
        <f>IF(OR($C638="",$I638="Оплачено",$I638="Отменено",$H638&lt;&gt;""),"",$C638-TODAY())</f>
        <v/>
      </c>
      <c r="M638" s="101">
        <f>IF($C638="","",INDEX(Настройки!$V$6:$V$17,MONTH($C638))&amp;" "&amp;YEAR($C638))</f>
        <v/>
      </c>
      <c r="N638" s="57">
        <f>IF($F638="","",IF(COUNTIF(Постоянные!$C$8:$C$37,$F638)&gt;0,"есть в Постоянных",IF(COUNTIF(Покупки!$C$7:$C$18,$F638)&gt;0,"есть в Покупках","")))</f>
        <v/>
      </c>
      <c r="P638">
        <f>IF($H638&lt;&gt;"",$H638,IF($I638="Оплачено",N($G638),0))</f>
        <v/>
      </c>
      <c r="Q638">
        <f>IF($I638="Отменено",0,IF($G638&lt;&gt;"",$G638,N($H638)))</f>
        <v/>
      </c>
      <c r="R638">
        <f>IF($C638="","",IFERROR(DATE(Настройки!$C$8,Настройки!$D$9+MATCH($M638,Настройки!$X$6:$X$17,0)-1,1),DATE(YEAR($C638),MONTH($C638),1)))</f>
        <v/>
      </c>
      <c r="S638">
        <f>IF(OR($I638="Оплачено",$H638&lt;&gt;""),$P638,$Q638)</f>
        <v/>
      </c>
      <c r="T638">
        <f>IF(OR($C638="",$D638="Доход",$I638="Оплачено",$I638="Отменено",$H638&lt;&gt;"",$C638&lt;TODAY()),"",$C638)</f>
        <v/>
      </c>
      <c r="U638">
        <f>IF(AND($D638&lt;&gt;"Доход",COUNTIFS(Счета!$B$10:$B$21,$J638,Счета!$C$10:$C$21,"Кредитная")&gt;0),1,0)</f>
        <v/>
      </c>
    </row>
    <row r="639" ht="19" customHeight="1">
      <c r="B639" s="53">
        <f>IF(AND($C639="",$F639=""),"",ROW()-9)</f>
        <v/>
      </c>
      <c r="C639" s="213" t="n"/>
      <c r="D639" s="55" t="n"/>
      <c r="E639" s="55" t="n"/>
      <c r="F639" s="56" t="n"/>
      <c r="G639" s="196" t="n"/>
      <c r="H639" s="196" t="n"/>
      <c r="I639" s="55" t="n"/>
      <c r="J639" s="55" t="n"/>
      <c r="K639" s="55" t="n"/>
      <c r="L639" s="100">
        <f>IF(OR($C639="",$I639="Оплачено",$I639="Отменено",$H639&lt;&gt;""),"",$C639-TODAY())</f>
        <v/>
      </c>
      <c r="M639" s="101">
        <f>IF($C639="","",INDEX(Настройки!$V$6:$V$17,MONTH($C639))&amp;" "&amp;YEAR($C639))</f>
        <v/>
      </c>
      <c r="N639" s="57">
        <f>IF($F639="","",IF(COUNTIF(Постоянные!$C$8:$C$37,$F639)&gt;0,"есть в Постоянных",IF(COUNTIF(Покупки!$C$7:$C$18,$F639)&gt;0,"есть в Покупках","")))</f>
        <v/>
      </c>
      <c r="P639">
        <f>IF($H639&lt;&gt;"",$H639,IF($I639="Оплачено",N($G639),0))</f>
        <v/>
      </c>
      <c r="Q639">
        <f>IF($I639="Отменено",0,IF($G639&lt;&gt;"",$G639,N($H639)))</f>
        <v/>
      </c>
      <c r="R639">
        <f>IF($C639="","",IFERROR(DATE(Настройки!$C$8,Настройки!$D$9+MATCH($M639,Настройки!$X$6:$X$17,0)-1,1),DATE(YEAR($C639),MONTH($C639),1)))</f>
        <v/>
      </c>
      <c r="S639">
        <f>IF(OR($I639="Оплачено",$H639&lt;&gt;""),$P639,$Q639)</f>
        <v/>
      </c>
      <c r="T639">
        <f>IF(OR($C639="",$D639="Доход",$I639="Оплачено",$I639="Отменено",$H639&lt;&gt;"",$C639&lt;TODAY()),"",$C639)</f>
        <v/>
      </c>
      <c r="U639">
        <f>IF(AND($D639&lt;&gt;"Доход",COUNTIFS(Счета!$B$10:$B$21,$J639,Счета!$C$10:$C$21,"Кредитная")&gt;0),1,0)</f>
        <v/>
      </c>
    </row>
    <row r="640" ht="19" customHeight="1">
      <c r="B640" s="53">
        <f>IF(AND($C640="",$F640=""),"",ROW()-9)</f>
        <v/>
      </c>
      <c r="C640" s="213" t="n"/>
      <c r="D640" s="55" t="n"/>
      <c r="E640" s="55" t="n"/>
      <c r="F640" s="56" t="n"/>
      <c r="G640" s="196" t="n"/>
      <c r="H640" s="196" t="n"/>
      <c r="I640" s="55" t="n"/>
      <c r="J640" s="55" t="n"/>
      <c r="K640" s="55" t="n"/>
      <c r="L640" s="100">
        <f>IF(OR($C640="",$I640="Оплачено",$I640="Отменено",$H640&lt;&gt;""),"",$C640-TODAY())</f>
        <v/>
      </c>
      <c r="M640" s="101">
        <f>IF($C640="","",INDEX(Настройки!$V$6:$V$17,MONTH($C640))&amp;" "&amp;YEAR($C640))</f>
        <v/>
      </c>
      <c r="N640" s="57">
        <f>IF($F640="","",IF(COUNTIF(Постоянные!$C$8:$C$37,$F640)&gt;0,"есть в Постоянных",IF(COUNTIF(Покупки!$C$7:$C$18,$F640)&gt;0,"есть в Покупках","")))</f>
        <v/>
      </c>
      <c r="P640">
        <f>IF($H640&lt;&gt;"",$H640,IF($I640="Оплачено",N($G640),0))</f>
        <v/>
      </c>
      <c r="Q640">
        <f>IF($I640="Отменено",0,IF($G640&lt;&gt;"",$G640,N($H640)))</f>
        <v/>
      </c>
      <c r="R640">
        <f>IF($C640="","",IFERROR(DATE(Настройки!$C$8,Настройки!$D$9+MATCH($M640,Настройки!$X$6:$X$17,0)-1,1),DATE(YEAR($C640),MONTH($C640),1)))</f>
        <v/>
      </c>
      <c r="S640">
        <f>IF(OR($I640="Оплачено",$H640&lt;&gt;""),$P640,$Q640)</f>
        <v/>
      </c>
      <c r="T640">
        <f>IF(OR($C640="",$D640="Доход",$I640="Оплачено",$I640="Отменено",$H640&lt;&gt;"",$C640&lt;TODAY()),"",$C640)</f>
        <v/>
      </c>
      <c r="U640">
        <f>IF(AND($D640&lt;&gt;"Доход",COUNTIFS(Счета!$B$10:$B$21,$J640,Счета!$C$10:$C$21,"Кредитная")&gt;0),1,0)</f>
        <v/>
      </c>
    </row>
    <row r="641" ht="19" customHeight="1">
      <c r="B641" s="53">
        <f>IF(AND($C641="",$F641=""),"",ROW()-9)</f>
        <v/>
      </c>
      <c r="C641" s="213" t="n"/>
      <c r="D641" s="55" t="n"/>
      <c r="E641" s="55" t="n"/>
      <c r="F641" s="56" t="n"/>
      <c r="G641" s="196" t="n"/>
      <c r="H641" s="196" t="n"/>
      <c r="I641" s="55" t="n"/>
      <c r="J641" s="55" t="n"/>
      <c r="K641" s="55" t="n"/>
      <c r="L641" s="100">
        <f>IF(OR($C641="",$I641="Оплачено",$I641="Отменено",$H641&lt;&gt;""),"",$C641-TODAY())</f>
        <v/>
      </c>
      <c r="M641" s="101">
        <f>IF($C641="","",INDEX(Настройки!$V$6:$V$17,MONTH($C641))&amp;" "&amp;YEAR($C641))</f>
        <v/>
      </c>
      <c r="N641" s="57">
        <f>IF($F641="","",IF(COUNTIF(Постоянные!$C$8:$C$37,$F641)&gt;0,"есть в Постоянных",IF(COUNTIF(Покупки!$C$7:$C$18,$F641)&gt;0,"есть в Покупках","")))</f>
        <v/>
      </c>
      <c r="P641">
        <f>IF($H641&lt;&gt;"",$H641,IF($I641="Оплачено",N($G641),0))</f>
        <v/>
      </c>
      <c r="Q641">
        <f>IF($I641="Отменено",0,IF($G641&lt;&gt;"",$G641,N($H641)))</f>
        <v/>
      </c>
      <c r="R641">
        <f>IF($C641="","",IFERROR(DATE(Настройки!$C$8,Настройки!$D$9+MATCH($M641,Настройки!$X$6:$X$17,0)-1,1),DATE(YEAR($C641),MONTH($C641),1)))</f>
        <v/>
      </c>
      <c r="S641">
        <f>IF(OR($I641="Оплачено",$H641&lt;&gt;""),$P641,$Q641)</f>
        <v/>
      </c>
      <c r="T641">
        <f>IF(OR($C641="",$D641="Доход",$I641="Оплачено",$I641="Отменено",$H641&lt;&gt;"",$C641&lt;TODAY()),"",$C641)</f>
        <v/>
      </c>
      <c r="U641">
        <f>IF(AND($D641&lt;&gt;"Доход",COUNTIFS(Счета!$B$10:$B$21,$J641,Счета!$C$10:$C$21,"Кредитная")&gt;0),1,0)</f>
        <v/>
      </c>
    </row>
    <row r="642" ht="19" customHeight="1">
      <c r="B642" s="53">
        <f>IF(AND($C642="",$F642=""),"",ROW()-9)</f>
        <v/>
      </c>
      <c r="C642" s="213" t="n"/>
      <c r="D642" s="55" t="n"/>
      <c r="E642" s="55" t="n"/>
      <c r="F642" s="56" t="n"/>
      <c r="G642" s="196" t="n"/>
      <c r="H642" s="196" t="n"/>
      <c r="I642" s="55" t="n"/>
      <c r="J642" s="55" t="n"/>
      <c r="K642" s="55" t="n"/>
      <c r="L642" s="100">
        <f>IF(OR($C642="",$I642="Оплачено",$I642="Отменено",$H642&lt;&gt;""),"",$C642-TODAY())</f>
        <v/>
      </c>
      <c r="M642" s="101">
        <f>IF($C642="","",INDEX(Настройки!$V$6:$V$17,MONTH($C642))&amp;" "&amp;YEAR($C642))</f>
        <v/>
      </c>
      <c r="N642" s="57">
        <f>IF($F642="","",IF(COUNTIF(Постоянные!$C$8:$C$37,$F642)&gt;0,"есть в Постоянных",IF(COUNTIF(Покупки!$C$7:$C$18,$F642)&gt;0,"есть в Покупках","")))</f>
        <v/>
      </c>
      <c r="P642">
        <f>IF($H642&lt;&gt;"",$H642,IF($I642="Оплачено",N($G642),0))</f>
        <v/>
      </c>
      <c r="Q642">
        <f>IF($I642="Отменено",0,IF($G642&lt;&gt;"",$G642,N($H642)))</f>
        <v/>
      </c>
      <c r="R642">
        <f>IF($C642="","",IFERROR(DATE(Настройки!$C$8,Настройки!$D$9+MATCH($M642,Настройки!$X$6:$X$17,0)-1,1),DATE(YEAR($C642),MONTH($C642),1)))</f>
        <v/>
      </c>
      <c r="S642">
        <f>IF(OR($I642="Оплачено",$H642&lt;&gt;""),$P642,$Q642)</f>
        <v/>
      </c>
      <c r="T642">
        <f>IF(OR($C642="",$D642="Доход",$I642="Оплачено",$I642="Отменено",$H642&lt;&gt;"",$C642&lt;TODAY()),"",$C642)</f>
        <v/>
      </c>
      <c r="U642">
        <f>IF(AND($D642&lt;&gt;"Доход",COUNTIFS(Счета!$B$10:$B$21,$J642,Счета!$C$10:$C$21,"Кредитная")&gt;0),1,0)</f>
        <v/>
      </c>
    </row>
    <row r="643" ht="19" customHeight="1">
      <c r="B643" s="53">
        <f>IF(AND($C643="",$F643=""),"",ROW()-9)</f>
        <v/>
      </c>
      <c r="C643" s="213" t="n"/>
      <c r="D643" s="55" t="n"/>
      <c r="E643" s="55" t="n"/>
      <c r="F643" s="56" t="n"/>
      <c r="G643" s="196" t="n"/>
      <c r="H643" s="196" t="n"/>
      <c r="I643" s="55" t="n"/>
      <c r="J643" s="55" t="n"/>
      <c r="K643" s="55" t="n"/>
      <c r="L643" s="100">
        <f>IF(OR($C643="",$I643="Оплачено",$I643="Отменено",$H643&lt;&gt;""),"",$C643-TODAY())</f>
        <v/>
      </c>
      <c r="M643" s="101">
        <f>IF($C643="","",INDEX(Настройки!$V$6:$V$17,MONTH($C643))&amp;" "&amp;YEAR($C643))</f>
        <v/>
      </c>
      <c r="N643" s="57">
        <f>IF($F643="","",IF(COUNTIF(Постоянные!$C$8:$C$37,$F643)&gt;0,"есть в Постоянных",IF(COUNTIF(Покупки!$C$7:$C$18,$F643)&gt;0,"есть в Покупках","")))</f>
        <v/>
      </c>
      <c r="P643">
        <f>IF($H643&lt;&gt;"",$H643,IF($I643="Оплачено",N($G643),0))</f>
        <v/>
      </c>
      <c r="Q643">
        <f>IF($I643="Отменено",0,IF($G643&lt;&gt;"",$G643,N($H643)))</f>
        <v/>
      </c>
      <c r="R643">
        <f>IF($C643="","",IFERROR(DATE(Настройки!$C$8,Настройки!$D$9+MATCH($M643,Настройки!$X$6:$X$17,0)-1,1),DATE(YEAR($C643),MONTH($C643),1)))</f>
        <v/>
      </c>
      <c r="S643">
        <f>IF(OR($I643="Оплачено",$H643&lt;&gt;""),$P643,$Q643)</f>
        <v/>
      </c>
      <c r="T643">
        <f>IF(OR($C643="",$D643="Доход",$I643="Оплачено",$I643="Отменено",$H643&lt;&gt;"",$C643&lt;TODAY()),"",$C643)</f>
        <v/>
      </c>
      <c r="U643">
        <f>IF(AND($D643&lt;&gt;"Доход",COUNTIFS(Счета!$B$10:$B$21,$J643,Счета!$C$10:$C$21,"Кредитная")&gt;0),1,0)</f>
        <v/>
      </c>
    </row>
    <row r="644" ht="19" customHeight="1">
      <c r="B644" s="53">
        <f>IF(AND($C644="",$F644=""),"",ROW()-9)</f>
        <v/>
      </c>
      <c r="C644" s="213" t="n"/>
      <c r="D644" s="55" t="n"/>
      <c r="E644" s="55" t="n"/>
      <c r="F644" s="56" t="n"/>
      <c r="G644" s="196" t="n"/>
      <c r="H644" s="196" t="n"/>
      <c r="I644" s="55" t="n"/>
      <c r="J644" s="55" t="n"/>
      <c r="K644" s="55" t="n"/>
      <c r="L644" s="100">
        <f>IF(OR($C644="",$I644="Оплачено",$I644="Отменено",$H644&lt;&gt;""),"",$C644-TODAY())</f>
        <v/>
      </c>
      <c r="M644" s="101">
        <f>IF($C644="","",INDEX(Настройки!$V$6:$V$17,MONTH($C644))&amp;" "&amp;YEAR($C644))</f>
        <v/>
      </c>
      <c r="N644" s="57">
        <f>IF($F644="","",IF(COUNTIF(Постоянные!$C$8:$C$37,$F644)&gt;0,"есть в Постоянных",IF(COUNTIF(Покупки!$C$7:$C$18,$F644)&gt;0,"есть в Покупках","")))</f>
        <v/>
      </c>
      <c r="P644">
        <f>IF($H644&lt;&gt;"",$H644,IF($I644="Оплачено",N($G644),0))</f>
        <v/>
      </c>
      <c r="Q644">
        <f>IF($I644="Отменено",0,IF($G644&lt;&gt;"",$G644,N($H644)))</f>
        <v/>
      </c>
      <c r="R644">
        <f>IF($C644="","",IFERROR(DATE(Настройки!$C$8,Настройки!$D$9+MATCH($M644,Настройки!$X$6:$X$17,0)-1,1),DATE(YEAR($C644),MONTH($C644),1)))</f>
        <v/>
      </c>
      <c r="S644">
        <f>IF(OR($I644="Оплачено",$H644&lt;&gt;""),$P644,$Q644)</f>
        <v/>
      </c>
      <c r="T644">
        <f>IF(OR($C644="",$D644="Доход",$I644="Оплачено",$I644="Отменено",$H644&lt;&gt;"",$C644&lt;TODAY()),"",$C644)</f>
        <v/>
      </c>
      <c r="U644">
        <f>IF(AND($D644&lt;&gt;"Доход",COUNTIFS(Счета!$B$10:$B$21,$J644,Счета!$C$10:$C$21,"Кредитная")&gt;0),1,0)</f>
        <v/>
      </c>
    </row>
    <row r="645" ht="19" customHeight="1">
      <c r="B645" s="53">
        <f>IF(AND($C645="",$F645=""),"",ROW()-9)</f>
        <v/>
      </c>
      <c r="C645" s="213" t="n"/>
      <c r="D645" s="55" t="n"/>
      <c r="E645" s="55" t="n"/>
      <c r="F645" s="56" t="n"/>
      <c r="G645" s="196" t="n"/>
      <c r="H645" s="196" t="n"/>
      <c r="I645" s="55" t="n"/>
      <c r="J645" s="55" t="n"/>
      <c r="K645" s="55" t="n"/>
      <c r="L645" s="100">
        <f>IF(OR($C645="",$I645="Оплачено",$I645="Отменено",$H645&lt;&gt;""),"",$C645-TODAY())</f>
        <v/>
      </c>
      <c r="M645" s="101">
        <f>IF($C645="","",INDEX(Настройки!$V$6:$V$17,MONTH($C645))&amp;" "&amp;YEAR($C645))</f>
        <v/>
      </c>
      <c r="N645" s="57">
        <f>IF($F645="","",IF(COUNTIF(Постоянные!$C$8:$C$37,$F645)&gt;0,"есть в Постоянных",IF(COUNTIF(Покупки!$C$7:$C$18,$F645)&gt;0,"есть в Покупках","")))</f>
        <v/>
      </c>
      <c r="P645">
        <f>IF($H645&lt;&gt;"",$H645,IF($I645="Оплачено",N($G645),0))</f>
        <v/>
      </c>
      <c r="Q645">
        <f>IF($I645="Отменено",0,IF($G645&lt;&gt;"",$G645,N($H645)))</f>
        <v/>
      </c>
      <c r="R645">
        <f>IF($C645="","",IFERROR(DATE(Настройки!$C$8,Настройки!$D$9+MATCH($M645,Настройки!$X$6:$X$17,0)-1,1),DATE(YEAR($C645),MONTH($C645),1)))</f>
        <v/>
      </c>
      <c r="S645">
        <f>IF(OR($I645="Оплачено",$H645&lt;&gt;""),$P645,$Q645)</f>
        <v/>
      </c>
      <c r="T645">
        <f>IF(OR($C645="",$D645="Доход",$I645="Оплачено",$I645="Отменено",$H645&lt;&gt;"",$C645&lt;TODAY()),"",$C645)</f>
        <v/>
      </c>
      <c r="U645">
        <f>IF(AND($D645&lt;&gt;"Доход",COUNTIFS(Счета!$B$10:$B$21,$J645,Счета!$C$10:$C$21,"Кредитная")&gt;0),1,0)</f>
        <v/>
      </c>
    </row>
    <row r="646" ht="19" customHeight="1">
      <c r="B646" s="53">
        <f>IF(AND($C646="",$F646=""),"",ROW()-9)</f>
        <v/>
      </c>
      <c r="C646" s="213" t="n"/>
      <c r="D646" s="55" t="n"/>
      <c r="E646" s="55" t="n"/>
      <c r="F646" s="56" t="n"/>
      <c r="G646" s="196" t="n"/>
      <c r="H646" s="196" t="n"/>
      <c r="I646" s="55" t="n"/>
      <c r="J646" s="55" t="n"/>
      <c r="K646" s="55" t="n"/>
      <c r="L646" s="100">
        <f>IF(OR($C646="",$I646="Оплачено",$I646="Отменено",$H646&lt;&gt;""),"",$C646-TODAY())</f>
        <v/>
      </c>
      <c r="M646" s="101">
        <f>IF($C646="","",INDEX(Настройки!$V$6:$V$17,MONTH($C646))&amp;" "&amp;YEAR($C646))</f>
        <v/>
      </c>
      <c r="N646" s="57">
        <f>IF($F646="","",IF(COUNTIF(Постоянные!$C$8:$C$37,$F646)&gt;0,"есть в Постоянных",IF(COUNTIF(Покупки!$C$7:$C$18,$F646)&gt;0,"есть в Покупках","")))</f>
        <v/>
      </c>
      <c r="P646">
        <f>IF($H646&lt;&gt;"",$H646,IF($I646="Оплачено",N($G646),0))</f>
        <v/>
      </c>
      <c r="Q646">
        <f>IF($I646="Отменено",0,IF($G646&lt;&gt;"",$G646,N($H646)))</f>
        <v/>
      </c>
      <c r="R646">
        <f>IF($C646="","",IFERROR(DATE(Настройки!$C$8,Настройки!$D$9+MATCH($M646,Настройки!$X$6:$X$17,0)-1,1),DATE(YEAR($C646),MONTH($C646),1)))</f>
        <v/>
      </c>
      <c r="S646">
        <f>IF(OR($I646="Оплачено",$H646&lt;&gt;""),$P646,$Q646)</f>
        <v/>
      </c>
      <c r="T646">
        <f>IF(OR($C646="",$D646="Доход",$I646="Оплачено",$I646="Отменено",$H646&lt;&gt;"",$C646&lt;TODAY()),"",$C646)</f>
        <v/>
      </c>
      <c r="U646">
        <f>IF(AND($D646&lt;&gt;"Доход",COUNTIFS(Счета!$B$10:$B$21,$J646,Счета!$C$10:$C$21,"Кредитная")&gt;0),1,0)</f>
        <v/>
      </c>
    </row>
    <row r="647" ht="19" customHeight="1">
      <c r="B647" s="53">
        <f>IF(AND($C647="",$F647=""),"",ROW()-9)</f>
        <v/>
      </c>
      <c r="C647" s="213" t="n"/>
      <c r="D647" s="55" t="n"/>
      <c r="E647" s="55" t="n"/>
      <c r="F647" s="56" t="n"/>
      <c r="G647" s="196" t="n"/>
      <c r="H647" s="196" t="n"/>
      <c r="I647" s="55" t="n"/>
      <c r="J647" s="55" t="n"/>
      <c r="K647" s="55" t="n"/>
      <c r="L647" s="100">
        <f>IF(OR($C647="",$I647="Оплачено",$I647="Отменено",$H647&lt;&gt;""),"",$C647-TODAY())</f>
        <v/>
      </c>
      <c r="M647" s="101">
        <f>IF($C647="","",INDEX(Настройки!$V$6:$V$17,MONTH($C647))&amp;" "&amp;YEAR($C647))</f>
        <v/>
      </c>
      <c r="N647" s="57">
        <f>IF($F647="","",IF(COUNTIF(Постоянные!$C$8:$C$37,$F647)&gt;0,"есть в Постоянных",IF(COUNTIF(Покупки!$C$7:$C$18,$F647)&gt;0,"есть в Покупках","")))</f>
        <v/>
      </c>
      <c r="P647">
        <f>IF($H647&lt;&gt;"",$H647,IF($I647="Оплачено",N($G647),0))</f>
        <v/>
      </c>
      <c r="Q647">
        <f>IF($I647="Отменено",0,IF($G647&lt;&gt;"",$G647,N($H647)))</f>
        <v/>
      </c>
      <c r="R647">
        <f>IF($C647="","",IFERROR(DATE(Настройки!$C$8,Настройки!$D$9+MATCH($M647,Настройки!$X$6:$X$17,0)-1,1),DATE(YEAR($C647),MONTH($C647),1)))</f>
        <v/>
      </c>
      <c r="S647">
        <f>IF(OR($I647="Оплачено",$H647&lt;&gt;""),$P647,$Q647)</f>
        <v/>
      </c>
      <c r="T647">
        <f>IF(OR($C647="",$D647="Доход",$I647="Оплачено",$I647="Отменено",$H647&lt;&gt;"",$C647&lt;TODAY()),"",$C647)</f>
        <v/>
      </c>
      <c r="U647">
        <f>IF(AND($D647&lt;&gt;"Доход",COUNTIFS(Счета!$B$10:$B$21,$J647,Счета!$C$10:$C$21,"Кредитная")&gt;0),1,0)</f>
        <v/>
      </c>
    </row>
    <row r="648" ht="19" customHeight="1">
      <c r="B648" s="53">
        <f>IF(AND($C648="",$F648=""),"",ROW()-9)</f>
        <v/>
      </c>
      <c r="C648" s="213" t="n"/>
      <c r="D648" s="55" t="n"/>
      <c r="E648" s="55" t="n"/>
      <c r="F648" s="56" t="n"/>
      <c r="G648" s="196" t="n"/>
      <c r="H648" s="196" t="n"/>
      <c r="I648" s="55" t="n"/>
      <c r="J648" s="55" t="n"/>
      <c r="K648" s="55" t="n"/>
      <c r="L648" s="100">
        <f>IF(OR($C648="",$I648="Оплачено",$I648="Отменено",$H648&lt;&gt;""),"",$C648-TODAY())</f>
        <v/>
      </c>
      <c r="M648" s="101">
        <f>IF($C648="","",INDEX(Настройки!$V$6:$V$17,MONTH($C648))&amp;" "&amp;YEAR($C648))</f>
        <v/>
      </c>
      <c r="N648" s="57">
        <f>IF($F648="","",IF(COUNTIF(Постоянные!$C$8:$C$37,$F648)&gt;0,"есть в Постоянных",IF(COUNTIF(Покупки!$C$7:$C$18,$F648)&gt;0,"есть в Покупках","")))</f>
        <v/>
      </c>
      <c r="P648">
        <f>IF($H648&lt;&gt;"",$H648,IF($I648="Оплачено",N($G648),0))</f>
        <v/>
      </c>
      <c r="Q648">
        <f>IF($I648="Отменено",0,IF($G648&lt;&gt;"",$G648,N($H648)))</f>
        <v/>
      </c>
      <c r="R648">
        <f>IF($C648="","",IFERROR(DATE(Настройки!$C$8,Настройки!$D$9+MATCH($M648,Настройки!$X$6:$X$17,0)-1,1),DATE(YEAR($C648),MONTH($C648),1)))</f>
        <v/>
      </c>
      <c r="S648">
        <f>IF(OR($I648="Оплачено",$H648&lt;&gt;""),$P648,$Q648)</f>
        <v/>
      </c>
      <c r="T648">
        <f>IF(OR($C648="",$D648="Доход",$I648="Оплачено",$I648="Отменено",$H648&lt;&gt;"",$C648&lt;TODAY()),"",$C648)</f>
        <v/>
      </c>
      <c r="U648">
        <f>IF(AND($D648&lt;&gt;"Доход",COUNTIFS(Счета!$B$10:$B$21,$J648,Счета!$C$10:$C$21,"Кредитная")&gt;0),1,0)</f>
        <v/>
      </c>
    </row>
    <row r="649" ht="19" customHeight="1">
      <c r="B649" s="53">
        <f>IF(AND($C649="",$F649=""),"",ROW()-9)</f>
        <v/>
      </c>
      <c r="C649" s="213" t="n"/>
      <c r="D649" s="55" t="n"/>
      <c r="E649" s="55" t="n"/>
      <c r="F649" s="56" t="n"/>
      <c r="G649" s="196" t="n"/>
      <c r="H649" s="196" t="n"/>
      <c r="I649" s="55" t="n"/>
      <c r="J649" s="55" t="n"/>
      <c r="K649" s="55" t="n"/>
      <c r="L649" s="100">
        <f>IF(OR($C649="",$I649="Оплачено",$I649="Отменено",$H649&lt;&gt;""),"",$C649-TODAY())</f>
        <v/>
      </c>
      <c r="M649" s="101">
        <f>IF($C649="","",INDEX(Настройки!$V$6:$V$17,MONTH($C649))&amp;" "&amp;YEAR($C649))</f>
        <v/>
      </c>
      <c r="N649" s="57">
        <f>IF($F649="","",IF(COUNTIF(Постоянные!$C$8:$C$37,$F649)&gt;0,"есть в Постоянных",IF(COUNTIF(Покупки!$C$7:$C$18,$F649)&gt;0,"есть в Покупках","")))</f>
        <v/>
      </c>
      <c r="P649">
        <f>IF($H649&lt;&gt;"",$H649,IF($I649="Оплачено",N($G649),0))</f>
        <v/>
      </c>
      <c r="Q649">
        <f>IF($I649="Отменено",0,IF($G649&lt;&gt;"",$G649,N($H649)))</f>
        <v/>
      </c>
      <c r="R649">
        <f>IF($C649="","",IFERROR(DATE(Настройки!$C$8,Настройки!$D$9+MATCH($M649,Настройки!$X$6:$X$17,0)-1,1),DATE(YEAR($C649),MONTH($C649),1)))</f>
        <v/>
      </c>
      <c r="S649">
        <f>IF(OR($I649="Оплачено",$H649&lt;&gt;""),$P649,$Q649)</f>
        <v/>
      </c>
      <c r="T649">
        <f>IF(OR($C649="",$D649="Доход",$I649="Оплачено",$I649="Отменено",$H649&lt;&gt;"",$C649&lt;TODAY()),"",$C649)</f>
        <v/>
      </c>
      <c r="U649">
        <f>IF(AND($D649&lt;&gt;"Доход",COUNTIFS(Счета!$B$10:$B$21,$J649,Счета!$C$10:$C$21,"Кредитная")&gt;0),1,0)</f>
        <v/>
      </c>
    </row>
    <row r="650" ht="19" customHeight="1">
      <c r="B650" s="53">
        <f>IF(AND($C650="",$F650=""),"",ROW()-9)</f>
        <v/>
      </c>
      <c r="C650" s="213" t="n"/>
      <c r="D650" s="55" t="n"/>
      <c r="E650" s="55" t="n"/>
      <c r="F650" s="56" t="n"/>
      <c r="G650" s="196" t="n"/>
      <c r="H650" s="196" t="n"/>
      <c r="I650" s="55" t="n"/>
      <c r="J650" s="55" t="n"/>
      <c r="K650" s="55" t="n"/>
      <c r="L650" s="100">
        <f>IF(OR($C650="",$I650="Оплачено",$I650="Отменено",$H650&lt;&gt;""),"",$C650-TODAY())</f>
        <v/>
      </c>
      <c r="M650" s="101">
        <f>IF($C650="","",INDEX(Настройки!$V$6:$V$17,MONTH($C650))&amp;" "&amp;YEAR($C650))</f>
        <v/>
      </c>
      <c r="N650" s="57">
        <f>IF($F650="","",IF(COUNTIF(Постоянные!$C$8:$C$37,$F650)&gt;0,"есть в Постоянных",IF(COUNTIF(Покупки!$C$7:$C$18,$F650)&gt;0,"есть в Покупках","")))</f>
        <v/>
      </c>
      <c r="P650">
        <f>IF($H650&lt;&gt;"",$H650,IF($I650="Оплачено",N($G650),0))</f>
        <v/>
      </c>
      <c r="Q650">
        <f>IF($I650="Отменено",0,IF($G650&lt;&gt;"",$G650,N($H650)))</f>
        <v/>
      </c>
      <c r="R650">
        <f>IF($C650="","",IFERROR(DATE(Настройки!$C$8,Настройки!$D$9+MATCH($M650,Настройки!$X$6:$X$17,0)-1,1),DATE(YEAR($C650),MONTH($C650),1)))</f>
        <v/>
      </c>
      <c r="S650">
        <f>IF(OR($I650="Оплачено",$H650&lt;&gt;""),$P650,$Q650)</f>
        <v/>
      </c>
      <c r="T650">
        <f>IF(OR($C650="",$D650="Доход",$I650="Оплачено",$I650="Отменено",$H650&lt;&gt;"",$C650&lt;TODAY()),"",$C650)</f>
        <v/>
      </c>
      <c r="U650">
        <f>IF(AND($D650&lt;&gt;"Доход",COUNTIFS(Счета!$B$10:$B$21,$J650,Счета!$C$10:$C$21,"Кредитная")&gt;0),1,0)</f>
        <v/>
      </c>
    </row>
    <row r="651" ht="19" customHeight="1">
      <c r="B651" s="53">
        <f>IF(AND($C651="",$F651=""),"",ROW()-9)</f>
        <v/>
      </c>
      <c r="C651" s="213" t="n"/>
      <c r="D651" s="55" t="n"/>
      <c r="E651" s="55" t="n"/>
      <c r="F651" s="56" t="n"/>
      <c r="G651" s="196" t="n"/>
      <c r="H651" s="196" t="n"/>
      <c r="I651" s="55" t="n"/>
      <c r="J651" s="55" t="n"/>
      <c r="K651" s="55" t="n"/>
      <c r="L651" s="100">
        <f>IF(OR($C651="",$I651="Оплачено",$I651="Отменено",$H651&lt;&gt;""),"",$C651-TODAY())</f>
        <v/>
      </c>
      <c r="M651" s="101">
        <f>IF($C651="","",INDEX(Настройки!$V$6:$V$17,MONTH($C651))&amp;" "&amp;YEAR($C651))</f>
        <v/>
      </c>
      <c r="N651" s="57">
        <f>IF($F651="","",IF(COUNTIF(Постоянные!$C$8:$C$37,$F651)&gt;0,"есть в Постоянных",IF(COUNTIF(Покупки!$C$7:$C$18,$F651)&gt;0,"есть в Покупках","")))</f>
        <v/>
      </c>
      <c r="P651">
        <f>IF($H651&lt;&gt;"",$H651,IF($I651="Оплачено",N($G651),0))</f>
        <v/>
      </c>
      <c r="Q651">
        <f>IF($I651="Отменено",0,IF($G651&lt;&gt;"",$G651,N($H651)))</f>
        <v/>
      </c>
      <c r="R651">
        <f>IF($C651="","",IFERROR(DATE(Настройки!$C$8,Настройки!$D$9+MATCH($M651,Настройки!$X$6:$X$17,0)-1,1),DATE(YEAR($C651),MONTH($C651),1)))</f>
        <v/>
      </c>
      <c r="S651">
        <f>IF(OR($I651="Оплачено",$H651&lt;&gt;""),$P651,$Q651)</f>
        <v/>
      </c>
      <c r="T651">
        <f>IF(OR($C651="",$D651="Доход",$I651="Оплачено",$I651="Отменено",$H651&lt;&gt;"",$C651&lt;TODAY()),"",$C651)</f>
        <v/>
      </c>
      <c r="U651">
        <f>IF(AND($D651&lt;&gt;"Доход",COUNTIFS(Счета!$B$10:$B$21,$J651,Счета!$C$10:$C$21,"Кредитная")&gt;0),1,0)</f>
        <v/>
      </c>
    </row>
    <row r="652" ht="19" customHeight="1">
      <c r="B652" s="53">
        <f>IF(AND($C652="",$F652=""),"",ROW()-9)</f>
        <v/>
      </c>
      <c r="C652" s="213" t="n"/>
      <c r="D652" s="55" t="n"/>
      <c r="E652" s="55" t="n"/>
      <c r="F652" s="56" t="n"/>
      <c r="G652" s="196" t="n"/>
      <c r="H652" s="196" t="n"/>
      <c r="I652" s="55" t="n"/>
      <c r="J652" s="55" t="n"/>
      <c r="K652" s="55" t="n"/>
      <c r="L652" s="100">
        <f>IF(OR($C652="",$I652="Оплачено",$I652="Отменено",$H652&lt;&gt;""),"",$C652-TODAY())</f>
        <v/>
      </c>
      <c r="M652" s="101">
        <f>IF($C652="","",INDEX(Настройки!$V$6:$V$17,MONTH($C652))&amp;" "&amp;YEAR($C652))</f>
        <v/>
      </c>
      <c r="N652" s="57">
        <f>IF($F652="","",IF(COUNTIF(Постоянные!$C$8:$C$37,$F652)&gt;0,"есть в Постоянных",IF(COUNTIF(Покупки!$C$7:$C$18,$F652)&gt;0,"есть в Покупках","")))</f>
        <v/>
      </c>
      <c r="P652">
        <f>IF($H652&lt;&gt;"",$H652,IF($I652="Оплачено",N($G652),0))</f>
        <v/>
      </c>
      <c r="Q652">
        <f>IF($I652="Отменено",0,IF($G652&lt;&gt;"",$G652,N($H652)))</f>
        <v/>
      </c>
      <c r="R652">
        <f>IF($C652="","",IFERROR(DATE(Настройки!$C$8,Настройки!$D$9+MATCH($M652,Настройки!$X$6:$X$17,0)-1,1),DATE(YEAR($C652),MONTH($C652),1)))</f>
        <v/>
      </c>
      <c r="S652">
        <f>IF(OR($I652="Оплачено",$H652&lt;&gt;""),$P652,$Q652)</f>
        <v/>
      </c>
      <c r="T652">
        <f>IF(OR($C652="",$D652="Доход",$I652="Оплачено",$I652="Отменено",$H652&lt;&gt;"",$C652&lt;TODAY()),"",$C652)</f>
        <v/>
      </c>
      <c r="U652">
        <f>IF(AND($D652&lt;&gt;"Доход",COUNTIFS(Счета!$B$10:$B$21,$J652,Счета!$C$10:$C$21,"Кредитная")&gt;0),1,0)</f>
        <v/>
      </c>
    </row>
    <row r="653" ht="19" customHeight="1">
      <c r="B653" s="53">
        <f>IF(AND($C653="",$F653=""),"",ROW()-9)</f>
        <v/>
      </c>
      <c r="C653" s="213" t="n"/>
      <c r="D653" s="55" t="n"/>
      <c r="E653" s="55" t="n"/>
      <c r="F653" s="56" t="n"/>
      <c r="G653" s="196" t="n"/>
      <c r="H653" s="196" t="n"/>
      <c r="I653" s="55" t="n"/>
      <c r="J653" s="55" t="n"/>
      <c r="K653" s="55" t="n"/>
      <c r="L653" s="100">
        <f>IF(OR($C653="",$I653="Оплачено",$I653="Отменено",$H653&lt;&gt;""),"",$C653-TODAY())</f>
        <v/>
      </c>
      <c r="M653" s="101">
        <f>IF($C653="","",INDEX(Настройки!$V$6:$V$17,MONTH($C653))&amp;" "&amp;YEAR($C653))</f>
        <v/>
      </c>
      <c r="N653" s="57">
        <f>IF($F653="","",IF(COUNTIF(Постоянные!$C$8:$C$37,$F653)&gt;0,"есть в Постоянных",IF(COUNTIF(Покупки!$C$7:$C$18,$F653)&gt;0,"есть в Покупках","")))</f>
        <v/>
      </c>
      <c r="P653">
        <f>IF($H653&lt;&gt;"",$H653,IF($I653="Оплачено",N($G653),0))</f>
        <v/>
      </c>
      <c r="Q653">
        <f>IF($I653="Отменено",0,IF($G653&lt;&gt;"",$G653,N($H653)))</f>
        <v/>
      </c>
      <c r="R653">
        <f>IF($C653="","",IFERROR(DATE(Настройки!$C$8,Настройки!$D$9+MATCH($M653,Настройки!$X$6:$X$17,0)-1,1),DATE(YEAR($C653),MONTH($C653),1)))</f>
        <v/>
      </c>
      <c r="S653">
        <f>IF(OR($I653="Оплачено",$H653&lt;&gt;""),$P653,$Q653)</f>
        <v/>
      </c>
      <c r="T653">
        <f>IF(OR($C653="",$D653="Доход",$I653="Оплачено",$I653="Отменено",$H653&lt;&gt;"",$C653&lt;TODAY()),"",$C653)</f>
        <v/>
      </c>
      <c r="U653">
        <f>IF(AND($D653&lt;&gt;"Доход",COUNTIFS(Счета!$B$10:$B$21,$J653,Счета!$C$10:$C$21,"Кредитная")&gt;0),1,0)</f>
        <v/>
      </c>
    </row>
    <row r="654" ht="19" customHeight="1">
      <c r="B654" s="53">
        <f>IF(AND($C654="",$F654=""),"",ROW()-9)</f>
        <v/>
      </c>
      <c r="C654" s="213" t="n"/>
      <c r="D654" s="55" t="n"/>
      <c r="E654" s="55" t="n"/>
      <c r="F654" s="56" t="n"/>
      <c r="G654" s="196" t="n"/>
      <c r="H654" s="196" t="n"/>
      <c r="I654" s="55" t="n"/>
      <c r="J654" s="55" t="n"/>
      <c r="K654" s="55" t="n"/>
      <c r="L654" s="100">
        <f>IF(OR($C654="",$I654="Оплачено",$I654="Отменено",$H654&lt;&gt;""),"",$C654-TODAY())</f>
        <v/>
      </c>
      <c r="M654" s="101">
        <f>IF($C654="","",INDEX(Настройки!$V$6:$V$17,MONTH($C654))&amp;" "&amp;YEAR($C654))</f>
        <v/>
      </c>
      <c r="N654" s="57">
        <f>IF($F654="","",IF(COUNTIF(Постоянные!$C$8:$C$37,$F654)&gt;0,"есть в Постоянных",IF(COUNTIF(Покупки!$C$7:$C$18,$F654)&gt;0,"есть в Покупках","")))</f>
        <v/>
      </c>
      <c r="P654">
        <f>IF($H654&lt;&gt;"",$H654,IF($I654="Оплачено",N($G654),0))</f>
        <v/>
      </c>
      <c r="Q654">
        <f>IF($I654="Отменено",0,IF($G654&lt;&gt;"",$G654,N($H654)))</f>
        <v/>
      </c>
      <c r="R654">
        <f>IF($C654="","",IFERROR(DATE(Настройки!$C$8,Настройки!$D$9+MATCH($M654,Настройки!$X$6:$X$17,0)-1,1),DATE(YEAR($C654),MONTH($C654),1)))</f>
        <v/>
      </c>
      <c r="S654">
        <f>IF(OR($I654="Оплачено",$H654&lt;&gt;""),$P654,$Q654)</f>
        <v/>
      </c>
      <c r="T654">
        <f>IF(OR($C654="",$D654="Доход",$I654="Оплачено",$I654="Отменено",$H654&lt;&gt;"",$C654&lt;TODAY()),"",$C654)</f>
        <v/>
      </c>
      <c r="U654">
        <f>IF(AND($D654&lt;&gt;"Доход",COUNTIFS(Счета!$B$10:$B$21,$J654,Счета!$C$10:$C$21,"Кредитная")&gt;0),1,0)</f>
        <v/>
      </c>
    </row>
    <row r="655" ht="19" customHeight="1">
      <c r="B655" s="53">
        <f>IF(AND($C655="",$F655=""),"",ROW()-9)</f>
        <v/>
      </c>
      <c r="C655" s="213" t="n"/>
      <c r="D655" s="55" t="n"/>
      <c r="E655" s="55" t="n"/>
      <c r="F655" s="56" t="n"/>
      <c r="G655" s="196" t="n"/>
      <c r="H655" s="196" t="n"/>
      <c r="I655" s="55" t="n"/>
      <c r="J655" s="55" t="n"/>
      <c r="K655" s="55" t="n"/>
      <c r="L655" s="100">
        <f>IF(OR($C655="",$I655="Оплачено",$I655="Отменено",$H655&lt;&gt;""),"",$C655-TODAY())</f>
        <v/>
      </c>
      <c r="M655" s="101">
        <f>IF($C655="","",INDEX(Настройки!$V$6:$V$17,MONTH($C655))&amp;" "&amp;YEAR($C655))</f>
        <v/>
      </c>
      <c r="N655" s="57">
        <f>IF($F655="","",IF(COUNTIF(Постоянные!$C$8:$C$37,$F655)&gt;0,"есть в Постоянных",IF(COUNTIF(Покупки!$C$7:$C$18,$F655)&gt;0,"есть в Покупках","")))</f>
        <v/>
      </c>
      <c r="P655">
        <f>IF($H655&lt;&gt;"",$H655,IF($I655="Оплачено",N($G655),0))</f>
        <v/>
      </c>
      <c r="Q655">
        <f>IF($I655="Отменено",0,IF($G655&lt;&gt;"",$G655,N($H655)))</f>
        <v/>
      </c>
      <c r="R655">
        <f>IF($C655="","",IFERROR(DATE(Настройки!$C$8,Настройки!$D$9+MATCH($M655,Настройки!$X$6:$X$17,0)-1,1),DATE(YEAR($C655),MONTH($C655),1)))</f>
        <v/>
      </c>
      <c r="S655">
        <f>IF(OR($I655="Оплачено",$H655&lt;&gt;""),$P655,$Q655)</f>
        <v/>
      </c>
      <c r="T655">
        <f>IF(OR($C655="",$D655="Доход",$I655="Оплачено",$I655="Отменено",$H655&lt;&gt;"",$C655&lt;TODAY()),"",$C655)</f>
        <v/>
      </c>
      <c r="U655">
        <f>IF(AND($D655&lt;&gt;"Доход",COUNTIFS(Счета!$B$10:$B$21,$J655,Счета!$C$10:$C$21,"Кредитная")&gt;0),1,0)</f>
        <v/>
      </c>
    </row>
    <row r="656" ht="19" customHeight="1">
      <c r="B656" s="53">
        <f>IF(AND($C656="",$F656=""),"",ROW()-9)</f>
        <v/>
      </c>
      <c r="C656" s="213" t="n"/>
      <c r="D656" s="55" t="n"/>
      <c r="E656" s="55" t="n"/>
      <c r="F656" s="56" t="n"/>
      <c r="G656" s="196" t="n"/>
      <c r="H656" s="196" t="n"/>
      <c r="I656" s="55" t="n"/>
      <c r="J656" s="55" t="n"/>
      <c r="K656" s="55" t="n"/>
      <c r="L656" s="100">
        <f>IF(OR($C656="",$I656="Оплачено",$I656="Отменено",$H656&lt;&gt;""),"",$C656-TODAY())</f>
        <v/>
      </c>
      <c r="M656" s="101">
        <f>IF($C656="","",INDEX(Настройки!$V$6:$V$17,MONTH($C656))&amp;" "&amp;YEAR($C656))</f>
        <v/>
      </c>
      <c r="N656" s="57">
        <f>IF($F656="","",IF(COUNTIF(Постоянные!$C$8:$C$37,$F656)&gt;0,"есть в Постоянных",IF(COUNTIF(Покупки!$C$7:$C$18,$F656)&gt;0,"есть в Покупках","")))</f>
        <v/>
      </c>
      <c r="P656">
        <f>IF($H656&lt;&gt;"",$H656,IF($I656="Оплачено",N($G656),0))</f>
        <v/>
      </c>
      <c r="Q656">
        <f>IF($I656="Отменено",0,IF($G656&lt;&gt;"",$G656,N($H656)))</f>
        <v/>
      </c>
      <c r="R656">
        <f>IF($C656="","",IFERROR(DATE(Настройки!$C$8,Настройки!$D$9+MATCH($M656,Настройки!$X$6:$X$17,0)-1,1),DATE(YEAR($C656),MONTH($C656),1)))</f>
        <v/>
      </c>
      <c r="S656">
        <f>IF(OR($I656="Оплачено",$H656&lt;&gt;""),$P656,$Q656)</f>
        <v/>
      </c>
      <c r="T656">
        <f>IF(OR($C656="",$D656="Доход",$I656="Оплачено",$I656="Отменено",$H656&lt;&gt;"",$C656&lt;TODAY()),"",$C656)</f>
        <v/>
      </c>
      <c r="U656">
        <f>IF(AND($D656&lt;&gt;"Доход",COUNTIFS(Счета!$B$10:$B$21,$J656,Счета!$C$10:$C$21,"Кредитная")&gt;0),1,0)</f>
        <v/>
      </c>
    </row>
    <row r="657" ht="19" customHeight="1">
      <c r="B657" s="53">
        <f>IF(AND($C657="",$F657=""),"",ROW()-9)</f>
        <v/>
      </c>
      <c r="C657" s="213" t="n"/>
      <c r="D657" s="55" t="n"/>
      <c r="E657" s="55" t="n"/>
      <c r="F657" s="56" t="n"/>
      <c r="G657" s="196" t="n"/>
      <c r="H657" s="196" t="n"/>
      <c r="I657" s="55" t="n"/>
      <c r="J657" s="55" t="n"/>
      <c r="K657" s="55" t="n"/>
      <c r="L657" s="100">
        <f>IF(OR($C657="",$I657="Оплачено",$I657="Отменено",$H657&lt;&gt;""),"",$C657-TODAY())</f>
        <v/>
      </c>
      <c r="M657" s="101">
        <f>IF($C657="","",INDEX(Настройки!$V$6:$V$17,MONTH($C657))&amp;" "&amp;YEAR($C657))</f>
        <v/>
      </c>
      <c r="N657" s="57">
        <f>IF($F657="","",IF(COUNTIF(Постоянные!$C$8:$C$37,$F657)&gt;0,"есть в Постоянных",IF(COUNTIF(Покупки!$C$7:$C$18,$F657)&gt;0,"есть в Покупках","")))</f>
        <v/>
      </c>
      <c r="P657">
        <f>IF($H657&lt;&gt;"",$H657,IF($I657="Оплачено",N($G657),0))</f>
        <v/>
      </c>
      <c r="Q657">
        <f>IF($I657="Отменено",0,IF($G657&lt;&gt;"",$G657,N($H657)))</f>
        <v/>
      </c>
      <c r="R657">
        <f>IF($C657="","",IFERROR(DATE(Настройки!$C$8,Настройки!$D$9+MATCH($M657,Настройки!$X$6:$X$17,0)-1,1),DATE(YEAR($C657),MONTH($C657),1)))</f>
        <v/>
      </c>
      <c r="S657">
        <f>IF(OR($I657="Оплачено",$H657&lt;&gt;""),$P657,$Q657)</f>
        <v/>
      </c>
      <c r="T657">
        <f>IF(OR($C657="",$D657="Доход",$I657="Оплачено",$I657="Отменено",$H657&lt;&gt;"",$C657&lt;TODAY()),"",$C657)</f>
        <v/>
      </c>
      <c r="U657">
        <f>IF(AND($D657&lt;&gt;"Доход",COUNTIFS(Счета!$B$10:$B$21,$J657,Счета!$C$10:$C$21,"Кредитная")&gt;0),1,0)</f>
        <v/>
      </c>
    </row>
    <row r="658" ht="19" customHeight="1">
      <c r="B658" s="53">
        <f>IF(AND($C658="",$F658=""),"",ROW()-9)</f>
        <v/>
      </c>
      <c r="C658" s="213" t="n"/>
      <c r="D658" s="55" t="n"/>
      <c r="E658" s="55" t="n"/>
      <c r="F658" s="56" t="n"/>
      <c r="G658" s="196" t="n"/>
      <c r="H658" s="196" t="n"/>
      <c r="I658" s="55" t="n"/>
      <c r="J658" s="55" t="n"/>
      <c r="K658" s="55" t="n"/>
      <c r="L658" s="100">
        <f>IF(OR($C658="",$I658="Оплачено",$I658="Отменено",$H658&lt;&gt;""),"",$C658-TODAY())</f>
        <v/>
      </c>
      <c r="M658" s="101">
        <f>IF($C658="","",INDEX(Настройки!$V$6:$V$17,MONTH($C658))&amp;" "&amp;YEAR($C658))</f>
        <v/>
      </c>
      <c r="N658" s="57">
        <f>IF($F658="","",IF(COUNTIF(Постоянные!$C$8:$C$37,$F658)&gt;0,"есть в Постоянных",IF(COUNTIF(Покупки!$C$7:$C$18,$F658)&gt;0,"есть в Покупках","")))</f>
        <v/>
      </c>
      <c r="P658">
        <f>IF($H658&lt;&gt;"",$H658,IF($I658="Оплачено",N($G658),0))</f>
        <v/>
      </c>
      <c r="Q658">
        <f>IF($I658="Отменено",0,IF($G658&lt;&gt;"",$G658,N($H658)))</f>
        <v/>
      </c>
      <c r="R658">
        <f>IF($C658="","",IFERROR(DATE(Настройки!$C$8,Настройки!$D$9+MATCH($M658,Настройки!$X$6:$X$17,0)-1,1),DATE(YEAR($C658),MONTH($C658),1)))</f>
        <v/>
      </c>
      <c r="S658">
        <f>IF(OR($I658="Оплачено",$H658&lt;&gt;""),$P658,$Q658)</f>
        <v/>
      </c>
      <c r="T658">
        <f>IF(OR($C658="",$D658="Доход",$I658="Оплачено",$I658="Отменено",$H658&lt;&gt;"",$C658&lt;TODAY()),"",$C658)</f>
        <v/>
      </c>
      <c r="U658">
        <f>IF(AND($D658&lt;&gt;"Доход",COUNTIFS(Счета!$B$10:$B$21,$J658,Счета!$C$10:$C$21,"Кредитная")&gt;0),1,0)</f>
        <v/>
      </c>
    </row>
    <row r="659" ht="19" customHeight="1">
      <c r="B659" s="53">
        <f>IF(AND($C659="",$F659=""),"",ROW()-9)</f>
        <v/>
      </c>
      <c r="C659" s="213" t="n"/>
      <c r="D659" s="55" t="n"/>
      <c r="E659" s="55" t="n"/>
      <c r="F659" s="56" t="n"/>
      <c r="G659" s="196" t="n"/>
      <c r="H659" s="196" t="n"/>
      <c r="I659" s="55" t="n"/>
      <c r="J659" s="55" t="n"/>
      <c r="K659" s="55" t="n"/>
      <c r="L659" s="100">
        <f>IF(OR($C659="",$I659="Оплачено",$I659="Отменено",$H659&lt;&gt;""),"",$C659-TODAY())</f>
        <v/>
      </c>
      <c r="M659" s="101">
        <f>IF($C659="","",INDEX(Настройки!$V$6:$V$17,MONTH($C659))&amp;" "&amp;YEAR($C659))</f>
        <v/>
      </c>
      <c r="N659" s="57">
        <f>IF($F659="","",IF(COUNTIF(Постоянные!$C$8:$C$37,$F659)&gt;0,"есть в Постоянных",IF(COUNTIF(Покупки!$C$7:$C$18,$F659)&gt;0,"есть в Покупках","")))</f>
        <v/>
      </c>
      <c r="P659">
        <f>IF($H659&lt;&gt;"",$H659,IF($I659="Оплачено",N($G659),0))</f>
        <v/>
      </c>
      <c r="Q659">
        <f>IF($I659="Отменено",0,IF($G659&lt;&gt;"",$G659,N($H659)))</f>
        <v/>
      </c>
      <c r="R659">
        <f>IF($C659="","",IFERROR(DATE(Настройки!$C$8,Настройки!$D$9+MATCH($M659,Настройки!$X$6:$X$17,0)-1,1),DATE(YEAR($C659),MONTH($C659),1)))</f>
        <v/>
      </c>
      <c r="S659">
        <f>IF(OR($I659="Оплачено",$H659&lt;&gt;""),$P659,$Q659)</f>
        <v/>
      </c>
      <c r="T659">
        <f>IF(OR($C659="",$D659="Доход",$I659="Оплачено",$I659="Отменено",$H659&lt;&gt;"",$C659&lt;TODAY()),"",$C659)</f>
        <v/>
      </c>
      <c r="U659">
        <f>IF(AND($D659&lt;&gt;"Доход",COUNTIFS(Счета!$B$10:$B$21,$J659,Счета!$C$10:$C$21,"Кредитная")&gt;0),1,0)</f>
        <v/>
      </c>
    </row>
    <row r="660" ht="19" customHeight="1">
      <c r="B660" s="53">
        <f>IF(AND($C660="",$F660=""),"",ROW()-9)</f>
        <v/>
      </c>
      <c r="C660" s="213" t="n"/>
      <c r="D660" s="55" t="n"/>
      <c r="E660" s="55" t="n"/>
      <c r="F660" s="56" t="n"/>
      <c r="G660" s="196" t="n"/>
      <c r="H660" s="196" t="n"/>
      <c r="I660" s="55" t="n"/>
      <c r="J660" s="55" t="n"/>
      <c r="K660" s="55" t="n"/>
      <c r="L660" s="100">
        <f>IF(OR($C660="",$I660="Оплачено",$I660="Отменено",$H660&lt;&gt;""),"",$C660-TODAY())</f>
        <v/>
      </c>
      <c r="M660" s="101">
        <f>IF($C660="","",INDEX(Настройки!$V$6:$V$17,MONTH($C660))&amp;" "&amp;YEAR($C660))</f>
        <v/>
      </c>
      <c r="N660" s="57">
        <f>IF($F660="","",IF(COUNTIF(Постоянные!$C$8:$C$37,$F660)&gt;0,"есть в Постоянных",IF(COUNTIF(Покупки!$C$7:$C$18,$F660)&gt;0,"есть в Покупках","")))</f>
        <v/>
      </c>
      <c r="P660">
        <f>IF($H660&lt;&gt;"",$H660,IF($I660="Оплачено",N($G660),0))</f>
        <v/>
      </c>
      <c r="Q660">
        <f>IF($I660="Отменено",0,IF($G660&lt;&gt;"",$G660,N($H660)))</f>
        <v/>
      </c>
      <c r="R660">
        <f>IF($C660="","",IFERROR(DATE(Настройки!$C$8,Настройки!$D$9+MATCH($M660,Настройки!$X$6:$X$17,0)-1,1),DATE(YEAR($C660),MONTH($C660),1)))</f>
        <v/>
      </c>
      <c r="S660">
        <f>IF(OR($I660="Оплачено",$H660&lt;&gt;""),$P660,$Q660)</f>
        <v/>
      </c>
      <c r="T660">
        <f>IF(OR($C660="",$D660="Доход",$I660="Оплачено",$I660="Отменено",$H660&lt;&gt;"",$C660&lt;TODAY()),"",$C660)</f>
        <v/>
      </c>
      <c r="U660">
        <f>IF(AND($D660&lt;&gt;"Доход",COUNTIFS(Счета!$B$10:$B$21,$J660,Счета!$C$10:$C$21,"Кредитная")&gt;0),1,0)</f>
        <v/>
      </c>
    </row>
    <row r="661" ht="19" customHeight="1">
      <c r="B661" s="53">
        <f>IF(AND($C661="",$F661=""),"",ROW()-9)</f>
        <v/>
      </c>
      <c r="C661" s="213" t="n"/>
      <c r="D661" s="55" t="n"/>
      <c r="E661" s="55" t="n"/>
      <c r="F661" s="56" t="n"/>
      <c r="G661" s="196" t="n"/>
      <c r="H661" s="196" t="n"/>
      <c r="I661" s="55" t="n"/>
      <c r="J661" s="55" t="n"/>
      <c r="K661" s="55" t="n"/>
      <c r="L661" s="100">
        <f>IF(OR($C661="",$I661="Оплачено",$I661="Отменено",$H661&lt;&gt;""),"",$C661-TODAY())</f>
        <v/>
      </c>
      <c r="M661" s="101">
        <f>IF($C661="","",INDEX(Настройки!$V$6:$V$17,MONTH($C661))&amp;" "&amp;YEAR($C661))</f>
        <v/>
      </c>
      <c r="N661" s="57">
        <f>IF($F661="","",IF(COUNTIF(Постоянные!$C$8:$C$37,$F661)&gt;0,"есть в Постоянных",IF(COUNTIF(Покупки!$C$7:$C$18,$F661)&gt;0,"есть в Покупках","")))</f>
        <v/>
      </c>
      <c r="P661">
        <f>IF($H661&lt;&gt;"",$H661,IF($I661="Оплачено",N($G661),0))</f>
        <v/>
      </c>
      <c r="Q661">
        <f>IF($I661="Отменено",0,IF($G661&lt;&gt;"",$G661,N($H661)))</f>
        <v/>
      </c>
      <c r="R661">
        <f>IF($C661="","",IFERROR(DATE(Настройки!$C$8,Настройки!$D$9+MATCH($M661,Настройки!$X$6:$X$17,0)-1,1),DATE(YEAR($C661),MONTH($C661),1)))</f>
        <v/>
      </c>
      <c r="S661">
        <f>IF(OR($I661="Оплачено",$H661&lt;&gt;""),$P661,$Q661)</f>
        <v/>
      </c>
      <c r="T661">
        <f>IF(OR($C661="",$D661="Доход",$I661="Оплачено",$I661="Отменено",$H661&lt;&gt;"",$C661&lt;TODAY()),"",$C661)</f>
        <v/>
      </c>
      <c r="U661">
        <f>IF(AND($D661&lt;&gt;"Доход",COUNTIFS(Счета!$B$10:$B$21,$J661,Счета!$C$10:$C$21,"Кредитная")&gt;0),1,0)</f>
        <v/>
      </c>
    </row>
    <row r="662" ht="19" customHeight="1">
      <c r="B662" s="53">
        <f>IF(AND($C662="",$F662=""),"",ROW()-9)</f>
        <v/>
      </c>
      <c r="C662" s="213" t="n"/>
      <c r="D662" s="55" t="n"/>
      <c r="E662" s="55" t="n"/>
      <c r="F662" s="56" t="n"/>
      <c r="G662" s="196" t="n"/>
      <c r="H662" s="196" t="n"/>
      <c r="I662" s="55" t="n"/>
      <c r="J662" s="55" t="n"/>
      <c r="K662" s="55" t="n"/>
      <c r="L662" s="100">
        <f>IF(OR($C662="",$I662="Оплачено",$I662="Отменено",$H662&lt;&gt;""),"",$C662-TODAY())</f>
        <v/>
      </c>
      <c r="M662" s="101">
        <f>IF($C662="","",INDEX(Настройки!$V$6:$V$17,MONTH($C662))&amp;" "&amp;YEAR($C662))</f>
        <v/>
      </c>
      <c r="N662" s="57">
        <f>IF($F662="","",IF(COUNTIF(Постоянные!$C$8:$C$37,$F662)&gt;0,"есть в Постоянных",IF(COUNTIF(Покупки!$C$7:$C$18,$F662)&gt;0,"есть в Покупках","")))</f>
        <v/>
      </c>
      <c r="P662">
        <f>IF($H662&lt;&gt;"",$H662,IF($I662="Оплачено",N($G662),0))</f>
        <v/>
      </c>
      <c r="Q662">
        <f>IF($I662="Отменено",0,IF($G662&lt;&gt;"",$G662,N($H662)))</f>
        <v/>
      </c>
      <c r="R662">
        <f>IF($C662="","",IFERROR(DATE(Настройки!$C$8,Настройки!$D$9+MATCH($M662,Настройки!$X$6:$X$17,0)-1,1),DATE(YEAR($C662),MONTH($C662),1)))</f>
        <v/>
      </c>
      <c r="S662">
        <f>IF(OR($I662="Оплачено",$H662&lt;&gt;""),$P662,$Q662)</f>
        <v/>
      </c>
      <c r="T662">
        <f>IF(OR($C662="",$D662="Доход",$I662="Оплачено",$I662="Отменено",$H662&lt;&gt;"",$C662&lt;TODAY()),"",$C662)</f>
        <v/>
      </c>
      <c r="U662">
        <f>IF(AND($D662&lt;&gt;"Доход",COUNTIFS(Счета!$B$10:$B$21,$J662,Счета!$C$10:$C$21,"Кредитная")&gt;0),1,0)</f>
        <v/>
      </c>
    </row>
    <row r="663" ht="19" customHeight="1">
      <c r="B663" s="53">
        <f>IF(AND($C663="",$F663=""),"",ROW()-9)</f>
        <v/>
      </c>
      <c r="C663" s="213" t="n"/>
      <c r="D663" s="55" t="n"/>
      <c r="E663" s="55" t="n"/>
      <c r="F663" s="56" t="n"/>
      <c r="G663" s="196" t="n"/>
      <c r="H663" s="196" t="n"/>
      <c r="I663" s="55" t="n"/>
      <c r="J663" s="55" t="n"/>
      <c r="K663" s="55" t="n"/>
      <c r="L663" s="100">
        <f>IF(OR($C663="",$I663="Оплачено",$I663="Отменено",$H663&lt;&gt;""),"",$C663-TODAY())</f>
        <v/>
      </c>
      <c r="M663" s="101">
        <f>IF($C663="","",INDEX(Настройки!$V$6:$V$17,MONTH($C663))&amp;" "&amp;YEAR($C663))</f>
        <v/>
      </c>
      <c r="N663" s="57">
        <f>IF($F663="","",IF(COUNTIF(Постоянные!$C$8:$C$37,$F663)&gt;0,"есть в Постоянных",IF(COUNTIF(Покупки!$C$7:$C$18,$F663)&gt;0,"есть в Покупках","")))</f>
        <v/>
      </c>
      <c r="P663">
        <f>IF($H663&lt;&gt;"",$H663,IF($I663="Оплачено",N($G663),0))</f>
        <v/>
      </c>
      <c r="Q663">
        <f>IF($I663="Отменено",0,IF($G663&lt;&gt;"",$G663,N($H663)))</f>
        <v/>
      </c>
      <c r="R663">
        <f>IF($C663="","",IFERROR(DATE(Настройки!$C$8,Настройки!$D$9+MATCH($M663,Настройки!$X$6:$X$17,0)-1,1),DATE(YEAR($C663),MONTH($C663),1)))</f>
        <v/>
      </c>
      <c r="S663">
        <f>IF(OR($I663="Оплачено",$H663&lt;&gt;""),$P663,$Q663)</f>
        <v/>
      </c>
      <c r="T663">
        <f>IF(OR($C663="",$D663="Доход",$I663="Оплачено",$I663="Отменено",$H663&lt;&gt;"",$C663&lt;TODAY()),"",$C663)</f>
        <v/>
      </c>
      <c r="U663">
        <f>IF(AND($D663&lt;&gt;"Доход",COUNTIFS(Счета!$B$10:$B$21,$J663,Счета!$C$10:$C$21,"Кредитная")&gt;0),1,0)</f>
        <v/>
      </c>
    </row>
    <row r="664" ht="19" customHeight="1">
      <c r="B664" s="53">
        <f>IF(AND($C664="",$F664=""),"",ROW()-9)</f>
        <v/>
      </c>
      <c r="C664" s="213" t="n"/>
      <c r="D664" s="55" t="n"/>
      <c r="E664" s="55" t="n"/>
      <c r="F664" s="56" t="n"/>
      <c r="G664" s="196" t="n"/>
      <c r="H664" s="196" t="n"/>
      <c r="I664" s="55" t="n"/>
      <c r="J664" s="55" t="n"/>
      <c r="K664" s="55" t="n"/>
      <c r="L664" s="100">
        <f>IF(OR($C664="",$I664="Оплачено",$I664="Отменено",$H664&lt;&gt;""),"",$C664-TODAY())</f>
        <v/>
      </c>
      <c r="M664" s="101">
        <f>IF($C664="","",INDEX(Настройки!$V$6:$V$17,MONTH($C664))&amp;" "&amp;YEAR($C664))</f>
        <v/>
      </c>
      <c r="N664" s="57">
        <f>IF($F664="","",IF(COUNTIF(Постоянные!$C$8:$C$37,$F664)&gt;0,"есть в Постоянных",IF(COUNTIF(Покупки!$C$7:$C$18,$F664)&gt;0,"есть в Покупках","")))</f>
        <v/>
      </c>
      <c r="P664">
        <f>IF($H664&lt;&gt;"",$H664,IF($I664="Оплачено",N($G664),0))</f>
        <v/>
      </c>
      <c r="Q664">
        <f>IF($I664="Отменено",0,IF($G664&lt;&gt;"",$G664,N($H664)))</f>
        <v/>
      </c>
      <c r="R664">
        <f>IF($C664="","",IFERROR(DATE(Настройки!$C$8,Настройки!$D$9+MATCH($M664,Настройки!$X$6:$X$17,0)-1,1),DATE(YEAR($C664),MONTH($C664),1)))</f>
        <v/>
      </c>
      <c r="S664">
        <f>IF(OR($I664="Оплачено",$H664&lt;&gt;""),$P664,$Q664)</f>
        <v/>
      </c>
      <c r="T664">
        <f>IF(OR($C664="",$D664="Доход",$I664="Оплачено",$I664="Отменено",$H664&lt;&gt;"",$C664&lt;TODAY()),"",$C664)</f>
        <v/>
      </c>
      <c r="U664">
        <f>IF(AND($D664&lt;&gt;"Доход",COUNTIFS(Счета!$B$10:$B$21,$J664,Счета!$C$10:$C$21,"Кредитная")&gt;0),1,0)</f>
        <v/>
      </c>
    </row>
    <row r="665" ht="19" customHeight="1">
      <c r="B665" s="53">
        <f>IF(AND($C665="",$F665=""),"",ROW()-9)</f>
        <v/>
      </c>
      <c r="C665" s="213" t="n"/>
      <c r="D665" s="55" t="n"/>
      <c r="E665" s="55" t="n"/>
      <c r="F665" s="56" t="n"/>
      <c r="G665" s="196" t="n"/>
      <c r="H665" s="196" t="n"/>
      <c r="I665" s="55" t="n"/>
      <c r="J665" s="55" t="n"/>
      <c r="K665" s="55" t="n"/>
      <c r="L665" s="100">
        <f>IF(OR($C665="",$I665="Оплачено",$I665="Отменено",$H665&lt;&gt;""),"",$C665-TODAY())</f>
        <v/>
      </c>
      <c r="M665" s="101">
        <f>IF($C665="","",INDEX(Настройки!$V$6:$V$17,MONTH($C665))&amp;" "&amp;YEAR($C665))</f>
        <v/>
      </c>
      <c r="N665" s="57">
        <f>IF($F665="","",IF(COUNTIF(Постоянные!$C$8:$C$37,$F665)&gt;0,"есть в Постоянных",IF(COUNTIF(Покупки!$C$7:$C$18,$F665)&gt;0,"есть в Покупках","")))</f>
        <v/>
      </c>
      <c r="P665">
        <f>IF($H665&lt;&gt;"",$H665,IF($I665="Оплачено",N($G665),0))</f>
        <v/>
      </c>
      <c r="Q665">
        <f>IF($I665="Отменено",0,IF($G665&lt;&gt;"",$G665,N($H665)))</f>
        <v/>
      </c>
      <c r="R665">
        <f>IF($C665="","",IFERROR(DATE(Настройки!$C$8,Настройки!$D$9+MATCH($M665,Настройки!$X$6:$X$17,0)-1,1),DATE(YEAR($C665),MONTH($C665),1)))</f>
        <v/>
      </c>
      <c r="S665">
        <f>IF(OR($I665="Оплачено",$H665&lt;&gt;""),$P665,$Q665)</f>
        <v/>
      </c>
      <c r="T665">
        <f>IF(OR($C665="",$D665="Доход",$I665="Оплачено",$I665="Отменено",$H665&lt;&gt;"",$C665&lt;TODAY()),"",$C665)</f>
        <v/>
      </c>
      <c r="U665">
        <f>IF(AND($D665&lt;&gt;"Доход",COUNTIFS(Счета!$B$10:$B$21,$J665,Счета!$C$10:$C$21,"Кредитная")&gt;0),1,0)</f>
        <v/>
      </c>
    </row>
    <row r="666" ht="19" customHeight="1">
      <c r="B666" s="53">
        <f>IF(AND($C666="",$F666=""),"",ROW()-9)</f>
        <v/>
      </c>
      <c r="C666" s="213" t="n"/>
      <c r="D666" s="55" t="n"/>
      <c r="E666" s="55" t="n"/>
      <c r="F666" s="56" t="n"/>
      <c r="G666" s="196" t="n"/>
      <c r="H666" s="196" t="n"/>
      <c r="I666" s="55" t="n"/>
      <c r="J666" s="55" t="n"/>
      <c r="K666" s="55" t="n"/>
      <c r="L666" s="100">
        <f>IF(OR($C666="",$I666="Оплачено",$I666="Отменено",$H666&lt;&gt;""),"",$C666-TODAY())</f>
        <v/>
      </c>
      <c r="M666" s="101">
        <f>IF($C666="","",INDEX(Настройки!$V$6:$V$17,MONTH($C666))&amp;" "&amp;YEAR($C666))</f>
        <v/>
      </c>
      <c r="N666" s="57">
        <f>IF($F666="","",IF(COUNTIF(Постоянные!$C$8:$C$37,$F666)&gt;0,"есть в Постоянных",IF(COUNTIF(Покупки!$C$7:$C$18,$F666)&gt;0,"есть в Покупках","")))</f>
        <v/>
      </c>
      <c r="P666">
        <f>IF($H666&lt;&gt;"",$H666,IF($I666="Оплачено",N($G666),0))</f>
        <v/>
      </c>
      <c r="Q666">
        <f>IF($I666="Отменено",0,IF($G666&lt;&gt;"",$G666,N($H666)))</f>
        <v/>
      </c>
      <c r="R666">
        <f>IF($C666="","",IFERROR(DATE(Настройки!$C$8,Настройки!$D$9+MATCH($M666,Настройки!$X$6:$X$17,0)-1,1),DATE(YEAR($C666),MONTH($C666),1)))</f>
        <v/>
      </c>
      <c r="S666">
        <f>IF(OR($I666="Оплачено",$H666&lt;&gt;""),$P666,$Q666)</f>
        <v/>
      </c>
      <c r="T666">
        <f>IF(OR($C666="",$D666="Доход",$I666="Оплачено",$I666="Отменено",$H666&lt;&gt;"",$C666&lt;TODAY()),"",$C666)</f>
        <v/>
      </c>
      <c r="U666">
        <f>IF(AND($D666&lt;&gt;"Доход",COUNTIFS(Счета!$B$10:$B$21,$J666,Счета!$C$10:$C$21,"Кредитная")&gt;0),1,0)</f>
        <v/>
      </c>
    </row>
    <row r="667" ht="19" customHeight="1">
      <c r="B667" s="53">
        <f>IF(AND($C667="",$F667=""),"",ROW()-9)</f>
        <v/>
      </c>
      <c r="C667" s="213" t="n"/>
      <c r="D667" s="55" t="n"/>
      <c r="E667" s="55" t="n"/>
      <c r="F667" s="56" t="n"/>
      <c r="G667" s="196" t="n"/>
      <c r="H667" s="196" t="n"/>
      <c r="I667" s="55" t="n"/>
      <c r="J667" s="55" t="n"/>
      <c r="K667" s="55" t="n"/>
      <c r="L667" s="100">
        <f>IF(OR($C667="",$I667="Оплачено",$I667="Отменено",$H667&lt;&gt;""),"",$C667-TODAY())</f>
        <v/>
      </c>
      <c r="M667" s="101">
        <f>IF($C667="","",INDEX(Настройки!$V$6:$V$17,MONTH($C667))&amp;" "&amp;YEAR($C667))</f>
        <v/>
      </c>
      <c r="N667" s="57">
        <f>IF($F667="","",IF(COUNTIF(Постоянные!$C$8:$C$37,$F667)&gt;0,"есть в Постоянных",IF(COUNTIF(Покупки!$C$7:$C$18,$F667)&gt;0,"есть в Покупках","")))</f>
        <v/>
      </c>
      <c r="P667">
        <f>IF($H667&lt;&gt;"",$H667,IF($I667="Оплачено",N($G667),0))</f>
        <v/>
      </c>
      <c r="Q667">
        <f>IF($I667="Отменено",0,IF($G667&lt;&gt;"",$G667,N($H667)))</f>
        <v/>
      </c>
      <c r="R667">
        <f>IF($C667="","",IFERROR(DATE(Настройки!$C$8,Настройки!$D$9+MATCH($M667,Настройки!$X$6:$X$17,0)-1,1),DATE(YEAR($C667),MONTH($C667),1)))</f>
        <v/>
      </c>
      <c r="S667">
        <f>IF(OR($I667="Оплачено",$H667&lt;&gt;""),$P667,$Q667)</f>
        <v/>
      </c>
      <c r="T667">
        <f>IF(OR($C667="",$D667="Доход",$I667="Оплачено",$I667="Отменено",$H667&lt;&gt;"",$C667&lt;TODAY()),"",$C667)</f>
        <v/>
      </c>
      <c r="U667">
        <f>IF(AND($D667&lt;&gt;"Доход",COUNTIFS(Счета!$B$10:$B$21,$J667,Счета!$C$10:$C$21,"Кредитная")&gt;0),1,0)</f>
        <v/>
      </c>
    </row>
    <row r="668" ht="19" customHeight="1">
      <c r="B668" s="53">
        <f>IF(AND($C668="",$F668=""),"",ROW()-9)</f>
        <v/>
      </c>
      <c r="C668" s="213" t="n"/>
      <c r="D668" s="55" t="n"/>
      <c r="E668" s="55" t="n"/>
      <c r="F668" s="56" t="n"/>
      <c r="G668" s="196" t="n"/>
      <c r="H668" s="196" t="n"/>
      <c r="I668" s="55" t="n"/>
      <c r="J668" s="55" t="n"/>
      <c r="K668" s="55" t="n"/>
      <c r="L668" s="100">
        <f>IF(OR($C668="",$I668="Оплачено",$I668="Отменено",$H668&lt;&gt;""),"",$C668-TODAY())</f>
        <v/>
      </c>
      <c r="M668" s="101">
        <f>IF($C668="","",INDEX(Настройки!$V$6:$V$17,MONTH($C668))&amp;" "&amp;YEAR($C668))</f>
        <v/>
      </c>
      <c r="N668" s="57">
        <f>IF($F668="","",IF(COUNTIF(Постоянные!$C$8:$C$37,$F668)&gt;0,"есть в Постоянных",IF(COUNTIF(Покупки!$C$7:$C$18,$F668)&gt;0,"есть в Покупках","")))</f>
        <v/>
      </c>
      <c r="P668">
        <f>IF($H668&lt;&gt;"",$H668,IF($I668="Оплачено",N($G668),0))</f>
        <v/>
      </c>
      <c r="Q668">
        <f>IF($I668="Отменено",0,IF($G668&lt;&gt;"",$G668,N($H668)))</f>
        <v/>
      </c>
      <c r="R668">
        <f>IF($C668="","",IFERROR(DATE(Настройки!$C$8,Настройки!$D$9+MATCH($M668,Настройки!$X$6:$X$17,0)-1,1),DATE(YEAR($C668),MONTH($C668),1)))</f>
        <v/>
      </c>
      <c r="S668">
        <f>IF(OR($I668="Оплачено",$H668&lt;&gt;""),$P668,$Q668)</f>
        <v/>
      </c>
      <c r="T668">
        <f>IF(OR($C668="",$D668="Доход",$I668="Оплачено",$I668="Отменено",$H668&lt;&gt;"",$C668&lt;TODAY()),"",$C668)</f>
        <v/>
      </c>
      <c r="U668">
        <f>IF(AND($D668&lt;&gt;"Доход",COUNTIFS(Счета!$B$10:$B$21,$J668,Счета!$C$10:$C$21,"Кредитная")&gt;0),1,0)</f>
        <v/>
      </c>
    </row>
    <row r="669" ht="19" customHeight="1">
      <c r="B669" s="53">
        <f>IF(AND($C669="",$F669=""),"",ROW()-9)</f>
        <v/>
      </c>
      <c r="C669" s="213" t="n"/>
      <c r="D669" s="55" t="n"/>
      <c r="E669" s="55" t="n"/>
      <c r="F669" s="56" t="n"/>
      <c r="G669" s="196" t="n"/>
      <c r="H669" s="196" t="n"/>
      <c r="I669" s="55" t="n"/>
      <c r="J669" s="55" t="n"/>
      <c r="K669" s="55" t="n"/>
      <c r="L669" s="100">
        <f>IF(OR($C669="",$I669="Оплачено",$I669="Отменено",$H669&lt;&gt;""),"",$C669-TODAY())</f>
        <v/>
      </c>
      <c r="M669" s="101">
        <f>IF($C669="","",INDEX(Настройки!$V$6:$V$17,MONTH($C669))&amp;" "&amp;YEAR($C669))</f>
        <v/>
      </c>
      <c r="N669" s="57">
        <f>IF($F669="","",IF(COUNTIF(Постоянные!$C$8:$C$37,$F669)&gt;0,"есть в Постоянных",IF(COUNTIF(Покупки!$C$7:$C$18,$F669)&gt;0,"есть в Покупках","")))</f>
        <v/>
      </c>
      <c r="P669">
        <f>IF($H669&lt;&gt;"",$H669,IF($I669="Оплачено",N($G669),0))</f>
        <v/>
      </c>
      <c r="Q669">
        <f>IF($I669="Отменено",0,IF($G669&lt;&gt;"",$G669,N($H669)))</f>
        <v/>
      </c>
      <c r="R669">
        <f>IF($C669="","",IFERROR(DATE(Настройки!$C$8,Настройки!$D$9+MATCH($M669,Настройки!$X$6:$X$17,0)-1,1),DATE(YEAR($C669),MONTH($C669),1)))</f>
        <v/>
      </c>
      <c r="S669">
        <f>IF(OR($I669="Оплачено",$H669&lt;&gt;""),$P669,$Q669)</f>
        <v/>
      </c>
      <c r="T669">
        <f>IF(OR($C669="",$D669="Доход",$I669="Оплачено",$I669="Отменено",$H669&lt;&gt;"",$C669&lt;TODAY()),"",$C669)</f>
        <v/>
      </c>
      <c r="U669">
        <f>IF(AND($D669&lt;&gt;"Доход",COUNTIFS(Счета!$B$10:$B$21,$J669,Счета!$C$10:$C$21,"Кредитная")&gt;0),1,0)</f>
        <v/>
      </c>
    </row>
    <row r="670" ht="19" customHeight="1">
      <c r="B670" s="53">
        <f>IF(AND($C670="",$F670=""),"",ROW()-9)</f>
        <v/>
      </c>
      <c r="C670" s="213" t="n"/>
      <c r="D670" s="55" t="n"/>
      <c r="E670" s="55" t="n"/>
      <c r="F670" s="56" t="n"/>
      <c r="G670" s="196" t="n"/>
      <c r="H670" s="196" t="n"/>
      <c r="I670" s="55" t="n"/>
      <c r="J670" s="55" t="n"/>
      <c r="K670" s="55" t="n"/>
      <c r="L670" s="100">
        <f>IF(OR($C670="",$I670="Оплачено",$I670="Отменено",$H670&lt;&gt;""),"",$C670-TODAY())</f>
        <v/>
      </c>
      <c r="M670" s="101">
        <f>IF($C670="","",INDEX(Настройки!$V$6:$V$17,MONTH($C670))&amp;" "&amp;YEAR($C670))</f>
        <v/>
      </c>
      <c r="N670" s="57">
        <f>IF($F670="","",IF(COUNTIF(Постоянные!$C$8:$C$37,$F670)&gt;0,"есть в Постоянных",IF(COUNTIF(Покупки!$C$7:$C$18,$F670)&gt;0,"есть в Покупках","")))</f>
        <v/>
      </c>
      <c r="P670">
        <f>IF($H670&lt;&gt;"",$H670,IF($I670="Оплачено",N($G670),0))</f>
        <v/>
      </c>
      <c r="Q670">
        <f>IF($I670="Отменено",0,IF($G670&lt;&gt;"",$G670,N($H670)))</f>
        <v/>
      </c>
      <c r="R670">
        <f>IF($C670="","",IFERROR(DATE(Настройки!$C$8,Настройки!$D$9+MATCH($M670,Настройки!$X$6:$X$17,0)-1,1),DATE(YEAR($C670),MONTH($C670),1)))</f>
        <v/>
      </c>
      <c r="S670">
        <f>IF(OR($I670="Оплачено",$H670&lt;&gt;""),$P670,$Q670)</f>
        <v/>
      </c>
      <c r="T670">
        <f>IF(OR($C670="",$D670="Доход",$I670="Оплачено",$I670="Отменено",$H670&lt;&gt;"",$C670&lt;TODAY()),"",$C670)</f>
        <v/>
      </c>
      <c r="U670">
        <f>IF(AND($D670&lt;&gt;"Доход",COUNTIFS(Счета!$B$10:$B$21,$J670,Счета!$C$10:$C$21,"Кредитная")&gt;0),1,0)</f>
        <v/>
      </c>
    </row>
    <row r="671" ht="19" customHeight="1">
      <c r="B671" s="53">
        <f>IF(AND($C671="",$F671=""),"",ROW()-9)</f>
        <v/>
      </c>
      <c r="C671" s="213" t="n"/>
      <c r="D671" s="55" t="n"/>
      <c r="E671" s="55" t="n"/>
      <c r="F671" s="56" t="n"/>
      <c r="G671" s="196" t="n"/>
      <c r="H671" s="196" t="n"/>
      <c r="I671" s="55" t="n"/>
      <c r="J671" s="55" t="n"/>
      <c r="K671" s="55" t="n"/>
      <c r="L671" s="100">
        <f>IF(OR($C671="",$I671="Оплачено",$I671="Отменено",$H671&lt;&gt;""),"",$C671-TODAY())</f>
        <v/>
      </c>
      <c r="M671" s="101">
        <f>IF($C671="","",INDEX(Настройки!$V$6:$V$17,MONTH($C671))&amp;" "&amp;YEAR($C671))</f>
        <v/>
      </c>
      <c r="N671" s="57">
        <f>IF($F671="","",IF(COUNTIF(Постоянные!$C$8:$C$37,$F671)&gt;0,"есть в Постоянных",IF(COUNTIF(Покупки!$C$7:$C$18,$F671)&gt;0,"есть в Покупках","")))</f>
        <v/>
      </c>
      <c r="P671">
        <f>IF($H671&lt;&gt;"",$H671,IF($I671="Оплачено",N($G671),0))</f>
        <v/>
      </c>
      <c r="Q671">
        <f>IF($I671="Отменено",0,IF($G671&lt;&gt;"",$G671,N($H671)))</f>
        <v/>
      </c>
      <c r="R671">
        <f>IF($C671="","",IFERROR(DATE(Настройки!$C$8,Настройки!$D$9+MATCH($M671,Настройки!$X$6:$X$17,0)-1,1),DATE(YEAR($C671),MONTH($C671),1)))</f>
        <v/>
      </c>
      <c r="S671">
        <f>IF(OR($I671="Оплачено",$H671&lt;&gt;""),$P671,$Q671)</f>
        <v/>
      </c>
      <c r="T671">
        <f>IF(OR($C671="",$D671="Доход",$I671="Оплачено",$I671="Отменено",$H671&lt;&gt;"",$C671&lt;TODAY()),"",$C671)</f>
        <v/>
      </c>
      <c r="U671">
        <f>IF(AND($D671&lt;&gt;"Доход",COUNTIFS(Счета!$B$10:$B$21,$J671,Счета!$C$10:$C$21,"Кредитная")&gt;0),1,0)</f>
        <v/>
      </c>
    </row>
    <row r="672" ht="19" customHeight="1">
      <c r="B672" s="53">
        <f>IF(AND($C672="",$F672=""),"",ROW()-9)</f>
        <v/>
      </c>
      <c r="C672" s="213" t="n"/>
      <c r="D672" s="55" t="n"/>
      <c r="E672" s="55" t="n"/>
      <c r="F672" s="56" t="n"/>
      <c r="G672" s="196" t="n"/>
      <c r="H672" s="196" t="n"/>
      <c r="I672" s="55" t="n"/>
      <c r="J672" s="55" t="n"/>
      <c r="K672" s="55" t="n"/>
      <c r="L672" s="100">
        <f>IF(OR($C672="",$I672="Оплачено",$I672="Отменено",$H672&lt;&gt;""),"",$C672-TODAY())</f>
        <v/>
      </c>
      <c r="M672" s="101">
        <f>IF($C672="","",INDEX(Настройки!$V$6:$V$17,MONTH($C672))&amp;" "&amp;YEAR($C672))</f>
        <v/>
      </c>
      <c r="N672" s="57">
        <f>IF($F672="","",IF(COUNTIF(Постоянные!$C$8:$C$37,$F672)&gt;0,"есть в Постоянных",IF(COUNTIF(Покупки!$C$7:$C$18,$F672)&gt;0,"есть в Покупках","")))</f>
        <v/>
      </c>
      <c r="P672">
        <f>IF($H672&lt;&gt;"",$H672,IF($I672="Оплачено",N($G672),0))</f>
        <v/>
      </c>
      <c r="Q672">
        <f>IF($I672="Отменено",0,IF($G672&lt;&gt;"",$G672,N($H672)))</f>
        <v/>
      </c>
      <c r="R672">
        <f>IF($C672="","",IFERROR(DATE(Настройки!$C$8,Настройки!$D$9+MATCH($M672,Настройки!$X$6:$X$17,0)-1,1),DATE(YEAR($C672),MONTH($C672),1)))</f>
        <v/>
      </c>
      <c r="S672">
        <f>IF(OR($I672="Оплачено",$H672&lt;&gt;""),$P672,$Q672)</f>
        <v/>
      </c>
      <c r="T672">
        <f>IF(OR($C672="",$D672="Доход",$I672="Оплачено",$I672="Отменено",$H672&lt;&gt;"",$C672&lt;TODAY()),"",$C672)</f>
        <v/>
      </c>
      <c r="U672">
        <f>IF(AND($D672&lt;&gt;"Доход",COUNTIFS(Счета!$B$10:$B$21,$J672,Счета!$C$10:$C$21,"Кредитная")&gt;0),1,0)</f>
        <v/>
      </c>
    </row>
    <row r="673" ht="19" customHeight="1">
      <c r="B673" s="53">
        <f>IF(AND($C673="",$F673=""),"",ROW()-9)</f>
        <v/>
      </c>
      <c r="C673" s="213" t="n"/>
      <c r="D673" s="55" t="n"/>
      <c r="E673" s="55" t="n"/>
      <c r="F673" s="56" t="n"/>
      <c r="G673" s="196" t="n"/>
      <c r="H673" s="196" t="n"/>
      <c r="I673" s="55" t="n"/>
      <c r="J673" s="55" t="n"/>
      <c r="K673" s="55" t="n"/>
      <c r="L673" s="100">
        <f>IF(OR($C673="",$I673="Оплачено",$I673="Отменено",$H673&lt;&gt;""),"",$C673-TODAY())</f>
        <v/>
      </c>
      <c r="M673" s="101">
        <f>IF($C673="","",INDEX(Настройки!$V$6:$V$17,MONTH($C673))&amp;" "&amp;YEAR($C673))</f>
        <v/>
      </c>
      <c r="N673" s="57">
        <f>IF($F673="","",IF(COUNTIF(Постоянные!$C$8:$C$37,$F673)&gt;0,"есть в Постоянных",IF(COUNTIF(Покупки!$C$7:$C$18,$F673)&gt;0,"есть в Покупках","")))</f>
        <v/>
      </c>
      <c r="P673">
        <f>IF($H673&lt;&gt;"",$H673,IF($I673="Оплачено",N($G673),0))</f>
        <v/>
      </c>
      <c r="Q673">
        <f>IF($I673="Отменено",0,IF($G673&lt;&gt;"",$G673,N($H673)))</f>
        <v/>
      </c>
      <c r="R673">
        <f>IF($C673="","",IFERROR(DATE(Настройки!$C$8,Настройки!$D$9+MATCH($M673,Настройки!$X$6:$X$17,0)-1,1),DATE(YEAR($C673),MONTH($C673),1)))</f>
        <v/>
      </c>
      <c r="S673">
        <f>IF(OR($I673="Оплачено",$H673&lt;&gt;""),$P673,$Q673)</f>
        <v/>
      </c>
      <c r="T673">
        <f>IF(OR($C673="",$D673="Доход",$I673="Оплачено",$I673="Отменено",$H673&lt;&gt;"",$C673&lt;TODAY()),"",$C673)</f>
        <v/>
      </c>
      <c r="U673">
        <f>IF(AND($D673&lt;&gt;"Доход",COUNTIFS(Счета!$B$10:$B$21,$J673,Счета!$C$10:$C$21,"Кредитная")&gt;0),1,0)</f>
        <v/>
      </c>
    </row>
    <row r="674" ht="19" customHeight="1">
      <c r="B674" s="53">
        <f>IF(AND($C674="",$F674=""),"",ROW()-9)</f>
        <v/>
      </c>
      <c r="C674" s="213" t="n"/>
      <c r="D674" s="55" t="n"/>
      <c r="E674" s="55" t="n"/>
      <c r="F674" s="56" t="n"/>
      <c r="G674" s="196" t="n"/>
      <c r="H674" s="196" t="n"/>
      <c r="I674" s="55" t="n"/>
      <c r="J674" s="55" t="n"/>
      <c r="K674" s="55" t="n"/>
      <c r="L674" s="100">
        <f>IF(OR($C674="",$I674="Оплачено",$I674="Отменено",$H674&lt;&gt;""),"",$C674-TODAY())</f>
        <v/>
      </c>
      <c r="M674" s="101">
        <f>IF($C674="","",INDEX(Настройки!$V$6:$V$17,MONTH($C674))&amp;" "&amp;YEAR($C674))</f>
        <v/>
      </c>
      <c r="N674" s="57">
        <f>IF($F674="","",IF(COUNTIF(Постоянные!$C$8:$C$37,$F674)&gt;0,"есть в Постоянных",IF(COUNTIF(Покупки!$C$7:$C$18,$F674)&gt;0,"есть в Покупках","")))</f>
        <v/>
      </c>
      <c r="P674">
        <f>IF($H674&lt;&gt;"",$H674,IF($I674="Оплачено",N($G674),0))</f>
        <v/>
      </c>
      <c r="Q674">
        <f>IF($I674="Отменено",0,IF($G674&lt;&gt;"",$G674,N($H674)))</f>
        <v/>
      </c>
      <c r="R674">
        <f>IF($C674="","",IFERROR(DATE(Настройки!$C$8,Настройки!$D$9+MATCH($M674,Настройки!$X$6:$X$17,0)-1,1),DATE(YEAR($C674),MONTH($C674),1)))</f>
        <v/>
      </c>
      <c r="S674">
        <f>IF(OR($I674="Оплачено",$H674&lt;&gt;""),$P674,$Q674)</f>
        <v/>
      </c>
      <c r="T674">
        <f>IF(OR($C674="",$D674="Доход",$I674="Оплачено",$I674="Отменено",$H674&lt;&gt;"",$C674&lt;TODAY()),"",$C674)</f>
        <v/>
      </c>
      <c r="U674">
        <f>IF(AND($D674&lt;&gt;"Доход",COUNTIFS(Счета!$B$10:$B$21,$J674,Счета!$C$10:$C$21,"Кредитная")&gt;0),1,0)</f>
        <v/>
      </c>
    </row>
    <row r="675" ht="19" customHeight="1">
      <c r="B675" s="53">
        <f>IF(AND($C675="",$F675=""),"",ROW()-9)</f>
        <v/>
      </c>
      <c r="C675" s="213" t="n"/>
      <c r="D675" s="55" t="n"/>
      <c r="E675" s="55" t="n"/>
      <c r="F675" s="56" t="n"/>
      <c r="G675" s="196" t="n"/>
      <c r="H675" s="196" t="n"/>
      <c r="I675" s="55" t="n"/>
      <c r="J675" s="55" t="n"/>
      <c r="K675" s="55" t="n"/>
      <c r="L675" s="100">
        <f>IF(OR($C675="",$I675="Оплачено",$I675="Отменено",$H675&lt;&gt;""),"",$C675-TODAY())</f>
        <v/>
      </c>
      <c r="M675" s="101">
        <f>IF($C675="","",INDEX(Настройки!$V$6:$V$17,MONTH($C675))&amp;" "&amp;YEAR($C675))</f>
        <v/>
      </c>
      <c r="N675" s="57">
        <f>IF($F675="","",IF(COUNTIF(Постоянные!$C$8:$C$37,$F675)&gt;0,"есть в Постоянных",IF(COUNTIF(Покупки!$C$7:$C$18,$F675)&gt;0,"есть в Покупках","")))</f>
        <v/>
      </c>
      <c r="P675">
        <f>IF($H675&lt;&gt;"",$H675,IF($I675="Оплачено",N($G675),0))</f>
        <v/>
      </c>
      <c r="Q675">
        <f>IF($I675="Отменено",0,IF($G675&lt;&gt;"",$G675,N($H675)))</f>
        <v/>
      </c>
      <c r="R675">
        <f>IF($C675="","",IFERROR(DATE(Настройки!$C$8,Настройки!$D$9+MATCH($M675,Настройки!$X$6:$X$17,0)-1,1),DATE(YEAR($C675),MONTH($C675),1)))</f>
        <v/>
      </c>
      <c r="S675">
        <f>IF(OR($I675="Оплачено",$H675&lt;&gt;""),$P675,$Q675)</f>
        <v/>
      </c>
      <c r="T675">
        <f>IF(OR($C675="",$D675="Доход",$I675="Оплачено",$I675="Отменено",$H675&lt;&gt;"",$C675&lt;TODAY()),"",$C675)</f>
        <v/>
      </c>
      <c r="U675">
        <f>IF(AND($D675&lt;&gt;"Доход",COUNTIFS(Счета!$B$10:$B$21,$J675,Счета!$C$10:$C$21,"Кредитная")&gt;0),1,0)</f>
        <v/>
      </c>
    </row>
    <row r="676" ht="19" customHeight="1">
      <c r="B676" s="53">
        <f>IF(AND($C676="",$F676=""),"",ROW()-9)</f>
        <v/>
      </c>
      <c r="C676" s="213" t="n"/>
      <c r="D676" s="55" t="n"/>
      <c r="E676" s="55" t="n"/>
      <c r="F676" s="56" t="n"/>
      <c r="G676" s="196" t="n"/>
      <c r="H676" s="196" t="n"/>
      <c r="I676" s="55" t="n"/>
      <c r="J676" s="55" t="n"/>
      <c r="K676" s="55" t="n"/>
      <c r="L676" s="100">
        <f>IF(OR($C676="",$I676="Оплачено",$I676="Отменено",$H676&lt;&gt;""),"",$C676-TODAY())</f>
        <v/>
      </c>
      <c r="M676" s="101">
        <f>IF($C676="","",INDEX(Настройки!$V$6:$V$17,MONTH($C676))&amp;" "&amp;YEAR($C676))</f>
        <v/>
      </c>
      <c r="N676" s="57">
        <f>IF($F676="","",IF(COUNTIF(Постоянные!$C$8:$C$37,$F676)&gt;0,"есть в Постоянных",IF(COUNTIF(Покупки!$C$7:$C$18,$F676)&gt;0,"есть в Покупках","")))</f>
        <v/>
      </c>
      <c r="P676">
        <f>IF($H676&lt;&gt;"",$H676,IF($I676="Оплачено",N($G676),0))</f>
        <v/>
      </c>
      <c r="Q676">
        <f>IF($I676="Отменено",0,IF($G676&lt;&gt;"",$G676,N($H676)))</f>
        <v/>
      </c>
      <c r="R676">
        <f>IF($C676="","",IFERROR(DATE(Настройки!$C$8,Настройки!$D$9+MATCH($M676,Настройки!$X$6:$X$17,0)-1,1),DATE(YEAR($C676),MONTH($C676),1)))</f>
        <v/>
      </c>
      <c r="S676">
        <f>IF(OR($I676="Оплачено",$H676&lt;&gt;""),$P676,$Q676)</f>
        <v/>
      </c>
      <c r="T676">
        <f>IF(OR($C676="",$D676="Доход",$I676="Оплачено",$I676="Отменено",$H676&lt;&gt;"",$C676&lt;TODAY()),"",$C676)</f>
        <v/>
      </c>
      <c r="U676">
        <f>IF(AND($D676&lt;&gt;"Доход",COUNTIFS(Счета!$B$10:$B$21,$J676,Счета!$C$10:$C$21,"Кредитная")&gt;0),1,0)</f>
        <v/>
      </c>
    </row>
    <row r="677" ht="19" customHeight="1">
      <c r="B677" s="53">
        <f>IF(AND($C677="",$F677=""),"",ROW()-9)</f>
        <v/>
      </c>
      <c r="C677" s="213" t="n"/>
      <c r="D677" s="55" t="n"/>
      <c r="E677" s="55" t="n"/>
      <c r="F677" s="56" t="n"/>
      <c r="G677" s="196" t="n"/>
      <c r="H677" s="196" t="n"/>
      <c r="I677" s="55" t="n"/>
      <c r="J677" s="55" t="n"/>
      <c r="K677" s="55" t="n"/>
      <c r="L677" s="100">
        <f>IF(OR($C677="",$I677="Оплачено",$I677="Отменено",$H677&lt;&gt;""),"",$C677-TODAY())</f>
        <v/>
      </c>
      <c r="M677" s="101">
        <f>IF($C677="","",INDEX(Настройки!$V$6:$V$17,MONTH($C677))&amp;" "&amp;YEAR($C677))</f>
        <v/>
      </c>
      <c r="N677" s="57">
        <f>IF($F677="","",IF(COUNTIF(Постоянные!$C$8:$C$37,$F677)&gt;0,"есть в Постоянных",IF(COUNTIF(Покупки!$C$7:$C$18,$F677)&gt;0,"есть в Покупках","")))</f>
        <v/>
      </c>
      <c r="P677">
        <f>IF($H677&lt;&gt;"",$H677,IF($I677="Оплачено",N($G677),0))</f>
        <v/>
      </c>
      <c r="Q677">
        <f>IF($I677="Отменено",0,IF($G677&lt;&gt;"",$G677,N($H677)))</f>
        <v/>
      </c>
      <c r="R677">
        <f>IF($C677="","",IFERROR(DATE(Настройки!$C$8,Настройки!$D$9+MATCH($M677,Настройки!$X$6:$X$17,0)-1,1),DATE(YEAR($C677),MONTH($C677),1)))</f>
        <v/>
      </c>
      <c r="S677">
        <f>IF(OR($I677="Оплачено",$H677&lt;&gt;""),$P677,$Q677)</f>
        <v/>
      </c>
      <c r="T677">
        <f>IF(OR($C677="",$D677="Доход",$I677="Оплачено",$I677="Отменено",$H677&lt;&gt;"",$C677&lt;TODAY()),"",$C677)</f>
        <v/>
      </c>
      <c r="U677">
        <f>IF(AND($D677&lt;&gt;"Доход",COUNTIFS(Счета!$B$10:$B$21,$J677,Счета!$C$10:$C$21,"Кредитная")&gt;0),1,0)</f>
        <v/>
      </c>
    </row>
    <row r="678" ht="19" customHeight="1">
      <c r="B678" s="53">
        <f>IF(AND($C678="",$F678=""),"",ROW()-9)</f>
        <v/>
      </c>
      <c r="C678" s="213" t="n"/>
      <c r="D678" s="55" t="n"/>
      <c r="E678" s="55" t="n"/>
      <c r="F678" s="56" t="n"/>
      <c r="G678" s="196" t="n"/>
      <c r="H678" s="196" t="n"/>
      <c r="I678" s="55" t="n"/>
      <c r="J678" s="55" t="n"/>
      <c r="K678" s="55" t="n"/>
      <c r="L678" s="100">
        <f>IF(OR($C678="",$I678="Оплачено",$I678="Отменено",$H678&lt;&gt;""),"",$C678-TODAY())</f>
        <v/>
      </c>
      <c r="M678" s="101">
        <f>IF($C678="","",INDEX(Настройки!$V$6:$V$17,MONTH($C678))&amp;" "&amp;YEAR($C678))</f>
        <v/>
      </c>
      <c r="N678" s="57">
        <f>IF($F678="","",IF(COUNTIF(Постоянные!$C$8:$C$37,$F678)&gt;0,"есть в Постоянных",IF(COUNTIF(Покупки!$C$7:$C$18,$F678)&gt;0,"есть в Покупках","")))</f>
        <v/>
      </c>
      <c r="P678">
        <f>IF($H678&lt;&gt;"",$H678,IF($I678="Оплачено",N($G678),0))</f>
        <v/>
      </c>
      <c r="Q678">
        <f>IF($I678="Отменено",0,IF($G678&lt;&gt;"",$G678,N($H678)))</f>
        <v/>
      </c>
      <c r="R678">
        <f>IF($C678="","",IFERROR(DATE(Настройки!$C$8,Настройки!$D$9+MATCH($M678,Настройки!$X$6:$X$17,0)-1,1),DATE(YEAR($C678),MONTH($C678),1)))</f>
        <v/>
      </c>
      <c r="S678">
        <f>IF(OR($I678="Оплачено",$H678&lt;&gt;""),$P678,$Q678)</f>
        <v/>
      </c>
      <c r="T678">
        <f>IF(OR($C678="",$D678="Доход",$I678="Оплачено",$I678="Отменено",$H678&lt;&gt;"",$C678&lt;TODAY()),"",$C678)</f>
        <v/>
      </c>
      <c r="U678">
        <f>IF(AND($D678&lt;&gt;"Доход",COUNTIFS(Счета!$B$10:$B$21,$J678,Счета!$C$10:$C$21,"Кредитная")&gt;0),1,0)</f>
        <v/>
      </c>
    </row>
    <row r="679" ht="19" customHeight="1">
      <c r="B679" s="53">
        <f>IF(AND($C679="",$F679=""),"",ROW()-9)</f>
        <v/>
      </c>
      <c r="C679" s="213" t="n"/>
      <c r="D679" s="55" t="n"/>
      <c r="E679" s="55" t="n"/>
      <c r="F679" s="56" t="n"/>
      <c r="G679" s="196" t="n"/>
      <c r="H679" s="196" t="n"/>
      <c r="I679" s="55" t="n"/>
      <c r="J679" s="55" t="n"/>
      <c r="K679" s="55" t="n"/>
      <c r="L679" s="100">
        <f>IF(OR($C679="",$I679="Оплачено",$I679="Отменено",$H679&lt;&gt;""),"",$C679-TODAY())</f>
        <v/>
      </c>
      <c r="M679" s="101">
        <f>IF($C679="","",INDEX(Настройки!$V$6:$V$17,MONTH($C679))&amp;" "&amp;YEAR($C679))</f>
        <v/>
      </c>
      <c r="N679" s="57">
        <f>IF($F679="","",IF(COUNTIF(Постоянные!$C$8:$C$37,$F679)&gt;0,"есть в Постоянных",IF(COUNTIF(Покупки!$C$7:$C$18,$F679)&gt;0,"есть в Покупках","")))</f>
        <v/>
      </c>
      <c r="P679">
        <f>IF($H679&lt;&gt;"",$H679,IF($I679="Оплачено",N($G679),0))</f>
        <v/>
      </c>
      <c r="Q679">
        <f>IF($I679="Отменено",0,IF($G679&lt;&gt;"",$G679,N($H679)))</f>
        <v/>
      </c>
      <c r="R679">
        <f>IF($C679="","",IFERROR(DATE(Настройки!$C$8,Настройки!$D$9+MATCH($M679,Настройки!$X$6:$X$17,0)-1,1),DATE(YEAR($C679),MONTH($C679),1)))</f>
        <v/>
      </c>
      <c r="S679">
        <f>IF(OR($I679="Оплачено",$H679&lt;&gt;""),$P679,$Q679)</f>
        <v/>
      </c>
      <c r="T679">
        <f>IF(OR($C679="",$D679="Доход",$I679="Оплачено",$I679="Отменено",$H679&lt;&gt;"",$C679&lt;TODAY()),"",$C679)</f>
        <v/>
      </c>
      <c r="U679">
        <f>IF(AND($D679&lt;&gt;"Доход",COUNTIFS(Счета!$B$10:$B$21,$J679,Счета!$C$10:$C$21,"Кредитная")&gt;0),1,0)</f>
        <v/>
      </c>
    </row>
    <row r="680" ht="19" customHeight="1">
      <c r="B680" s="53">
        <f>IF(AND($C680="",$F680=""),"",ROW()-9)</f>
        <v/>
      </c>
      <c r="C680" s="213" t="n"/>
      <c r="D680" s="55" t="n"/>
      <c r="E680" s="55" t="n"/>
      <c r="F680" s="56" t="n"/>
      <c r="G680" s="196" t="n"/>
      <c r="H680" s="196" t="n"/>
      <c r="I680" s="55" t="n"/>
      <c r="J680" s="55" t="n"/>
      <c r="K680" s="55" t="n"/>
      <c r="L680" s="100">
        <f>IF(OR($C680="",$I680="Оплачено",$I680="Отменено",$H680&lt;&gt;""),"",$C680-TODAY())</f>
        <v/>
      </c>
      <c r="M680" s="101">
        <f>IF($C680="","",INDEX(Настройки!$V$6:$V$17,MONTH($C680))&amp;" "&amp;YEAR($C680))</f>
        <v/>
      </c>
      <c r="N680" s="57">
        <f>IF($F680="","",IF(COUNTIF(Постоянные!$C$8:$C$37,$F680)&gt;0,"есть в Постоянных",IF(COUNTIF(Покупки!$C$7:$C$18,$F680)&gt;0,"есть в Покупках","")))</f>
        <v/>
      </c>
      <c r="P680">
        <f>IF($H680&lt;&gt;"",$H680,IF($I680="Оплачено",N($G680),0))</f>
        <v/>
      </c>
      <c r="Q680">
        <f>IF($I680="Отменено",0,IF($G680&lt;&gt;"",$G680,N($H680)))</f>
        <v/>
      </c>
      <c r="R680">
        <f>IF($C680="","",IFERROR(DATE(Настройки!$C$8,Настройки!$D$9+MATCH($M680,Настройки!$X$6:$X$17,0)-1,1),DATE(YEAR($C680),MONTH($C680),1)))</f>
        <v/>
      </c>
      <c r="S680">
        <f>IF(OR($I680="Оплачено",$H680&lt;&gt;""),$P680,$Q680)</f>
        <v/>
      </c>
      <c r="T680">
        <f>IF(OR($C680="",$D680="Доход",$I680="Оплачено",$I680="Отменено",$H680&lt;&gt;"",$C680&lt;TODAY()),"",$C680)</f>
        <v/>
      </c>
      <c r="U680">
        <f>IF(AND($D680&lt;&gt;"Доход",COUNTIFS(Счета!$B$10:$B$21,$J680,Счета!$C$10:$C$21,"Кредитная")&gt;0),1,0)</f>
        <v/>
      </c>
    </row>
    <row r="681" ht="19" customHeight="1">
      <c r="B681" s="53">
        <f>IF(AND($C681="",$F681=""),"",ROW()-9)</f>
        <v/>
      </c>
      <c r="C681" s="213" t="n"/>
      <c r="D681" s="55" t="n"/>
      <c r="E681" s="55" t="n"/>
      <c r="F681" s="56" t="n"/>
      <c r="G681" s="196" t="n"/>
      <c r="H681" s="196" t="n"/>
      <c r="I681" s="55" t="n"/>
      <c r="J681" s="55" t="n"/>
      <c r="K681" s="55" t="n"/>
      <c r="L681" s="100">
        <f>IF(OR($C681="",$I681="Оплачено",$I681="Отменено",$H681&lt;&gt;""),"",$C681-TODAY())</f>
        <v/>
      </c>
      <c r="M681" s="101">
        <f>IF($C681="","",INDEX(Настройки!$V$6:$V$17,MONTH($C681))&amp;" "&amp;YEAR($C681))</f>
        <v/>
      </c>
      <c r="N681" s="57">
        <f>IF($F681="","",IF(COUNTIF(Постоянные!$C$8:$C$37,$F681)&gt;0,"есть в Постоянных",IF(COUNTIF(Покупки!$C$7:$C$18,$F681)&gt;0,"есть в Покупках","")))</f>
        <v/>
      </c>
      <c r="P681">
        <f>IF($H681&lt;&gt;"",$H681,IF($I681="Оплачено",N($G681),0))</f>
        <v/>
      </c>
      <c r="Q681">
        <f>IF($I681="Отменено",0,IF($G681&lt;&gt;"",$G681,N($H681)))</f>
        <v/>
      </c>
      <c r="R681">
        <f>IF($C681="","",IFERROR(DATE(Настройки!$C$8,Настройки!$D$9+MATCH($M681,Настройки!$X$6:$X$17,0)-1,1),DATE(YEAR($C681),MONTH($C681),1)))</f>
        <v/>
      </c>
      <c r="S681">
        <f>IF(OR($I681="Оплачено",$H681&lt;&gt;""),$P681,$Q681)</f>
        <v/>
      </c>
      <c r="T681">
        <f>IF(OR($C681="",$D681="Доход",$I681="Оплачено",$I681="Отменено",$H681&lt;&gt;"",$C681&lt;TODAY()),"",$C681)</f>
        <v/>
      </c>
      <c r="U681">
        <f>IF(AND($D681&lt;&gt;"Доход",COUNTIFS(Счета!$B$10:$B$21,$J681,Счета!$C$10:$C$21,"Кредитная")&gt;0),1,0)</f>
        <v/>
      </c>
    </row>
    <row r="682" ht="19" customHeight="1">
      <c r="B682" s="53">
        <f>IF(AND($C682="",$F682=""),"",ROW()-9)</f>
        <v/>
      </c>
      <c r="C682" s="213" t="n"/>
      <c r="D682" s="55" t="n"/>
      <c r="E682" s="55" t="n"/>
      <c r="F682" s="56" t="n"/>
      <c r="G682" s="196" t="n"/>
      <c r="H682" s="196" t="n"/>
      <c r="I682" s="55" t="n"/>
      <c r="J682" s="55" t="n"/>
      <c r="K682" s="55" t="n"/>
      <c r="L682" s="100">
        <f>IF(OR($C682="",$I682="Оплачено",$I682="Отменено",$H682&lt;&gt;""),"",$C682-TODAY())</f>
        <v/>
      </c>
      <c r="M682" s="101">
        <f>IF($C682="","",INDEX(Настройки!$V$6:$V$17,MONTH($C682))&amp;" "&amp;YEAR($C682))</f>
        <v/>
      </c>
      <c r="N682" s="57">
        <f>IF($F682="","",IF(COUNTIF(Постоянные!$C$8:$C$37,$F682)&gt;0,"есть в Постоянных",IF(COUNTIF(Покупки!$C$7:$C$18,$F682)&gt;0,"есть в Покупках","")))</f>
        <v/>
      </c>
      <c r="P682">
        <f>IF($H682&lt;&gt;"",$H682,IF($I682="Оплачено",N($G682),0))</f>
        <v/>
      </c>
      <c r="Q682">
        <f>IF($I682="Отменено",0,IF($G682&lt;&gt;"",$G682,N($H682)))</f>
        <v/>
      </c>
      <c r="R682">
        <f>IF($C682="","",IFERROR(DATE(Настройки!$C$8,Настройки!$D$9+MATCH($M682,Настройки!$X$6:$X$17,0)-1,1),DATE(YEAR($C682),MONTH($C682),1)))</f>
        <v/>
      </c>
      <c r="S682">
        <f>IF(OR($I682="Оплачено",$H682&lt;&gt;""),$P682,$Q682)</f>
        <v/>
      </c>
      <c r="T682">
        <f>IF(OR($C682="",$D682="Доход",$I682="Оплачено",$I682="Отменено",$H682&lt;&gt;"",$C682&lt;TODAY()),"",$C682)</f>
        <v/>
      </c>
      <c r="U682">
        <f>IF(AND($D682&lt;&gt;"Доход",COUNTIFS(Счета!$B$10:$B$21,$J682,Счета!$C$10:$C$21,"Кредитная")&gt;0),1,0)</f>
        <v/>
      </c>
    </row>
    <row r="683" ht="19" customHeight="1">
      <c r="B683" s="53">
        <f>IF(AND($C683="",$F683=""),"",ROW()-9)</f>
        <v/>
      </c>
      <c r="C683" s="213" t="n"/>
      <c r="D683" s="55" t="n"/>
      <c r="E683" s="55" t="n"/>
      <c r="F683" s="56" t="n"/>
      <c r="G683" s="196" t="n"/>
      <c r="H683" s="196" t="n"/>
      <c r="I683" s="55" t="n"/>
      <c r="J683" s="55" t="n"/>
      <c r="K683" s="55" t="n"/>
      <c r="L683" s="100">
        <f>IF(OR($C683="",$I683="Оплачено",$I683="Отменено",$H683&lt;&gt;""),"",$C683-TODAY())</f>
        <v/>
      </c>
      <c r="M683" s="101">
        <f>IF($C683="","",INDEX(Настройки!$V$6:$V$17,MONTH($C683))&amp;" "&amp;YEAR($C683))</f>
        <v/>
      </c>
      <c r="N683" s="57">
        <f>IF($F683="","",IF(COUNTIF(Постоянные!$C$8:$C$37,$F683)&gt;0,"есть в Постоянных",IF(COUNTIF(Покупки!$C$7:$C$18,$F683)&gt;0,"есть в Покупках","")))</f>
        <v/>
      </c>
      <c r="P683">
        <f>IF($H683&lt;&gt;"",$H683,IF($I683="Оплачено",N($G683),0))</f>
        <v/>
      </c>
      <c r="Q683">
        <f>IF($I683="Отменено",0,IF($G683&lt;&gt;"",$G683,N($H683)))</f>
        <v/>
      </c>
      <c r="R683">
        <f>IF($C683="","",IFERROR(DATE(Настройки!$C$8,Настройки!$D$9+MATCH($M683,Настройки!$X$6:$X$17,0)-1,1),DATE(YEAR($C683),MONTH($C683),1)))</f>
        <v/>
      </c>
      <c r="S683">
        <f>IF(OR($I683="Оплачено",$H683&lt;&gt;""),$P683,$Q683)</f>
        <v/>
      </c>
      <c r="T683">
        <f>IF(OR($C683="",$D683="Доход",$I683="Оплачено",$I683="Отменено",$H683&lt;&gt;"",$C683&lt;TODAY()),"",$C683)</f>
        <v/>
      </c>
      <c r="U683">
        <f>IF(AND($D683&lt;&gt;"Доход",COUNTIFS(Счета!$B$10:$B$21,$J683,Счета!$C$10:$C$21,"Кредитная")&gt;0),1,0)</f>
        <v/>
      </c>
    </row>
    <row r="684" ht="19" customHeight="1">
      <c r="B684" s="53">
        <f>IF(AND($C684="",$F684=""),"",ROW()-9)</f>
        <v/>
      </c>
      <c r="C684" s="213" t="n"/>
      <c r="D684" s="55" t="n"/>
      <c r="E684" s="55" t="n"/>
      <c r="F684" s="56" t="n"/>
      <c r="G684" s="196" t="n"/>
      <c r="H684" s="196" t="n"/>
      <c r="I684" s="55" t="n"/>
      <c r="J684" s="55" t="n"/>
      <c r="K684" s="55" t="n"/>
      <c r="L684" s="100">
        <f>IF(OR($C684="",$I684="Оплачено",$I684="Отменено",$H684&lt;&gt;""),"",$C684-TODAY())</f>
        <v/>
      </c>
      <c r="M684" s="101">
        <f>IF($C684="","",INDEX(Настройки!$V$6:$V$17,MONTH($C684))&amp;" "&amp;YEAR($C684))</f>
        <v/>
      </c>
      <c r="N684" s="57">
        <f>IF($F684="","",IF(COUNTIF(Постоянные!$C$8:$C$37,$F684)&gt;0,"есть в Постоянных",IF(COUNTIF(Покупки!$C$7:$C$18,$F684)&gt;0,"есть в Покупках","")))</f>
        <v/>
      </c>
      <c r="P684">
        <f>IF($H684&lt;&gt;"",$H684,IF($I684="Оплачено",N($G684),0))</f>
        <v/>
      </c>
      <c r="Q684">
        <f>IF($I684="Отменено",0,IF($G684&lt;&gt;"",$G684,N($H684)))</f>
        <v/>
      </c>
      <c r="R684">
        <f>IF($C684="","",IFERROR(DATE(Настройки!$C$8,Настройки!$D$9+MATCH($M684,Настройки!$X$6:$X$17,0)-1,1),DATE(YEAR($C684),MONTH($C684),1)))</f>
        <v/>
      </c>
      <c r="S684">
        <f>IF(OR($I684="Оплачено",$H684&lt;&gt;""),$P684,$Q684)</f>
        <v/>
      </c>
      <c r="T684">
        <f>IF(OR($C684="",$D684="Доход",$I684="Оплачено",$I684="Отменено",$H684&lt;&gt;"",$C684&lt;TODAY()),"",$C684)</f>
        <v/>
      </c>
      <c r="U684">
        <f>IF(AND($D684&lt;&gt;"Доход",COUNTIFS(Счета!$B$10:$B$21,$J684,Счета!$C$10:$C$21,"Кредитная")&gt;0),1,0)</f>
        <v/>
      </c>
    </row>
    <row r="685" ht="19" customHeight="1">
      <c r="B685" s="53">
        <f>IF(AND($C685="",$F685=""),"",ROW()-9)</f>
        <v/>
      </c>
      <c r="C685" s="213" t="n"/>
      <c r="D685" s="55" t="n"/>
      <c r="E685" s="55" t="n"/>
      <c r="F685" s="56" t="n"/>
      <c r="G685" s="196" t="n"/>
      <c r="H685" s="196" t="n"/>
      <c r="I685" s="55" t="n"/>
      <c r="J685" s="55" t="n"/>
      <c r="K685" s="55" t="n"/>
      <c r="L685" s="100">
        <f>IF(OR($C685="",$I685="Оплачено",$I685="Отменено",$H685&lt;&gt;""),"",$C685-TODAY())</f>
        <v/>
      </c>
      <c r="M685" s="101">
        <f>IF($C685="","",INDEX(Настройки!$V$6:$V$17,MONTH($C685))&amp;" "&amp;YEAR($C685))</f>
        <v/>
      </c>
      <c r="N685" s="57">
        <f>IF($F685="","",IF(COUNTIF(Постоянные!$C$8:$C$37,$F685)&gt;0,"есть в Постоянных",IF(COUNTIF(Покупки!$C$7:$C$18,$F685)&gt;0,"есть в Покупках","")))</f>
        <v/>
      </c>
      <c r="P685">
        <f>IF($H685&lt;&gt;"",$H685,IF($I685="Оплачено",N($G685),0))</f>
        <v/>
      </c>
      <c r="Q685">
        <f>IF($I685="Отменено",0,IF($G685&lt;&gt;"",$G685,N($H685)))</f>
        <v/>
      </c>
      <c r="R685">
        <f>IF($C685="","",IFERROR(DATE(Настройки!$C$8,Настройки!$D$9+MATCH($M685,Настройки!$X$6:$X$17,0)-1,1),DATE(YEAR($C685),MONTH($C685),1)))</f>
        <v/>
      </c>
      <c r="S685">
        <f>IF(OR($I685="Оплачено",$H685&lt;&gt;""),$P685,$Q685)</f>
        <v/>
      </c>
      <c r="T685">
        <f>IF(OR($C685="",$D685="Доход",$I685="Оплачено",$I685="Отменено",$H685&lt;&gt;"",$C685&lt;TODAY()),"",$C685)</f>
        <v/>
      </c>
      <c r="U685">
        <f>IF(AND($D685&lt;&gt;"Доход",COUNTIFS(Счета!$B$10:$B$21,$J685,Счета!$C$10:$C$21,"Кредитная")&gt;0),1,0)</f>
        <v/>
      </c>
    </row>
    <row r="686" ht="19" customHeight="1">
      <c r="B686" s="53">
        <f>IF(AND($C686="",$F686=""),"",ROW()-9)</f>
        <v/>
      </c>
      <c r="C686" s="213" t="n"/>
      <c r="D686" s="55" t="n"/>
      <c r="E686" s="55" t="n"/>
      <c r="F686" s="56" t="n"/>
      <c r="G686" s="196" t="n"/>
      <c r="H686" s="196" t="n"/>
      <c r="I686" s="55" t="n"/>
      <c r="J686" s="55" t="n"/>
      <c r="K686" s="55" t="n"/>
      <c r="L686" s="100">
        <f>IF(OR($C686="",$I686="Оплачено",$I686="Отменено",$H686&lt;&gt;""),"",$C686-TODAY())</f>
        <v/>
      </c>
      <c r="M686" s="101">
        <f>IF($C686="","",INDEX(Настройки!$V$6:$V$17,MONTH($C686))&amp;" "&amp;YEAR($C686))</f>
        <v/>
      </c>
      <c r="N686" s="57">
        <f>IF($F686="","",IF(COUNTIF(Постоянные!$C$8:$C$37,$F686)&gt;0,"есть в Постоянных",IF(COUNTIF(Покупки!$C$7:$C$18,$F686)&gt;0,"есть в Покупках","")))</f>
        <v/>
      </c>
      <c r="P686">
        <f>IF($H686&lt;&gt;"",$H686,IF($I686="Оплачено",N($G686),0))</f>
        <v/>
      </c>
      <c r="Q686">
        <f>IF($I686="Отменено",0,IF($G686&lt;&gt;"",$G686,N($H686)))</f>
        <v/>
      </c>
      <c r="R686">
        <f>IF($C686="","",IFERROR(DATE(Настройки!$C$8,Настройки!$D$9+MATCH($M686,Настройки!$X$6:$X$17,0)-1,1),DATE(YEAR($C686),MONTH($C686),1)))</f>
        <v/>
      </c>
      <c r="S686">
        <f>IF(OR($I686="Оплачено",$H686&lt;&gt;""),$P686,$Q686)</f>
        <v/>
      </c>
      <c r="T686">
        <f>IF(OR($C686="",$D686="Доход",$I686="Оплачено",$I686="Отменено",$H686&lt;&gt;"",$C686&lt;TODAY()),"",$C686)</f>
        <v/>
      </c>
      <c r="U686">
        <f>IF(AND($D686&lt;&gt;"Доход",COUNTIFS(Счета!$B$10:$B$21,$J686,Счета!$C$10:$C$21,"Кредитная")&gt;0),1,0)</f>
        <v/>
      </c>
    </row>
    <row r="687" ht="19" customHeight="1">
      <c r="B687" s="53">
        <f>IF(AND($C687="",$F687=""),"",ROW()-9)</f>
        <v/>
      </c>
      <c r="C687" s="213" t="n"/>
      <c r="D687" s="55" t="n"/>
      <c r="E687" s="55" t="n"/>
      <c r="F687" s="56" t="n"/>
      <c r="G687" s="196" t="n"/>
      <c r="H687" s="196" t="n"/>
      <c r="I687" s="55" t="n"/>
      <c r="J687" s="55" t="n"/>
      <c r="K687" s="55" t="n"/>
      <c r="L687" s="100">
        <f>IF(OR($C687="",$I687="Оплачено",$I687="Отменено",$H687&lt;&gt;""),"",$C687-TODAY())</f>
        <v/>
      </c>
      <c r="M687" s="101">
        <f>IF($C687="","",INDEX(Настройки!$V$6:$V$17,MONTH($C687))&amp;" "&amp;YEAR($C687))</f>
        <v/>
      </c>
      <c r="N687" s="57">
        <f>IF($F687="","",IF(COUNTIF(Постоянные!$C$8:$C$37,$F687)&gt;0,"есть в Постоянных",IF(COUNTIF(Покупки!$C$7:$C$18,$F687)&gt;0,"есть в Покупках","")))</f>
        <v/>
      </c>
      <c r="P687">
        <f>IF($H687&lt;&gt;"",$H687,IF($I687="Оплачено",N($G687),0))</f>
        <v/>
      </c>
      <c r="Q687">
        <f>IF($I687="Отменено",0,IF($G687&lt;&gt;"",$G687,N($H687)))</f>
        <v/>
      </c>
      <c r="R687">
        <f>IF($C687="","",IFERROR(DATE(Настройки!$C$8,Настройки!$D$9+MATCH($M687,Настройки!$X$6:$X$17,0)-1,1),DATE(YEAR($C687),MONTH($C687),1)))</f>
        <v/>
      </c>
      <c r="S687">
        <f>IF(OR($I687="Оплачено",$H687&lt;&gt;""),$P687,$Q687)</f>
        <v/>
      </c>
      <c r="T687">
        <f>IF(OR($C687="",$D687="Доход",$I687="Оплачено",$I687="Отменено",$H687&lt;&gt;"",$C687&lt;TODAY()),"",$C687)</f>
        <v/>
      </c>
      <c r="U687">
        <f>IF(AND($D687&lt;&gt;"Доход",COUNTIFS(Счета!$B$10:$B$21,$J687,Счета!$C$10:$C$21,"Кредитная")&gt;0),1,0)</f>
        <v/>
      </c>
    </row>
    <row r="688" ht="19" customHeight="1">
      <c r="B688" s="53">
        <f>IF(AND($C688="",$F688=""),"",ROW()-9)</f>
        <v/>
      </c>
      <c r="C688" s="213" t="n"/>
      <c r="D688" s="55" t="n"/>
      <c r="E688" s="55" t="n"/>
      <c r="F688" s="56" t="n"/>
      <c r="G688" s="196" t="n"/>
      <c r="H688" s="196" t="n"/>
      <c r="I688" s="55" t="n"/>
      <c r="J688" s="55" t="n"/>
      <c r="K688" s="55" t="n"/>
      <c r="L688" s="100">
        <f>IF(OR($C688="",$I688="Оплачено",$I688="Отменено",$H688&lt;&gt;""),"",$C688-TODAY())</f>
        <v/>
      </c>
      <c r="M688" s="101">
        <f>IF($C688="","",INDEX(Настройки!$V$6:$V$17,MONTH($C688))&amp;" "&amp;YEAR($C688))</f>
        <v/>
      </c>
      <c r="N688" s="57">
        <f>IF($F688="","",IF(COUNTIF(Постоянные!$C$8:$C$37,$F688)&gt;0,"есть в Постоянных",IF(COUNTIF(Покупки!$C$7:$C$18,$F688)&gt;0,"есть в Покупках","")))</f>
        <v/>
      </c>
      <c r="P688">
        <f>IF($H688&lt;&gt;"",$H688,IF($I688="Оплачено",N($G688),0))</f>
        <v/>
      </c>
      <c r="Q688">
        <f>IF($I688="Отменено",0,IF($G688&lt;&gt;"",$G688,N($H688)))</f>
        <v/>
      </c>
      <c r="R688">
        <f>IF($C688="","",IFERROR(DATE(Настройки!$C$8,Настройки!$D$9+MATCH($M688,Настройки!$X$6:$X$17,0)-1,1),DATE(YEAR($C688),MONTH($C688),1)))</f>
        <v/>
      </c>
      <c r="S688">
        <f>IF(OR($I688="Оплачено",$H688&lt;&gt;""),$P688,$Q688)</f>
        <v/>
      </c>
      <c r="T688">
        <f>IF(OR($C688="",$D688="Доход",$I688="Оплачено",$I688="Отменено",$H688&lt;&gt;"",$C688&lt;TODAY()),"",$C688)</f>
        <v/>
      </c>
      <c r="U688">
        <f>IF(AND($D688&lt;&gt;"Доход",COUNTIFS(Счета!$B$10:$B$21,$J688,Счета!$C$10:$C$21,"Кредитная")&gt;0),1,0)</f>
        <v/>
      </c>
    </row>
    <row r="689" ht="19" customHeight="1">
      <c r="B689" s="53">
        <f>IF(AND($C689="",$F689=""),"",ROW()-9)</f>
        <v/>
      </c>
      <c r="C689" s="213" t="n"/>
      <c r="D689" s="55" t="n"/>
      <c r="E689" s="55" t="n"/>
      <c r="F689" s="56" t="n"/>
      <c r="G689" s="196" t="n"/>
      <c r="H689" s="196" t="n"/>
      <c r="I689" s="55" t="n"/>
      <c r="J689" s="55" t="n"/>
      <c r="K689" s="55" t="n"/>
      <c r="L689" s="100">
        <f>IF(OR($C689="",$I689="Оплачено",$I689="Отменено",$H689&lt;&gt;""),"",$C689-TODAY())</f>
        <v/>
      </c>
      <c r="M689" s="101">
        <f>IF($C689="","",INDEX(Настройки!$V$6:$V$17,MONTH($C689))&amp;" "&amp;YEAR($C689))</f>
        <v/>
      </c>
      <c r="N689" s="57">
        <f>IF($F689="","",IF(COUNTIF(Постоянные!$C$8:$C$37,$F689)&gt;0,"есть в Постоянных",IF(COUNTIF(Покупки!$C$7:$C$18,$F689)&gt;0,"есть в Покупках","")))</f>
        <v/>
      </c>
      <c r="P689">
        <f>IF($H689&lt;&gt;"",$H689,IF($I689="Оплачено",N($G689),0))</f>
        <v/>
      </c>
      <c r="Q689">
        <f>IF($I689="Отменено",0,IF($G689&lt;&gt;"",$G689,N($H689)))</f>
        <v/>
      </c>
      <c r="R689">
        <f>IF($C689="","",IFERROR(DATE(Настройки!$C$8,Настройки!$D$9+MATCH($M689,Настройки!$X$6:$X$17,0)-1,1),DATE(YEAR($C689),MONTH($C689),1)))</f>
        <v/>
      </c>
      <c r="S689">
        <f>IF(OR($I689="Оплачено",$H689&lt;&gt;""),$P689,$Q689)</f>
        <v/>
      </c>
      <c r="T689">
        <f>IF(OR($C689="",$D689="Доход",$I689="Оплачено",$I689="Отменено",$H689&lt;&gt;"",$C689&lt;TODAY()),"",$C689)</f>
        <v/>
      </c>
      <c r="U689">
        <f>IF(AND($D689&lt;&gt;"Доход",COUNTIFS(Счета!$B$10:$B$21,$J689,Счета!$C$10:$C$21,"Кредитная")&gt;0),1,0)</f>
        <v/>
      </c>
    </row>
    <row r="690" ht="19" customHeight="1">
      <c r="B690" s="53">
        <f>IF(AND($C690="",$F690=""),"",ROW()-9)</f>
        <v/>
      </c>
      <c r="C690" s="213" t="n"/>
      <c r="D690" s="55" t="n"/>
      <c r="E690" s="55" t="n"/>
      <c r="F690" s="56" t="n"/>
      <c r="G690" s="196" t="n"/>
      <c r="H690" s="196" t="n"/>
      <c r="I690" s="55" t="n"/>
      <c r="J690" s="55" t="n"/>
      <c r="K690" s="55" t="n"/>
      <c r="L690" s="100">
        <f>IF(OR($C690="",$I690="Оплачено",$I690="Отменено",$H690&lt;&gt;""),"",$C690-TODAY())</f>
        <v/>
      </c>
      <c r="M690" s="101">
        <f>IF($C690="","",INDEX(Настройки!$V$6:$V$17,MONTH($C690))&amp;" "&amp;YEAR($C690))</f>
        <v/>
      </c>
      <c r="N690" s="57">
        <f>IF($F690="","",IF(COUNTIF(Постоянные!$C$8:$C$37,$F690)&gt;0,"есть в Постоянных",IF(COUNTIF(Покупки!$C$7:$C$18,$F690)&gt;0,"есть в Покупках","")))</f>
        <v/>
      </c>
      <c r="P690">
        <f>IF($H690&lt;&gt;"",$H690,IF($I690="Оплачено",N($G690),0))</f>
        <v/>
      </c>
      <c r="Q690">
        <f>IF($I690="Отменено",0,IF($G690&lt;&gt;"",$G690,N($H690)))</f>
        <v/>
      </c>
      <c r="R690">
        <f>IF($C690="","",IFERROR(DATE(Настройки!$C$8,Настройки!$D$9+MATCH($M690,Настройки!$X$6:$X$17,0)-1,1),DATE(YEAR($C690),MONTH($C690),1)))</f>
        <v/>
      </c>
      <c r="S690">
        <f>IF(OR($I690="Оплачено",$H690&lt;&gt;""),$P690,$Q690)</f>
        <v/>
      </c>
      <c r="T690">
        <f>IF(OR($C690="",$D690="Доход",$I690="Оплачено",$I690="Отменено",$H690&lt;&gt;"",$C690&lt;TODAY()),"",$C690)</f>
        <v/>
      </c>
      <c r="U690">
        <f>IF(AND($D690&lt;&gt;"Доход",COUNTIFS(Счета!$B$10:$B$21,$J690,Счета!$C$10:$C$21,"Кредитная")&gt;0),1,0)</f>
        <v/>
      </c>
    </row>
    <row r="691" ht="19" customHeight="1">
      <c r="B691" s="53">
        <f>IF(AND($C691="",$F691=""),"",ROW()-9)</f>
        <v/>
      </c>
      <c r="C691" s="213" t="n"/>
      <c r="D691" s="55" t="n"/>
      <c r="E691" s="55" t="n"/>
      <c r="F691" s="56" t="n"/>
      <c r="G691" s="196" t="n"/>
      <c r="H691" s="196" t="n"/>
      <c r="I691" s="55" t="n"/>
      <c r="J691" s="55" t="n"/>
      <c r="K691" s="55" t="n"/>
      <c r="L691" s="100">
        <f>IF(OR($C691="",$I691="Оплачено",$I691="Отменено",$H691&lt;&gt;""),"",$C691-TODAY())</f>
        <v/>
      </c>
      <c r="M691" s="101">
        <f>IF($C691="","",INDEX(Настройки!$V$6:$V$17,MONTH($C691))&amp;" "&amp;YEAR($C691))</f>
        <v/>
      </c>
      <c r="N691" s="57">
        <f>IF($F691="","",IF(COUNTIF(Постоянные!$C$8:$C$37,$F691)&gt;0,"есть в Постоянных",IF(COUNTIF(Покупки!$C$7:$C$18,$F691)&gt;0,"есть в Покупках","")))</f>
        <v/>
      </c>
      <c r="P691">
        <f>IF($H691&lt;&gt;"",$H691,IF($I691="Оплачено",N($G691),0))</f>
        <v/>
      </c>
      <c r="Q691">
        <f>IF($I691="Отменено",0,IF($G691&lt;&gt;"",$G691,N($H691)))</f>
        <v/>
      </c>
      <c r="R691">
        <f>IF($C691="","",IFERROR(DATE(Настройки!$C$8,Настройки!$D$9+MATCH($M691,Настройки!$X$6:$X$17,0)-1,1),DATE(YEAR($C691),MONTH($C691),1)))</f>
        <v/>
      </c>
      <c r="S691">
        <f>IF(OR($I691="Оплачено",$H691&lt;&gt;""),$P691,$Q691)</f>
        <v/>
      </c>
      <c r="T691">
        <f>IF(OR($C691="",$D691="Доход",$I691="Оплачено",$I691="Отменено",$H691&lt;&gt;"",$C691&lt;TODAY()),"",$C691)</f>
        <v/>
      </c>
      <c r="U691">
        <f>IF(AND($D691&lt;&gt;"Доход",COUNTIFS(Счета!$B$10:$B$21,$J691,Счета!$C$10:$C$21,"Кредитная")&gt;0),1,0)</f>
        <v/>
      </c>
    </row>
    <row r="692" ht="19" customHeight="1">
      <c r="B692" s="53">
        <f>IF(AND($C692="",$F692=""),"",ROW()-9)</f>
        <v/>
      </c>
      <c r="C692" s="213" t="n"/>
      <c r="D692" s="55" t="n"/>
      <c r="E692" s="55" t="n"/>
      <c r="F692" s="56" t="n"/>
      <c r="G692" s="196" t="n"/>
      <c r="H692" s="196" t="n"/>
      <c r="I692" s="55" t="n"/>
      <c r="J692" s="55" t="n"/>
      <c r="K692" s="55" t="n"/>
      <c r="L692" s="100">
        <f>IF(OR($C692="",$I692="Оплачено",$I692="Отменено",$H692&lt;&gt;""),"",$C692-TODAY())</f>
        <v/>
      </c>
      <c r="M692" s="101">
        <f>IF($C692="","",INDEX(Настройки!$V$6:$V$17,MONTH($C692))&amp;" "&amp;YEAR($C692))</f>
        <v/>
      </c>
      <c r="N692" s="57">
        <f>IF($F692="","",IF(COUNTIF(Постоянные!$C$8:$C$37,$F692)&gt;0,"есть в Постоянных",IF(COUNTIF(Покупки!$C$7:$C$18,$F692)&gt;0,"есть в Покупках","")))</f>
        <v/>
      </c>
      <c r="P692">
        <f>IF($H692&lt;&gt;"",$H692,IF($I692="Оплачено",N($G692),0))</f>
        <v/>
      </c>
      <c r="Q692">
        <f>IF($I692="Отменено",0,IF($G692&lt;&gt;"",$G692,N($H692)))</f>
        <v/>
      </c>
      <c r="R692">
        <f>IF($C692="","",IFERROR(DATE(Настройки!$C$8,Настройки!$D$9+MATCH($M692,Настройки!$X$6:$X$17,0)-1,1),DATE(YEAR($C692),MONTH($C692),1)))</f>
        <v/>
      </c>
      <c r="S692">
        <f>IF(OR($I692="Оплачено",$H692&lt;&gt;""),$P692,$Q692)</f>
        <v/>
      </c>
      <c r="T692">
        <f>IF(OR($C692="",$D692="Доход",$I692="Оплачено",$I692="Отменено",$H692&lt;&gt;"",$C692&lt;TODAY()),"",$C692)</f>
        <v/>
      </c>
      <c r="U692">
        <f>IF(AND($D692&lt;&gt;"Доход",COUNTIFS(Счета!$B$10:$B$21,$J692,Счета!$C$10:$C$21,"Кредитная")&gt;0),1,0)</f>
        <v/>
      </c>
    </row>
    <row r="693" ht="19" customHeight="1">
      <c r="B693" s="53">
        <f>IF(AND($C693="",$F693=""),"",ROW()-9)</f>
        <v/>
      </c>
      <c r="C693" s="213" t="n"/>
      <c r="D693" s="55" t="n"/>
      <c r="E693" s="55" t="n"/>
      <c r="F693" s="56" t="n"/>
      <c r="G693" s="196" t="n"/>
      <c r="H693" s="196" t="n"/>
      <c r="I693" s="55" t="n"/>
      <c r="J693" s="55" t="n"/>
      <c r="K693" s="55" t="n"/>
      <c r="L693" s="100">
        <f>IF(OR($C693="",$I693="Оплачено",$I693="Отменено",$H693&lt;&gt;""),"",$C693-TODAY())</f>
        <v/>
      </c>
      <c r="M693" s="101">
        <f>IF($C693="","",INDEX(Настройки!$V$6:$V$17,MONTH($C693))&amp;" "&amp;YEAR($C693))</f>
        <v/>
      </c>
      <c r="N693" s="57">
        <f>IF($F693="","",IF(COUNTIF(Постоянные!$C$8:$C$37,$F693)&gt;0,"есть в Постоянных",IF(COUNTIF(Покупки!$C$7:$C$18,$F693)&gt;0,"есть в Покупках","")))</f>
        <v/>
      </c>
      <c r="P693">
        <f>IF($H693&lt;&gt;"",$H693,IF($I693="Оплачено",N($G693),0))</f>
        <v/>
      </c>
      <c r="Q693">
        <f>IF($I693="Отменено",0,IF($G693&lt;&gt;"",$G693,N($H693)))</f>
        <v/>
      </c>
      <c r="R693">
        <f>IF($C693="","",IFERROR(DATE(Настройки!$C$8,Настройки!$D$9+MATCH($M693,Настройки!$X$6:$X$17,0)-1,1),DATE(YEAR($C693),MONTH($C693),1)))</f>
        <v/>
      </c>
      <c r="S693">
        <f>IF(OR($I693="Оплачено",$H693&lt;&gt;""),$P693,$Q693)</f>
        <v/>
      </c>
      <c r="T693">
        <f>IF(OR($C693="",$D693="Доход",$I693="Оплачено",$I693="Отменено",$H693&lt;&gt;"",$C693&lt;TODAY()),"",$C693)</f>
        <v/>
      </c>
      <c r="U693">
        <f>IF(AND($D693&lt;&gt;"Доход",COUNTIFS(Счета!$B$10:$B$21,$J693,Счета!$C$10:$C$21,"Кредитная")&gt;0),1,0)</f>
        <v/>
      </c>
    </row>
    <row r="694" ht="19" customHeight="1">
      <c r="B694" s="53">
        <f>IF(AND($C694="",$F694=""),"",ROW()-9)</f>
        <v/>
      </c>
      <c r="C694" s="213" t="n"/>
      <c r="D694" s="55" t="n"/>
      <c r="E694" s="55" t="n"/>
      <c r="F694" s="56" t="n"/>
      <c r="G694" s="196" t="n"/>
      <c r="H694" s="196" t="n"/>
      <c r="I694" s="55" t="n"/>
      <c r="J694" s="55" t="n"/>
      <c r="K694" s="55" t="n"/>
      <c r="L694" s="100">
        <f>IF(OR($C694="",$I694="Оплачено",$I694="Отменено",$H694&lt;&gt;""),"",$C694-TODAY())</f>
        <v/>
      </c>
      <c r="M694" s="101">
        <f>IF($C694="","",INDEX(Настройки!$V$6:$V$17,MONTH($C694))&amp;" "&amp;YEAR($C694))</f>
        <v/>
      </c>
      <c r="N694" s="57">
        <f>IF($F694="","",IF(COUNTIF(Постоянные!$C$8:$C$37,$F694)&gt;0,"есть в Постоянных",IF(COUNTIF(Покупки!$C$7:$C$18,$F694)&gt;0,"есть в Покупках","")))</f>
        <v/>
      </c>
      <c r="P694">
        <f>IF($H694&lt;&gt;"",$H694,IF($I694="Оплачено",N($G694),0))</f>
        <v/>
      </c>
      <c r="Q694">
        <f>IF($I694="Отменено",0,IF($G694&lt;&gt;"",$G694,N($H694)))</f>
        <v/>
      </c>
      <c r="R694">
        <f>IF($C694="","",IFERROR(DATE(Настройки!$C$8,Настройки!$D$9+MATCH($M694,Настройки!$X$6:$X$17,0)-1,1),DATE(YEAR($C694),MONTH($C694),1)))</f>
        <v/>
      </c>
      <c r="S694">
        <f>IF(OR($I694="Оплачено",$H694&lt;&gt;""),$P694,$Q694)</f>
        <v/>
      </c>
      <c r="T694">
        <f>IF(OR($C694="",$D694="Доход",$I694="Оплачено",$I694="Отменено",$H694&lt;&gt;"",$C694&lt;TODAY()),"",$C694)</f>
        <v/>
      </c>
      <c r="U694">
        <f>IF(AND($D694&lt;&gt;"Доход",COUNTIFS(Счета!$B$10:$B$21,$J694,Счета!$C$10:$C$21,"Кредитная")&gt;0),1,0)</f>
        <v/>
      </c>
    </row>
    <row r="695" ht="19" customHeight="1">
      <c r="B695" s="53">
        <f>IF(AND($C695="",$F695=""),"",ROW()-9)</f>
        <v/>
      </c>
      <c r="C695" s="213" t="n"/>
      <c r="D695" s="55" t="n"/>
      <c r="E695" s="55" t="n"/>
      <c r="F695" s="56" t="n"/>
      <c r="G695" s="196" t="n"/>
      <c r="H695" s="196" t="n"/>
      <c r="I695" s="55" t="n"/>
      <c r="J695" s="55" t="n"/>
      <c r="K695" s="55" t="n"/>
      <c r="L695" s="100">
        <f>IF(OR($C695="",$I695="Оплачено",$I695="Отменено",$H695&lt;&gt;""),"",$C695-TODAY())</f>
        <v/>
      </c>
      <c r="M695" s="101">
        <f>IF($C695="","",INDEX(Настройки!$V$6:$V$17,MONTH($C695))&amp;" "&amp;YEAR($C695))</f>
        <v/>
      </c>
      <c r="N695" s="57">
        <f>IF($F695="","",IF(COUNTIF(Постоянные!$C$8:$C$37,$F695)&gt;0,"есть в Постоянных",IF(COUNTIF(Покупки!$C$7:$C$18,$F695)&gt;0,"есть в Покупках","")))</f>
        <v/>
      </c>
      <c r="P695">
        <f>IF($H695&lt;&gt;"",$H695,IF($I695="Оплачено",N($G695),0))</f>
        <v/>
      </c>
      <c r="Q695">
        <f>IF($I695="Отменено",0,IF($G695&lt;&gt;"",$G695,N($H695)))</f>
        <v/>
      </c>
      <c r="R695">
        <f>IF($C695="","",IFERROR(DATE(Настройки!$C$8,Настройки!$D$9+MATCH($M695,Настройки!$X$6:$X$17,0)-1,1),DATE(YEAR($C695),MONTH($C695),1)))</f>
        <v/>
      </c>
      <c r="S695">
        <f>IF(OR($I695="Оплачено",$H695&lt;&gt;""),$P695,$Q695)</f>
        <v/>
      </c>
      <c r="T695">
        <f>IF(OR($C695="",$D695="Доход",$I695="Оплачено",$I695="Отменено",$H695&lt;&gt;"",$C695&lt;TODAY()),"",$C695)</f>
        <v/>
      </c>
      <c r="U695">
        <f>IF(AND($D695&lt;&gt;"Доход",COUNTIFS(Счета!$B$10:$B$21,$J695,Счета!$C$10:$C$21,"Кредитная")&gt;0),1,0)</f>
        <v/>
      </c>
    </row>
    <row r="696" ht="19" customHeight="1">
      <c r="B696" s="53">
        <f>IF(AND($C696="",$F696=""),"",ROW()-9)</f>
        <v/>
      </c>
      <c r="C696" s="213" t="n"/>
      <c r="D696" s="55" t="n"/>
      <c r="E696" s="55" t="n"/>
      <c r="F696" s="56" t="n"/>
      <c r="G696" s="196" t="n"/>
      <c r="H696" s="196" t="n"/>
      <c r="I696" s="55" t="n"/>
      <c r="J696" s="55" t="n"/>
      <c r="K696" s="55" t="n"/>
      <c r="L696" s="100">
        <f>IF(OR($C696="",$I696="Оплачено",$I696="Отменено",$H696&lt;&gt;""),"",$C696-TODAY())</f>
        <v/>
      </c>
      <c r="M696" s="101">
        <f>IF($C696="","",INDEX(Настройки!$V$6:$V$17,MONTH($C696))&amp;" "&amp;YEAR($C696))</f>
        <v/>
      </c>
      <c r="N696" s="57">
        <f>IF($F696="","",IF(COUNTIF(Постоянные!$C$8:$C$37,$F696)&gt;0,"есть в Постоянных",IF(COUNTIF(Покупки!$C$7:$C$18,$F696)&gt;0,"есть в Покупках","")))</f>
        <v/>
      </c>
      <c r="P696">
        <f>IF($H696&lt;&gt;"",$H696,IF($I696="Оплачено",N($G696),0))</f>
        <v/>
      </c>
      <c r="Q696">
        <f>IF($I696="Отменено",0,IF($G696&lt;&gt;"",$G696,N($H696)))</f>
        <v/>
      </c>
      <c r="R696">
        <f>IF($C696="","",IFERROR(DATE(Настройки!$C$8,Настройки!$D$9+MATCH($M696,Настройки!$X$6:$X$17,0)-1,1),DATE(YEAR($C696),MONTH($C696),1)))</f>
        <v/>
      </c>
      <c r="S696">
        <f>IF(OR($I696="Оплачено",$H696&lt;&gt;""),$P696,$Q696)</f>
        <v/>
      </c>
      <c r="T696">
        <f>IF(OR($C696="",$D696="Доход",$I696="Оплачено",$I696="Отменено",$H696&lt;&gt;"",$C696&lt;TODAY()),"",$C696)</f>
        <v/>
      </c>
      <c r="U696">
        <f>IF(AND($D696&lt;&gt;"Доход",COUNTIFS(Счета!$B$10:$B$21,$J696,Счета!$C$10:$C$21,"Кредитная")&gt;0),1,0)</f>
        <v/>
      </c>
    </row>
    <row r="697" ht="19" customHeight="1">
      <c r="B697" s="53">
        <f>IF(AND($C697="",$F697=""),"",ROW()-9)</f>
        <v/>
      </c>
      <c r="C697" s="213" t="n"/>
      <c r="D697" s="55" t="n"/>
      <c r="E697" s="55" t="n"/>
      <c r="F697" s="56" t="n"/>
      <c r="G697" s="196" t="n"/>
      <c r="H697" s="196" t="n"/>
      <c r="I697" s="55" t="n"/>
      <c r="J697" s="55" t="n"/>
      <c r="K697" s="55" t="n"/>
      <c r="L697" s="100">
        <f>IF(OR($C697="",$I697="Оплачено",$I697="Отменено",$H697&lt;&gt;""),"",$C697-TODAY())</f>
        <v/>
      </c>
      <c r="M697" s="101">
        <f>IF($C697="","",INDEX(Настройки!$V$6:$V$17,MONTH($C697))&amp;" "&amp;YEAR($C697))</f>
        <v/>
      </c>
      <c r="N697" s="57">
        <f>IF($F697="","",IF(COUNTIF(Постоянные!$C$8:$C$37,$F697)&gt;0,"есть в Постоянных",IF(COUNTIF(Покупки!$C$7:$C$18,$F697)&gt;0,"есть в Покупках","")))</f>
        <v/>
      </c>
      <c r="P697">
        <f>IF($H697&lt;&gt;"",$H697,IF($I697="Оплачено",N($G697),0))</f>
        <v/>
      </c>
      <c r="Q697">
        <f>IF($I697="Отменено",0,IF($G697&lt;&gt;"",$G697,N($H697)))</f>
        <v/>
      </c>
      <c r="R697">
        <f>IF($C697="","",IFERROR(DATE(Настройки!$C$8,Настройки!$D$9+MATCH($M697,Настройки!$X$6:$X$17,0)-1,1),DATE(YEAR($C697),MONTH($C697),1)))</f>
        <v/>
      </c>
      <c r="S697">
        <f>IF(OR($I697="Оплачено",$H697&lt;&gt;""),$P697,$Q697)</f>
        <v/>
      </c>
      <c r="T697">
        <f>IF(OR($C697="",$D697="Доход",$I697="Оплачено",$I697="Отменено",$H697&lt;&gt;"",$C697&lt;TODAY()),"",$C697)</f>
        <v/>
      </c>
      <c r="U697">
        <f>IF(AND($D697&lt;&gt;"Доход",COUNTIFS(Счета!$B$10:$B$21,$J697,Счета!$C$10:$C$21,"Кредитная")&gt;0),1,0)</f>
        <v/>
      </c>
    </row>
    <row r="698" ht="19" customHeight="1">
      <c r="B698" s="53">
        <f>IF(AND($C698="",$F698=""),"",ROW()-9)</f>
        <v/>
      </c>
      <c r="C698" s="213" t="n"/>
      <c r="D698" s="55" t="n"/>
      <c r="E698" s="55" t="n"/>
      <c r="F698" s="56" t="n"/>
      <c r="G698" s="196" t="n"/>
      <c r="H698" s="196" t="n"/>
      <c r="I698" s="55" t="n"/>
      <c r="J698" s="55" t="n"/>
      <c r="K698" s="55" t="n"/>
      <c r="L698" s="100">
        <f>IF(OR($C698="",$I698="Оплачено",$I698="Отменено",$H698&lt;&gt;""),"",$C698-TODAY())</f>
        <v/>
      </c>
      <c r="M698" s="101">
        <f>IF($C698="","",INDEX(Настройки!$V$6:$V$17,MONTH($C698))&amp;" "&amp;YEAR($C698))</f>
        <v/>
      </c>
      <c r="N698" s="57">
        <f>IF($F698="","",IF(COUNTIF(Постоянные!$C$8:$C$37,$F698)&gt;0,"есть в Постоянных",IF(COUNTIF(Покупки!$C$7:$C$18,$F698)&gt;0,"есть в Покупках","")))</f>
        <v/>
      </c>
      <c r="P698">
        <f>IF($H698&lt;&gt;"",$H698,IF($I698="Оплачено",N($G698),0))</f>
        <v/>
      </c>
      <c r="Q698">
        <f>IF($I698="Отменено",0,IF($G698&lt;&gt;"",$G698,N($H698)))</f>
        <v/>
      </c>
      <c r="R698">
        <f>IF($C698="","",IFERROR(DATE(Настройки!$C$8,Настройки!$D$9+MATCH($M698,Настройки!$X$6:$X$17,0)-1,1),DATE(YEAR($C698),MONTH($C698),1)))</f>
        <v/>
      </c>
      <c r="S698">
        <f>IF(OR($I698="Оплачено",$H698&lt;&gt;""),$P698,$Q698)</f>
        <v/>
      </c>
      <c r="T698">
        <f>IF(OR($C698="",$D698="Доход",$I698="Оплачено",$I698="Отменено",$H698&lt;&gt;"",$C698&lt;TODAY()),"",$C698)</f>
        <v/>
      </c>
      <c r="U698">
        <f>IF(AND($D698&lt;&gt;"Доход",COUNTIFS(Счета!$B$10:$B$21,$J698,Счета!$C$10:$C$21,"Кредитная")&gt;0),1,0)</f>
        <v/>
      </c>
    </row>
    <row r="699" ht="19" customHeight="1">
      <c r="B699" s="53">
        <f>IF(AND($C699="",$F699=""),"",ROW()-9)</f>
        <v/>
      </c>
      <c r="C699" s="213" t="n"/>
      <c r="D699" s="55" t="n"/>
      <c r="E699" s="55" t="n"/>
      <c r="F699" s="56" t="n"/>
      <c r="G699" s="196" t="n"/>
      <c r="H699" s="196" t="n"/>
      <c r="I699" s="55" t="n"/>
      <c r="J699" s="55" t="n"/>
      <c r="K699" s="55" t="n"/>
      <c r="L699" s="100">
        <f>IF(OR($C699="",$I699="Оплачено",$I699="Отменено",$H699&lt;&gt;""),"",$C699-TODAY())</f>
        <v/>
      </c>
      <c r="M699" s="101">
        <f>IF($C699="","",INDEX(Настройки!$V$6:$V$17,MONTH($C699))&amp;" "&amp;YEAR($C699))</f>
        <v/>
      </c>
      <c r="N699" s="57">
        <f>IF($F699="","",IF(COUNTIF(Постоянные!$C$8:$C$37,$F699)&gt;0,"есть в Постоянных",IF(COUNTIF(Покупки!$C$7:$C$18,$F699)&gt;0,"есть в Покупках","")))</f>
        <v/>
      </c>
      <c r="P699">
        <f>IF($H699&lt;&gt;"",$H699,IF($I699="Оплачено",N($G699),0))</f>
        <v/>
      </c>
      <c r="Q699">
        <f>IF($I699="Отменено",0,IF($G699&lt;&gt;"",$G699,N($H699)))</f>
        <v/>
      </c>
      <c r="R699">
        <f>IF($C699="","",IFERROR(DATE(Настройки!$C$8,Настройки!$D$9+MATCH($M699,Настройки!$X$6:$X$17,0)-1,1),DATE(YEAR($C699),MONTH($C699),1)))</f>
        <v/>
      </c>
      <c r="S699">
        <f>IF(OR($I699="Оплачено",$H699&lt;&gt;""),$P699,$Q699)</f>
        <v/>
      </c>
      <c r="T699">
        <f>IF(OR($C699="",$D699="Доход",$I699="Оплачено",$I699="Отменено",$H699&lt;&gt;"",$C699&lt;TODAY()),"",$C699)</f>
        <v/>
      </c>
      <c r="U699">
        <f>IF(AND($D699&lt;&gt;"Доход",COUNTIFS(Счета!$B$10:$B$21,$J699,Счета!$C$10:$C$21,"Кредитная")&gt;0),1,0)</f>
        <v/>
      </c>
    </row>
    <row r="700" ht="19" customHeight="1">
      <c r="B700" s="53">
        <f>IF(AND($C700="",$F700=""),"",ROW()-9)</f>
        <v/>
      </c>
      <c r="C700" s="213" t="n"/>
      <c r="D700" s="55" t="n"/>
      <c r="E700" s="55" t="n"/>
      <c r="F700" s="56" t="n"/>
      <c r="G700" s="196" t="n"/>
      <c r="H700" s="196" t="n"/>
      <c r="I700" s="55" t="n"/>
      <c r="J700" s="55" t="n"/>
      <c r="K700" s="55" t="n"/>
      <c r="L700" s="100">
        <f>IF(OR($C700="",$I700="Оплачено",$I700="Отменено",$H700&lt;&gt;""),"",$C700-TODAY())</f>
        <v/>
      </c>
      <c r="M700" s="101">
        <f>IF($C700="","",INDEX(Настройки!$V$6:$V$17,MONTH($C700))&amp;" "&amp;YEAR($C700))</f>
        <v/>
      </c>
      <c r="N700" s="57">
        <f>IF($F700="","",IF(COUNTIF(Постоянные!$C$8:$C$37,$F700)&gt;0,"есть в Постоянных",IF(COUNTIF(Покупки!$C$7:$C$18,$F700)&gt;0,"есть в Покупках","")))</f>
        <v/>
      </c>
      <c r="P700">
        <f>IF($H700&lt;&gt;"",$H700,IF($I700="Оплачено",N($G700),0))</f>
        <v/>
      </c>
      <c r="Q700">
        <f>IF($I700="Отменено",0,IF($G700&lt;&gt;"",$G700,N($H700)))</f>
        <v/>
      </c>
      <c r="R700">
        <f>IF($C700="","",IFERROR(DATE(Настройки!$C$8,Настройки!$D$9+MATCH($M700,Настройки!$X$6:$X$17,0)-1,1),DATE(YEAR($C700),MONTH($C700),1)))</f>
        <v/>
      </c>
      <c r="S700">
        <f>IF(OR($I700="Оплачено",$H700&lt;&gt;""),$P700,$Q700)</f>
        <v/>
      </c>
      <c r="T700">
        <f>IF(OR($C700="",$D700="Доход",$I700="Оплачено",$I700="Отменено",$H700&lt;&gt;"",$C700&lt;TODAY()),"",$C700)</f>
        <v/>
      </c>
      <c r="U700">
        <f>IF(AND($D700&lt;&gt;"Доход",COUNTIFS(Счета!$B$10:$B$21,$J700,Счета!$C$10:$C$21,"Кредитная")&gt;0),1,0)</f>
        <v/>
      </c>
    </row>
    <row r="701" ht="19" customHeight="1">
      <c r="B701" s="53">
        <f>IF(AND($C701="",$F701=""),"",ROW()-9)</f>
        <v/>
      </c>
      <c r="C701" s="213" t="n"/>
      <c r="D701" s="55" t="n"/>
      <c r="E701" s="55" t="n"/>
      <c r="F701" s="56" t="n"/>
      <c r="G701" s="196" t="n"/>
      <c r="H701" s="196" t="n"/>
      <c r="I701" s="55" t="n"/>
      <c r="J701" s="55" t="n"/>
      <c r="K701" s="55" t="n"/>
      <c r="L701" s="100">
        <f>IF(OR($C701="",$I701="Оплачено",$I701="Отменено",$H701&lt;&gt;""),"",$C701-TODAY())</f>
        <v/>
      </c>
      <c r="M701" s="101">
        <f>IF($C701="","",INDEX(Настройки!$V$6:$V$17,MONTH($C701))&amp;" "&amp;YEAR($C701))</f>
        <v/>
      </c>
      <c r="N701" s="57">
        <f>IF($F701="","",IF(COUNTIF(Постоянные!$C$8:$C$37,$F701)&gt;0,"есть в Постоянных",IF(COUNTIF(Покупки!$C$7:$C$18,$F701)&gt;0,"есть в Покупках","")))</f>
        <v/>
      </c>
      <c r="P701">
        <f>IF($H701&lt;&gt;"",$H701,IF($I701="Оплачено",N($G701),0))</f>
        <v/>
      </c>
      <c r="Q701">
        <f>IF($I701="Отменено",0,IF($G701&lt;&gt;"",$G701,N($H701)))</f>
        <v/>
      </c>
      <c r="R701">
        <f>IF($C701="","",IFERROR(DATE(Настройки!$C$8,Настройки!$D$9+MATCH($M701,Настройки!$X$6:$X$17,0)-1,1),DATE(YEAR($C701),MONTH($C701),1)))</f>
        <v/>
      </c>
      <c r="S701">
        <f>IF(OR($I701="Оплачено",$H701&lt;&gt;""),$P701,$Q701)</f>
        <v/>
      </c>
      <c r="T701">
        <f>IF(OR($C701="",$D701="Доход",$I701="Оплачено",$I701="Отменено",$H701&lt;&gt;"",$C701&lt;TODAY()),"",$C701)</f>
        <v/>
      </c>
      <c r="U701">
        <f>IF(AND($D701&lt;&gt;"Доход",COUNTIFS(Счета!$B$10:$B$21,$J701,Счета!$C$10:$C$21,"Кредитная")&gt;0),1,0)</f>
        <v/>
      </c>
    </row>
    <row r="702" ht="19" customHeight="1">
      <c r="B702" s="53">
        <f>IF(AND($C702="",$F702=""),"",ROW()-9)</f>
        <v/>
      </c>
      <c r="C702" s="213" t="n"/>
      <c r="D702" s="55" t="n"/>
      <c r="E702" s="55" t="n"/>
      <c r="F702" s="56" t="n"/>
      <c r="G702" s="196" t="n"/>
      <c r="H702" s="196" t="n"/>
      <c r="I702" s="55" t="n"/>
      <c r="J702" s="55" t="n"/>
      <c r="K702" s="55" t="n"/>
      <c r="L702" s="100">
        <f>IF(OR($C702="",$I702="Оплачено",$I702="Отменено",$H702&lt;&gt;""),"",$C702-TODAY())</f>
        <v/>
      </c>
      <c r="M702" s="101">
        <f>IF($C702="","",INDEX(Настройки!$V$6:$V$17,MONTH($C702))&amp;" "&amp;YEAR($C702))</f>
        <v/>
      </c>
      <c r="N702" s="57">
        <f>IF($F702="","",IF(COUNTIF(Постоянные!$C$8:$C$37,$F702)&gt;0,"есть в Постоянных",IF(COUNTIF(Покупки!$C$7:$C$18,$F702)&gt;0,"есть в Покупках","")))</f>
        <v/>
      </c>
      <c r="P702">
        <f>IF($H702&lt;&gt;"",$H702,IF($I702="Оплачено",N($G702),0))</f>
        <v/>
      </c>
      <c r="Q702">
        <f>IF($I702="Отменено",0,IF($G702&lt;&gt;"",$G702,N($H702)))</f>
        <v/>
      </c>
      <c r="R702">
        <f>IF($C702="","",IFERROR(DATE(Настройки!$C$8,Настройки!$D$9+MATCH($M702,Настройки!$X$6:$X$17,0)-1,1),DATE(YEAR($C702),MONTH($C702),1)))</f>
        <v/>
      </c>
      <c r="S702">
        <f>IF(OR($I702="Оплачено",$H702&lt;&gt;""),$P702,$Q702)</f>
        <v/>
      </c>
      <c r="T702">
        <f>IF(OR($C702="",$D702="Доход",$I702="Оплачено",$I702="Отменено",$H702&lt;&gt;"",$C702&lt;TODAY()),"",$C702)</f>
        <v/>
      </c>
      <c r="U702">
        <f>IF(AND($D702&lt;&gt;"Доход",COUNTIFS(Счета!$B$10:$B$21,$J702,Счета!$C$10:$C$21,"Кредитная")&gt;0),1,0)</f>
        <v/>
      </c>
    </row>
    <row r="703" ht="19" customHeight="1">
      <c r="B703" s="53">
        <f>IF(AND($C703="",$F703=""),"",ROW()-9)</f>
        <v/>
      </c>
      <c r="C703" s="213" t="n"/>
      <c r="D703" s="55" t="n"/>
      <c r="E703" s="55" t="n"/>
      <c r="F703" s="56" t="n"/>
      <c r="G703" s="196" t="n"/>
      <c r="H703" s="196" t="n"/>
      <c r="I703" s="55" t="n"/>
      <c r="J703" s="55" t="n"/>
      <c r="K703" s="55" t="n"/>
      <c r="L703" s="100">
        <f>IF(OR($C703="",$I703="Оплачено",$I703="Отменено",$H703&lt;&gt;""),"",$C703-TODAY())</f>
        <v/>
      </c>
      <c r="M703" s="101">
        <f>IF($C703="","",INDEX(Настройки!$V$6:$V$17,MONTH($C703))&amp;" "&amp;YEAR($C703))</f>
        <v/>
      </c>
      <c r="N703" s="57">
        <f>IF($F703="","",IF(COUNTIF(Постоянные!$C$8:$C$37,$F703)&gt;0,"есть в Постоянных",IF(COUNTIF(Покупки!$C$7:$C$18,$F703)&gt;0,"есть в Покупках","")))</f>
        <v/>
      </c>
      <c r="P703">
        <f>IF($H703&lt;&gt;"",$H703,IF($I703="Оплачено",N($G703),0))</f>
        <v/>
      </c>
      <c r="Q703">
        <f>IF($I703="Отменено",0,IF($G703&lt;&gt;"",$G703,N($H703)))</f>
        <v/>
      </c>
      <c r="R703">
        <f>IF($C703="","",IFERROR(DATE(Настройки!$C$8,Настройки!$D$9+MATCH($M703,Настройки!$X$6:$X$17,0)-1,1),DATE(YEAR($C703),MONTH($C703),1)))</f>
        <v/>
      </c>
      <c r="S703">
        <f>IF(OR($I703="Оплачено",$H703&lt;&gt;""),$P703,$Q703)</f>
        <v/>
      </c>
      <c r="T703">
        <f>IF(OR($C703="",$D703="Доход",$I703="Оплачено",$I703="Отменено",$H703&lt;&gt;"",$C703&lt;TODAY()),"",$C703)</f>
        <v/>
      </c>
      <c r="U703">
        <f>IF(AND($D703&lt;&gt;"Доход",COUNTIFS(Счета!$B$10:$B$21,$J703,Счета!$C$10:$C$21,"Кредитная")&gt;0),1,0)</f>
        <v/>
      </c>
    </row>
    <row r="704" ht="19" customHeight="1">
      <c r="B704" s="53">
        <f>IF(AND($C704="",$F704=""),"",ROW()-9)</f>
        <v/>
      </c>
      <c r="C704" s="213" t="n"/>
      <c r="D704" s="55" t="n"/>
      <c r="E704" s="55" t="n"/>
      <c r="F704" s="56" t="n"/>
      <c r="G704" s="196" t="n"/>
      <c r="H704" s="196" t="n"/>
      <c r="I704" s="55" t="n"/>
      <c r="J704" s="55" t="n"/>
      <c r="K704" s="55" t="n"/>
      <c r="L704" s="100">
        <f>IF(OR($C704="",$I704="Оплачено",$I704="Отменено",$H704&lt;&gt;""),"",$C704-TODAY())</f>
        <v/>
      </c>
      <c r="M704" s="101">
        <f>IF($C704="","",INDEX(Настройки!$V$6:$V$17,MONTH($C704))&amp;" "&amp;YEAR($C704))</f>
        <v/>
      </c>
      <c r="N704" s="57">
        <f>IF($F704="","",IF(COUNTIF(Постоянные!$C$8:$C$37,$F704)&gt;0,"есть в Постоянных",IF(COUNTIF(Покупки!$C$7:$C$18,$F704)&gt;0,"есть в Покупках","")))</f>
        <v/>
      </c>
      <c r="P704">
        <f>IF($H704&lt;&gt;"",$H704,IF($I704="Оплачено",N($G704),0))</f>
        <v/>
      </c>
      <c r="Q704">
        <f>IF($I704="Отменено",0,IF($G704&lt;&gt;"",$G704,N($H704)))</f>
        <v/>
      </c>
      <c r="R704">
        <f>IF($C704="","",IFERROR(DATE(Настройки!$C$8,Настройки!$D$9+MATCH($M704,Настройки!$X$6:$X$17,0)-1,1),DATE(YEAR($C704),MONTH($C704),1)))</f>
        <v/>
      </c>
      <c r="S704">
        <f>IF(OR($I704="Оплачено",$H704&lt;&gt;""),$P704,$Q704)</f>
        <v/>
      </c>
      <c r="T704">
        <f>IF(OR($C704="",$D704="Доход",$I704="Оплачено",$I704="Отменено",$H704&lt;&gt;"",$C704&lt;TODAY()),"",$C704)</f>
        <v/>
      </c>
      <c r="U704">
        <f>IF(AND($D704&lt;&gt;"Доход",COUNTIFS(Счета!$B$10:$B$21,$J704,Счета!$C$10:$C$21,"Кредитная")&gt;0),1,0)</f>
        <v/>
      </c>
    </row>
    <row r="705" ht="19" customHeight="1">
      <c r="B705" s="53">
        <f>IF(AND($C705="",$F705=""),"",ROW()-9)</f>
        <v/>
      </c>
      <c r="C705" s="213" t="n"/>
      <c r="D705" s="55" t="n"/>
      <c r="E705" s="55" t="n"/>
      <c r="F705" s="56" t="n"/>
      <c r="G705" s="196" t="n"/>
      <c r="H705" s="196" t="n"/>
      <c r="I705" s="55" t="n"/>
      <c r="J705" s="55" t="n"/>
      <c r="K705" s="55" t="n"/>
      <c r="L705" s="100">
        <f>IF(OR($C705="",$I705="Оплачено",$I705="Отменено",$H705&lt;&gt;""),"",$C705-TODAY())</f>
        <v/>
      </c>
      <c r="M705" s="101">
        <f>IF($C705="","",INDEX(Настройки!$V$6:$V$17,MONTH($C705))&amp;" "&amp;YEAR($C705))</f>
        <v/>
      </c>
      <c r="N705" s="57">
        <f>IF($F705="","",IF(COUNTIF(Постоянные!$C$8:$C$37,$F705)&gt;0,"есть в Постоянных",IF(COUNTIF(Покупки!$C$7:$C$18,$F705)&gt;0,"есть в Покупках","")))</f>
        <v/>
      </c>
      <c r="P705">
        <f>IF($H705&lt;&gt;"",$H705,IF($I705="Оплачено",N($G705),0))</f>
        <v/>
      </c>
      <c r="Q705">
        <f>IF($I705="Отменено",0,IF($G705&lt;&gt;"",$G705,N($H705)))</f>
        <v/>
      </c>
      <c r="R705">
        <f>IF($C705="","",IFERROR(DATE(Настройки!$C$8,Настройки!$D$9+MATCH($M705,Настройки!$X$6:$X$17,0)-1,1),DATE(YEAR($C705),MONTH($C705),1)))</f>
        <v/>
      </c>
      <c r="S705">
        <f>IF(OR($I705="Оплачено",$H705&lt;&gt;""),$P705,$Q705)</f>
        <v/>
      </c>
      <c r="T705">
        <f>IF(OR($C705="",$D705="Доход",$I705="Оплачено",$I705="Отменено",$H705&lt;&gt;"",$C705&lt;TODAY()),"",$C705)</f>
        <v/>
      </c>
      <c r="U705">
        <f>IF(AND($D705&lt;&gt;"Доход",COUNTIFS(Счета!$B$10:$B$21,$J705,Счета!$C$10:$C$21,"Кредитная")&gt;0),1,0)</f>
        <v/>
      </c>
    </row>
    <row r="706" ht="19" customHeight="1">
      <c r="B706" s="53">
        <f>IF(AND($C706="",$F706=""),"",ROW()-9)</f>
        <v/>
      </c>
      <c r="C706" s="213" t="n"/>
      <c r="D706" s="55" t="n"/>
      <c r="E706" s="55" t="n"/>
      <c r="F706" s="56" t="n"/>
      <c r="G706" s="196" t="n"/>
      <c r="H706" s="196" t="n"/>
      <c r="I706" s="55" t="n"/>
      <c r="J706" s="55" t="n"/>
      <c r="K706" s="55" t="n"/>
      <c r="L706" s="100">
        <f>IF(OR($C706="",$I706="Оплачено",$I706="Отменено",$H706&lt;&gt;""),"",$C706-TODAY())</f>
        <v/>
      </c>
      <c r="M706" s="101">
        <f>IF($C706="","",INDEX(Настройки!$V$6:$V$17,MONTH($C706))&amp;" "&amp;YEAR($C706))</f>
        <v/>
      </c>
      <c r="N706" s="57">
        <f>IF($F706="","",IF(COUNTIF(Постоянные!$C$8:$C$37,$F706)&gt;0,"есть в Постоянных",IF(COUNTIF(Покупки!$C$7:$C$18,$F706)&gt;0,"есть в Покупках","")))</f>
        <v/>
      </c>
      <c r="P706">
        <f>IF($H706&lt;&gt;"",$H706,IF($I706="Оплачено",N($G706),0))</f>
        <v/>
      </c>
      <c r="Q706">
        <f>IF($I706="Отменено",0,IF($G706&lt;&gt;"",$G706,N($H706)))</f>
        <v/>
      </c>
      <c r="R706">
        <f>IF($C706="","",IFERROR(DATE(Настройки!$C$8,Настройки!$D$9+MATCH($M706,Настройки!$X$6:$X$17,0)-1,1),DATE(YEAR($C706),MONTH($C706),1)))</f>
        <v/>
      </c>
      <c r="S706">
        <f>IF(OR($I706="Оплачено",$H706&lt;&gt;""),$P706,$Q706)</f>
        <v/>
      </c>
      <c r="T706">
        <f>IF(OR($C706="",$D706="Доход",$I706="Оплачено",$I706="Отменено",$H706&lt;&gt;"",$C706&lt;TODAY()),"",$C706)</f>
        <v/>
      </c>
      <c r="U706">
        <f>IF(AND($D706&lt;&gt;"Доход",COUNTIFS(Счета!$B$10:$B$21,$J706,Счета!$C$10:$C$21,"Кредитная")&gt;0),1,0)</f>
        <v/>
      </c>
    </row>
    <row r="707" ht="19" customHeight="1">
      <c r="B707" s="53">
        <f>IF(AND($C707="",$F707=""),"",ROW()-9)</f>
        <v/>
      </c>
      <c r="C707" s="213" t="n"/>
      <c r="D707" s="55" t="n"/>
      <c r="E707" s="55" t="n"/>
      <c r="F707" s="56" t="n"/>
      <c r="G707" s="196" t="n"/>
      <c r="H707" s="196" t="n"/>
      <c r="I707" s="55" t="n"/>
      <c r="J707" s="55" t="n"/>
      <c r="K707" s="55" t="n"/>
      <c r="L707" s="100">
        <f>IF(OR($C707="",$I707="Оплачено",$I707="Отменено",$H707&lt;&gt;""),"",$C707-TODAY())</f>
        <v/>
      </c>
      <c r="M707" s="101">
        <f>IF($C707="","",INDEX(Настройки!$V$6:$V$17,MONTH($C707))&amp;" "&amp;YEAR($C707))</f>
        <v/>
      </c>
      <c r="N707" s="57">
        <f>IF($F707="","",IF(COUNTIF(Постоянные!$C$8:$C$37,$F707)&gt;0,"есть в Постоянных",IF(COUNTIF(Покупки!$C$7:$C$18,$F707)&gt;0,"есть в Покупках","")))</f>
        <v/>
      </c>
      <c r="P707">
        <f>IF($H707&lt;&gt;"",$H707,IF($I707="Оплачено",N($G707),0))</f>
        <v/>
      </c>
      <c r="Q707">
        <f>IF($I707="Отменено",0,IF($G707&lt;&gt;"",$G707,N($H707)))</f>
        <v/>
      </c>
      <c r="R707">
        <f>IF($C707="","",IFERROR(DATE(Настройки!$C$8,Настройки!$D$9+MATCH($M707,Настройки!$X$6:$X$17,0)-1,1),DATE(YEAR($C707),MONTH($C707),1)))</f>
        <v/>
      </c>
      <c r="S707">
        <f>IF(OR($I707="Оплачено",$H707&lt;&gt;""),$P707,$Q707)</f>
        <v/>
      </c>
      <c r="T707">
        <f>IF(OR($C707="",$D707="Доход",$I707="Оплачено",$I707="Отменено",$H707&lt;&gt;"",$C707&lt;TODAY()),"",$C707)</f>
        <v/>
      </c>
      <c r="U707">
        <f>IF(AND($D707&lt;&gt;"Доход",COUNTIFS(Счета!$B$10:$B$21,$J707,Счета!$C$10:$C$21,"Кредитная")&gt;0),1,0)</f>
        <v/>
      </c>
    </row>
    <row r="708" ht="19" customHeight="1">
      <c r="B708" s="53">
        <f>IF(AND($C708="",$F708=""),"",ROW()-9)</f>
        <v/>
      </c>
      <c r="C708" s="213" t="n"/>
      <c r="D708" s="55" t="n"/>
      <c r="E708" s="55" t="n"/>
      <c r="F708" s="56" t="n"/>
      <c r="G708" s="196" t="n"/>
      <c r="H708" s="196" t="n"/>
      <c r="I708" s="55" t="n"/>
      <c r="J708" s="55" t="n"/>
      <c r="K708" s="55" t="n"/>
      <c r="L708" s="100">
        <f>IF(OR($C708="",$I708="Оплачено",$I708="Отменено",$H708&lt;&gt;""),"",$C708-TODAY())</f>
        <v/>
      </c>
      <c r="M708" s="101">
        <f>IF($C708="","",INDEX(Настройки!$V$6:$V$17,MONTH($C708))&amp;" "&amp;YEAR($C708))</f>
        <v/>
      </c>
      <c r="N708" s="57">
        <f>IF($F708="","",IF(COUNTIF(Постоянные!$C$8:$C$37,$F708)&gt;0,"есть в Постоянных",IF(COUNTIF(Покупки!$C$7:$C$18,$F708)&gt;0,"есть в Покупках","")))</f>
        <v/>
      </c>
      <c r="P708">
        <f>IF($H708&lt;&gt;"",$H708,IF($I708="Оплачено",N($G708),0))</f>
        <v/>
      </c>
      <c r="Q708">
        <f>IF($I708="Отменено",0,IF($G708&lt;&gt;"",$G708,N($H708)))</f>
        <v/>
      </c>
      <c r="R708">
        <f>IF($C708="","",IFERROR(DATE(Настройки!$C$8,Настройки!$D$9+MATCH($M708,Настройки!$X$6:$X$17,0)-1,1),DATE(YEAR($C708),MONTH($C708),1)))</f>
        <v/>
      </c>
      <c r="S708">
        <f>IF(OR($I708="Оплачено",$H708&lt;&gt;""),$P708,$Q708)</f>
        <v/>
      </c>
      <c r="T708">
        <f>IF(OR($C708="",$D708="Доход",$I708="Оплачено",$I708="Отменено",$H708&lt;&gt;"",$C708&lt;TODAY()),"",$C708)</f>
        <v/>
      </c>
      <c r="U708">
        <f>IF(AND($D708&lt;&gt;"Доход",COUNTIFS(Счета!$B$10:$B$21,$J708,Счета!$C$10:$C$21,"Кредитная")&gt;0),1,0)</f>
        <v/>
      </c>
    </row>
    <row r="709" ht="19" customHeight="1">
      <c r="B709" s="53">
        <f>IF(AND($C709="",$F709=""),"",ROW()-9)</f>
        <v/>
      </c>
      <c r="C709" s="213" t="n"/>
      <c r="D709" s="55" t="n"/>
      <c r="E709" s="55" t="n"/>
      <c r="F709" s="56" t="n"/>
      <c r="G709" s="196" t="n"/>
      <c r="H709" s="196" t="n"/>
      <c r="I709" s="55" t="n"/>
      <c r="J709" s="55" t="n"/>
      <c r="K709" s="55" t="n"/>
      <c r="L709" s="100">
        <f>IF(OR($C709="",$I709="Оплачено",$I709="Отменено",$H709&lt;&gt;""),"",$C709-TODAY())</f>
        <v/>
      </c>
      <c r="M709" s="101">
        <f>IF($C709="","",INDEX(Настройки!$V$6:$V$17,MONTH($C709))&amp;" "&amp;YEAR($C709))</f>
        <v/>
      </c>
      <c r="N709" s="57">
        <f>IF($F709="","",IF(COUNTIF(Постоянные!$C$8:$C$37,$F709)&gt;0,"есть в Постоянных",IF(COUNTIF(Покупки!$C$7:$C$18,$F709)&gt;0,"есть в Покупках","")))</f>
        <v/>
      </c>
      <c r="P709">
        <f>IF($H709&lt;&gt;"",$H709,IF($I709="Оплачено",N($G709),0))</f>
        <v/>
      </c>
      <c r="Q709">
        <f>IF($I709="Отменено",0,IF($G709&lt;&gt;"",$G709,N($H709)))</f>
        <v/>
      </c>
      <c r="R709">
        <f>IF($C709="","",IFERROR(DATE(Настройки!$C$8,Настройки!$D$9+MATCH($M709,Настройки!$X$6:$X$17,0)-1,1),DATE(YEAR($C709),MONTH($C709),1)))</f>
        <v/>
      </c>
      <c r="S709">
        <f>IF(OR($I709="Оплачено",$H709&lt;&gt;""),$P709,$Q709)</f>
        <v/>
      </c>
      <c r="T709">
        <f>IF(OR($C709="",$D709="Доход",$I709="Оплачено",$I709="Отменено",$H709&lt;&gt;"",$C709&lt;TODAY()),"",$C709)</f>
        <v/>
      </c>
      <c r="U709">
        <f>IF(AND($D709&lt;&gt;"Доход",COUNTIFS(Счета!$B$10:$B$21,$J709,Счета!$C$10:$C$21,"Кредитная")&gt;0),1,0)</f>
        <v/>
      </c>
    </row>
    <row r="710" ht="19" customHeight="1">
      <c r="B710" s="53">
        <f>IF(AND($C710="",$F710=""),"",ROW()-9)</f>
        <v/>
      </c>
      <c r="C710" s="213" t="n"/>
      <c r="D710" s="55" t="n"/>
      <c r="E710" s="55" t="n"/>
      <c r="F710" s="56" t="n"/>
      <c r="G710" s="196" t="n"/>
      <c r="H710" s="196" t="n"/>
      <c r="I710" s="55" t="n"/>
      <c r="J710" s="55" t="n"/>
      <c r="K710" s="55" t="n"/>
      <c r="L710" s="100">
        <f>IF(OR($C710="",$I710="Оплачено",$I710="Отменено",$H710&lt;&gt;""),"",$C710-TODAY())</f>
        <v/>
      </c>
      <c r="M710" s="101">
        <f>IF($C710="","",INDEX(Настройки!$V$6:$V$17,MONTH($C710))&amp;" "&amp;YEAR($C710))</f>
        <v/>
      </c>
      <c r="N710" s="57">
        <f>IF($F710="","",IF(COUNTIF(Постоянные!$C$8:$C$37,$F710)&gt;0,"есть в Постоянных",IF(COUNTIF(Покупки!$C$7:$C$18,$F710)&gt;0,"есть в Покупках","")))</f>
        <v/>
      </c>
      <c r="P710">
        <f>IF($H710&lt;&gt;"",$H710,IF($I710="Оплачено",N($G710),0))</f>
        <v/>
      </c>
      <c r="Q710">
        <f>IF($I710="Отменено",0,IF($G710&lt;&gt;"",$G710,N($H710)))</f>
        <v/>
      </c>
      <c r="R710">
        <f>IF($C710="","",IFERROR(DATE(Настройки!$C$8,Настройки!$D$9+MATCH($M710,Настройки!$X$6:$X$17,0)-1,1),DATE(YEAR($C710),MONTH($C710),1)))</f>
        <v/>
      </c>
      <c r="S710">
        <f>IF(OR($I710="Оплачено",$H710&lt;&gt;""),$P710,$Q710)</f>
        <v/>
      </c>
      <c r="T710">
        <f>IF(OR($C710="",$D710="Доход",$I710="Оплачено",$I710="Отменено",$H710&lt;&gt;"",$C710&lt;TODAY()),"",$C710)</f>
        <v/>
      </c>
      <c r="U710">
        <f>IF(AND($D710&lt;&gt;"Доход",COUNTIFS(Счета!$B$10:$B$21,$J710,Счета!$C$10:$C$21,"Кредитная")&gt;0),1,0)</f>
        <v/>
      </c>
    </row>
    <row r="711" ht="19" customHeight="1">
      <c r="B711" s="53">
        <f>IF(AND($C711="",$F711=""),"",ROW()-9)</f>
        <v/>
      </c>
      <c r="C711" s="213" t="n"/>
      <c r="D711" s="55" t="n"/>
      <c r="E711" s="55" t="n"/>
      <c r="F711" s="56" t="n"/>
      <c r="G711" s="196" t="n"/>
      <c r="H711" s="196" t="n"/>
      <c r="I711" s="55" t="n"/>
      <c r="J711" s="55" t="n"/>
      <c r="K711" s="55" t="n"/>
      <c r="L711" s="100">
        <f>IF(OR($C711="",$I711="Оплачено",$I711="Отменено",$H711&lt;&gt;""),"",$C711-TODAY())</f>
        <v/>
      </c>
      <c r="M711" s="101">
        <f>IF($C711="","",INDEX(Настройки!$V$6:$V$17,MONTH($C711))&amp;" "&amp;YEAR($C711))</f>
        <v/>
      </c>
      <c r="N711" s="57">
        <f>IF($F711="","",IF(COUNTIF(Постоянные!$C$8:$C$37,$F711)&gt;0,"есть в Постоянных",IF(COUNTIF(Покупки!$C$7:$C$18,$F711)&gt;0,"есть в Покупках","")))</f>
        <v/>
      </c>
      <c r="P711">
        <f>IF($H711&lt;&gt;"",$H711,IF($I711="Оплачено",N($G711),0))</f>
        <v/>
      </c>
      <c r="Q711">
        <f>IF($I711="Отменено",0,IF($G711&lt;&gt;"",$G711,N($H711)))</f>
        <v/>
      </c>
      <c r="R711">
        <f>IF($C711="","",IFERROR(DATE(Настройки!$C$8,Настройки!$D$9+MATCH($M711,Настройки!$X$6:$X$17,0)-1,1),DATE(YEAR($C711),MONTH($C711),1)))</f>
        <v/>
      </c>
      <c r="S711">
        <f>IF(OR($I711="Оплачено",$H711&lt;&gt;""),$P711,$Q711)</f>
        <v/>
      </c>
      <c r="T711">
        <f>IF(OR($C711="",$D711="Доход",$I711="Оплачено",$I711="Отменено",$H711&lt;&gt;"",$C711&lt;TODAY()),"",$C711)</f>
        <v/>
      </c>
      <c r="U711">
        <f>IF(AND($D711&lt;&gt;"Доход",COUNTIFS(Счета!$B$10:$B$21,$J711,Счета!$C$10:$C$21,"Кредитная")&gt;0),1,0)</f>
        <v/>
      </c>
    </row>
    <row r="712" ht="19" customHeight="1">
      <c r="B712" s="53">
        <f>IF(AND($C712="",$F712=""),"",ROW()-9)</f>
        <v/>
      </c>
      <c r="C712" s="213" t="n"/>
      <c r="D712" s="55" t="n"/>
      <c r="E712" s="55" t="n"/>
      <c r="F712" s="56" t="n"/>
      <c r="G712" s="196" t="n"/>
      <c r="H712" s="196" t="n"/>
      <c r="I712" s="55" t="n"/>
      <c r="J712" s="55" t="n"/>
      <c r="K712" s="55" t="n"/>
      <c r="L712" s="100">
        <f>IF(OR($C712="",$I712="Оплачено",$I712="Отменено",$H712&lt;&gt;""),"",$C712-TODAY())</f>
        <v/>
      </c>
      <c r="M712" s="101">
        <f>IF($C712="","",INDEX(Настройки!$V$6:$V$17,MONTH($C712))&amp;" "&amp;YEAR($C712))</f>
        <v/>
      </c>
      <c r="N712" s="57">
        <f>IF($F712="","",IF(COUNTIF(Постоянные!$C$8:$C$37,$F712)&gt;0,"есть в Постоянных",IF(COUNTIF(Покупки!$C$7:$C$18,$F712)&gt;0,"есть в Покупках","")))</f>
        <v/>
      </c>
      <c r="P712">
        <f>IF($H712&lt;&gt;"",$H712,IF($I712="Оплачено",N($G712),0))</f>
        <v/>
      </c>
      <c r="Q712">
        <f>IF($I712="Отменено",0,IF($G712&lt;&gt;"",$G712,N($H712)))</f>
        <v/>
      </c>
      <c r="R712">
        <f>IF($C712="","",IFERROR(DATE(Настройки!$C$8,Настройки!$D$9+MATCH($M712,Настройки!$X$6:$X$17,0)-1,1),DATE(YEAR($C712),MONTH($C712),1)))</f>
        <v/>
      </c>
      <c r="S712">
        <f>IF(OR($I712="Оплачено",$H712&lt;&gt;""),$P712,$Q712)</f>
        <v/>
      </c>
      <c r="T712">
        <f>IF(OR($C712="",$D712="Доход",$I712="Оплачено",$I712="Отменено",$H712&lt;&gt;"",$C712&lt;TODAY()),"",$C712)</f>
        <v/>
      </c>
      <c r="U712">
        <f>IF(AND($D712&lt;&gt;"Доход",COUNTIFS(Счета!$B$10:$B$21,$J712,Счета!$C$10:$C$21,"Кредитная")&gt;0),1,0)</f>
        <v/>
      </c>
    </row>
    <row r="713" ht="19" customHeight="1">
      <c r="B713" s="53">
        <f>IF(AND($C713="",$F713=""),"",ROW()-9)</f>
        <v/>
      </c>
      <c r="C713" s="213" t="n"/>
      <c r="D713" s="55" t="n"/>
      <c r="E713" s="55" t="n"/>
      <c r="F713" s="56" t="n"/>
      <c r="G713" s="196" t="n"/>
      <c r="H713" s="196" t="n"/>
      <c r="I713" s="55" t="n"/>
      <c r="J713" s="55" t="n"/>
      <c r="K713" s="55" t="n"/>
      <c r="L713" s="100">
        <f>IF(OR($C713="",$I713="Оплачено",$I713="Отменено",$H713&lt;&gt;""),"",$C713-TODAY())</f>
        <v/>
      </c>
      <c r="M713" s="101">
        <f>IF($C713="","",INDEX(Настройки!$V$6:$V$17,MONTH($C713))&amp;" "&amp;YEAR($C713))</f>
        <v/>
      </c>
      <c r="N713" s="57">
        <f>IF($F713="","",IF(COUNTIF(Постоянные!$C$8:$C$37,$F713)&gt;0,"есть в Постоянных",IF(COUNTIF(Покупки!$C$7:$C$18,$F713)&gt;0,"есть в Покупках","")))</f>
        <v/>
      </c>
      <c r="P713">
        <f>IF($H713&lt;&gt;"",$H713,IF($I713="Оплачено",N($G713),0))</f>
        <v/>
      </c>
      <c r="Q713">
        <f>IF($I713="Отменено",0,IF($G713&lt;&gt;"",$G713,N($H713)))</f>
        <v/>
      </c>
      <c r="R713">
        <f>IF($C713="","",IFERROR(DATE(Настройки!$C$8,Настройки!$D$9+MATCH($M713,Настройки!$X$6:$X$17,0)-1,1),DATE(YEAR($C713),MONTH($C713),1)))</f>
        <v/>
      </c>
      <c r="S713">
        <f>IF(OR($I713="Оплачено",$H713&lt;&gt;""),$P713,$Q713)</f>
        <v/>
      </c>
      <c r="T713">
        <f>IF(OR($C713="",$D713="Доход",$I713="Оплачено",$I713="Отменено",$H713&lt;&gt;"",$C713&lt;TODAY()),"",$C713)</f>
        <v/>
      </c>
      <c r="U713">
        <f>IF(AND($D713&lt;&gt;"Доход",COUNTIFS(Счета!$B$10:$B$21,$J713,Счета!$C$10:$C$21,"Кредитная")&gt;0),1,0)</f>
        <v/>
      </c>
    </row>
    <row r="714" ht="19" customHeight="1">
      <c r="B714" s="53">
        <f>IF(AND($C714="",$F714=""),"",ROW()-9)</f>
        <v/>
      </c>
      <c r="C714" s="213" t="n"/>
      <c r="D714" s="55" t="n"/>
      <c r="E714" s="55" t="n"/>
      <c r="F714" s="56" t="n"/>
      <c r="G714" s="196" t="n"/>
      <c r="H714" s="196" t="n"/>
      <c r="I714" s="55" t="n"/>
      <c r="J714" s="55" t="n"/>
      <c r="K714" s="55" t="n"/>
      <c r="L714" s="100">
        <f>IF(OR($C714="",$I714="Оплачено",$I714="Отменено",$H714&lt;&gt;""),"",$C714-TODAY())</f>
        <v/>
      </c>
      <c r="M714" s="101">
        <f>IF($C714="","",INDEX(Настройки!$V$6:$V$17,MONTH($C714))&amp;" "&amp;YEAR($C714))</f>
        <v/>
      </c>
      <c r="N714" s="57">
        <f>IF($F714="","",IF(COUNTIF(Постоянные!$C$8:$C$37,$F714)&gt;0,"есть в Постоянных",IF(COUNTIF(Покупки!$C$7:$C$18,$F714)&gt;0,"есть в Покупках","")))</f>
        <v/>
      </c>
      <c r="P714">
        <f>IF($H714&lt;&gt;"",$H714,IF($I714="Оплачено",N($G714),0))</f>
        <v/>
      </c>
      <c r="Q714">
        <f>IF($I714="Отменено",0,IF($G714&lt;&gt;"",$G714,N($H714)))</f>
        <v/>
      </c>
      <c r="R714">
        <f>IF($C714="","",IFERROR(DATE(Настройки!$C$8,Настройки!$D$9+MATCH($M714,Настройки!$X$6:$X$17,0)-1,1),DATE(YEAR($C714),MONTH($C714),1)))</f>
        <v/>
      </c>
      <c r="S714">
        <f>IF(OR($I714="Оплачено",$H714&lt;&gt;""),$P714,$Q714)</f>
        <v/>
      </c>
      <c r="T714">
        <f>IF(OR($C714="",$D714="Доход",$I714="Оплачено",$I714="Отменено",$H714&lt;&gt;"",$C714&lt;TODAY()),"",$C714)</f>
        <v/>
      </c>
      <c r="U714">
        <f>IF(AND($D714&lt;&gt;"Доход",COUNTIFS(Счета!$B$10:$B$21,$J714,Счета!$C$10:$C$21,"Кредитная")&gt;0),1,0)</f>
        <v/>
      </c>
    </row>
    <row r="715" ht="19" customHeight="1">
      <c r="B715" s="53">
        <f>IF(AND($C715="",$F715=""),"",ROW()-9)</f>
        <v/>
      </c>
      <c r="C715" s="213" t="n"/>
      <c r="D715" s="55" t="n"/>
      <c r="E715" s="55" t="n"/>
      <c r="F715" s="56" t="n"/>
      <c r="G715" s="196" t="n"/>
      <c r="H715" s="196" t="n"/>
      <c r="I715" s="55" t="n"/>
      <c r="J715" s="55" t="n"/>
      <c r="K715" s="55" t="n"/>
      <c r="L715" s="100">
        <f>IF(OR($C715="",$I715="Оплачено",$I715="Отменено",$H715&lt;&gt;""),"",$C715-TODAY())</f>
        <v/>
      </c>
      <c r="M715" s="101">
        <f>IF($C715="","",INDEX(Настройки!$V$6:$V$17,MONTH($C715))&amp;" "&amp;YEAR($C715))</f>
        <v/>
      </c>
      <c r="N715" s="57">
        <f>IF($F715="","",IF(COUNTIF(Постоянные!$C$8:$C$37,$F715)&gt;0,"есть в Постоянных",IF(COUNTIF(Покупки!$C$7:$C$18,$F715)&gt;0,"есть в Покупках","")))</f>
        <v/>
      </c>
      <c r="P715">
        <f>IF($H715&lt;&gt;"",$H715,IF($I715="Оплачено",N($G715),0))</f>
        <v/>
      </c>
      <c r="Q715">
        <f>IF($I715="Отменено",0,IF($G715&lt;&gt;"",$G715,N($H715)))</f>
        <v/>
      </c>
      <c r="R715">
        <f>IF($C715="","",IFERROR(DATE(Настройки!$C$8,Настройки!$D$9+MATCH($M715,Настройки!$X$6:$X$17,0)-1,1),DATE(YEAR($C715),MONTH($C715),1)))</f>
        <v/>
      </c>
      <c r="S715">
        <f>IF(OR($I715="Оплачено",$H715&lt;&gt;""),$P715,$Q715)</f>
        <v/>
      </c>
      <c r="T715">
        <f>IF(OR($C715="",$D715="Доход",$I715="Оплачено",$I715="Отменено",$H715&lt;&gt;"",$C715&lt;TODAY()),"",$C715)</f>
        <v/>
      </c>
      <c r="U715">
        <f>IF(AND($D715&lt;&gt;"Доход",COUNTIFS(Счета!$B$10:$B$21,$J715,Счета!$C$10:$C$21,"Кредитная")&gt;0),1,0)</f>
        <v/>
      </c>
    </row>
    <row r="716" ht="19" customHeight="1">
      <c r="B716" s="53">
        <f>IF(AND($C716="",$F716=""),"",ROW()-9)</f>
        <v/>
      </c>
      <c r="C716" s="213" t="n"/>
      <c r="D716" s="55" t="n"/>
      <c r="E716" s="55" t="n"/>
      <c r="F716" s="56" t="n"/>
      <c r="G716" s="196" t="n"/>
      <c r="H716" s="196" t="n"/>
      <c r="I716" s="55" t="n"/>
      <c r="J716" s="55" t="n"/>
      <c r="K716" s="55" t="n"/>
      <c r="L716" s="100">
        <f>IF(OR($C716="",$I716="Оплачено",$I716="Отменено",$H716&lt;&gt;""),"",$C716-TODAY())</f>
        <v/>
      </c>
      <c r="M716" s="101">
        <f>IF($C716="","",INDEX(Настройки!$V$6:$V$17,MONTH($C716))&amp;" "&amp;YEAR($C716))</f>
        <v/>
      </c>
      <c r="N716" s="57">
        <f>IF($F716="","",IF(COUNTIF(Постоянные!$C$8:$C$37,$F716)&gt;0,"есть в Постоянных",IF(COUNTIF(Покупки!$C$7:$C$18,$F716)&gt;0,"есть в Покупках","")))</f>
        <v/>
      </c>
      <c r="P716">
        <f>IF($H716&lt;&gt;"",$H716,IF($I716="Оплачено",N($G716),0))</f>
        <v/>
      </c>
      <c r="Q716">
        <f>IF($I716="Отменено",0,IF($G716&lt;&gt;"",$G716,N($H716)))</f>
        <v/>
      </c>
      <c r="R716">
        <f>IF($C716="","",IFERROR(DATE(Настройки!$C$8,Настройки!$D$9+MATCH($M716,Настройки!$X$6:$X$17,0)-1,1),DATE(YEAR($C716),MONTH($C716),1)))</f>
        <v/>
      </c>
      <c r="S716">
        <f>IF(OR($I716="Оплачено",$H716&lt;&gt;""),$P716,$Q716)</f>
        <v/>
      </c>
      <c r="T716">
        <f>IF(OR($C716="",$D716="Доход",$I716="Оплачено",$I716="Отменено",$H716&lt;&gt;"",$C716&lt;TODAY()),"",$C716)</f>
        <v/>
      </c>
      <c r="U716">
        <f>IF(AND($D716&lt;&gt;"Доход",COUNTIFS(Счета!$B$10:$B$21,$J716,Счета!$C$10:$C$21,"Кредитная")&gt;0),1,0)</f>
        <v/>
      </c>
    </row>
    <row r="717" ht="19" customHeight="1">
      <c r="B717" s="53">
        <f>IF(AND($C717="",$F717=""),"",ROW()-9)</f>
        <v/>
      </c>
      <c r="C717" s="213" t="n"/>
      <c r="D717" s="55" t="n"/>
      <c r="E717" s="55" t="n"/>
      <c r="F717" s="56" t="n"/>
      <c r="G717" s="196" t="n"/>
      <c r="H717" s="196" t="n"/>
      <c r="I717" s="55" t="n"/>
      <c r="J717" s="55" t="n"/>
      <c r="K717" s="55" t="n"/>
      <c r="L717" s="100">
        <f>IF(OR($C717="",$I717="Оплачено",$I717="Отменено",$H717&lt;&gt;""),"",$C717-TODAY())</f>
        <v/>
      </c>
      <c r="M717" s="101">
        <f>IF($C717="","",INDEX(Настройки!$V$6:$V$17,MONTH($C717))&amp;" "&amp;YEAR($C717))</f>
        <v/>
      </c>
      <c r="N717" s="57">
        <f>IF($F717="","",IF(COUNTIF(Постоянные!$C$8:$C$37,$F717)&gt;0,"есть в Постоянных",IF(COUNTIF(Покупки!$C$7:$C$18,$F717)&gt;0,"есть в Покупках","")))</f>
        <v/>
      </c>
      <c r="P717">
        <f>IF($H717&lt;&gt;"",$H717,IF($I717="Оплачено",N($G717),0))</f>
        <v/>
      </c>
      <c r="Q717">
        <f>IF($I717="Отменено",0,IF($G717&lt;&gt;"",$G717,N($H717)))</f>
        <v/>
      </c>
      <c r="R717">
        <f>IF($C717="","",IFERROR(DATE(Настройки!$C$8,Настройки!$D$9+MATCH($M717,Настройки!$X$6:$X$17,0)-1,1),DATE(YEAR($C717),MONTH($C717),1)))</f>
        <v/>
      </c>
      <c r="S717">
        <f>IF(OR($I717="Оплачено",$H717&lt;&gt;""),$P717,$Q717)</f>
        <v/>
      </c>
      <c r="T717">
        <f>IF(OR($C717="",$D717="Доход",$I717="Оплачено",$I717="Отменено",$H717&lt;&gt;"",$C717&lt;TODAY()),"",$C717)</f>
        <v/>
      </c>
      <c r="U717">
        <f>IF(AND($D717&lt;&gt;"Доход",COUNTIFS(Счета!$B$10:$B$21,$J717,Счета!$C$10:$C$21,"Кредитная")&gt;0),1,0)</f>
        <v/>
      </c>
    </row>
    <row r="718" ht="19" customHeight="1">
      <c r="B718" s="53">
        <f>IF(AND($C718="",$F718=""),"",ROW()-9)</f>
        <v/>
      </c>
      <c r="C718" s="213" t="n"/>
      <c r="D718" s="55" t="n"/>
      <c r="E718" s="55" t="n"/>
      <c r="F718" s="56" t="n"/>
      <c r="G718" s="196" t="n"/>
      <c r="H718" s="196" t="n"/>
      <c r="I718" s="55" t="n"/>
      <c r="J718" s="55" t="n"/>
      <c r="K718" s="55" t="n"/>
      <c r="L718" s="100">
        <f>IF(OR($C718="",$I718="Оплачено",$I718="Отменено",$H718&lt;&gt;""),"",$C718-TODAY())</f>
        <v/>
      </c>
      <c r="M718" s="101">
        <f>IF($C718="","",INDEX(Настройки!$V$6:$V$17,MONTH($C718))&amp;" "&amp;YEAR($C718))</f>
        <v/>
      </c>
      <c r="N718" s="57">
        <f>IF($F718="","",IF(COUNTIF(Постоянные!$C$8:$C$37,$F718)&gt;0,"есть в Постоянных",IF(COUNTIF(Покупки!$C$7:$C$18,$F718)&gt;0,"есть в Покупках","")))</f>
        <v/>
      </c>
      <c r="P718">
        <f>IF($H718&lt;&gt;"",$H718,IF($I718="Оплачено",N($G718),0))</f>
        <v/>
      </c>
      <c r="Q718">
        <f>IF($I718="Отменено",0,IF($G718&lt;&gt;"",$G718,N($H718)))</f>
        <v/>
      </c>
      <c r="R718">
        <f>IF($C718="","",IFERROR(DATE(Настройки!$C$8,Настройки!$D$9+MATCH($M718,Настройки!$X$6:$X$17,0)-1,1),DATE(YEAR($C718),MONTH($C718),1)))</f>
        <v/>
      </c>
      <c r="S718">
        <f>IF(OR($I718="Оплачено",$H718&lt;&gt;""),$P718,$Q718)</f>
        <v/>
      </c>
      <c r="T718">
        <f>IF(OR($C718="",$D718="Доход",$I718="Оплачено",$I718="Отменено",$H718&lt;&gt;"",$C718&lt;TODAY()),"",$C718)</f>
        <v/>
      </c>
      <c r="U718">
        <f>IF(AND($D718&lt;&gt;"Доход",COUNTIFS(Счета!$B$10:$B$21,$J718,Счета!$C$10:$C$21,"Кредитная")&gt;0),1,0)</f>
        <v/>
      </c>
    </row>
    <row r="719" ht="19" customHeight="1">
      <c r="B719" s="53">
        <f>IF(AND($C719="",$F719=""),"",ROW()-9)</f>
        <v/>
      </c>
      <c r="C719" s="213" t="n"/>
      <c r="D719" s="55" t="n"/>
      <c r="E719" s="55" t="n"/>
      <c r="F719" s="56" t="n"/>
      <c r="G719" s="196" t="n"/>
      <c r="H719" s="196" t="n"/>
      <c r="I719" s="55" t="n"/>
      <c r="J719" s="55" t="n"/>
      <c r="K719" s="55" t="n"/>
      <c r="L719" s="100">
        <f>IF(OR($C719="",$I719="Оплачено",$I719="Отменено",$H719&lt;&gt;""),"",$C719-TODAY())</f>
        <v/>
      </c>
      <c r="M719" s="101">
        <f>IF($C719="","",INDEX(Настройки!$V$6:$V$17,MONTH($C719))&amp;" "&amp;YEAR($C719))</f>
        <v/>
      </c>
      <c r="N719" s="57">
        <f>IF($F719="","",IF(COUNTIF(Постоянные!$C$8:$C$37,$F719)&gt;0,"есть в Постоянных",IF(COUNTIF(Покупки!$C$7:$C$18,$F719)&gt;0,"есть в Покупках","")))</f>
        <v/>
      </c>
      <c r="P719">
        <f>IF($H719&lt;&gt;"",$H719,IF($I719="Оплачено",N($G719),0))</f>
        <v/>
      </c>
      <c r="Q719">
        <f>IF($I719="Отменено",0,IF($G719&lt;&gt;"",$G719,N($H719)))</f>
        <v/>
      </c>
      <c r="R719">
        <f>IF($C719="","",IFERROR(DATE(Настройки!$C$8,Настройки!$D$9+MATCH($M719,Настройки!$X$6:$X$17,0)-1,1),DATE(YEAR($C719),MONTH($C719),1)))</f>
        <v/>
      </c>
      <c r="S719">
        <f>IF(OR($I719="Оплачено",$H719&lt;&gt;""),$P719,$Q719)</f>
        <v/>
      </c>
      <c r="T719">
        <f>IF(OR($C719="",$D719="Доход",$I719="Оплачено",$I719="Отменено",$H719&lt;&gt;"",$C719&lt;TODAY()),"",$C719)</f>
        <v/>
      </c>
      <c r="U719">
        <f>IF(AND($D719&lt;&gt;"Доход",COUNTIFS(Счета!$B$10:$B$21,$J719,Счета!$C$10:$C$21,"Кредитная")&gt;0),1,0)</f>
        <v/>
      </c>
    </row>
    <row r="720" ht="19" customHeight="1">
      <c r="B720" s="53">
        <f>IF(AND($C720="",$F720=""),"",ROW()-9)</f>
        <v/>
      </c>
      <c r="C720" s="213" t="n"/>
      <c r="D720" s="55" t="n"/>
      <c r="E720" s="55" t="n"/>
      <c r="F720" s="56" t="n"/>
      <c r="G720" s="196" t="n"/>
      <c r="H720" s="196" t="n"/>
      <c r="I720" s="55" t="n"/>
      <c r="J720" s="55" t="n"/>
      <c r="K720" s="55" t="n"/>
      <c r="L720" s="100">
        <f>IF(OR($C720="",$I720="Оплачено",$I720="Отменено",$H720&lt;&gt;""),"",$C720-TODAY())</f>
        <v/>
      </c>
      <c r="M720" s="101">
        <f>IF($C720="","",INDEX(Настройки!$V$6:$V$17,MONTH($C720))&amp;" "&amp;YEAR($C720))</f>
        <v/>
      </c>
      <c r="N720" s="57">
        <f>IF($F720="","",IF(COUNTIF(Постоянные!$C$8:$C$37,$F720)&gt;0,"есть в Постоянных",IF(COUNTIF(Покупки!$C$7:$C$18,$F720)&gt;0,"есть в Покупках","")))</f>
        <v/>
      </c>
      <c r="P720">
        <f>IF($H720&lt;&gt;"",$H720,IF($I720="Оплачено",N($G720),0))</f>
        <v/>
      </c>
      <c r="Q720">
        <f>IF($I720="Отменено",0,IF($G720&lt;&gt;"",$G720,N($H720)))</f>
        <v/>
      </c>
      <c r="R720">
        <f>IF($C720="","",IFERROR(DATE(Настройки!$C$8,Настройки!$D$9+MATCH($M720,Настройки!$X$6:$X$17,0)-1,1),DATE(YEAR($C720),MONTH($C720),1)))</f>
        <v/>
      </c>
      <c r="S720">
        <f>IF(OR($I720="Оплачено",$H720&lt;&gt;""),$P720,$Q720)</f>
        <v/>
      </c>
      <c r="T720">
        <f>IF(OR($C720="",$D720="Доход",$I720="Оплачено",$I720="Отменено",$H720&lt;&gt;"",$C720&lt;TODAY()),"",$C720)</f>
        <v/>
      </c>
      <c r="U720">
        <f>IF(AND($D720&lt;&gt;"Доход",COUNTIFS(Счета!$B$10:$B$21,$J720,Счета!$C$10:$C$21,"Кредитная")&gt;0),1,0)</f>
        <v/>
      </c>
    </row>
    <row r="721" ht="19" customHeight="1">
      <c r="B721" s="53">
        <f>IF(AND($C721="",$F721=""),"",ROW()-9)</f>
        <v/>
      </c>
      <c r="C721" s="213" t="n"/>
      <c r="D721" s="55" t="n"/>
      <c r="E721" s="55" t="n"/>
      <c r="F721" s="56" t="n"/>
      <c r="G721" s="196" t="n"/>
      <c r="H721" s="196" t="n"/>
      <c r="I721" s="55" t="n"/>
      <c r="J721" s="55" t="n"/>
      <c r="K721" s="55" t="n"/>
      <c r="L721" s="100">
        <f>IF(OR($C721="",$I721="Оплачено",$I721="Отменено",$H721&lt;&gt;""),"",$C721-TODAY())</f>
        <v/>
      </c>
      <c r="M721" s="101">
        <f>IF($C721="","",INDEX(Настройки!$V$6:$V$17,MONTH($C721))&amp;" "&amp;YEAR($C721))</f>
        <v/>
      </c>
      <c r="N721" s="57">
        <f>IF($F721="","",IF(COUNTIF(Постоянные!$C$8:$C$37,$F721)&gt;0,"есть в Постоянных",IF(COUNTIF(Покупки!$C$7:$C$18,$F721)&gt;0,"есть в Покупках","")))</f>
        <v/>
      </c>
      <c r="P721">
        <f>IF($H721&lt;&gt;"",$H721,IF($I721="Оплачено",N($G721),0))</f>
        <v/>
      </c>
      <c r="Q721">
        <f>IF($I721="Отменено",0,IF($G721&lt;&gt;"",$G721,N($H721)))</f>
        <v/>
      </c>
      <c r="R721">
        <f>IF($C721="","",IFERROR(DATE(Настройки!$C$8,Настройки!$D$9+MATCH($M721,Настройки!$X$6:$X$17,0)-1,1),DATE(YEAR($C721),MONTH($C721),1)))</f>
        <v/>
      </c>
      <c r="S721">
        <f>IF(OR($I721="Оплачено",$H721&lt;&gt;""),$P721,$Q721)</f>
        <v/>
      </c>
      <c r="T721">
        <f>IF(OR($C721="",$D721="Доход",$I721="Оплачено",$I721="Отменено",$H721&lt;&gt;"",$C721&lt;TODAY()),"",$C721)</f>
        <v/>
      </c>
      <c r="U721">
        <f>IF(AND($D721&lt;&gt;"Доход",COUNTIFS(Счета!$B$10:$B$21,$J721,Счета!$C$10:$C$21,"Кредитная")&gt;0),1,0)</f>
        <v/>
      </c>
    </row>
    <row r="722" ht="19" customHeight="1">
      <c r="B722" s="53">
        <f>IF(AND($C722="",$F722=""),"",ROW()-9)</f>
        <v/>
      </c>
      <c r="C722" s="213" t="n"/>
      <c r="D722" s="55" t="n"/>
      <c r="E722" s="55" t="n"/>
      <c r="F722" s="56" t="n"/>
      <c r="G722" s="196" t="n"/>
      <c r="H722" s="196" t="n"/>
      <c r="I722" s="55" t="n"/>
      <c r="J722" s="55" t="n"/>
      <c r="K722" s="55" t="n"/>
      <c r="L722" s="100">
        <f>IF(OR($C722="",$I722="Оплачено",$I722="Отменено",$H722&lt;&gt;""),"",$C722-TODAY())</f>
        <v/>
      </c>
      <c r="M722" s="101">
        <f>IF($C722="","",INDEX(Настройки!$V$6:$V$17,MONTH($C722))&amp;" "&amp;YEAR($C722))</f>
        <v/>
      </c>
      <c r="N722" s="57">
        <f>IF($F722="","",IF(COUNTIF(Постоянные!$C$8:$C$37,$F722)&gt;0,"есть в Постоянных",IF(COUNTIF(Покупки!$C$7:$C$18,$F722)&gt;0,"есть в Покупках","")))</f>
        <v/>
      </c>
      <c r="P722">
        <f>IF($H722&lt;&gt;"",$H722,IF($I722="Оплачено",N($G722),0))</f>
        <v/>
      </c>
      <c r="Q722">
        <f>IF($I722="Отменено",0,IF($G722&lt;&gt;"",$G722,N($H722)))</f>
        <v/>
      </c>
      <c r="R722">
        <f>IF($C722="","",IFERROR(DATE(Настройки!$C$8,Настройки!$D$9+MATCH($M722,Настройки!$X$6:$X$17,0)-1,1),DATE(YEAR($C722),MONTH($C722),1)))</f>
        <v/>
      </c>
      <c r="S722">
        <f>IF(OR($I722="Оплачено",$H722&lt;&gt;""),$P722,$Q722)</f>
        <v/>
      </c>
      <c r="T722">
        <f>IF(OR($C722="",$D722="Доход",$I722="Оплачено",$I722="Отменено",$H722&lt;&gt;"",$C722&lt;TODAY()),"",$C722)</f>
        <v/>
      </c>
      <c r="U722">
        <f>IF(AND($D722&lt;&gt;"Доход",COUNTIFS(Счета!$B$10:$B$21,$J722,Счета!$C$10:$C$21,"Кредитная")&gt;0),1,0)</f>
        <v/>
      </c>
    </row>
    <row r="723" ht="19" customHeight="1">
      <c r="B723" s="53">
        <f>IF(AND($C723="",$F723=""),"",ROW()-9)</f>
        <v/>
      </c>
      <c r="C723" s="213" t="n"/>
      <c r="D723" s="55" t="n"/>
      <c r="E723" s="55" t="n"/>
      <c r="F723" s="56" t="n"/>
      <c r="G723" s="196" t="n"/>
      <c r="H723" s="196" t="n"/>
      <c r="I723" s="55" t="n"/>
      <c r="J723" s="55" t="n"/>
      <c r="K723" s="55" t="n"/>
      <c r="L723" s="100">
        <f>IF(OR($C723="",$I723="Оплачено",$I723="Отменено",$H723&lt;&gt;""),"",$C723-TODAY())</f>
        <v/>
      </c>
      <c r="M723" s="101">
        <f>IF($C723="","",INDEX(Настройки!$V$6:$V$17,MONTH($C723))&amp;" "&amp;YEAR($C723))</f>
        <v/>
      </c>
      <c r="N723" s="57">
        <f>IF($F723="","",IF(COUNTIF(Постоянные!$C$8:$C$37,$F723)&gt;0,"есть в Постоянных",IF(COUNTIF(Покупки!$C$7:$C$18,$F723)&gt;0,"есть в Покупках","")))</f>
        <v/>
      </c>
      <c r="P723">
        <f>IF($H723&lt;&gt;"",$H723,IF($I723="Оплачено",N($G723),0))</f>
        <v/>
      </c>
      <c r="Q723">
        <f>IF($I723="Отменено",0,IF($G723&lt;&gt;"",$G723,N($H723)))</f>
        <v/>
      </c>
      <c r="R723">
        <f>IF($C723="","",IFERROR(DATE(Настройки!$C$8,Настройки!$D$9+MATCH($M723,Настройки!$X$6:$X$17,0)-1,1),DATE(YEAR($C723),MONTH($C723),1)))</f>
        <v/>
      </c>
      <c r="S723">
        <f>IF(OR($I723="Оплачено",$H723&lt;&gt;""),$P723,$Q723)</f>
        <v/>
      </c>
      <c r="T723">
        <f>IF(OR($C723="",$D723="Доход",$I723="Оплачено",$I723="Отменено",$H723&lt;&gt;"",$C723&lt;TODAY()),"",$C723)</f>
        <v/>
      </c>
      <c r="U723">
        <f>IF(AND($D723&lt;&gt;"Доход",COUNTIFS(Счета!$B$10:$B$21,$J723,Счета!$C$10:$C$21,"Кредитная")&gt;0),1,0)</f>
        <v/>
      </c>
    </row>
    <row r="724" ht="19" customHeight="1">
      <c r="B724" s="53">
        <f>IF(AND($C724="",$F724=""),"",ROW()-9)</f>
        <v/>
      </c>
      <c r="C724" s="213" t="n"/>
      <c r="D724" s="55" t="n"/>
      <c r="E724" s="55" t="n"/>
      <c r="F724" s="56" t="n"/>
      <c r="G724" s="196" t="n"/>
      <c r="H724" s="196" t="n"/>
      <c r="I724" s="55" t="n"/>
      <c r="J724" s="55" t="n"/>
      <c r="K724" s="55" t="n"/>
      <c r="L724" s="100">
        <f>IF(OR($C724="",$I724="Оплачено",$I724="Отменено",$H724&lt;&gt;""),"",$C724-TODAY())</f>
        <v/>
      </c>
      <c r="M724" s="101">
        <f>IF($C724="","",INDEX(Настройки!$V$6:$V$17,MONTH($C724))&amp;" "&amp;YEAR($C724))</f>
        <v/>
      </c>
      <c r="N724" s="57">
        <f>IF($F724="","",IF(COUNTIF(Постоянные!$C$8:$C$37,$F724)&gt;0,"есть в Постоянных",IF(COUNTIF(Покупки!$C$7:$C$18,$F724)&gt;0,"есть в Покупках","")))</f>
        <v/>
      </c>
      <c r="P724">
        <f>IF($H724&lt;&gt;"",$H724,IF($I724="Оплачено",N($G724),0))</f>
        <v/>
      </c>
      <c r="Q724">
        <f>IF($I724="Отменено",0,IF($G724&lt;&gt;"",$G724,N($H724)))</f>
        <v/>
      </c>
      <c r="R724">
        <f>IF($C724="","",IFERROR(DATE(Настройки!$C$8,Настройки!$D$9+MATCH($M724,Настройки!$X$6:$X$17,0)-1,1),DATE(YEAR($C724),MONTH($C724),1)))</f>
        <v/>
      </c>
      <c r="S724">
        <f>IF(OR($I724="Оплачено",$H724&lt;&gt;""),$P724,$Q724)</f>
        <v/>
      </c>
      <c r="T724">
        <f>IF(OR($C724="",$D724="Доход",$I724="Оплачено",$I724="Отменено",$H724&lt;&gt;"",$C724&lt;TODAY()),"",$C724)</f>
        <v/>
      </c>
      <c r="U724">
        <f>IF(AND($D724&lt;&gt;"Доход",COUNTIFS(Счета!$B$10:$B$21,$J724,Счета!$C$10:$C$21,"Кредитная")&gt;0),1,0)</f>
        <v/>
      </c>
    </row>
    <row r="725" ht="19" customHeight="1">
      <c r="B725" s="53">
        <f>IF(AND($C725="",$F725=""),"",ROW()-9)</f>
        <v/>
      </c>
      <c r="C725" s="213" t="n"/>
      <c r="D725" s="55" t="n"/>
      <c r="E725" s="55" t="n"/>
      <c r="F725" s="56" t="n"/>
      <c r="G725" s="196" t="n"/>
      <c r="H725" s="196" t="n"/>
      <c r="I725" s="55" t="n"/>
      <c r="J725" s="55" t="n"/>
      <c r="K725" s="55" t="n"/>
      <c r="L725" s="100">
        <f>IF(OR($C725="",$I725="Оплачено",$I725="Отменено",$H725&lt;&gt;""),"",$C725-TODAY())</f>
        <v/>
      </c>
      <c r="M725" s="101">
        <f>IF($C725="","",INDEX(Настройки!$V$6:$V$17,MONTH($C725))&amp;" "&amp;YEAR($C725))</f>
        <v/>
      </c>
      <c r="N725" s="57">
        <f>IF($F725="","",IF(COUNTIF(Постоянные!$C$8:$C$37,$F725)&gt;0,"есть в Постоянных",IF(COUNTIF(Покупки!$C$7:$C$18,$F725)&gt;0,"есть в Покупках","")))</f>
        <v/>
      </c>
      <c r="P725">
        <f>IF($H725&lt;&gt;"",$H725,IF($I725="Оплачено",N($G725),0))</f>
        <v/>
      </c>
      <c r="Q725">
        <f>IF($I725="Отменено",0,IF($G725&lt;&gt;"",$G725,N($H725)))</f>
        <v/>
      </c>
      <c r="R725">
        <f>IF($C725="","",IFERROR(DATE(Настройки!$C$8,Настройки!$D$9+MATCH($M725,Настройки!$X$6:$X$17,0)-1,1),DATE(YEAR($C725),MONTH($C725),1)))</f>
        <v/>
      </c>
      <c r="S725">
        <f>IF(OR($I725="Оплачено",$H725&lt;&gt;""),$P725,$Q725)</f>
        <v/>
      </c>
      <c r="T725">
        <f>IF(OR($C725="",$D725="Доход",$I725="Оплачено",$I725="Отменено",$H725&lt;&gt;"",$C725&lt;TODAY()),"",$C725)</f>
        <v/>
      </c>
      <c r="U725">
        <f>IF(AND($D725&lt;&gt;"Доход",COUNTIFS(Счета!$B$10:$B$21,$J725,Счета!$C$10:$C$21,"Кредитная")&gt;0),1,0)</f>
        <v/>
      </c>
    </row>
    <row r="726" ht="19" customHeight="1">
      <c r="B726" s="53">
        <f>IF(AND($C726="",$F726=""),"",ROW()-9)</f>
        <v/>
      </c>
      <c r="C726" s="213" t="n"/>
      <c r="D726" s="55" t="n"/>
      <c r="E726" s="55" t="n"/>
      <c r="F726" s="56" t="n"/>
      <c r="G726" s="196" t="n"/>
      <c r="H726" s="196" t="n"/>
      <c r="I726" s="55" t="n"/>
      <c r="J726" s="55" t="n"/>
      <c r="K726" s="55" t="n"/>
      <c r="L726" s="100">
        <f>IF(OR($C726="",$I726="Оплачено",$I726="Отменено",$H726&lt;&gt;""),"",$C726-TODAY())</f>
        <v/>
      </c>
      <c r="M726" s="101">
        <f>IF($C726="","",INDEX(Настройки!$V$6:$V$17,MONTH($C726))&amp;" "&amp;YEAR($C726))</f>
        <v/>
      </c>
      <c r="N726" s="57">
        <f>IF($F726="","",IF(COUNTIF(Постоянные!$C$8:$C$37,$F726)&gt;0,"есть в Постоянных",IF(COUNTIF(Покупки!$C$7:$C$18,$F726)&gt;0,"есть в Покупках","")))</f>
        <v/>
      </c>
      <c r="P726">
        <f>IF($H726&lt;&gt;"",$H726,IF($I726="Оплачено",N($G726),0))</f>
        <v/>
      </c>
      <c r="Q726">
        <f>IF($I726="Отменено",0,IF($G726&lt;&gt;"",$G726,N($H726)))</f>
        <v/>
      </c>
      <c r="R726">
        <f>IF($C726="","",IFERROR(DATE(Настройки!$C$8,Настройки!$D$9+MATCH($M726,Настройки!$X$6:$X$17,0)-1,1),DATE(YEAR($C726),MONTH($C726),1)))</f>
        <v/>
      </c>
      <c r="S726">
        <f>IF(OR($I726="Оплачено",$H726&lt;&gt;""),$P726,$Q726)</f>
        <v/>
      </c>
      <c r="T726">
        <f>IF(OR($C726="",$D726="Доход",$I726="Оплачено",$I726="Отменено",$H726&lt;&gt;"",$C726&lt;TODAY()),"",$C726)</f>
        <v/>
      </c>
      <c r="U726">
        <f>IF(AND($D726&lt;&gt;"Доход",COUNTIFS(Счета!$B$10:$B$21,$J726,Счета!$C$10:$C$21,"Кредитная")&gt;0),1,0)</f>
        <v/>
      </c>
    </row>
    <row r="727" ht="19" customHeight="1">
      <c r="B727" s="53">
        <f>IF(AND($C727="",$F727=""),"",ROW()-9)</f>
        <v/>
      </c>
      <c r="C727" s="213" t="n"/>
      <c r="D727" s="55" t="n"/>
      <c r="E727" s="55" t="n"/>
      <c r="F727" s="56" t="n"/>
      <c r="G727" s="196" t="n"/>
      <c r="H727" s="196" t="n"/>
      <c r="I727" s="55" t="n"/>
      <c r="J727" s="55" t="n"/>
      <c r="K727" s="55" t="n"/>
      <c r="L727" s="100">
        <f>IF(OR($C727="",$I727="Оплачено",$I727="Отменено",$H727&lt;&gt;""),"",$C727-TODAY())</f>
        <v/>
      </c>
      <c r="M727" s="101">
        <f>IF($C727="","",INDEX(Настройки!$V$6:$V$17,MONTH($C727))&amp;" "&amp;YEAR($C727))</f>
        <v/>
      </c>
      <c r="N727" s="57">
        <f>IF($F727="","",IF(COUNTIF(Постоянные!$C$8:$C$37,$F727)&gt;0,"есть в Постоянных",IF(COUNTIF(Покупки!$C$7:$C$18,$F727)&gt;0,"есть в Покупках","")))</f>
        <v/>
      </c>
      <c r="P727">
        <f>IF($H727&lt;&gt;"",$H727,IF($I727="Оплачено",N($G727),0))</f>
        <v/>
      </c>
      <c r="Q727">
        <f>IF($I727="Отменено",0,IF($G727&lt;&gt;"",$G727,N($H727)))</f>
        <v/>
      </c>
      <c r="R727">
        <f>IF($C727="","",IFERROR(DATE(Настройки!$C$8,Настройки!$D$9+MATCH($M727,Настройки!$X$6:$X$17,0)-1,1),DATE(YEAR($C727),MONTH($C727),1)))</f>
        <v/>
      </c>
      <c r="S727">
        <f>IF(OR($I727="Оплачено",$H727&lt;&gt;""),$P727,$Q727)</f>
        <v/>
      </c>
      <c r="T727">
        <f>IF(OR($C727="",$D727="Доход",$I727="Оплачено",$I727="Отменено",$H727&lt;&gt;"",$C727&lt;TODAY()),"",$C727)</f>
        <v/>
      </c>
      <c r="U727">
        <f>IF(AND($D727&lt;&gt;"Доход",COUNTIFS(Счета!$B$10:$B$21,$J727,Счета!$C$10:$C$21,"Кредитная")&gt;0),1,0)</f>
        <v/>
      </c>
    </row>
    <row r="728" ht="19" customHeight="1">
      <c r="B728" s="53">
        <f>IF(AND($C728="",$F728=""),"",ROW()-9)</f>
        <v/>
      </c>
      <c r="C728" s="213" t="n"/>
      <c r="D728" s="55" t="n"/>
      <c r="E728" s="55" t="n"/>
      <c r="F728" s="56" t="n"/>
      <c r="G728" s="196" t="n"/>
      <c r="H728" s="196" t="n"/>
      <c r="I728" s="55" t="n"/>
      <c r="J728" s="55" t="n"/>
      <c r="K728" s="55" t="n"/>
      <c r="L728" s="100">
        <f>IF(OR($C728="",$I728="Оплачено",$I728="Отменено",$H728&lt;&gt;""),"",$C728-TODAY())</f>
        <v/>
      </c>
      <c r="M728" s="101">
        <f>IF($C728="","",INDEX(Настройки!$V$6:$V$17,MONTH($C728))&amp;" "&amp;YEAR($C728))</f>
        <v/>
      </c>
      <c r="N728" s="57">
        <f>IF($F728="","",IF(COUNTIF(Постоянные!$C$8:$C$37,$F728)&gt;0,"есть в Постоянных",IF(COUNTIF(Покупки!$C$7:$C$18,$F728)&gt;0,"есть в Покупках","")))</f>
        <v/>
      </c>
      <c r="P728">
        <f>IF($H728&lt;&gt;"",$H728,IF($I728="Оплачено",N($G728),0))</f>
        <v/>
      </c>
      <c r="Q728">
        <f>IF($I728="Отменено",0,IF($G728&lt;&gt;"",$G728,N($H728)))</f>
        <v/>
      </c>
      <c r="R728">
        <f>IF($C728="","",IFERROR(DATE(Настройки!$C$8,Настройки!$D$9+MATCH($M728,Настройки!$X$6:$X$17,0)-1,1),DATE(YEAR($C728),MONTH($C728),1)))</f>
        <v/>
      </c>
      <c r="S728">
        <f>IF(OR($I728="Оплачено",$H728&lt;&gt;""),$P728,$Q728)</f>
        <v/>
      </c>
      <c r="T728">
        <f>IF(OR($C728="",$D728="Доход",$I728="Оплачено",$I728="Отменено",$H728&lt;&gt;"",$C728&lt;TODAY()),"",$C728)</f>
        <v/>
      </c>
      <c r="U728">
        <f>IF(AND($D728&lt;&gt;"Доход",COUNTIFS(Счета!$B$10:$B$21,$J728,Счета!$C$10:$C$21,"Кредитная")&gt;0),1,0)</f>
        <v/>
      </c>
    </row>
    <row r="729" ht="19" customHeight="1">
      <c r="B729" s="53">
        <f>IF(AND($C729="",$F729=""),"",ROW()-9)</f>
        <v/>
      </c>
      <c r="C729" s="213" t="n"/>
      <c r="D729" s="55" t="n"/>
      <c r="E729" s="55" t="n"/>
      <c r="F729" s="56" t="n"/>
      <c r="G729" s="196" t="n"/>
      <c r="H729" s="196" t="n"/>
      <c r="I729" s="55" t="n"/>
      <c r="J729" s="55" t="n"/>
      <c r="K729" s="55" t="n"/>
      <c r="L729" s="100">
        <f>IF(OR($C729="",$I729="Оплачено",$I729="Отменено",$H729&lt;&gt;""),"",$C729-TODAY())</f>
        <v/>
      </c>
      <c r="M729" s="101">
        <f>IF($C729="","",INDEX(Настройки!$V$6:$V$17,MONTH($C729))&amp;" "&amp;YEAR($C729))</f>
        <v/>
      </c>
      <c r="N729" s="57">
        <f>IF($F729="","",IF(COUNTIF(Постоянные!$C$8:$C$37,$F729)&gt;0,"есть в Постоянных",IF(COUNTIF(Покупки!$C$7:$C$18,$F729)&gt;0,"есть в Покупках","")))</f>
        <v/>
      </c>
      <c r="P729">
        <f>IF($H729&lt;&gt;"",$H729,IF($I729="Оплачено",N($G729),0))</f>
        <v/>
      </c>
      <c r="Q729">
        <f>IF($I729="Отменено",0,IF($G729&lt;&gt;"",$G729,N($H729)))</f>
        <v/>
      </c>
      <c r="R729">
        <f>IF($C729="","",IFERROR(DATE(Настройки!$C$8,Настройки!$D$9+MATCH($M729,Настройки!$X$6:$X$17,0)-1,1),DATE(YEAR($C729),MONTH($C729),1)))</f>
        <v/>
      </c>
      <c r="S729">
        <f>IF(OR($I729="Оплачено",$H729&lt;&gt;""),$P729,$Q729)</f>
        <v/>
      </c>
      <c r="T729">
        <f>IF(OR($C729="",$D729="Доход",$I729="Оплачено",$I729="Отменено",$H729&lt;&gt;"",$C729&lt;TODAY()),"",$C729)</f>
        <v/>
      </c>
      <c r="U729">
        <f>IF(AND($D729&lt;&gt;"Доход",COUNTIFS(Счета!$B$10:$B$21,$J729,Счета!$C$10:$C$21,"Кредитная")&gt;0),1,0)</f>
        <v/>
      </c>
    </row>
    <row r="730" ht="19" customHeight="1">
      <c r="B730" s="53">
        <f>IF(AND($C730="",$F730=""),"",ROW()-9)</f>
        <v/>
      </c>
      <c r="C730" s="213" t="n"/>
      <c r="D730" s="55" t="n"/>
      <c r="E730" s="55" t="n"/>
      <c r="F730" s="56" t="n"/>
      <c r="G730" s="196" t="n"/>
      <c r="H730" s="196" t="n"/>
      <c r="I730" s="55" t="n"/>
      <c r="J730" s="55" t="n"/>
      <c r="K730" s="55" t="n"/>
      <c r="L730" s="100">
        <f>IF(OR($C730="",$I730="Оплачено",$I730="Отменено",$H730&lt;&gt;""),"",$C730-TODAY())</f>
        <v/>
      </c>
      <c r="M730" s="101">
        <f>IF($C730="","",INDEX(Настройки!$V$6:$V$17,MONTH($C730))&amp;" "&amp;YEAR($C730))</f>
        <v/>
      </c>
      <c r="N730" s="57">
        <f>IF($F730="","",IF(COUNTIF(Постоянные!$C$8:$C$37,$F730)&gt;0,"есть в Постоянных",IF(COUNTIF(Покупки!$C$7:$C$18,$F730)&gt;0,"есть в Покупках","")))</f>
        <v/>
      </c>
      <c r="P730">
        <f>IF($H730&lt;&gt;"",$H730,IF($I730="Оплачено",N($G730),0))</f>
        <v/>
      </c>
      <c r="Q730">
        <f>IF($I730="Отменено",0,IF($G730&lt;&gt;"",$G730,N($H730)))</f>
        <v/>
      </c>
      <c r="R730">
        <f>IF($C730="","",IFERROR(DATE(Настройки!$C$8,Настройки!$D$9+MATCH($M730,Настройки!$X$6:$X$17,0)-1,1),DATE(YEAR($C730),MONTH($C730),1)))</f>
        <v/>
      </c>
      <c r="S730">
        <f>IF(OR($I730="Оплачено",$H730&lt;&gt;""),$P730,$Q730)</f>
        <v/>
      </c>
      <c r="T730">
        <f>IF(OR($C730="",$D730="Доход",$I730="Оплачено",$I730="Отменено",$H730&lt;&gt;"",$C730&lt;TODAY()),"",$C730)</f>
        <v/>
      </c>
      <c r="U730">
        <f>IF(AND($D730&lt;&gt;"Доход",COUNTIFS(Счета!$B$10:$B$21,$J730,Счета!$C$10:$C$21,"Кредитная")&gt;0),1,0)</f>
        <v/>
      </c>
    </row>
    <row r="731" ht="19" customHeight="1">
      <c r="B731" s="53">
        <f>IF(AND($C731="",$F731=""),"",ROW()-9)</f>
        <v/>
      </c>
      <c r="C731" s="213" t="n"/>
      <c r="D731" s="55" t="n"/>
      <c r="E731" s="55" t="n"/>
      <c r="F731" s="56" t="n"/>
      <c r="G731" s="196" t="n"/>
      <c r="H731" s="196" t="n"/>
      <c r="I731" s="55" t="n"/>
      <c r="J731" s="55" t="n"/>
      <c r="K731" s="55" t="n"/>
      <c r="L731" s="100">
        <f>IF(OR($C731="",$I731="Оплачено",$I731="Отменено",$H731&lt;&gt;""),"",$C731-TODAY())</f>
        <v/>
      </c>
      <c r="M731" s="101">
        <f>IF($C731="","",INDEX(Настройки!$V$6:$V$17,MONTH($C731))&amp;" "&amp;YEAR($C731))</f>
        <v/>
      </c>
      <c r="N731" s="57">
        <f>IF($F731="","",IF(COUNTIF(Постоянные!$C$8:$C$37,$F731)&gt;0,"есть в Постоянных",IF(COUNTIF(Покупки!$C$7:$C$18,$F731)&gt;0,"есть в Покупках","")))</f>
        <v/>
      </c>
      <c r="P731">
        <f>IF($H731&lt;&gt;"",$H731,IF($I731="Оплачено",N($G731),0))</f>
        <v/>
      </c>
      <c r="Q731">
        <f>IF($I731="Отменено",0,IF($G731&lt;&gt;"",$G731,N($H731)))</f>
        <v/>
      </c>
      <c r="R731">
        <f>IF($C731="","",IFERROR(DATE(Настройки!$C$8,Настройки!$D$9+MATCH($M731,Настройки!$X$6:$X$17,0)-1,1),DATE(YEAR($C731),MONTH($C731),1)))</f>
        <v/>
      </c>
      <c r="S731">
        <f>IF(OR($I731="Оплачено",$H731&lt;&gt;""),$P731,$Q731)</f>
        <v/>
      </c>
      <c r="T731">
        <f>IF(OR($C731="",$D731="Доход",$I731="Оплачено",$I731="Отменено",$H731&lt;&gt;"",$C731&lt;TODAY()),"",$C731)</f>
        <v/>
      </c>
      <c r="U731">
        <f>IF(AND($D731&lt;&gt;"Доход",COUNTIFS(Счета!$B$10:$B$21,$J731,Счета!$C$10:$C$21,"Кредитная")&gt;0),1,0)</f>
        <v/>
      </c>
    </row>
    <row r="732" ht="19" customHeight="1">
      <c r="B732" s="53">
        <f>IF(AND($C732="",$F732=""),"",ROW()-9)</f>
        <v/>
      </c>
      <c r="C732" s="213" t="n"/>
      <c r="D732" s="55" t="n"/>
      <c r="E732" s="55" t="n"/>
      <c r="F732" s="56" t="n"/>
      <c r="G732" s="196" t="n"/>
      <c r="H732" s="196" t="n"/>
      <c r="I732" s="55" t="n"/>
      <c r="J732" s="55" t="n"/>
      <c r="K732" s="55" t="n"/>
      <c r="L732" s="100">
        <f>IF(OR($C732="",$I732="Оплачено",$I732="Отменено",$H732&lt;&gt;""),"",$C732-TODAY())</f>
        <v/>
      </c>
      <c r="M732" s="101">
        <f>IF($C732="","",INDEX(Настройки!$V$6:$V$17,MONTH($C732))&amp;" "&amp;YEAR($C732))</f>
        <v/>
      </c>
      <c r="N732" s="57">
        <f>IF($F732="","",IF(COUNTIF(Постоянные!$C$8:$C$37,$F732)&gt;0,"есть в Постоянных",IF(COUNTIF(Покупки!$C$7:$C$18,$F732)&gt;0,"есть в Покупках","")))</f>
        <v/>
      </c>
      <c r="P732">
        <f>IF($H732&lt;&gt;"",$H732,IF($I732="Оплачено",N($G732),0))</f>
        <v/>
      </c>
      <c r="Q732">
        <f>IF($I732="Отменено",0,IF($G732&lt;&gt;"",$G732,N($H732)))</f>
        <v/>
      </c>
      <c r="R732">
        <f>IF($C732="","",IFERROR(DATE(Настройки!$C$8,Настройки!$D$9+MATCH($M732,Настройки!$X$6:$X$17,0)-1,1),DATE(YEAR($C732),MONTH($C732),1)))</f>
        <v/>
      </c>
      <c r="S732">
        <f>IF(OR($I732="Оплачено",$H732&lt;&gt;""),$P732,$Q732)</f>
        <v/>
      </c>
      <c r="T732">
        <f>IF(OR($C732="",$D732="Доход",$I732="Оплачено",$I732="Отменено",$H732&lt;&gt;"",$C732&lt;TODAY()),"",$C732)</f>
        <v/>
      </c>
      <c r="U732">
        <f>IF(AND($D732&lt;&gt;"Доход",COUNTIFS(Счета!$B$10:$B$21,$J732,Счета!$C$10:$C$21,"Кредитная")&gt;0),1,0)</f>
        <v/>
      </c>
    </row>
    <row r="733" ht="19" customHeight="1">
      <c r="B733" s="53">
        <f>IF(AND($C733="",$F733=""),"",ROW()-9)</f>
        <v/>
      </c>
      <c r="C733" s="213" t="n"/>
      <c r="D733" s="55" t="n"/>
      <c r="E733" s="55" t="n"/>
      <c r="F733" s="56" t="n"/>
      <c r="G733" s="196" t="n"/>
      <c r="H733" s="196" t="n"/>
      <c r="I733" s="55" t="n"/>
      <c r="J733" s="55" t="n"/>
      <c r="K733" s="55" t="n"/>
      <c r="L733" s="100">
        <f>IF(OR($C733="",$I733="Оплачено",$I733="Отменено",$H733&lt;&gt;""),"",$C733-TODAY())</f>
        <v/>
      </c>
      <c r="M733" s="101">
        <f>IF($C733="","",INDEX(Настройки!$V$6:$V$17,MONTH($C733))&amp;" "&amp;YEAR($C733))</f>
        <v/>
      </c>
      <c r="N733" s="57">
        <f>IF($F733="","",IF(COUNTIF(Постоянные!$C$8:$C$37,$F733)&gt;0,"есть в Постоянных",IF(COUNTIF(Покупки!$C$7:$C$18,$F733)&gt;0,"есть в Покупках","")))</f>
        <v/>
      </c>
      <c r="P733">
        <f>IF($H733&lt;&gt;"",$H733,IF($I733="Оплачено",N($G733),0))</f>
        <v/>
      </c>
      <c r="Q733">
        <f>IF($I733="Отменено",0,IF($G733&lt;&gt;"",$G733,N($H733)))</f>
        <v/>
      </c>
      <c r="R733">
        <f>IF($C733="","",IFERROR(DATE(Настройки!$C$8,Настройки!$D$9+MATCH($M733,Настройки!$X$6:$X$17,0)-1,1),DATE(YEAR($C733),MONTH($C733),1)))</f>
        <v/>
      </c>
      <c r="S733">
        <f>IF(OR($I733="Оплачено",$H733&lt;&gt;""),$P733,$Q733)</f>
        <v/>
      </c>
      <c r="T733">
        <f>IF(OR($C733="",$D733="Доход",$I733="Оплачено",$I733="Отменено",$H733&lt;&gt;"",$C733&lt;TODAY()),"",$C733)</f>
        <v/>
      </c>
      <c r="U733">
        <f>IF(AND($D733&lt;&gt;"Доход",COUNTIFS(Счета!$B$10:$B$21,$J733,Счета!$C$10:$C$21,"Кредитная")&gt;0),1,0)</f>
        <v/>
      </c>
    </row>
    <row r="734" ht="19" customHeight="1">
      <c r="B734" s="53">
        <f>IF(AND($C734="",$F734=""),"",ROW()-9)</f>
        <v/>
      </c>
      <c r="C734" s="213" t="n"/>
      <c r="D734" s="55" t="n"/>
      <c r="E734" s="55" t="n"/>
      <c r="F734" s="56" t="n"/>
      <c r="G734" s="196" t="n"/>
      <c r="H734" s="196" t="n"/>
      <c r="I734" s="55" t="n"/>
      <c r="J734" s="55" t="n"/>
      <c r="K734" s="55" t="n"/>
      <c r="L734" s="100">
        <f>IF(OR($C734="",$I734="Оплачено",$I734="Отменено",$H734&lt;&gt;""),"",$C734-TODAY())</f>
        <v/>
      </c>
      <c r="M734" s="101">
        <f>IF($C734="","",INDEX(Настройки!$V$6:$V$17,MONTH($C734))&amp;" "&amp;YEAR($C734))</f>
        <v/>
      </c>
      <c r="N734" s="57">
        <f>IF($F734="","",IF(COUNTIF(Постоянные!$C$8:$C$37,$F734)&gt;0,"есть в Постоянных",IF(COUNTIF(Покупки!$C$7:$C$18,$F734)&gt;0,"есть в Покупках","")))</f>
        <v/>
      </c>
      <c r="P734">
        <f>IF($H734&lt;&gt;"",$H734,IF($I734="Оплачено",N($G734),0))</f>
        <v/>
      </c>
      <c r="Q734">
        <f>IF($I734="Отменено",0,IF($G734&lt;&gt;"",$G734,N($H734)))</f>
        <v/>
      </c>
      <c r="R734">
        <f>IF($C734="","",IFERROR(DATE(Настройки!$C$8,Настройки!$D$9+MATCH($M734,Настройки!$X$6:$X$17,0)-1,1),DATE(YEAR($C734),MONTH($C734),1)))</f>
        <v/>
      </c>
      <c r="S734">
        <f>IF(OR($I734="Оплачено",$H734&lt;&gt;""),$P734,$Q734)</f>
        <v/>
      </c>
      <c r="T734">
        <f>IF(OR($C734="",$D734="Доход",$I734="Оплачено",$I734="Отменено",$H734&lt;&gt;"",$C734&lt;TODAY()),"",$C734)</f>
        <v/>
      </c>
      <c r="U734">
        <f>IF(AND($D734&lt;&gt;"Доход",COUNTIFS(Счета!$B$10:$B$21,$J734,Счета!$C$10:$C$21,"Кредитная")&gt;0),1,0)</f>
        <v/>
      </c>
    </row>
    <row r="735" ht="19" customHeight="1">
      <c r="B735" s="53">
        <f>IF(AND($C735="",$F735=""),"",ROW()-9)</f>
        <v/>
      </c>
      <c r="C735" s="213" t="n"/>
      <c r="D735" s="55" t="n"/>
      <c r="E735" s="55" t="n"/>
      <c r="F735" s="56" t="n"/>
      <c r="G735" s="196" t="n"/>
      <c r="H735" s="196" t="n"/>
      <c r="I735" s="55" t="n"/>
      <c r="J735" s="55" t="n"/>
      <c r="K735" s="55" t="n"/>
      <c r="L735" s="100">
        <f>IF(OR($C735="",$I735="Оплачено",$I735="Отменено",$H735&lt;&gt;""),"",$C735-TODAY())</f>
        <v/>
      </c>
      <c r="M735" s="101">
        <f>IF($C735="","",INDEX(Настройки!$V$6:$V$17,MONTH($C735))&amp;" "&amp;YEAR($C735))</f>
        <v/>
      </c>
      <c r="N735" s="57">
        <f>IF($F735="","",IF(COUNTIF(Постоянные!$C$8:$C$37,$F735)&gt;0,"есть в Постоянных",IF(COUNTIF(Покупки!$C$7:$C$18,$F735)&gt;0,"есть в Покупках","")))</f>
        <v/>
      </c>
      <c r="P735">
        <f>IF($H735&lt;&gt;"",$H735,IF($I735="Оплачено",N($G735),0))</f>
        <v/>
      </c>
      <c r="Q735">
        <f>IF($I735="Отменено",0,IF($G735&lt;&gt;"",$G735,N($H735)))</f>
        <v/>
      </c>
      <c r="R735">
        <f>IF($C735="","",IFERROR(DATE(Настройки!$C$8,Настройки!$D$9+MATCH($M735,Настройки!$X$6:$X$17,0)-1,1),DATE(YEAR($C735),MONTH($C735),1)))</f>
        <v/>
      </c>
      <c r="S735">
        <f>IF(OR($I735="Оплачено",$H735&lt;&gt;""),$P735,$Q735)</f>
        <v/>
      </c>
      <c r="T735">
        <f>IF(OR($C735="",$D735="Доход",$I735="Оплачено",$I735="Отменено",$H735&lt;&gt;"",$C735&lt;TODAY()),"",$C735)</f>
        <v/>
      </c>
      <c r="U735">
        <f>IF(AND($D735&lt;&gt;"Доход",COUNTIFS(Счета!$B$10:$B$21,$J735,Счета!$C$10:$C$21,"Кредитная")&gt;0),1,0)</f>
        <v/>
      </c>
    </row>
    <row r="736" ht="19" customHeight="1">
      <c r="B736" s="53">
        <f>IF(AND($C736="",$F736=""),"",ROW()-9)</f>
        <v/>
      </c>
      <c r="C736" s="213" t="n"/>
      <c r="D736" s="55" t="n"/>
      <c r="E736" s="55" t="n"/>
      <c r="F736" s="56" t="n"/>
      <c r="G736" s="196" t="n"/>
      <c r="H736" s="196" t="n"/>
      <c r="I736" s="55" t="n"/>
      <c r="J736" s="55" t="n"/>
      <c r="K736" s="55" t="n"/>
      <c r="L736" s="100">
        <f>IF(OR($C736="",$I736="Оплачено",$I736="Отменено",$H736&lt;&gt;""),"",$C736-TODAY())</f>
        <v/>
      </c>
      <c r="M736" s="101">
        <f>IF($C736="","",INDEX(Настройки!$V$6:$V$17,MONTH($C736))&amp;" "&amp;YEAR($C736))</f>
        <v/>
      </c>
      <c r="N736" s="57">
        <f>IF($F736="","",IF(COUNTIF(Постоянные!$C$8:$C$37,$F736)&gt;0,"есть в Постоянных",IF(COUNTIF(Покупки!$C$7:$C$18,$F736)&gt;0,"есть в Покупках","")))</f>
        <v/>
      </c>
      <c r="P736">
        <f>IF($H736&lt;&gt;"",$H736,IF($I736="Оплачено",N($G736),0))</f>
        <v/>
      </c>
      <c r="Q736">
        <f>IF($I736="Отменено",0,IF($G736&lt;&gt;"",$G736,N($H736)))</f>
        <v/>
      </c>
      <c r="R736">
        <f>IF($C736="","",IFERROR(DATE(Настройки!$C$8,Настройки!$D$9+MATCH($M736,Настройки!$X$6:$X$17,0)-1,1),DATE(YEAR($C736),MONTH($C736),1)))</f>
        <v/>
      </c>
      <c r="S736">
        <f>IF(OR($I736="Оплачено",$H736&lt;&gt;""),$P736,$Q736)</f>
        <v/>
      </c>
      <c r="T736">
        <f>IF(OR($C736="",$D736="Доход",$I736="Оплачено",$I736="Отменено",$H736&lt;&gt;"",$C736&lt;TODAY()),"",$C736)</f>
        <v/>
      </c>
      <c r="U736">
        <f>IF(AND($D736&lt;&gt;"Доход",COUNTIFS(Счета!$B$10:$B$21,$J736,Счета!$C$10:$C$21,"Кредитная")&gt;0),1,0)</f>
        <v/>
      </c>
    </row>
    <row r="737" ht="19" customHeight="1">
      <c r="B737" s="53">
        <f>IF(AND($C737="",$F737=""),"",ROW()-9)</f>
        <v/>
      </c>
      <c r="C737" s="213" t="n"/>
      <c r="D737" s="55" t="n"/>
      <c r="E737" s="55" t="n"/>
      <c r="F737" s="56" t="n"/>
      <c r="G737" s="196" t="n"/>
      <c r="H737" s="196" t="n"/>
      <c r="I737" s="55" t="n"/>
      <c r="J737" s="55" t="n"/>
      <c r="K737" s="55" t="n"/>
      <c r="L737" s="100">
        <f>IF(OR($C737="",$I737="Оплачено",$I737="Отменено",$H737&lt;&gt;""),"",$C737-TODAY())</f>
        <v/>
      </c>
      <c r="M737" s="101">
        <f>IF($C737="","",INDEX(Настройки!$V$6:$V$17,MONTH($C737))&amp;" "&amp;YEAR($C737))</f>
        <v/>
      </c>
      <c r="N737" s="57">
        <f>IF($F737="","",IF(COUNTIF(Постоянные!$C$8:$C$37,$F737)&gt;0,"есть в Постоянных",IF(COUNTIF(Покупки!$C$7:$C$18,$F737)&gt;0,"есть в Покупках","")))</f>
        <v/>
      </c>
      <c r="P737">
        <f>IF($H737&lt;&gt;"",$H737,IF($I737="Оплачено",N($G737),0))</f>
        <v/>
      </c>
      <c r="Q737">
        <f>IF($I737="Отменено",0,IF($G737&lt;&gt;"",$G737,N($H737)))</f>
        <v/>
      </c>
      <c r="R737">
        <f>IF($C737="","",IFERROR(DATE(Настройки!$C$8,Настройки!$D$9+MATCH($M737,Настройки!$X$6:$X$17,0)-1,1),DATE(YEAR($C737),MONTH($C737),1)))</f>
        <v/>
      </c>
      <c r="S737">
        <f>IF(OR($I737="Оплачено",$H737&lt;&gt;""),$P737,$Q737)</f>
        <v/>
      </c>
      <c r="T737">
        <f>IF(OR($C737="",$D737="Доход",$I737="Оплачено",$I737="Отменено",$H737&lt;&gt;"",$C737&lt;TODAY()),"",$C737)</f>
        <v/>
      </c>
      <c r="U737">
        <f>IF(AND($D737&lt;&gt;"Доход",COUNTIFS(Счета!$B$10:$B$21,$J737,Счета!$C$10:$C$21,"Кредитная")&gt;0),1,0)</f>
        <v/>
      </c>
    </row>
    <row r="738" ht="19" customHeight="1">
      <c r="B738" s="53">
        <f>IF(AND($C738="",$F738=""),"",ROW()-9)</f>
        <v/>
      </c>
      <c r="C738" s="213" t="n"/>
      <c r="D738" s="55" t="n"/>
      <c r="E738" s="55" t="n"/>
      <c r="F738" s="56" t="n"/>
      <c r="G738" s="196" t="n"/>
      <c r="H738" s="196" t="n"/>
      <c r="I738" s="55" t="n"/>
      <c r="J738" s="55" t="n"/>
      <c r="K738" s="55" t="n"/>
      <c r="L738" s="100">
        <f>IF(OR($C738="",$I738="Оплачено",$I738="Отменено",$H738&lt;&gt;""),"",$C738-TODAY())</f>
        <v/>
      </c>
      <c r="M738" s="101">
        <f>IF($C738="","",INDEX(Настройки!$V$6:$V$17,MONTH($C738))&amp;" "&amp;YEAR($C738))</f>
        <v/>
      </c>
      <c r="N738" s="57">
        <f>IF($F738="","",IF(COUNTIF(Постоянные!$C$8:$C$37,$F738)&gt;0,"есть в Постоянных",IF(COUNTIF(Покупки!$C$7:$C$18,$F738)&gt;0,"есть в Покупках","")))</f>
        <v/>
      </c>
      <c r="P738">
        <f>IF($H738&lt;&gt;"",$H738,IF($I738="Оплачено",N($G738),0))</f>
        <v/>
      </c>
      <c r="Q738">
        <f>IF($I738="Отменено",0,IF($G738&lt;&gt;"",$G738,N($H738)))</f>
        <v/>
      </c>
      <c r="R738">
        <f>IF($C738="","",IFERROR(DATE(Настройки!$C$8,Настройки!$D$9+MATCH($M738,Настройки!$X$6:$X$17,0)-1,1),DATE(YEAR($C738),MONTH($C738),1)))</f>
        <v/>
      </c>
      <c r="S738">
        <f>IF(OR($I738="Оплачено",$H738&lt;&gt;""),$P738,$Q738)</f>
        <v/>
      </c>
      <c r="T738">
        <f>IF(OR($C738="",$D738="Доход",$I738="Оплачено",$I738="Отменено",$H738&lt;&gt;"",$C738&lt;TODAY()),"",$C738)</f>
        <v/>
      </c>
      <c r="U738">
        <f>IF(AND($D738&lt;&gt;"Доход",COUNTIFS(Счета!$B$10:$B$21,$J738,Счета!$C$10:$C$21,"Кредитная")&gt;0),1,0)</f>
        <v/>
      </c>
    </row>
    <row r="739" ht="19" customHeight="1">
      <c r="B739" s="53">
        <f>IF(AND($C739="",$F739=""),"",ROW()-9)</f>
        <v/>
      </c>
      <c r="C739" s="213" t="n"/>
      <c r="D739" s="55" t="n"/>
      <c r="E739" s="55" t="n"/>
      <c r="F739" s="56" t="n"/>
      <c r="G739" s="196" t="n"/>
      <c r="H739" s="196" t="n"/>
      <c r="I739" s="55" t="n"/>
      <c r="J739" s="55" t="n"/>
      <c r="K739" s="55" t="n"/>
      <c r="L739" s="100">
        <f>IF(OR($C739="",$I739="Оплачено",$I739="Отменено",$H739&lt;&gt;""),"",$C739-TODAY())</f>
        <v/>
      </c>
      <c r="M739" s="101">
        <f>IF($C739="","",INDEX(Настройки!$V$6:$V$17,MONTH($C739))&amp;" "&amp;YEAR($C739))</f>
        <v/>
      </c>
      <c r="N739" s="57">
        <f>IF($F739="","",IF(COUNTIF(Постоянные!$C$8:$C$37,$F739)&gt;0,"есть в Постоянных",IF(COUNTIF(Покупки!$C$7:$C$18,$F739)&gt;0,"есть в Покупках","")))</f>
        <v/>
      </c>
      <c r="P739">
        <f>IF($H739&lt;&gt;"",$H739,IF($I739="Оплачено",N($G739),0))</f>
        <v/>
      </c>
      <c r="Q739">
        <f>IF($I739="Отменено",0,IF($G739&lt;&gt;"",$G739,N($H739)))</f>
        <v/>
      </c>
      <c r="R739">
        <f>IF($C739="","",IFERROR(DATE(Настройки!$C$8,Настройки!$D$9+MATCH($M739,Настройки!$X$6:$X$17,0)-1,1),DATE(YEAR($C739),MONTH($C739),1)))</f>
        <v/>
      </c>
      <c r="S739">
        <f>IF(OR($I739="Оплачено",$H739&lt;&gt;""),$P739,$Q739)</f>
        <v/>
      </c>
      <c r="T739">
        <f>IF(OR($C739="",$D739="Доход",$I739="Оплачено",$I739="Отменено",$H739&lt;&gt;"",$C739&lt;TODAY()),"",$C739)</f>
        <v/>
      </c>
      <c r="U739">
        <f>IF(AND($D739&lt;&gt;"Доход",COUNTIFS(Счета!$B$10:$B$21,$J739,Счета!$C$10:$C$21,"Кредитная")&gt;0),1,0)</f>
        <v/>
      </c>
    </row>
    <row r="740" ht="19" customHeight="1">
      <c r="B740" s="53">
        <f>IF(AND($C740="",$F740=""),"",ROW()-9)</f>
        <v/>
      </c>
      <c r="C740" s="213" t="n"/>
      <c r="D740" s="55" t="n"/>
      <c r="E740" s="55" t="n"/>
      <c r="F740" s="56" t="n"/>
      <c r="G740" s="196" t="n"/>
      <c r="H740" s="196" t="n"/>
      <c r="I740" s="55" t="n"/>
      <c r="J740" s="55" t="n"/>
      <c r="K740" s="55" t="n"/>
      <c r="L740" s="100">
        <f>IF(OR($C740="",$I740="Оплачено",$I740="Отменено",$H740&lt;&gt;""),"",$C740-TODAY())</f>
        <v/>
      </c>
      <c r="M740" s="101">
        <f>IF($C740="","",INDEX(Настройки!$V$6:$V$17,MONTH($C740))&amp;" "&amp;YEAR($C740))</f>
        <v/>
      </c>
      <c r="N740" s="57">
        <f>IF($F740="","",IF(COUNTIF(Постоянные!$C$8:$C$37,$F740)&gt;0,"есть в Постоянных",IF(COUNTIF(Покупки!$C$7:$C$18,$F740)&gt;0,"есть в Покупках","")))</f>
        <v/>
      </c>
      <c r="P740">
        <f>IF($H740&lt;&gt;"",$H740,IF($I740="Оплачено",N($G740),0))</f>
        <v/>
      </c>
      <c r="Q740">
        <f>IF($I740="Отменено",0,IF($G740&lt;&gt;"",$G740,N($H740)))</f>
        <v/>
      </c>
      <c r="R740">
        <f>IF($C740="","",IFERROR(DATE(Настройки!$C$8,Настройки!$D$9+MATCH($M740,Настройки!$X$6:$X$17,0)-1,1),DATE(YEAR($C740),MONTH($C740),1)))</f>
        <v/>
      </c>
      <c r="S740">
        <f>IF(OR($I740="Оплачено",$H740&lt;&gt;""),$P740,$Q740)</f>
        <v/>
      </c>
      <c r="T740">
        <f>IF(OR($C740="",$D740="Доход",$I740="Оплачено",$I740="Отменено",$H740&lt;&gt;"",$C740&lt;TODAY()),"",$C740)</f>
        <v/>
      </c>
      <c r="U740">
        <f>IF(AND($D740&lt;&gt;"Доход",COUNTIFS(Счета!$B$10:$B$21,$J740,Счета!$C$10:$C$21,"Кредитная")&gt;0),1,0)</f>
        <v/>
      </c>
    </row>
    <row r="741" ht="19" customHeight="1">
      <c r="B741" s="53">
        <f>IF(AND($C741="",$F741=""),"",ROW()-9)</f>
        <v/>
      </c>
      <c r="C741" s="213" t="n"/>
      <c r="D741" s="55" t="n"/>
      <c r="E741" s="55" t="n"/>
      <c r="F741" s="56" t="n"/>
      <c r="G741" s="196" t="n"/>
      <c r="H741" s="196" t="n"/>
      <c r="I741" s="55" t="n"/>
      <c r="J741" s="55" t="n"/>
      <c r="K741" s="55" t="n"/>
      <c r="L741" s="100">
        <f>IF(OR($C741="",$I741="Оплачено",$I741="Отменено",$H741&lt;&gt;""),"",$C741-TODAY())</f>
        <v/>
      </c>
      <c r="M741" s="101">
        <f>IF($C741="","",INDEX(Настройки!$V$6:$V$17,MONTH($C741))&amp;" "&amp;YEAR($C741))</f>
        <v/>
      </c>
      <c r="N741" s="57">
        <f>IF($F741="","",IF(COUNTIF(Постоянные!$C$8:$C$37,$F741)&gt;0,"есть в Постоянных",IF(COUNTIF(Покупки!$C$7:$C$18,$F741)&gt;0,"есть в Покупках","")))</f>
        <v/>
      </c>
      <c r="P741">
        <f>IF($H741&lt;&gt;"",$H741,IF($I741="Оплачено",N($G741),0))</f>
        <v/>
      </c>
      <c r="Q741">
        <f>IF($I741="Отменено",0,IF($G741&lt;&gt;"",$G741,N($H741)))</f>
        <v/>
      </c>
      <c r="R741">
        <f>IF($C741="","",IFERROR(DATE(Настройки!$C$8,Настройки!$D$9+MATCH($M741,Настройки!$X$6:$X$17,0)-1,1),DATE(YEAR($C741),MONTH($C741),1)))</f>
        <v/>
      </c>
      <c r="S741">
        <f>IF(OR($I741="Оплачено",$H741&lt;&gt;""),$P741,$Q741)</f>
        <v/>
      </c>
      <c r="T741">
        <f>IF(OR($C741="",$D741="Доход",$I741="Оплачено",$I741="Отменено",$H741&lt;&gt;"",$C741&lt;TODAY()),"",$C741)</f>
        <v/>
      </c>
      <c r="U741">
        <f>IF(AND($D741&lt;&gt;"Доход",COUNTIFS(Счета!$B$10:$B$21,$J741,Счета!$C$10:$C$21,"Кредитная")&gt;0),1,0)</f>
        <v/>
      </c>
    </row>
    <row r="742" ht="19" customHeight="1">
      <c r="B742" s="53">
        <f>IF(AND($C742="",$F742=""),"",ROW()-9)</f>
        <v/>
      </c>
      <c r="C742" s="213" t="n"/>
      <c r="D742" s="55" t="n"/>
      <c r="E742" s="55" t="n"/>
      <c r="F742" s="56" t="n"/>
      <c r="G742" s="196" t="n"/>
      <c r="H742" s="196" t="n"/>
      <c r="I742" s="55" t="n"/>
      <c r="J742" s="55" t="n"/>
      <c r="K742" s="55" t="n"/>
      <c r="L742" s="100">
        <f>IF(OR($C742="",$I742="Оплачено",$I742="Отменено",$H742&lt;&gt;""),"",$C742-TODAY())</f>
        <v/>
      </c>
      <c r="M742" s="101">
        <f>IF($C742="","",INDEX(Настройки!$V$6:$V$17,MONTH($C742))&amp;" "&amp;YEAR($C742))</f>
        <v/>
      </c>
      <c r="N742" s="57">
        <f>IF($F742="","",IF(COUNTIF(Постоянные!$C$8:$C$37,$F742)&gt;0,"есть в Постоянных",IF(COUNTIF(Покупки!$C$7:$C$18,$F742)&gt;0,"есть в Покупках","")))</f>
        <v/>
      </c>
      <c r="P742">
        <f>IF($H742&lt;&gt;"",$H742,IF($I742="Оплачено",N($G742),0))</f>
        <v/>
      </c>
      <c r="Q742">
        <f>IF($I742="Отменено",0,IF($G742&lt;&gt;"",$G742,N($H742)))</f>
        <v/>
      </c>
      <c r="R742">
        <f>IF($C742="","",IFERROR(DATE(Настройки!$C$8,Настройки!$D$9+MATCH($M742,Настройки!$X$6:$X$17,0)-1,1),DATE(YEAR($C742),MONTH($C742),1)))</f>
        <v/>
      </c>
      <c r="S742">
        <f>IF(OR($I742="Оплачено",$H742&lt;&gt;""),$P742,$Q742)</f>
        <v/>
      </c>
      <c r="T742">
        <f>IF(OR($C742="",$D742="Доход",$I742="Оплачено",$I742="Отменено",$H742&lt;&gt;"",$C742&lt;TODAY()),"",$C742)</f>
        <v/>
      </c>
      <c r="U742">
        <f>IF(AND($D742&lt;&gt;"Доход",COUNTIFS(Счета!$B$10:$B$21,$J742,Счета!$C$10:$C$21,"Кредитная")&gt;0),1,0)</f>
        <v/>
      </c>
    </row>
    <row r="743" ht="19" customHeight="1">
      <c r="B743" s="53">
        <f>IF(AND($C743="",$F743=""),"",ROW()-9)</f>
        <v/>
      </c>
      <c r="C743" s="213" t="n"/>
      <c r="D743" s="55" t="n"/>
      <c r="E743" s="55" t="n"/>
      <c r="F743" s="56" t="n"/>
      <c r="G743" s="196" t="n"/>
      <c r="H743" s="196" t="n"/>
      <c r="I743" s="55" t="n"/>
      <c r="J743" s="55" t="n"/>
      <c r="K743" s="55" t="n"/>
      <c r="L743" s="100">
        <f>IF(OR($C743="",$I743="Оплачено",$I743="Отменено",$H743&lt;&gt;""),"",$C743-TODAY())</f>
        <v/>
      </c>
      <c r="M743" s="101">
        <f>IF($C743="","",INDEX(Настройки!$V$6:$V$17,MONTH($C743))&amp;" "&amp;YEAR($C743))</f>
        <v/>
      </c>
      <c r="N743" s="57">
        <f>IF($F743="","",IF(COUNTIF(Постоянные!$C$8:$C$37,$F743)&gt;0,"есть в Постоянных",IF(COUNTIF(Покупки!$C$7:$C$18,$F743)&gt;0,"есть в Покупках","")))</f>
        <v/>
      </c>
      <c r="P743">
        <f>IF($H743&lt;&gt;"",$H743,IF($I743="Оплачено",N($G743),0))</f>
        <v/>
      </c>
      <c r="Q743">
        <f>IF($I743="Отменено",0,IF($G743&lt;&gt;"",$G743,N($H743)))</f>
        <v/>
      </c>
      <c r="R743">
        <f>IF($C743="","",IFERROR(DATE(Настройки!$C$8,Настройки!$D$9+MATCH($M743,Настройки!$X$6:$X$17,0)-1,1),DATE(YEAR($C743),MONTH($C743),1)))</f>
        <v/>
      </c>
      <c r="S743">
        <f>IF(OR($I743="Оплачено",$H743&lt;&gt;""),$P743,$Q743)</f>
        <v/>
      </c>
      <c r="T743">
        <f>IF(OR($C743="",$D743="Доход",$I743="Оплачено",$I743="Отменено",$H743&lt;&gt;"",$C743&lt;TODAY()),"",$C743)</f>
        <v/>
      </c>
      <c r="U743">
        <f>IF(AND($D743&lt;&gt;"Доход",COUNTIFS(Счета!$B$10:$B$21,$J743,Счета!$C$10:$C$21,"Кредитная")&gt;0),1,0)</f>
        <v/>
      </c>
    </row>
    <row r="744" ht="19" customHeight="1">
      <c r="B744" s="53">
        <f>IF(AND($C744="",$F744=""),"",ROW()-9)</f>
        <v/>
      </c>
      <c r="C744" s="213" t="n"/>
      <c r="D744" s="55" t="n"/>
      <c r="E744" s="55" t="n"/>
      <c r="F744" s="56" t="n"/>
      <c r="G744" s="196" t="n"/>
      <c r="H744" s="196" t="n"/>
      <c r="I744" s="55" t="n"/>
      <c r="J744" s="55" t="n"/>
      <c r="K744" s="55" t="n"/>
      <c r="L744" s="100">
        <f>IF(OR($C744="",$I744="Оплачено",$I744="Отменено",$H744&lt;&gt;""),"",$C744-TODAY())</f>
        <v/>
      </c>
      <c r="M744" s="101">
        <f>IF($C744="","",INDEX(Настройки!$V$6:$V$17,MONTH($C744))&amp;" "&amp;YEAR($C744))</f>
        <v/>
      </c>
      <c r="N744" s="57">
        <f>IF($F744="","",IF(COUNTIF(Постоянные!$C$8:$C$37,$F744)&gt;0,"есть в Постоянных",IF(COUNTIF(Покупки!$C$7:$C$18,$F744)&gt;0,"есть в Покупках","")))</f>
        <v/>
      </c>
      <c r="P744">
        <f>IF($H744&lt;&gt;"",$H744,IF($I744="Оплачено",N($G744),0))</f>
        <v/>
      </c>
      <c r="Q744">
        <f>IF($I744="Отменено",0,IF($G744&lt;&gt;"",$G744,N($H744)))</f>
        <v/>
      </c>
      <c r="R744">
        <f>IF($C744="","",IFERROR(DATE(Настройки!$C$8,Настройки!$D$9+MATCH($M744,Настройки!$X$6:$X$17,0)-1,1),DATE(YEAR($C744),MONTH($C744),1)))</f>
        <v/>
      </c>
      <c r="S744">
        <f>IF(OR($I744="Оплачено",$H744&lt;&gt;""),$P744,$Q744)</f>
        <v/>
      </c>
      <c r="T744">
        <f>IF(OR($C744="",$D744="Доход",$I744="Оплачено",$I744="Отменено",$H744&lt;&gt;"",$C744&lt;TODAY()),"",$C744)</f>
        <v/>
      </c>
      <c r="U744">
        <f>IF(AND($D744&lt;&gt;"Доход",COUNTIFS(Счета!$B$10:$B$21,$J744,Счета!$C$10:$C$21,"Кредитная")&gt;0),1,0)</f>
        <v/>
      </c>
    </row>
    <row r="745" ht="19" customHeight="1">
      <c r="B745" s="53">
        <f>IF(AND($C745="",$F745=""),"",ROW()-9)</f>
        <v/>
      </c>
      <c r="C745" s="213" t="n"/>
      <c r="D745" s="55" t="n"/>
      <c r="E745" s="55" t="n"/>
      <c r="F745" s="56" t="n"/>
      <c r="G745" s="196" t="n"/>
      <c r="H745" s="196" t="n"/>
      <c r="I745" s="55" t="n"/>
      <c r="J745" s="55" t="n"/>
      <c r="K745" s="55" t="n"/>
      <c r="L745" s="100">
        <f>IF(OR($C745="",$I745="Оплачено",$I745="Отменено",$H745&lt;&gt;""),"",$C745-TODAY())</f>
        <v/>
      </c>
      <c r="M745" s="101">
        <f>IF($C745="","",INDEX(Настройки!$V$6:$V$17,MONTH($C745))&amp;" "&amp;YEAR($C745))</f>
        <v/>
      </c>
      <c r="N745" s="57">
        <f>IF($F745="","",IF(COUNTIF(Постоянные!$C$8:$C$37,$F745)&gt;0,"есть в Постоянных",IF(COUNTIF(Покупки!$C$7:$C$18,$F745)&gt;0,"есть в Покупках","")))</f>
        <v/>
      </c>
      <c r="P745">
        <f>IF($H745&lt;&gt;"",$H745,IF($I745="Оплачено",N($G745),0))</f>
        <v/>
      </c>
      <c r="Q745">
        <f>IF($I745="Отменено",0,IF($G745&lt;&gt;"",$G745,N($H745)))</f>
        <v/>
      </c>
      <c r="R745">
        <f>IF($C745="","",IFERROR(DATE(Настройки!$C$8,Настройки!$D$9+MATCH($M745,Настройки!$X$6:$X$17,0)-1,1),DATE(YEAR($C745),MONTH($C745),1)))</f>
        <v/>
      </c>
      <c r="S745">
        <f>IF(OR($I745="Оплачено",$H745&lt;&gt;""),$P745,$Q745)</f>
        <v/>
      </c>
      <c r="T745">
        <f>IF(OR($C745="",$D745="Доход",$I745="Оплачено",$I745="Отменено",$H745&lt;&gt;"",$C745&lt;TODAY()),"",$C745)</f>
        <v/>
      </c>
      <c r="U745">
        <f>IF(AND($D745&lt;&gt;"Доход",COUNTIFS(Счета!$B$10:$B$21,$J745,Счета!$C$10:$C$21,"Кредитная")&gt;0),1,0)</f>
        <v/>
      </c>
    </row>
    <row r="746" ht="19" customHeight="1">
      <c r="B746" s="53">
        <f>IF(AND($C746="",$F746=""),"",ROW()-9)</f>
        <v/>
      </c>
      <c r="C746" s="213" t="n"/>
      <c r="D746" s="55" t="n"/>
      <c r="E746" s="55" t="n"/>
      <c r="F746" s="56" t="n"/>
      <c r="G746" s="196" t="n"/>
      <c r="H746" s="196" t="n"/>
      <c r="I746" s="55" t="n"/>
      <c r="J746" s="55" t="n"/>
      <c r="K746" s="55" t="n"/>
      <c r="L746" s="100">
        <f>IF(OR($C746="",$I746="Оплачено",$I746="Отменено",$H746&lt;&gt;""),"",$C746-TODAY())</f>
        <v/>
      </c>
      <c r="M746" s="101">
        <f>IF($C746="","",INDEX(Настройки!$V$6:$V$17,MONTH($C746))&amp;" "&amp;YEAR($C746))</f>
        <v/>
      </c>
      <c r="N746" s="57">
        <f>IF($F746="","",IF(COUNTIF(Постоянные!$C$8:$C$37,$F746)&gt;0,"есть в Постоянных",IF(COUNTIF(Покупки!$C$7:$C$18,$F746)&gt;0,"есть в Покупках","")))</f>
        <v/>
      </c>
      <c r="P746">
        <f>IF($H746&lt;&gt;"",$H746,IF($I746="Оплачено",N($G746),0))</f>
        <v/>
      </c>
      <c r="Q746">
        <f>IF($I746="Отменено",0,IF($G746&lt;&gt;"",$G746,N($H746)))</f>
        <v/>
      </c>
      <c r="R746">
        <f>IF($C746="","",IFERROR(DATE(Настройки!$C$8,Настройки!$D$9+MATCH($M746,Настройки!$X$6:$X$17,0)-1,1),DATE(YEAR($C746),MONTH($C746),1)))</f>
        <v/>
      </c>
      <c r="S746">
        <f>IF(OR($I746="Оплачено",$H746&lt;&gt;""),$P746,$Q746)</f>
        <v/>
      </c>
      <c r="T746">
        <f>IF(OR($C746="",$D746="Доход",$I746="Оплачено",$I746="Отменено",$H746&lt;&gt;"",$C746&lt;TODAY()),"",$C746)</f>
        <v/>
      </c>
      <c r="U746">
        <f>IF(AND($D746&lt;&gt;"Доход",COUNTIFS(Счета!$B$10:$B$21,$J746,Счета!$C$10:$C$21,"Кредитная")&gt;0),1,0)</f>
        <v/>
      </c>
    </row>
    <row r="747" ht="19" customHeight="1">
      <c r="B747" s="53">
        <f>IF(AND($C747="",$F747=""),"",ROW()-9)</f>
        <v/>
      </c>
      <c r="C747" s="213" t="n"/>
      <c r="D747" s="55" t="n"/>
      <c r="E747" s="55" t="n"/>
      <c r="F747" s="56" t="n"/>
      <c r="G747" s="196" t="n"/>
      <c r="H747" s="196" t="n"/>
      <c r="I747" s="55" t="n"/>
      <c r="J747" s="55" t="n"/>
      <c r="K747" s="55" t="n"/>
      <c r="L747" s="100">
        <f>IF(OR($C747="",$I747="Оплачено",$I747="Отменено",$H747&lt;&gt;""),"",$C747-TODAY())</f>
        <v/>
      </c>
      <c r="M747" s="101">
        <f>IF($C747="","",INDEX(Настройки!$V$6:$V$17,MONTH($C747))&amp;" "&amp;YEAR($C747))</f>
        <v/>
      </c>
      <c r="N747" s="57">
        <f>IF($F747="","",IF(COUNTIF(Постоянные!$C$8:$C$37,$F747)&gt;0,"есть в Постоянных",IF(COUNTIF(Покупки!$C$7:$C$18,$F747)&gt;0,"есть в Покупках","")))</f>
        <v/>
      </c>
      <c r="P747">
        <f>IF($H747&lt;&gt;"",$H747,IF($I747="Оплачено",N($G747),0))</f>
        <v/>
      </c>
      <c r="Q747">
        <f>IF($I747="Отменено",0,IF($G747&lt;&gt;"",$G747,N($H747)))</f>
        <v/>
      </c>
      <c r="R747">
        <f>IF($C747="","",IFERROR(DATE(Настройки!$C$8,Настройки!$D$9+MATCH($M747,Настройки!$X$6:$X$17,0)-1,1),DATE(YEAR($C747),MONTH($C747),1)))</f>
        <v/>
      </c>
      <c r="S747">
        <f>IF(OR($I747="Оплачено",$H747&lt;&gt;""),$P747,$Q747)</f>
        <v/>
      </c>
      <c r="T747">
        <f>IF(OR($C747="",$D747="Доход",$I747="Оплачено",$I747="Отменено",$H747&lt;&gt;"",$C747&lt;TODAY()),"",$C747)</f>
        <v/>
      </c>
      <c r="U747">
        <f>IF(AND($D747&lt;&gt;"Доход",COUNTIFS(Счета!$B$10:$B$21,$J747,Счета!$C$10:$C$21,"Кредитная")&gt;0),1,0)</f>
        <v/>
      </c>
    </row>
    <row r="748" ht="19" customHeight="1">
      <c r="B748" s="53">
        <f>IF(AND($C748="",$F748=""),"",ROW()-9)</f>
        <v/>
      </c>
      <c r="C748" s="213" t="n"/>
      <c r="D748" s="55" t="n"/>
      <c r="E748" s="55" t="n"/>
      <c r="F748" s="56" t="n"/>
      <c r="G748" s="196" t="n"/>
      <c r="H748" s="196" t="n"/>
      <c r="I748" s="55" t="n"/>
      <c r="J748" s="55" t="n"/>
      <c r="K748" s="55" t="n"/>
      <c r="L748" s="100">
        <f>IF(OR($C748="",$I748="Оплачено",$I748="Отменено",$H748&lt;&gt;""),"",$C748-TODAY())</f>
        <v/>
      </c>
      <c r="M748" s="101">
        <f>IF($C748="","",INDEX(Настройки!$V$6:$V$17,MONTH($C748))&amp;" "&amp;YEAR($C748))</f>
        <v/>
      </c>
      <c r="N748" s="57">
        <f>IF($F748="","",IF(COUNTIF(Постоянные!$C$8:$C$37,$F748)&gt;0,"есть в Постоянных",IF(COUNTIF(Покупки!$C$7:$C$18,$F748)&gt;0,"есть в Покупках","")))</f>
        <v/>
      </c>
      <c r="P748">
        <f>IF($H748&lt;&gt;"",$H748,IF($I748="Оплачено",N($G748),0))</f>
        <v/>
      </c>
      <c r="Q748">
        <f>IF($I748="Отменено",0,IF($G748&lt;&gt;"",$G748,N($H748)))</f>
        <v/>
      </c>
      <c r="R748">
        <f>IF($C748="","",IFERROR(DATE(Настройки!$C$8,Настройки!$D$9+MATCH($M748,Настройки!$X$6:$X$17,0)-1,1),DATE(YEAR($C748),MONTH($C748),1)))</f>
        <v/>
      </c>
      <c r="S748">
        <f>IF(OR($I748="Оплачено",$H748&lt;&gt;""),$P748,$Q748)</f>
        <v/>
      </c>
      <c r="T748">
        <f>IF(OR($C748="",$D748="Доход",$I748="Оплачено",$I748="Отменено",$H748&lt;&gt;"",$C748&lt;TODAY()),"",$C748)</f>
        <v/>
      </c>
      <c r="U748">
        <f>IF(AND($D748&lt;&gt;"Доход",COUNTIFS(Счета!$B$10:$B$21,$J748,Счета!$C$10:$C$21,"Кредитная")&gt;0),1,0)</f>
        <v/>
      </c>
    </row>
    <row r="749" ht="19" customHeight="1">
      <c r="B749" s="53">
        <f>IF(AND($C749="",$F749=""),"",ROW()-9)</f>
        <v/>
      </c>
      <c r="C749" s="213" t="n"/>
      <c r="D749" s="55" t="n"/>
      <c r="E749" s="55" t="n"/>
      <c r="F749" s="56" t="n"/>
      <c r="G749" s="196" t="n"/>
      <c r="H749" s="196" t="n"/>
      <c r="I749" s="55" t="n"/>
      <c r="J749" s="55" t="n"/>
      <c r="K749" s="55" t="n"/>
      <c r="L749" s="100">
        <f>IF(OR($C749="",$I749="Оплачено",$I749="Отменено",$H749&lt;&gt;""),"",$C749-TODAY())</f>
        <v/>
      </c>
      <c r="M749" s="101">
        <f>IF($C749="","",INDEX(Настройки!$V$6:$V$17,MONTH($C749))&amp;" "&amp;YEAR($C749))</f>
        <v/>
      </c>
      <c r="N749" s="57">
        <f>IF($F749="","",IF(COUNTIF(Постоянные!$C$8:$C$37,$F749)&gt;0,"есть в Постоянных",IF(COUNTIF(Покупки!$C$7:$C$18,$F749)&gt;0,"есть в Покупках","")))</f>
        <v/>
      </c>
      <c r="P749">
        <f>IF($H749&lt;&gt;"",$H749,IF($I749="Оплачено",N($G749),0))</f>
        <v/>
      </c>
      <c r="Q749">
        <f>IF($I749="Отменено",0,IF($G749&lt;&gt;"",$G749,N($H749)))</f>
        <v/>
      </c>
      <c r="R749">
        <f>IF($C749="","",IFERROR(DATE(Настройки!$C$8,Настройки!$D$9+MATCH($M749,Настройки!$X$6:$X$17,0)-1,1),DATE(YEAR($C749),MONTH($C749),1)))</f>
        <v/>
      </c>
      <c r="S749">
        <f>IF(OR($I749="Оплачено",$H749&lt;&gt;""),$P749,$Q749)</f>
        <v/>
      </c>
      <c r="T749">
        <f>IF(OR($C749="",$D749="Доход",$I749="Оплачено",$I749="Отменено",$H749&lt;&gt;"",$C749&lt;TODAY()),"",$C749)</f>
        <v/>
      </c>
      <c r="U749">
        <f>IF(AND($D749&lt;&gt;"Доход",COUNTIFS(Счета!$B$10:$B$21,$J749,Счета!$C$10:$C$21,"Кредитная")&gt;0),1,0)</f>
        <v/>
      </c>
    </row>
    <row r="750" ht="19" customHeight="1">
      <c r="B750" s="53">
        <f>IF(AND($C750="",$F750=""),"",ROW()-9)</f>
        <v/>
      </c>
      <c r="C750" s="213" t="n"/>
      <c r="D750" s="55" t="n"/>
      <c r="E750" s="55" t="n"/>
      <c r="F750" s="56" t="n"/>
      <c r="G750" s="196" t="n"/>
      <c r="H750" s="196" t="n"/>
      <c r="I750" s="55" t="n"/>
      <c r="J750" s="55" t="n"/>
      <c r="K750" s="55" t="n"/>
      <c r="L750" s="100">
        <f>IF(OR($C750="",$I750="Оплачено",$I750="Отменено",$H750&lt;&gt;""),"",$C750-TODAY())</f>
        <v/>
      </c>
      <c r="M750" s="101">
        <f>IF($C750="","",INDEX(Настройки!$V$6:$V$17,MONTH($C750))&amp;" "&amp;YEAR($C750))</f>
        <v/>
      </c>
      <c r="N750" s="57">
        <f>IF($F750="","",IF(COUNTIF(Постоянные!$C$8:$C$37,$F750)&gt;0,"есть в Постоянных",IF(COUNTIF(Покупки!$C$7:$C$18,$F750)&gt;0,"есть в Покупках","")))</f>
        <v/>
      </c>
      <c r="P750">
        <f>IF($H750&lt;&gt;"",$H750,IF($I750="Оплачено",N($G750),0))</f>
        <v/>
      </c>
      <c r="Q750">
        <f>IF($I750="Отменено",0,IF($G750&lt;&gt;"",$G750,N($H750)))</f>
        <v/>
      </c>
      <c r="R750">
        <f>IF($C750="","",IFERROR(DATE(Настройки!$C$8,Настройки!$D$9+MATCH($M750,Настройки!$X$6:$X$17,0)-1,1),DATE(YEAR($C750),MONTH($C750),1)))</f>
        <v/>
      </c>
      <c r="S750">
        <f>IF(OR($I750="Оплачено",$H750&lt;&gt;""),$P750,$Q750)</f>
        <v/>
      </c>
      <c r="T750">
        <f>IF(OR($C750="",$D750="Доход",$I750="Оплачено",$I750="Отменено",$H750&lt;&gt;"",$C750&lt;TODAY()),"",$C750)</f>
        <v/>
      </c>
      <c r="U750">
        <f>IF(AND($D750&lt;&gt;"Доход",COUNTIFS(Счета!$B$10:$B$21,$J750,Счета!$C$10:$C$21,"Кредитная")&gt;0),1,0)</f>
        <v/>
      </c>
    </row>
    <row r="751" ht="19" customHeight="1">
      <c r="B751" s="53">
        <f>IF(AND($C751="",$F751=""),"",ROW()-9)</f>
        <v/>
      </c>
      <c r="C751" s="213" t="n"/>
      <c r="D751" s="55" t="n"/>
      <c r="E751" s="55" t="n"/>
      <c r="F751" s="56" t="n"/>
      <c r="G751" s="196" t="n"/>
      <c r="H751" s="196" t="n"/>
      <c r="I751" s="55" t="n"/>
      <c r="J751" s="55" t="n"/>
      <c r="K751" s="55" t="n"/>
      <c r="L751" s="100">
        <f>IF(OR($C751="",$I751="Оплачено",$I751="Отменено",$H751&lt;&gt;""),"",$C751-TODAY())</f>
        <v/>
      </c>
      <c r="M751" s="101">
        <f>IF($C751="","",INDEX(Настройки!$V$6:$V$17,MONTH($C751))&amp;" "&amp;YEAR($C751))</f>
        <v/>
      </c>
      <c r="N751" s="57">
        <f>IF($F751="","",IF(COUNTIF(Постоянные!$C$8:$C$37,$F751)&gt;0,"есть в Постоянных",IF(COUNTIF(Покупки!$C$7:$C$18,$F751)&gt;0,"есть в Покупках","")))</f>
        <v/>
      </c>
      <c r="P751">
        <f>IF($H751&lt;&gt;"",$H751,IF($I751="Оплачено",N($G751),0))</f>
        <v/>
      </c>
      <c r="Q751">
        <f>IF($I751="Отменено",0,IF($G751&lt;&gt;"",$G751,N($H751)))</f>
        <v/>
      </c>
      <c r="R751">
        <f>IF($C751="","",IFERROR(DATE(Настройки!$C$8,Настройки!$D$9+MATCH($M751,Настройки!$X$6:$X$17,0)-1,1),DATE(YEAR($C751),MONTH($C751),1)))</f>
        <v/>
      </c>
      <c r="S751">
        <f>IF(OR($I751="Оплачено",$H751&lt;&gt;""),$P751,$Q751)</f>
        <v/>
      </c>
      <c r="T751">
        <f>IF(OR($C751="",$D751="Доход",$I751="Оплачено",$I751="Отменено",$H751&lt;&gt;"",$C751&lt;TODAY()),"",$C751)</f>
        <v/>
      </c>
      <c r="U751">
        <f>IF(AND($D751&lt;&gt;"Доход",COUNTIFS(Счета!$B$10:$B$21,$J751,Счета!$C$10:$C$21,"Кредитная")&gt;0),1,0)</f>
        <v/>
      </c>
    </row>
    <row r="752" ht="19" customHeight="1">
      <c r="B752" s="53">
        <f>IF(AND($C752="",$F752=""),"",ROW()-9)</f>
        <v/>
      </c>
      <c r="C752" s="213" t="n"/>
      <c r="D752" s="55" t="n"/>
      <c r="E752" s="55" t="n"/>
      <c r="F752" s="56" t="n"/>
      <c r="G752" s="196" t="n"/>
      <c r="H752" s="196" t="n"/>
      <c r="I752" s="55" t="n"/>
      <c r="J752" s="55" t="n"/>
      <c r="K752" s="55" t="n"/>
      <c r="L752" s="100">
        <f>IF(OR($C752="",$I752="Оплачено",$I752="Отменено",$H752&lt;&gt;""),"",$C752-TODAY())</f>
        <v/>
      </c>
      <c r="M752" s="101">
        <f>IF($C752="","",INDEX(Настройки!$V$6:$V$17,MONTH($C752))&amp;" "&amp;YEAR($C752))</f>
        <v/>
      </c>
      <c r="N752" s="57">
        <f>IF($F752="","",IF(COUNTIF(Постоянные!$C$8:$C$37,$F752)&gt;0,"есть в Постоянных",IF(COUNTIF(Покупки!$C$7:$C$18,$F752)&gt;0,"есть в Покупках","")))</f>
        <v/>
      </c>
      <c r="P752">
        <f>IF($H752&lt;&gt;"",$H752,IF($I752="Оплачено",N($G752),0))</f>
        <v/>
      </c>
      <c r="Q752">
        <f>IF($I752="Отменено",0,IF($G752&lt;&gt;"",$G752,N($H752)))</f>
        <v/>
      </c>
      <c r="R752">
        <f>IF($C752="","",IFERROR(DATE(Настройки!$C$8,Настройки!$D$9+MATCH($M752,Настройки!$X$6:$X$17,0)-1,1),DATE(YEAR($C752),MONTH($C752),1)))</f>
        <v/>
      </c>
      <c r="S752">
        <f>IF(OR($I752="Оплачено",$H752&lt;&gt;""),$P752,$Q752)</f>
        <v/>
      </c>
      <c r="T752">
        <f>IF(OR($C752="",$D752="Доход",$I752="Оплачено",$I752="Отменено",$H752&lt;&gt;"",$C752&lt;TODAY()),"",$C752)</f>
        <v/>
      </c>
      <c r="U752">
        <f>IF(AND($D752&lt;&gt;"Доход",COUNTIFS(Счета!$B$10:$B$21,$J752,Счета!$C$10:$C$21,"Кредитная")&gt;0),1,0)</f>
        <v/>
      </c>
    </row>
    <row r="753" ht="19" customHeight="1">
      <c r="B753" s="53">
        <f>IF(AND($C753="",$F753=""),"",ROW()-9)</f>
        <v/>
      </c>
      <c r="C753" s="213" t="n"/>
      <c r="D753" s="55" t="n"/>
      <c r="E753" s="55" t="n"/>
      <c r="F753" s="56" t="n"/>
      <c r="G753" s="196" t="n"/>
      <c r="H753" s="196" t="n"/>
      <c r="I753" s="55" t="n"/>
      <c r="J753" s="55" t="n"/>
      <c r="K753" s="55" t="n"/>
      <c r="L753" s="100">
        <f>IF(OR($C753="",$I753="Оплачено",$I753="Отменено",$H753&lt;&gt;""),"",$C753-TODAY())</f>
        <v/>
      </c>
      <c r="M753" s="101">
        <f>IF($C753="","",INDEX(Настройки!$V$6:$V$17,MONTH($C753))&amp;" "&amp;YEAR($C753))</f>
        <v/>
      </c>
      <c r="N753" s="57">
        <f>IF($F753="","",IF(COUNTIF(Постоянные!$C$8:$C$37,$F753)&gt;0,"есть в Постоянных",IF(COUNTIF(Покупки!$C$7:$C$18,$F753)&gt;0,"есть в Покупках","")))</f>
        <v/>
      </c>
      <c r="P753">
        <f>IF($H753&lt;&gt;"",$H753,IF($I753="Оплачено",N($G753),0))</f>
        <v/>
      </c>
      <c r="Q753">
        <f>IF($I753="Отменено",0,IF($G753&lt;&gt;"",$G753,N($H753)))</f>
        <v/>
      </c>
      <c r="R753">
        <f>IF($C753="","",IFERROR(DATE(Настройки!$C$8,Настройки!$D$9+MATCH($M753,Настройки!$X$6:$X$17,0)-1,1),DATE(YEAR($C753),MONTH($C753),1)))</f>
        <v/>
      </c>
      <c r="S753">
        <f>IF(OR($I753="Оплачено",$H753&lt;&gt;""),$P753,$Q753)</f>
        <v/>
      </c>
      <c r="T753">
        <f>IF(OR($C753="",$D753="Доход",$I753="Оплачено",$I753="Отменено",$H753&lt;&gt;"",$C753&lt;TODAY()),"",$C753)</f>
        <v/>
      </c>
      <c r="U753">
        <f>IF(AND($D753&lt;&gt;"Доход",COUNTIFS(Счета!$B$10:$B$21,$J753,Счета!$C$10:$C$21,"Кредитная")&gt;0),1,0)</f>
        <v/>
      </c>
    </row>
    <row r="754" ht="19" customHeight="1">
      <c r="B754" s="53">
        <f>IF(AND($C754="",$F754=""),"",ROW()-9)</f>
        <v/>
      </c>
      <c r="C754" s="213" t="n"/>
      <c r="D754" s="55" t="n"/>
      <c r="E754" s="55" t="n"/>
      <c r="F754" s="56" t="n"/>
      <c r="G754" s="196" t="n"/>
      <c r="H754" s="196" t="n"/>
      <c r="I754" s="55" t="n"/>
      <c r="J754" s="55" t="n"/>
      <c r="K754" s="55" t="n"/>
      <c r="L754" s="100">
        <f>IF(OR($C754="",$I754="Оплачено",$I754="Отменено",$H754&lt;&gt;""),"",$C754-TODAY())</f>
        <v/>
      </c>
      <c r="M754" s="101">
        <f>IF($C754="","",INDEX(Настройки!$V$6:$V$17,MONTH($C754))&amp;" "&amp;YEAR($C754))</f>
        <v/>
      </c>
      <c r="N754" s="57">
        <f>IF($F754="","",IF(COUNTIF(Постоянные!$C$8:$C$37,$F754)&gt;0,"есть в Постоянных",IF(COUNTIF(Покупки!$C$7:$C$18,$F754)&gt;0,"есть в Покупках","")))</f>
        <v/>
      </c>
      <c r="P754">
        <f>IF($H754&lt;&gt;"",$H754,IF($I754="Оплачено",N($G754),0))</f>
        <v/>
      </c>
      <c r="Q754">
        <f>IF($I754="Отменено",0,IF($G754&lt;&gt;"",$G754,N($H754)))</f>
        <v/>
      </c>
      <c r="R754">
        <f>IF($C754="","",IFERROR(DATE(Настройки!$C$8,Настройки!$D$9+MATCH($M754,Настройки!$X$6:$X$17,0)-1,1),DATE(YEAR($C754),MONTH($C754),1)))</f>
        <v/>
      </c>
      <c r="S754">
        <f>IF(OR($I754="Оплачено",$H754&lt;&gt;""),$P754,$Q754)</f>
        <v/>
      </c>
      <c r="T754">
        <f>IF(OR($C754="",$D754="Доход",$I754="Оплачено",$I754="Отменено",$H754&lt;&gt;"",$C754&lt;TODAY()),"",$C754)</f>
        <v/>
      </c>
      <c r="U754">
        <f>IF(AND($D754&lt;&gt;"Доход",COUNTIFS(Счета!$B$10:$B$21,$J754,Счета!$C$10:$C$21,"Кредитная")&gt;0),1,0)</f>
        <v/>
      </c>
    </row>
    <row r="755" ht="19" customHeight="1">
      <c r="B755" s="53">
        <f>IF(AND($C755="",$F755=""),"",ROW()-9)</f>
        <v/>
      </c>
      <c r="C755" s="213" t="n"/>
      <c r="D755" s="55" t="n"/>
      <c r="E755" s="55" t="n"/>
      <c r="F755" s="56" t="n"/>
      <c r="G755" s="196" t="n"/>
      <c r="H755" s="196" t="n"/>
      <c r="I755" s="55" t="n"/>
      <c r="J755" s="55" t="n"/>
      <c r="K755" s="55" t="n"/>
      <c r="L755" s="100">
        <f>IF(OR($C755="",$I755="Оплачено",$I755="Отменено",$H755&lt;&gt;""),"",$C755-TODAY())</f>
        <v/>
      </c>
      <c r="M755" s="101">
        <f>IF($C755="","",INDEX(Настройки!$V$6:$V$17,MONTH($C755))&amp;" "&amp;YEAR($C755))</f>
        <v/>
      </c>
      <c r="N755" s="57">
        <f>IF($F755="","",IF(COUNTIF(Постоянные!$C$8:$C$37,$F755)&gt;0,"есть в Постоянных",IF(COUNTIF(Покупки!$C$7:$C$18,$F755)&gt;0,"есть в Покупках","")))</f>
        <v/>
      </c>
      <c r="P755">
        <f>IF($H755&lt;&gt;"",$H755,IF($I755="Оплачено",N($G755),0))</f>
        <v/>
      </c>
      <c r="Q755">
        <f>IF($I755="Отменено",0,IF($G755&lt;&gt;"",$G755,N($H755)))</f>
        <v/>
      </c>
      <c r="R755">
        <f>IF($C755="","",IFERROR(DATE(Настройки!$C$8,Настройки!$D$9+MATCH($M755,Настройки!$X$6:$X$17,0)-1,1),DATE(YEAR($C755),MONTH($C755),1)))</f>
        <v/>
      </c>
      <c r="S755">
        <f>IF(OR($I755="Оплачено",$H755&lt;&gt;""),$P755,$Q755)</f>
        <v/>
      </c>
      <c r="T755">
        <f>IF(OR($C755="",$D755="Доход",$I755="Оплачено",$I755="Отменено",$H755&lt;&gt;"",$C755&lt;TODAY()),"",$C755)</f>
        <v/>
      </c>
      <c r="U755">
        <f>IF(AND($D755&lt;&gt;"Доход",COUNTIFS(Счета!$B$10:$B$21,$J755,Счета!$C$10:$C$21,"Кредитная")&gt;0),1,0)</f>
        <v/>
      </c>
    </row>
    <row r="756" ht="19" customHeight="1">
      <c r="B756" s="53">
        <f>IF(AND($C756="",$F756=""),"",ROW()-9)</f>
        <v/>
      </c>
      <c r="C756" s="213" t="n"/>
      <c r="D756" s="55" t="n"/>
      <c r="E756" s="55" t="n"/>
      <c r="F756" s="56" t="n"/>
      <c r="G756" s="196" t="n"/>
      <c r="H756" s="196" t="n"/>
      <c r="I756" s="55" t="n"/>
      <c r="J756" s="55" t="n"/>
      <c r="K756" s="55" t="n"/>
      <c r="L756" s="100">
        <f>IF(OR($C756="",$I756="Оплачено",$I756="Отменено",$H756&lt;&gt;""),"",$C756-TODAY())</f>
        <v/>
      </c>
      <c r="M756" s="101">
        <f>IF($C756="","",INDEX(Настройки!$V$6:$V$17,MONTH($C756))&amp;" "&amp;YEAR($C756))</f>
        <v/>
      </c>
      <c r="N756" s="57">
        <f>IF($F756="","",IF(COUNTIF(Постоянные!$C$8:$C$37,$F756)&gt;0,"есть в Постоянных",IF(COUNTIF(Покупки!$C$7:$C$18,$F756)&gt;0,"есть в Покупках","")))</f>
        <v/>
      </c>
      <c r="P756">
        <f>IF($H756&lt;&gt;"",$H756,IF($I756="Оплачено",N($G756),0))</f>
        <v/>
      </c>
      <c r="Q756">
        <f>IF($I756="Отменено",0,IF($G756&lt;&gt;"",$G756,N($H756)))</f>
        <v/>
      </c>
      <c r="R756">
        <f>IF($C756="","",IFERROR(DATE(Настройки!$C$8,Настройки!$D$9+MATCH($M756,Настройки!$X$6:$X$17,0)-1,1),DATE(YEAR($C756),MONTH($C756),1)))</f>
        <v/>
      </c>
      <c r="S756">
        <f>IF(OR($I756="Оплачено",$H756&lt;&gt;""),$P756,$Q756)</f>
        <v/>
      </c>
      <c r="T756">
        <f>IF(OR($C756="",$D756="Доход",$I756="Оплачено",$I756="Отменено",$H756&lt;&gt;"",$C756&lt;TODAY()),"",$C756)</f>
        <v/>
      </c>
      <c r="U756">
        <f>IF(AND($D756&lt;&gt;"Доход",COUNTIFS(Счета!$B$10:$B$21,$J756,Счета!$C$10:$C$21,"Кредитная")&gt;0),1,0)</f>
        <v/>
      </c>
    </row>
    <row r="757" ht="19" customHeight="1">
      <c r="B757" s="53">
        <f>IF(AND($C757="",$F757=""),"",ROW()-9)</f>
        <v/>
      </c>
      <c r="C757" s="213" t="n"/>
      <c r="D757" s="55" t="n"/>
      <c r="E757" s="55" t="n"/>
      <c r="F757" s="56" t="n"/>
      <c r="G757" s="196" t="n"/>
      <c r="H757" s="196" t="n"/>
      <c r="I757" s="55" t="n"/>
      <c r="J757" s="55" t="n"/>
      <c r="K757" s="55" t="n"/>
      <c r="L757" s="100">
        <f>IF(OR($C757="",$I757="Оплачено",$I757="Отменено",$H757&lt;&gt;""),"",$C757-TODAY())</f>
        <v/>
      </c>
      <c r="M757" s="101">
        <f>IF($C757="","",INDEX(Настройки!$V$6:$V$17,MONTH($C757))&amp;" "&amp;YEAR($C757))</f>
        <v/>
      </c>
      <c r="N757" s="57">
        <f>IF($F757="","",IF(COUNTIF(Постоянные!$C$8:$C$37,$F757)&gt;0,"есть в Постоянных",IF(COUNTIF(Покупки!$C$7:$C$18,$F757)&gt;0,"есть в Покупках","")))</f>
        <v/>
      </c>
      <c r="P757">
        <f>IF($H757&lt;&gt;"",$H757,IF($I757="Оплачено",N($G757),0))</f>
        <v/>
      </c>
      <c r="Q757">
        <f>IF($I757="Отменено",0,IF($G757&lt;&gt;"",$G757,N($H757)))</f>
        <v/>
      </c>
      <c r="R757">
        <f>IF($C757="","",IFERROR(DATE(Настройки!$C$8,Настройки!$D$9+MATCH($M757,Настройки!$X$6:$X$17,0)-1,1),DATE(YEAR($C757),MONTH($C757),1)))</f>
        <v/>
      </c>
      <c r="S757">
        <f>IF(OR($I757="Оплачено",$H757&lt;&gt;""),$P757,$Q757)</f>
        <v/>
      </c>
      <c r="T757">
        <f>IF(OR($C757="",$D757="Доход",$I757="Оплачено",$I757="Отменено",$H757&lt;&gt;"",$C757&lt;TODAY()),"",$C757)</f>
        <v/>
      </c>
      <c r="U757">
        <f>IF(AND($D757&lt;&gt;"Доход",COUNTIFS(Счета!$B$10:$B$21,$J757,Счета!$C$10:$C$21,"Кредитная")&gt;0),1,0)</f>
        <v/>
      </c>
    </row>
    <row r="758" ht="19" customHeight="1">
      <c r="B758" s="53">
        <f>IF(AND($C758="",$F758=""),"",ROW()-9)</f>
        <v/>
      </c>
      <c r="C758" s="213" t="n"/>
      <c r="D758" s="55" t="n"/>
      <c r="E758" s="55" t="n"/>
      <c r="F758" s="56" t="n"/>
      <c r="G758" s="196" t="n"/>
      <c r="H758" s="196" t="n"/>
      <c r="I758" s="55" t="n"/>
      <c r="J758" s="55" t="n"/>
      <c r="K758" s="55" t="n"/>
      <c r="L758" s="100">
        <f>IF(OR($C758="",$I758="Оплачено",$I758="Отменено",$H758&lt;&gt;""),"",$C758-TODAY())</f>
        <v/>
      </c>
      <c r="M758" s="101">
        <f>IF($C758="","",INDEX(Настройки!$V$6:$V$17,MONTH($C758))&amp;" "&amp;YEAR($C758))</f>
        <v/>
      </c>
      <c r="N758" s="57">
        <f>IF($F758="","",IF(COUNTIF(Постоянные!$C$8:$C$37,$F758)&gt;0,"есть в Постоянных",IF(COUNTIF(Покупки!$C$7:$C$18,$F758)&gt;0,"есть в Покупках","")))</f>
        <v/>
      </c>
      <c r="P758">
        <f>IF($H758&lt;&gt;"",$H758,IF($I758="Оплачено",N($G758),0))</f>
        <v/>
      </c>
      <c r="Q758">
        <f>IF($I758="Отменено",0,IF($G758&lt;&gt;"",$G758,N($H758)))</f>
        <v/>
      </c>
      <c r="R758">
        <f>IF($C758="","",IFERROR(DATE(Настройки!$C$8,Настройки!$D$9+MATCH($M758,Настройки!$X$6:$X$17,0)-1,1),DATE(YEAR($C758),MONTH($C758),1)))</f>
        <v/>
      </c>
      <c r="S758">
        <f>IF(OR($I758="Оплачено",$H758&lt;&gt;""),$P758,$Q758)</f>
        <v/>
      </c>
      <c r="T758">
        <f>IF(OR($C758="",$D758="Доход",$I758="Оплачено",$I758="Отменено",$H758&lt;&gt;"",$C758&lt;TODAY()),"",$C758)</f>
        <v/>
      </c>
      <c r="U758">
        <f>IF(AND($D758&lt;&gt;"Доход",COUNTIFS(Счета!$B$10:$B$21,$J758,Счета!$C$10:$C$21,"Кредитная")&gt;0),1,0)</f>
        <v/>
      </c>
    </row>
    <row r="759" ht="19" customHeight="1">
      <c r="B759" s="53">
        <f>IF(AND($C759="",$F759=""),"",ROW()-9)</f>
        <v/>
      </c>
      <c r="C759" s="213" t="n"/>
      <c r="D759" s="55" t="n"/>
      <c r="E759" s="55" t="n"/>
      <c r="F759" s="56" t="n"/>
      <c r="G759" s="196" t="n"/>
      <c r="H759" s="196" t="n"/>
      <c r="I759" s="55" t="n"/>
      <c r="J759" s="55" t="n"/>
      <c r="K759" s="55" t="n"/>
      <c r="L759" s="100">
        <f>IF(OR($C759="",$I759="Оплачено",$I759="Отменено",$H759&lt;&gt;""),"",$C759-TODAY())</f>
        <v/>
      </c>
      <c r="M759" s="101">
        <f>IF($C759="","",INDEX(Настройки!$V$6:$V$17,MONTH($C759))&amp;" "&amp;YEAR($C759))</f>
        <v/>
      </c>
      <c r="N759" s="57">
        <f>IF($F759="","",IF(COUNTIF(Постоянные!$C$8:$C$37,$F759)&gt;0,"есть в Постоянных",IF(COUNTIF(Покупки!$C$7:$C$18,$F759)&gt;0,"есть в Покупках","")))</f>
        <v/>
      </c>
      <c r="P759">
        <f>IF($H759&lt;&gt;"",$H759,IF($I759="Оплачено",N($G759),0))</f>
        <v/>
      </c>
      <c r="Q759">
        <f>IF($I759="Отменено",0,IF($G759&lt;&gt;"",$G759,N($H759)))</f>
        <v/>
      </c>
      <c r="R759">
        <f>IF($C759="","",IFERROR(DATE(Настройки!$C$8,Настройки!$D$9+MATCH($M759,Настройки!$X$6:$X$17,0)-1,1),DATE(YEAR($C759),MONTH($C759),1)))</f>
        <v/>
      </c>
      <c r="S759">
        <f>IF(OR($I759="Оплачено",$H759&lt;&gt;""),$P759,$Q759)</f>
        <v/>
      </c>
      <c r="T759">
        <f>IF(OR($C759="",$D759="Доход",$I759="Оплачено",$I759="Отменено",$H759&lt;&gt;"",$C759&lt;TODAY()),"",$C759)</f>
        <v/>
      </c>
      <c r="U759">
        <f>IF(AND($D759&lt;&gt;"Доход",COUNTIFS(Счета!$B$10:$B$21,$J759,Счета!$C$10:$C$21,"Кредитная")&gt;0),1,0)</f>
        <v/>
      </c>
    </row>
    <row r="760" ht="19" customHeight="1">
      <c r="B760" s="53">
        <f>IF(AND($C760="",$F760=""),"",ROW()-9)</f>
        <v/>
      </c>
      <c r="C760" s="213" t="n"/>
      <c r="D760" s="55" t="n"/>
      <c r="E760" s="55" t="n"/>
      <c r="F760" s="56" t="n"/>
      <c r="G760" s="196" t="n"/>
      <c r="H760" s="196" t="n"/>
      <c r="I760" s="55" t="n"/>
      <c r="J760" s="55" t="n"/>
      <c r="K760" s="55" t="n"/>
      <c r="L760" s="100">
        <f>IF(OR($C760="",$I760="Оплачено",$I760="Отменено",$H760&lt;&gt;""),"",$C760-TODAY())</f>
        <v/>
      </c>
      <c r="M760" s="101">
        <f>IF($C760="","",INDEX(Настройки!$V$6:$V$17,MONTH($C760))&amp;" "&amp;YEAR($C760))</f>
        <v/>
      </c>
      <c r="N760" s="57">
        <f>IF($F760="","",IF(COUNTIF(Постоянные!$C$8:$C$37,$F760)&gt;0,"есть в Постоянных",IF(COUNTIF(Покупки!$C$7:$C$18,$F760)&gt;0,"есть в Покупках","")))</f>
        <v/>
      </c>
      <c r="P760">
        <f>IF($H760&lt;&gt;"",$H760,IF($I760="Оплачено",N($G760),0))</f>
        <v/>
      </c>
      <c r="Q760">
        <f>IF($I760="Отменено",0,IF($G760&lt;&gt;"",$G760,N($H760)))</f>
        <v/>
      </c>
      <c r="R760">
        <f>IF($C760="","",IFERROR(DATE(Настройки!$C$8,Настройки!$D$9+MATCH($M760,Настройки!$X$6:$X$17,0)-1,1),DATE(YEAR($C760),MONTH($C760),1)))</f>
        <v/>
      </c>
      <c r="S760">
        <f>IF(OR($I760="Оплачено",$H760&lt;&gt;""),$P760,$Q760)</f>
        <v/>
      </c>
      <c r="T760">
        <f>IF(OR($C760="",$D760="Доход",$I760="Оплачено",$I760="Отменено",$H760&lt;&gt;"",$C760&lt;TODAY()),"",$C760)</f>
        <v/>
      </c>
      <c r="U760">
        <f>IF(AND($D760&lt;&gt;"Доход",COUNTIFS(Счета!$B$10:$B$21,$J760,Счета!$C$10:$C$21,"Кредитная")&gt;0),1,0)</f>
        <v/>
      </c>
    </row>
    <row r="761" ht="19" customHeight="1">
      <c r="B761" s="53">
        <f>IF(AND($C761="",$F761=""),"",ROW()-9)</f>
        <v/>
      </c>
      <c r="C761" s="213" t="n"/>
      <c r="D761" s="55" t="n"/>
      <c r="E761" s="55" t="n"/>
      <c r="F761" s="56" t="n"/>
      <c r="G761" s="196" t="n"/>
      <c r="H761" s="196" t="n"/>
      <c r="I761" s="55" t="n"/>
      <c r="J761" s="55" t="n"/>
      <c r="K761" s="55" t="n"/>
      <c r="L761" s="100">
        <f>IF(OR($C761="",$I761="Оплачено",$I761="Отменено",$H761&lt;&gt;""),"",$C761-TODAY())</f>
        <v/>
      </c>
      <c r="M761" s="101">
        <f>IF($C761="","",INDEX(Настройки!$V$6:$V$17,MONTH($C761))&amp;" "&amp;YEAR($C761))</f>
        <v/>
      </c>
      <c r="N761" s="57">
        <f>IF($F761="","",IF(COUNTIF(Постоянные!$C$8:$C$37,$F761)&gt;0,"есть в Постоянных",IF(COUNTIF(Покупки!$C$7:$C$18,$F761)&gt;0,"есть в Покупках","")))</f>
        <v/>
      </c>
      <c r="P761">
        <f>IF($H761&lt;&gt;"",$H761,IF($I761="Оплачено",N($G761),0))</f>
        <v/>
      </c>
      <c r="Q761">
        <f>IF($I761="Отменено",0,IF($G761&lt;&gt;"",$G761,N($H761)))</f>
        <v/>
      </c>
      <c r="R761">
        <f>IF($C761="","",IFERROR(DATE(Настройки!$C$8,Настройки!$D$9+MATCH($M761,Настройки!$X$6:$X$17,0)-1,1),DATE(YEAR($C761),MONTH($C761),1)))</f>
        <v/>
      </c>
      <c r="S761">
        <f>IF(OR($I761="Оплачено",$H761&lt;&gt;""),$P761,$Q761)</f>
        <v/>
      </c>
      <c r="T761">
        <f>IF(OR($C761="",$D761="Доход",$I761="Оплачено",$I761="Отменено",$H761&lt;&gt;"",$C761&lt;TODAY()),"",$C761)</f>
        <v/>
      </c>
      <c r="U761">
        <f>IF(AND($D761&lt;&gt;"Доход",COUNTIFS(Счета!$B$10:$B$21,$J761,Счета!$C$10:$C$21,"Кредитная")&gt;0),1,0)</f>
        <v/>
      </c>
    </row>
    <row r="762" ht="19" customHeight="1">
      <c r="B762" s="53">
        <f>IF(AND($C762="",$F762=""),"",ROW()-9)</f>
        <v/>
      </c>
      <c r="C762" s="213" t="n"/>
      <c r="D762" s="55" t="n"/>
      <c r="E762" s="55" t="n"/>
      <c r="F762" s="56" t="n"/>
      <c r="G762" s="196" t="n"/>
      <c r="H762" s="196" t="n"/>
      <c r="I762" s="55" t="n"/>
      <c r="J762" s="55" t="n"/>
      <c r="K762" s="55" t="n"/>
      <c r="L762" s="100">
        <f>IF(OR($C762="",$I762="Оплачено",$I762="Отменено",$H762&lt;&gt;""),"",$C762-TODAY())</f>
        <v/>
      </c>
      <c r="M762" s="101">
        <f>IF($C762="","",INDEX(Настройки!$V$6:$V$17,MONTH($C762))&amp;" "&amp;YEAR($C762))</f>
        <v/>
      </c>
      <c r="N762" s="57">
        <f>IF($F762="","",IF(COUNTIF(Постоянные!$C$8:$C$37,$F762)&gt;0,"есть в Постоянных",IF(COUNTIF(Покупки!$C$7:$C$18,$F762)&gt;0,"есть в Покупках","")))</f>
        <v/>
      </c>
      <c r="P762">
        <f>IF($H762&lt;&gt;"",$H762,IF($I762="Оплачено",N($G762),0))</f>
        <v/>
      </c>
      <c r="Q762">
        <f>IF($I762="Отменено",0,IF($G762&lt;&gt;"",$G762,N($H762)))</f>
        <v/>
      </c>
      <c r="R762">
        <f>IF($C762="","",IFERROR(DATE(Настройки!$C$8,Настройки!$D$9+MATCH($M762,Настройки!$X$6:$X$17,0)-1,1),DATE(YEAR($C762),MONTH($C762),1)))</f>
        <v/>
      </c>
      <c r="S762">
        <f>IF(OR($I762="Оплачено",$H762&lt;&gt;""),$P762,$Q762)</f>
        <v/>
      </c>
      <c r="T762">
        <f>IF(OR($C762="",$D762="Доход",$I762="Оплачено",$I762="Отменено",$H762&lt;&gt;"",$C762&lt;TODAY()),"",$C762)</f>
        <v/>
      </c>
      <c r="U762">
        <f>IF(AND($D762&lt;&gt;"Доход",COUNTIFS(Счета!$B$10:$B$21,$J762,Счета!$C$10:$C$21,"Кредитная")&gt;0),1,0)</f>
        <v/>
      </c>
    </row>
    <row r="763" ht="19" customHeight="1">
      <c r="B763" s="53">
        <f>IF(AND($C763="",$F763=""),"",ROW()-9)</f>
        <v/>
      </c>
      <c r="C763" s="213" t="n"/>
      <c r="D763" s="55" t="n"/>
      <c r="E763" s="55" t="n"/>
      <c r="F763" s="56" t="n"/>
      <c r="G763" s="196" t="n"/>
      <c r="H763" s="196" t="n"/>
      <c r="I763" s="55" t="n"/>
      <c r="J763" s="55" t="n"/>
      <c r="K763" s="55" t="n"/>
      <c r="L763" s="100">
        <f>IF(OR($C763="",$I763="Оплачено",$I763="Отменено",$H763&lt;&gt;""),"",$C763-TODAY())</f>
        <v/>
      </c>
      <c r="M763" s="101">
        <f>IF($C763="","",INDEX(Настройки!$V$6:$V$17,MONTH($C763))&amp;" "&amp;YEAR($C763))</f>
        <v/>
      </c>
      <c r="N763" s="57">
        <f>IF($F763="","",IF(COUNTIF(Постоянные!$C$8:$C$37,$F763)&gt;0,"есть в Постоянных",IF(COUNTIF(Покупки!$C$7:$C$18,$F763)&gt;0,"есть в Покупках","")))</f>
        <v/>
      </c>
      <c r="P763">
        <f>IF($H763&lt;&gt;"",$H763,IF($I763="Оплачено",N($G763),0))</f>
        <v/>
      </c>
      <c r="Q763">
        <f>IF($I763="Отменено",0,IF($G763&lt;&gt;"",$G763,N($H763)))</f>
        <v/>
      </c>
      <c r="R763">
        <f>IF($C763="","",IFERROR(DATE(Настройки!$C$8,Настройки!$D$9+MATCH($M763,Настройки!$X$6:$X$17,0)-1,1),DATE(YEAR($C763),MONTH($C763),1)))</f>
        <v/>
      </c>
      <c r="S763">
        <f>IF(OR($I763="Оплачено",$H763&lt;&gt;""),$P763,$Q763)</f>
        <v/>
      </c>
      <c r="T763">
        <f>IF(OR($C763="",$D763="Доход",$I763="Оплачено",$I763="Отменено",$H763&lt;&gt;"",$C763&lt;TODAY()),"",$C763)</f>
        <v/>
      </c>
      <c r="U763">
        <f>IF(AND($D763&lt;&gt;"Доход",COUNTIFS(Счета!$B$10:$B$21,$J763,Счета!$C$10:$C$21,"Кредитная")&gt;0),1,0)</f>
        <v/>
      </c>
    </row>
    <row r="764" ht="19" customHeight="1">
      <c r="B764" s="53">
        <f>IF(AND($C764="",$F764=""),"",ROW()-9)</f>
        <v/>
      </c>
      <c r="C764" s="213" t="n"/>
      <c r="D764" s="55" t="n"/>
      <c r="E764" s="55" t="n"/>
      <c r="F764" s="56" t="n"/>
      <c r="G764" s="196" t="n"/>
      <c r="H764" s="196" t="n"/>
      <c r="I764" s="55" t="n"/>
      <c r="J764" s="55" t="n"/>
      <c r="K764" s="55" t="n"/>
      <c r="L764" s="100">
        <f>IF(OR($C764="",$I764="Оплачено",$I764="Отменено",$H764&lt;&gt;""),"",$C764-TODAY())</f>
        <v/>
      </c>
      <c r="M764" s="101">
        <f>IF($C764="","",INDEX(Настройки!$V$6:$V$17,MONTH($C764))&amp;" "&amp;YEAR($C764))</f>
        <v/>
      </c>
      <c r="N764" s="57">
        <f>IF($F764="","",IF(COUNTIF(Постоянные!$C$8:$C$37,$F764)&gt;0,"есть в Постоянных",IF(COUNTIF(Покупки!$C$7:$C$18,$F764)&gt;0,"есть в Покупках","")))</f>
        <v/>
      </c>
      <c r="P764">
        <f>IF($H764&lt;&gt;"",$H764,IF($I764="Оплачено",N($G764),0))</f>
        <v/>
      </c>
      <c r="Q764">
        <f>IF($I764="Отменено",0,IF($G764&lt;&gt;"",$G764,N($H764)))</f>
        <v/>
      </c>
      <c r="R764">
        <f>IF($C764="","",IFERROR(DATE(Настройки!$C$8,Настройки!$D$9+MATCH($M764,Настройки!$X$6:$X$17,0)-1,1),DATE(YEAR($C764),MONTH($C764),1)))</f>
        <v/>
      </c>
      <c r="S764">
        <f>IF(OR($I764="Оплачено",$H764&lt;&gt;""),$P764,$Q764)</f>
        <v/>
      </c>
      <c r="T764">
        <f>IF(OR($C764="",$D764="Доход",$I764="Оплачено",$I764="Отменено",$H764&lt;&gt;"",$C764&lt;TODAY()),"",$C764)</f>
        <v/>
      </c>
      <c r="U764">
        <f>IF(AND($D764&lt;&gt;"Доход",COUNTIFS(Счета!$B$10:$B$21,$J764,Счета!$C$10:$C$21,"Кредитная")&gt;0),1,0)</f>
        <v/>
      </c>
    </row>
    <row r="765" ht="19" customHeight="1">
      <c r="B765" s="53">
        <f>IF(AND($C765="",$F765=""),"",ROW()-9)</f>
        <v/>
      </c>
      <c r="C765" s="213" t="n"/>
      <c r="D765" s="55" t="n"/>
      <c r="E765" s="55" t="n"/>
      <c r="F765" s="56" t="n"/>
      <c r="G765" s="196" t="n"/>
      <c r="H765" s="196" t="n"/>
      <c r="I765" s="55" t="n"/>
      <c r="J765" s="55" t="n"/>
      <c r="K765" s="55" t="n"/>
      <c r="L765" s="100">
        <f>IF(OR($C765="",$I765="Оплачено",$I765="Отменено",$H765&lt;&gt;""),"",$C765-TODAY())</f>
        <v/>
      </c>
      <c r="M765" s="101">
        <f>IF($C765="","",INDEX(Настройки!$V$6:$V$17,MONTH($C765))&amp;" "&amp;YEAR($C765))</f>
        <v/>
      </c>
      <c r="N765" s="57">
        <f>IF($F765="","",IF(COUNTIF(Постоянные!$C$8:$C$37,$F765)&gt;0,"есть в Постоянных",IF(COUNTIF(Покупки!$C$7:$C$18,$F765)&gt;0,"есть в Покупках","")))</f>
        <v/>
      </c>
      <c r="P765">
        <f>IF($H765&lt;&gt;"",$H765,IF($I765="Оплачено",N($G765),0))</f>
        <v/>
      </c>
      <c r="Q765">
        <f>IF($I765="Отменено",0,IF($G765&lt;&gt;"",$G765,N($H765)))</f>
        <v/>
      </c>
      <c r="R765">
        <f>IF($C765="","",IFERROR(DATE(Настройки!$C$8,Настройки!$D$9+MATCH($M765,Настройки!$X$6:$X$17,0)-1,1),DATE(YEAR($C765),MONTH($C765),1)))</f>
        <v/>
      </c>
      <c r="S765">
        <f>IF(OR($I765="Оплачено",$H765&lt;&gt;""),$P765,$Q765)</f>
        <v/>
      </c>
      <c r="T765">
        <f>IF(OR($C765="",$D765="Доход",$I765="Оплачено",$I765="Отменено",$H765&lt;&gt;"",$C765&lt;TODAY()),"",$C765)</f>
        <v/>
      </c>
      <c r="U765">
        <f>IF(AND($D765&lt;&gt;"Доход",COUNTIFS(Счета!$B$10:$B$21,$J765,Счета!$C$10:$C$21,"Кредитная")&gt;0),1,0)</f>
        <v/>
      </c>
    </row>
    <row r="766" ht="19" customHeight="1">
      <c r="B766" s="53">
        <f>IF(AND($C766="",$F766=""),"",ROW()-9)</f>
        <v/>
      </c>
      <c r="C766" s="213" t="n"/>
      <c r="D766" s="55" t="n"/>
      <c r="E766" s="55" t="n"/>
      <c r="F766" s="56" t="n"/>
      <c r="G766" s="196" t="n"/>
      <c r="H766" s="196" t="n"/>
      <c r="I766" s="55" t="n"/>
      <c r="J766" s="55" t="n"/>
      <c r="K766" s="55" t="n"/>
      <c r="L766" s="100">
        <f>IF(OR($C766="",$I766="Оплачено",$I766="Отменено",$H766&lt;&gt;""),"",$C766-TODAY())</f>
        <v/>
      </c>
      <c r="M766" s="101">
        <f>IF($C766="","",INDEX(Настройки!$V$6:$V$17,MONTH($C766))&amp;" "&amp;YEAR($C766))</f>
        <v/>
      </c>
      <c r="N766" s="57">
        <f>IF($F766="","",IF(COUNTIF(Постоянные!$C$8:$C$37,$F766)&gt;0,"есть в Постоянных",IF(COUNTIF(Покупки!$C$7:$C$18,$F766)&gt;0,"есть в Покупках","")))</f>
        <v/>
      </c>
      <c r="P766">
        <f>IF($H766&lt;&gt;"",$H766,IF($I766="Оплачено",N($G766),0))</f>
        <v/>
      </c>
      <c r="Q766">
        <f>IF($I766="Отменено",0,IF($G766&lt;&gt;"",$G766,N($H766)))</f>
        <v/>
      </c>
      <c r="R766">
        <f>IF($C766="","",IFERROR(DATE(Настройки!$C$8,Настройки!$D$9+MATCH($M766,Настройки!$X$6:$X$17,0)-1,1),DATE(YEAR($C766),MONTH($C766),1)))</f>
        <v/>
      </c>
      <c r="S766">
        <f>IF(OR($I766="Оплачено",$H766&lt;&gt;""),$P766,$Q766)</f>
        <v/>
      </c>
      <c r="T766">
        <f>IF(OR($C766="",$D766="Доход",$I766="Оплачено",$I766="Отменено",$H766&lt;&gt;"",$C766&lt;TODAY()),"",$C766)</f>
        <v/>
      </c>
      <c r="U766">
        <f>IF(AND($D766&lt;&gt;"Доход",COUNTIFS(Счета!$B$10:$B$21,$J766,Счета!$C$10:$C$21,"Кредитная")&gt;0),1,0)</f>
        <v/>
      </c>
    </row>
    <row r="767" ht="19" customHeight="1">
      <c r="B767" s="53">
        <f>IF(AND($C767="",$F767=""),"",ROW()-9)</f>
        <v/>
      </c>
      <c r="C767" s="213" t="n"/>
      <c r="D767" s="55" t="n"/>
      <c r="E767" s="55" t="n"/>
      <c r="F767" s="56" t="n"/>
      <c r="G767" s="196" t="n"/>
      <c r="H767" s="196" t="n"/>
      <c r="I767" s="55" t="n"/>
      <c r="J767" s="55" t="n"/>
      <c r="K767" s="55" t="n"/>
      <c r="L767" s="100">
        <f>IF(OR($C767="",$I767="Оплачено",$I767="Отменено",$H767&lt;&gt;""),"",$C767-TODAY())</f>
        <v/>
      </c>
      <c r="M767" s="101">
        <f>IF($C767="","",INDEX(Настройки!$V$6:$V$17,MONTH($C767))&amp;" "&amp;YEAR($C767))</f>
        <v/>
      </c>
      <c r="N767" s="57">
        <f>IF($F767="","",IF(COUNTIF(Постоянные!$C$8:$C$37,$F767)&gt;0,"есть в Постоянных",IF(COUNTIF(Покупки!$C$7:$C$18,$F767)&gt;0,"есть в Покупках","")))</f>
        <v/>
      </c>
      <c r="P767">
        <f>IF($H767&lt;&gt;"",$H767,IF($I767="Оплачено",N($G767),0))</f>
        <v/>
      </c>
      <c r="Q767">
        <f>IF($I767="Отменено",0,IF($G767&lt;&gt;"",$G767,N($H767)))</f>
        <v/>
      </c>
      <c r="R767">
        <f>IF($C767="","",IFERROR(DATE(Настройки!$C$8,Настройки!$D$9+MATCH($M767,Настройки!$X$6:$X$17,0)-1,1),DATE(YEAR($C767),MONTH($C767),1)))</f>
        <v/>
      </c>
      <c r="S767">
        <f>IF(OR($I767="Оплачено",$H767&lt;&gt;""),$P767,$Q767)</f>
        <v/>
      </c>
      <c r="T767">
        <f>IF(OR($C767="",$D767="Доход",$I767="Оплачено",$I767="Отменено",$H767&lt;&gt;"",$C767&lt;TODAY()),"",$C767)</f>
        <v/>
      </c>
      <c r="U767">
        <f>IF(AND($D767&lt;&gt;"Доход",COUNTIFS(Счета!$B$10:$B$21,$J767,Счета!$C$10:$C$21,"Кредитная")&gt;0),1,0)</f>
        <v/>
      </c>
    </row>
    <row r="768" ht="19" customHeight="1">
      <c r="B768" s="53">
        <f>IF(AND($C768="",$F768=""),"",ROW()-9)</f>
        <v/>
      </c>
      <c r="C768" s="213" t="n"/>
      <c r="D768" s="55" t="n"/>
      <c r="E768" s="55" t="n"/>
      <c r="F768" s="56" t="n"/>
      <c r="G768" s="196" t="n"/>
      <c r="H768" s="196" t="n"/>
      <c r="I768" s="55" t="n"/>
      <c r="J768" s="55" t="n"/>
      <c r="K768" s="55" t="n"/>
      <c r="L768" s="100">
        <f>IF(OR($C768="",$I768="Оплачено",$I768="Отменено",$H768&lt;&gt;""),"",$C768-TODAY())</f>
        <v/>
      </c>
      <c r="M768" s="101">
        <f>IF($C768="","",INDEX(Настройки!$V$6:$V$17,MONTH($C768))&amp;" "&amp;YEAR($C768))</f>
        <v/>
      </c>
      <c r="N768" s="57">
        <f>IF($F768="","",IF(COUNTIF(Постоянные!$C$8:$C$37,$F768)&gt;0,"есть в Постоянных",IF(COUNTIF(Покупки!$C$7:$C$18,$F768)&gt;0,"есть в Покупках","")))</f>
        <v/>
      </c>
      <c r="P768">
        <f>IF($H768&lt;&gt;"",$H768,IF($I768="Оплачено",N($G768),0))</f>
        <v/>
      </c>
      <c r="Q768">
        <f>IF($I768="Отменено",0,IF($G768&lt;&gt;"",$G768,N($H768)))</f>
        <v/>
      </c>
      <c r="R768">
        <f>IF($C768="","",IFERROR(DATE(Настройки!$C$8,Настройки!$D$9+MATCH($M768,Настройки!$X$6:$X$17,0)-1,1),DATE(YEAR($C768),MONTH($C768),1)))</f>
        <v/>
      </c>
      <c r="S768">
        <f>IF(OR($I768="Оплачено",$H768&lt;&gt;""),$P768,$Q768)</f>
        <v/>
      </c>
      <c r="T768">
        <f>IF(OR($C768="",$D768="Доход",$I768="Оплачено",$I768="Отменено",$H768&lt;&gt;"",$C768&lt;TODAY()),"",$C768)</f>
        <v/>
      </c>
      <c r="U768">
        <f>IF(AND($D768&lt;&gt;"Доход",COUNTIFS(Счета!$B$10:$B$21,$J768,Счета!$C$10:$C$21,"Кредитная")&gt;0),1,0)</f>
        <v/>
      </c>
    </row>
    <row r="769" ht="19" customHeight="1">
      <c r="B769" s="53">
        <f>IF(AND($C769="",$F769=""),"",ROW()-9)</f>
        <v/>
      </c>
      <c r="C769" s="213" t="n"/>
      <c r="D769" s="55" t="n"/>
      <c r="E769" s="55" t="n"/>
      <c r="F769" s="56" t="n"/>
      <c r="G769" s="196" t="n"/>
      <c r="H769" s="196" t="n"/>
      <c r="I769" s="55" t="n"/>
      <c r="J769" s="55" t="n"/>
      <c r="K769" s="55" t="n"/>
      <c r="L769" s="100">
        <f>IF(OR($C769="",$I769="Оплачено",$I769="Отменено",$H769&lt;&gt;""),"",$C769-TODAY())</f>
        <v/>
      </c>
      <c r="M769" s="101">
        <f>IF($C769="","",INDEX(Настройки!$V$6:$V$17,MONTH($C769))&amp;" "&amp;YEAR($C769))</f>
        <v/>
      </c>
      <c r="N769" s="57">
        <f>IF($F769="","",IF(COUNTIF(Постоянные!$C$8:$C$37,$F769)&gt;0,"есть в Постоянных",IF(COUNTIF(Покупки!$C$7:$C$18,$F769)&gt;0,"есть в Покупках","")))</f>
        <v/>
      </c>
      <c r="P769">
        <f>IF($H769&lt;&gt;"",$H769,IF($I769="Оплачено",N($G769),0))</f>
        <v/>
      </c>
      <c r="Q769">
        <f>IF($I769="Отменено",0,IF($G769&lt;&gt;"",$G769,N($H769)))</f>
        <v/>
      </c>
      <c r="R769">
        <f>IF($C769="","",IFERROR(DATE(Настройки!$C$8,Настройки!$D$9+MATCH($M769,Настройки!$X$6:$X$17,0)-1,1),DATE(YEAR($C769),MONTH($C769),1)))</f>
        <v/>
      </c>
      <c r="S769">
        <f>IF(OR($I769="Оплачено",$H769&lt;&gt;""),$P769,$Q769)</f>
        <v/>
      </c>
      <c r="T769">
        <f>IF(OR($C769="",$D769="Доход",$I769="Оплачено",$I769="Отменено",$H769&lt;&gt;"",$C769&lt;TODAY()),"",$C769)</f>
        <v/>
      </c>
      <c r="U769">
        <f>IF(AND($D769&lt;&gt;"Доход",COUNTIFS(Счета!$B$10:$B$21,$J769,Счета!$C$10:$C$21,"Кредитная")&gt;0),1,0)</f>
        <v/>
      </c>
    </row>
    <row r="770" ht="19" customHeight="1">
      <c r="B770" s="53">
        <f>IF(AND($C770="",$F770=""),"",ROW()-9)</f>
        <v/>
      </c>
      <c r="C770" s="213" t="n"/>
      <c r="D770" s="55" t="n"/>
      <c r="E770" s="55" t="n"/>
      <c r="F770" s="56" t="n"/>
      <c r="G770" s="196" t="n"/>
      <c r="H770" s="196" t="n"/>
      <c r="I770" s="55" t="n"/>
      <c r="J770" s="55" t="n"/>
      <c r="K770" s="55" t="n"/>
      <c r="L770" s="100">
        <f>IF(OR($C770="",$I770="Оплачено",$I770="Отменено",$H770&lt;&gt;""),"",$C770-TODAY())</f>
        <v/>
      </c>
      <c r="M770" s="101">
        <f>IF($C770="","",INDEX(Настройки!$V$6:$V$17,MONTH($C770))&amp;" "&amp;YEAR($C770))</f>
        <v/>
      </c>
      <c r="N770" s="57">
        <f>IF($F770="","",IF(COUNTIF(Постоянные!$C$8:$C$37,$F770)&gt;0,"есть в Постоянных",IF(COUNTIF(Покупки!$C$7:$C$18,$F770)&gt;0,"есть в Покупках","")))</f>
        <v/>
      </c>
      <c r="P770">
        <f>IF($H770&lt;&gt;"",$H770,IF($I770="Оплачено",N($G770),0))</f>
        <v/>
      </c>
      <c r="Q770">
        <f>IF($I770="Отменено",0,IF($G770&lt;&gt;"",$G770,N($H770)))</f>
        <v/>
      </c>
      <c r="R770">
        <f>IF($C770="","",IFERROR(DATE(Настройки!$C$8,Настройки!$D$9+MATCH($M770,Настройки!$X$6:$X$17,0)-1,1),DATE(YEAR($C770),MONTH($C770),1)))</f>
        <v/>
      </c>
      <c r="S770">
        <f>IF(OR($I770="Оплачено",$H770&lt;&gt;""),$P770,$Q770)</f>
        <v/>
      </c>
      <c r="T770">
        <f>IF(OR($C770="",$D770="Доход",$I770="Оплачено",$I770="Отменено",$H770&lt;&gt;"",$C770&lt;TODAY()),"",$C770)</f>
        <v/>
      </c>
      <c r="U770">
        <f>IF(AND($D770&lt;&gt;"Доход",COUNTIFS(Счета!$B$10:$B$21,$J770,Счета!$C$10:$C$21,"Кредитная")&gt;0),1,0)</f>
        <v/>
      </c>
    </row>
    <row r="771" ht="19" customHeight="1">
      <c r="B771" s="53">
        <f>IF(AND($C771="",$F771=""),"",ROW()-9)</f>
        <v/>
      </c>
      <c r="C771" s="213" t="n"/>
      <c r="D771" s="55" t="n"/>
      <c r="E771" s="55" t="n"/>
      <c r="F771" s="56" t="n"/>
      <c r="G771" s="196" t="n"/>
      <c r="H771" s="196" t="n"/>
      <c r="I771" s="55" t="n"/>
      <c r="J771" s="55" t="n"/>
      <c r="K771" s="55" t="n"/>
      <c r="L771" s="100">
        <f>IF(OR($C771="",$I771="Оплачено",$I771="Отменено",$H771&lt;&gt;""),"",$C771-TODAY())</f>
        <v/>
      </c>
      <c r="M771" s="101">
        <f>IF($C771="","",INDEX(Настройки!$V$6:$V$17,MONTH($C771))&amp;" "&amp;YEAR($C771))</f>
        <v/>
      </c>
      <c r="N771" s="57">
        <f>IF($F771="","",IF(COUNTIF(Постоянные!$C$8:$C$37,$F771)&gt;0,"есть в Постоянных",IF(COUNTIF(Покупки!$C$7:$C$18,$F771)&gt;0,"есть в Покупках","")))</f>
        <v/>
      </c>
      <c r="P771">
        <f>IF($H771&lt;&gt;"",$H771,IF($I771="Оплачено",N($G771),0))</f>
        <v/>
      </c>
      <c r="Q771">
        <f>IF($I771="Отменено",0,IF($G771&lt;&gt;"",$G771,N($H771)))</f>
        <v/>
      </c>
      <c r="R771">
        <f>IF($C771="","",IFERROR(DATE(Настройки!$C$8,Настройки!$D$9+MATCH($M771,Настройки!$X$6:$X$17,0)-1,1),DATE(YEAR($C771),MONTH($C771),1)))</f>
        <v/>
      </c>
      <c r="S771">
        <f>IF(OR($I771="Оплачено",$H771&lt;&gt;""),$P771,$Q771)</f>
        <v/>
      </c>
      <c r="T771">
        <f>IF(OR($C771="",$D771="Доход",$I771="Оплачено",$I771="Отменено",$H771&lt;&gt;"",$C771&lt;TODAY()),"",$C771)</f>
        <v/>
      </c>
      <c r="U771">
        <f>IF(AND($D771&lt;&gt;"Доход",COUNTIFS(Счета!$B$10:$B$21,$J771,Счета!$C$10:$C$21,"Кредитная")&gt;0),1,0)</f>
        <v/>
      </c>
    </row>
    <row r="772" ht="19" customHeight="1">
      <c r="B772" s="53">
        <f>IF(AND($C772="",$F772=""),"",ROW()-9)</f>
        <v/>
      </c>
      <c r="C772" s="213" t="n"/>
      <c r="D772" s="55" t="n"/>
      <c r="E772" s="55" t="n"/>
      <c r="F772" s="56" t="n"/>
      <c r="G772" s="196" t="n"/>
      <c r="H772" s="196" t="n"/>
      <c r="I772" s="55" t="n"/>
      <c r="J772" s="55" t="n"/>
      <c r="K772" s="55" t="n"/>
      <c r="L772" s="100">
        <f>IF(OR($C772="",$I772="Оплачено",$I772="Отменено",$H772&lt;&gt;""),"",$C772-TODAY())</f>
        <v/>
      </c>
      <c r="M772" s="101">
        <f>IF($C772="","",INDEX(Настройки!$V$6:$V$17,MONTH($C772))&amp;" "&amp;YEAR($C772))</f>
        <v/>
      </c>
      <c r="N772" s="57">
        <f>IF($F772="","",IF(COUNTIF(Постоянные!$C$8:$C$37,$F772)&gt;0,"есть в Постоянных",IF(COUNTIF(Покупки!$C$7:$C$18,$F772)&gt;0,"есть в Покупках","")))</f>
        <v/>
      </c>
      <c r="P772">
        <f>IF($H772&lt;&gt;"",$H772,IF($I772="Оплачено",N($G772),0))</f>
        <v/>
      </c>
      <c r="Q772">
        <f>IF($I772="Отменено",0,IF($G772&lt;&gt;"",$G772,N($H772)))</f>
        <v/>
      </c>
      <c r="R772">
        <f>IF($C772="","",IFERROR(DATE(Настройки!$C$8,Настройки!$D$9+MATCH($M772,Настройки!$X$6:$X$17,0)-1,1),DATE(YEAR($C772),MONTH($C772),1)))</f>
        <v/>
      </c>
      <c r="S772">
        <f>IF(OR($I772="Оплачено",$H772&lt;&gt;""),$P772,$Q772)</f>
        <v/>
      </c>
      <c r="T772">
        <f>IF(OR($C772="",$D772="Доход",$I772="Оплачено",$I772="Отменено",$H772&lt;&gt;"",$C772&lt;TODAY()),"",$C772)</f>
        <v/>
      </c>
      <c r="U772">
        <f>IF(AND($D772&lt;&gt;"Доход",COUNTIFS(Счета!$B$10:$B$21,$J772,Счета!$C$10:$C$21,"Кредитная")&gt;0),1,0)</f>
        <v/>
      </c>
    </row>
    <row r="773" ht="19" customHeight="1">
      <c r="B773" s="53">
        <f>IF(AND($C773="",$F773=""),"",ROW()-9)</f>
        <v/>
      </c>
      <c r="C773" s="213" t="n"/>
      <c r="D773" s="55" t="n"/>
      <c r="E773" s="55" t="n"/>
      <c r="F773" s="56" t="n"/>
      <c r="G773" s="196" t="n"/>
      <c r="H773" s="196" t="n"/>
      <c r="I773" s="55" t="n"/>
      <c r="J773" s="55" t="n"/>
      <c r="K773" s="55" t="n"/>
      <c r="L773" s="100">
        <f>IF(OR($C773="",$I773="Оплачено",$I773="Отменено",$H773&lt;&gt;""),"",$C773-TODAY())</f>
        <v/>
      </c>
      <c r="M773" s="101">
        <f>IF($C773="","",INDEX(Настройки!$V$6:$V$17,MONTH($C773))&amp;" "&amp;YEAR($C773))</f>
        <v/>
      </c>
      <c r="N773" s="57">
        <f>IF($F773="","",IF(COUNTIF(Постоянные!$C$8:$C$37,$F773)&gt;0,"есть в Постоянных",IF(COUNTIF(Покупки!$C$7:$C$18,$F773)&gt;0,"есть в Покупках","")))</f>
        <v/>
      </c>
      <c r="P773">
        <f>IF($H773&lt;&gt;"",$H773,IF($I773="Оплачено",N($G773),0))</f>
        <v/>
      </c>
      <c r="Q773">
        <f>IF($I773="Отменено",0,IF($G773&lt;&gt;"",$G773,N($H773)))</f>
        <v/>
      </c>
      <c r="R773">
        <f>IF($C773="","",IFERROR(DATE(Настройки!$C$8,Настройки!$D$9+MATCH($M773,Настройки!$X$6:$X$17,0)-1,1),DATE(YEAR($C773),MONTH($C773),1)))</f>
        <v/>
      </c>
      <c r="S773">
        <f>IF(OR($I773="Оплачено",$H773&lt;&gt;""),$P773,$Q773)</f>
        <v/>
      </c>
      <c r="T773">
        <f>IF(OR($C773="",$D773="Доход",$I773="Оплачено",$I773="Отменено",$H773&lt;&gt;"",$C773&lt;TODAY()),"",$C773)</f>
        <v/>
      </c>
      <c r="U773">
        <f>IF(AND($D773&lt;&gt;"Доход",COUNTIFS(Счета!$B$10:$B$21,$J773,Счета!$C$10:$C$21,"Кредитная")&gt;0),1,0)</f>
        <v/>
      </c>
    </row>
    <row r="774" ht="19" customHeight="1">
      <c r="B774" s="53">
        <f>IF(AND($C774="",$F774=""),"",ROW()-9)</f>
        <v/>
      </c>
      <c r="C774" s="213" t="n"/>
      <c r="D774" s="55" t="n"/>
      <c r="E774" s="55" t="n"/>
      <c r="F774" s="56" t="n"/>
      <c r="G774" s="196" t="n"/>
      <c r="H774" s="196" t="n"/>
      <c r="I774" s="55" t="n"/>
      <c r="J774" s="55" t="n"/>
      <c r="K774" s="55" t="n"/>
      <c r="L774" s="100">
        <f>IF(OR($C774="",$I774="Оплачено",$I774="Отменено",$H774&lt;&gt;""),"",$C774-TODAY())</f>
        <v/>
      </c>
      <c r="M774" s="101">
        <f>IF($C774="","",INDEX(Настройки!$V$6:$V$17,MONTH($C774))&amp;" "&amp;YEAR($C774))</f>
        <v/>
      </c>
      <c r="N774" s="57">
        <f>IF($F774="","",IF(COUNTIF(Постоянные!$C$8:$C$37,$F774)&gt;0,"есть в Постоянных",IF(COUNTIF(Покупки!$C$7:$C$18,$F774)&gt;0,"есть в Покупках","")))</f>
        <v/>
      </c>
      <c r="P774">
        <f>IF($H774&lt;&gt;"",$H774,IF($I774="Оплачено",N($G774),0))</f>
        <v/>
      </c>
      <c r="Q774">
        <f>IF($I774="Отменено",0,IF($G774&lt;&gt;"",$G774,N($H774)))</f>
        <v/>
      </c>
      <c r="R774">
        <f>IF($C774="","",IFERROR(DATE(Настройки!$C$8,Настройки!$D$9+MATCH($M774,Настройки!$X$6:$X$17,0)-1,1),DATE(YEAR($C774),MONTH($C774),1)))</f>
        <v/>
      </c>
      <c r="S774">
        <f>IF(OR($I774="Оплачено",$H774&lt;&gt;""),$P774,$Q774)</f>
        <v/>
      </c>
      <c r="T774">
        <f>IF(OR($C774="",$D774="Доход",$I774="Оплачено",$I774="Отменено",$H774&lt;&gt;"",$C774&lt;TODAY()),"",$C774)</f>
        <v/>
      </c>
      <c r="U774">
        <f>IF(AND($D774&lt;&gt;"Доход",COUNTIFS(Счета!$B$10:$B$21,$J774,Счета!$C$10:$C$21,"Кредитная")&gt;0),1,0)</f>
        <v/>
      </c>
    </row>
    <row r="775" ht="19" customHeight="1">
      <c r="B775" s="53">
        <f>IF(AND($C775="",$F775=""),"",ROW()-9)</f>
        <v/>
      </c>
      <c r="C775" s="213" t="n"/>
      <c r="D775" s="55" t="n"/>
      <c r="E775" s="55" t="n"/>
      <c r="F775" s="56" t="n"/>
      <c r="G775" s="196" t="n"/>
      <c r="H775" s="196" t="n"/>
      <c r="I775" s="55" t="n"/>
      <c r="J775" s="55" t="n"/>
      <c r="K775" s="55" t="n"/>
      <c r="L775" s="100">
        <f>IF(OR($C775="",$I775="Оплачено",$I775="Отменено",$H775&lt;&gt;""),"",$C775-TODAY())</f>
        <v/>
      </c>
      <c r="M775" s="101">
        <f>IF($C775="","",INDEX(Настройки!$V$6:$V$17,MONTH($C775))&amp;" "&amp;YEAR($C775))</f>
        <v/>
      </c>
      <c r="N775" s="57">
        <f>IF($F775="","",IF(COUNTIF(Постоянные!$C$8:$C$37,$F775)&gt;0,"есть в Постоянных",IF(COUNTIF(Покупки!$C$7:$C$18,$F775)&gt;0,"есть в Покупках","")))</f>
        <v/>
      </c>
      <c r="P775">
        <f>IF($H775&lt;&gt;"",$H775,IF($I775="Оплачено",N($G775),0))</f>
        <v/>
      </c>
      <c r="Q775">
        <f>IF($I775="Отменено",0,IF($G775&lt;&gt;"",$G775,N($H775)))</f>
        <v/>
      </c>
      <c r="R775">
        <f>IF($C775="","",IFERROR(DATE(Настройки!$C$8,Настройки!$D$9+MATCH($M775,Настройки!$X$6:$X$17,0)-1,1),DATE(YEAR($C775),MONTH($C775),1)))</f>
        <v/>
      </c>
      <c r="S775">
        <f>IF(OR($I775="Оплачено",$H775&lt;&gt;""),$P775,$Q775)</f>
        <v/>
      </c>
      <c r="T775">
        <f>IF(OR($C775="",$D775="Доход",$I775="Оплачено",$I775="Отменено",$H775&lt;&gt;"",$C775&lt;TODAY()),"",$C775)</f>
        <v/>
      </c>
      <c r="U775">
        <f>IF(AND($D775&lt;&gt;"Доход",COUNTIFS(Счета!$B$10:$B$21,$J775,Счета!$C$10:$C$21,"Кредитная")&gt;0),1,0)</f>
        <v/>
      </c>
    </row>
    <row r="776" ht="19" customHeight="1">
      <c r="B776" s="53">
        <f>IF(AND($C776="",$F776=""),"",ROW()-9)</f>
        <v/>
      </c>
      <c r="C776" s="213" t="n"/>
      <c r="D776" s="55" t="n"/>
      <c r="E776" s="55" t="n"/>
      <c r="F776" s="56" t="n"/>
      <c r="G776" s="196" t="n"/>
      <c r="H776" s="196" t="n"/>
      <c r="I776" s="55" t="n"/>
      <c r="J776" s="55" t="n"/>
      <c r="K776" s="55" t="n"/>
      <c r="L776" s="100">
        <f>IF(OR($C776="",$I776="Оплачено",$I776="Отменено",$H776&lt;&gt;""),"",$C776-TODAY())</f>
        <v/>
      </c>
      <c r="M776" s="101">
        <f>IF($C776="","",INDEX(Настройки!$V$6:$V$17,MONTH($C776))&amp;" "&amp;YEAR($C776))</f>
        <v/>
      </c>
      <c r="N776" s="57">
        <f>IF($F776="","",IF(COUNTIF(Постоянные!$C$8:$C$37,$F776)&gt;0,"есть в Постоянных",IF(COUNTIF(Покупки!$C$7:$C$18,$F776)&gt;0,"есть в Покупках","")))</f>
        <v/>
      </c>
      <c r="P776">
        <f>IF($H776&lt;&gt;"",$H776,IF($I776="Оплачено",N($G776),0))</f>
        <v/>
      </c>
      <c r="Q776">
        <f>IF($I776="Отменено",0,IF($G776&lt;&gt;"",$G776,N($H776)))</f>
        <v/>
      </c>
      <c r="R776">
        <f>IF($C776="","",IFERROR(DATE(Настройки!$C$8,Настройки!$D$9+MATCH($M776,Настройки!$X$6:$X$17,0)-1,1),DATE(YEAR($C776),MONTH($C776),1)))</f>
        <v/>
      </c>
      <c r="S776">
        <f>IF(OR($I776="Оплачено",$H776&lt;&gt;""),$P776,$Q776)</f>
        <v/>
      </c>
      <c r="T776">
        <f>IF(OR($C776="",$D776="Доход",$I776="Оплачено",$I776="Отменено",$H776&lt;&gt;"",$C776&lt;TODAY()),"",$C776)</f>
        <v/>
      </c>
      <c r="U776">
        <f>IF(AND($D776&lt;&gt;"Доход",COUNTIFS(Счета!$B$10:$B$21,$J776,Счета!$C$10:$C$21,"Кредитная")&gt;0),1,0)</f>
        <v/>
      </c>
    </row>
    <row r="777" ht="19" customHeight="1">
      <c r="B777" s="53">
        <f>IF(AND($C777="",$F777=""),"",ROW()-9)</f>
        <v/>
      </c>
      <c r="C777" s="213" t="n"/>
      <c r="D777" s="55" t="n"/>
      <c r="E777" s="55" t="n"/>
      <c r="F777" s="56" t="n"/>
      <c r="G777" s="196" t="n"/>
      <c r="H777" s="196" t="n"/>
      <c r="I777" s="55" t="n"/>
      <c r="J777" s="55" t="n"/>
      <c r="K777" s="55" t="n"/>
      <c r="L777" s="100">
        <f>IF(OR($C777="",$I777="Оплачено",$I777="Отменено",$H777&lt;&gt;""),"",$C777-TODAY())</f>
        <v/>
      </c>
      <c r="M777" s="101">
        <f>IF($C777="","",INDEX(Настройки!$V$6:$V$17,MONTH($C777))&amp;" "&amp;YEAR($C777))</f>
        <v/>
      </c>
      <c r="N777" s="57">
        <f>IF($F777="","",IF(COUNTIF(Постоянные!$C$8:$C$37,$F777)&gt;0,"есть в Постоянных",IF(COUNTIF(Покупки!$C$7:$C$18,$F777)&gt;0,"есть в Покупках","")))</f>
        <v/>
      </c>
      <c r="P777">
        <f>IF($H777&lt;&gt;"",$H777,IF($I777="Оплачено",N($G777),0))</f>
        <v/>
      </c>
      <c r="Q777">
        <f>IF($I777="Отменено",0,IF($G777&lt;&gt;"",$G777,N($H777)))</f>
        <v/>
      </c>
      <c r="R777">
        <f>IF($C777="","",IFERROR(DATE(Настройки!$C$8,Настройки!$D$9+MATCH($M777,Настройки!$X$6:$X$17,0)-1,1),DATE(YEAR($C777),MONTH($C777),1)))</f>
        <v/>
      </c>
      <c r="S777">
        <f>IF(OR($I777="Оплачено",$H777&lt;&gt;""),$P777,$Q777)</f>
        <v/>
      </c>
      <c r="T777">
        <f>IF(OR($C777="",$D777="Доход",$I777="Оплачено",$I777="Отменено",$H777&lt;&gt;"",$C777&lt;TODAY()),"",$C777)</f>
        <v/>
      </c>
      <c r="U777">
        <f>IF(AND($D777&lt;&gt;"Доход",COUNTIFS(Счета!$B$10:$B$21,$J777,Счета!$C$10:$C$21,"Кредитная")&gt;0),1,0)</f>
        <v/>
      </c>
    </row>
    <row r="778" ht="19" customHeight="1">
      <c r="B778" s="53">
        <f>IF(AND($C778="",$F778=""),"",ROW()-9)</f>
        <v/>
      </c>
      <c r="C778" s="213" t="n"/>
      <c r="D778" s="55" t="n"/>
      <c r="E778" s="55" t="n"/>
      <c r="F778" s="56" t="n"/>
      <c r="G778" s="196" t="n"/>
      <c r="H778" s="196" t="n"/>
      <c r="I778" s="55" t="n"/>
      <c r="J778" s="55" t="n"/>
      <c r="K778" s="55" t="n"/>
      <c r="L778" s="100">
        <f>IF(OR($C778="",$I778="Оплачено",$I778="Отменено",$H778&lt;&gt;""),"",$C778-TODAY())</f>
        <v/>
      </c>
      <c r="M778" s="101">
        <f>IF($C778="","",INDEX(Настройки!$V$6:$V$17,MONTH($C778))&amp;" "&amp;YEAR($C778))</f>
        <v/>
      </c>
      <c r="N778" s="57">
        <f>IF($F778="","",IF(COUNTIF(Постоянные!$C$8:$C$37,$F778)&gt;0,"есть в Постоянных",IF(COUNTIF(Покупки!$C$7:$C$18,$F778)&gt;0,"есть в Покупках","")))</f>
        <v/>
      </c>
      <c r="P778">
        <f>IF($H778&lt;&gt;"",$H778,IF($I778="Оплачено",N($G778),0))</f>
        <v/>
      </c>
      <c r="Q778">
        <f>IF($I778="Отменено",0,IF($G778&lt;&gt;"",$G778,N($H778)))</f>
        <v/>
      </c>
      <c r="R778">
        <f>IF($C778="","",IFERROR(DATE(Настройки!$C$8,Настройки!$D$9+MATCH($M778,Настройки!$X$6:$X$17,0)-1,1),DATE(YEAR($C778),MONTH($C778),1)))</f>
        <v/>
      </c>
      <c r="S778">
        <f>IF(OR($I778="Оплачено",$H778&lt;&gt;""),$P778,$Q778)</f>
        <v/>
      </c>
      <c r="T778">
        <f>IF(OR($C778="",$D778="Доход",$I778="Оплачено",$I778="Отменено",$H778&lt;&gt;"",$C778&lt;TODAY()),"",$C778)</f>
        <v/>
      </c>
      <c r="U778">
        <f>IF(AND($D778&lt;&gt;"Доход",COUNTIFS(Счета!$B$10:$B$21,$J778,Счета!$C$10:$C$21,"Кредитная")&gt;0),1,0)</f>
        <v/>
      </c>
    </row>
    <row r="779" ht="19" customHeight="1">
      <c r="B779" s="53">
        <f>IF(AND($C779="",$F779=""),"",ROW()-9)</f>
        <v/>
      </c>
      <c r="C779" s="213" t="n"/>
      <c r="D779" s="55" t="n"/>
      <c r="E779" s="55" t="n"/>
      <c r="F779" s="56" t="n"/>
      <c r="G779" s="196" t="n"/>
      <c r="H779" s="196" t="n"/>
      <c r="I779" s="55" t="n"/>
      <c r="J779" s="55" t="n"/>
      <c r="K779" s="55" t="n"/>
      <c r="L779" s="100">
        <f>IF(OR($C779="",$I779="Оплачено",$I779="Отменено",$H779&lt;&gt;""),"",$C779-TODAY())</f>
        <v/>
      </c>
      <c r="M779" s="101">
        <f>IF($C779="","",INDEX(Настройки!$V$6:$V$17,MONTH($C779))&amp;" "&amp;YEAR($C779))</f>
        <v/>
      </c>
      <c r="N779" s="57">
        <f>IF($F779="","",IF(COUNTIF(Постоянные!$C$8:$C$37,$F779)&gt;0,"есть в Постоянных",IF(COUNTIF(Покупки!$C$7:$C$18,$F779)&gt;0,"есть в Покупках","")))</f>
        <v/>
      </c>
      <c r="P779">
        <f>IF($H779&lt;&gt;"",$H779,IF($I779="Оплачено",N($G779),0))</f>
        <v/>
      </c>
      <c r="Q779">
        <f>IF($I779="Отменено",0,IF($G779&lt;&gt;"",$G779,N($H779)))</f>
        <v/>
      </c>
      <c r="R779">
        <f>IF($C779="","",IFERROR(DATE(Настройки!$C$8,Настройки!$D$9+MATCH($M779,Настройки!$X$6:$X$17,0)-1,1),DATE(YEAR($C779),MONTH($C779),1)))</f>
        <v/>
      </c>
      <c r="S779">
        <f>IF(OR($I779="Оплачено",$H779&lt;&gt;""),$P779,$Q779)</f>
        <v/>
      </c>
      <c r="T779">
        <f>IF(OR($C779="",$D779="Доход",$I779="Оплачено",$I779="Отменено",$H779&lt;&gt;"",$C779&lt;TODAY()),"",$C779)</f>
        <v/>
      </c>
      <c r="U779">
        <f>IF(AND($D779&lt;&gt;"Доход",COUNTIFS(Счета!$B$10:$B$21,$J779,Счета!$C$10:$C$21,"Кредитная")&gt;0),1,0)</f>
        <v/>
      </c>
    </row>
    <row r="780" ht="19" customHeight="1">
      <c r="B780" s="53">
        <f>IF(AND($C780="",$F780=""),"",ROW()-9)</f>
        <v/>
      </c>
      <c r="C780" s="213" t="n"/>
      <c r="D780" s="55" t="n"/>
      <c r="E780" s="55" t="n"/>
      <c r="F780" s="56" t="n"/>
      <c r="G780" s="196" t="n"/>
      <c r="H780" s="196" t="n"/>
      <c r="I780" s="55" t="n"/>
      <c r="J780" s="55" t="n"/>
      <c r="K780" s="55" t="n"/>
      <c r="L780" s="100">
        <f>IF(OR($C780="",$I780="Оплачено",$I780="Отменено",$H780&lt;&gt;""),"",$C780-TODAY())</f>
        <v/>
      </c>
      <c r="M780" s="101">
        <f>IF($C780="","",INDEX(Настройки!$V$6:$V$17,MONTH($C780))&amp;" "&amp;YEAR($C780))</f>
        <v/>
      </c>
      <c r="N780" s="57">
        <f>IF($F780="","",IF(COUNTIF(Постоянные!$C$8:$C$37,$F780)&gt;0,"есть в Постоянных",IF(COUNTIF(Покупки!$C$7:$C$18,$F780)&gt;0,"есть в Покупках","")))</f>
        <v/>
      </c>
      <c r="P780">
        <f>IF($H780&lt;&gt;"",$H780,IF($I780="Оплачено",N($G780),0))</f>
        <v/>
      </c>
      <c r="Q780">
        <f>IF($I780="Отменено",0,IF($G780&lt;&gt;"",$G780,N($H780)))</f>
        <v/>
      </c>
      <c r="R780">
        <f>IF($C780="","",IFERROR(DATE(Настройки!$C$8,Настройки!$D$9+MATCH($M780,Настройки!$X$6:$X$17,0)-1,1),DATE(YEAR($C780),MONTH($C780),1)))</f>
        <v/>
      </c>
      <c r="S780">
        <f>IF(OR($I780="Оплачено",$H780&lt;&gt;""),$P780,$Q780)</f>
        <v/>
      </c>
      <c r="T780">
        <f>IF(OR($C780="",$D780="Доход",$I780="Оплачено",$I780="Отменено",$H780&lt;&gt;"",$C780&lt;TODAY()),"",$C780)</f>
        <v/>
      </c>
      <c r="U780">
        <f>IF(AND($D780&lt;&gt;"Доход",COUNTIFS(Счета!$B$10:$B$21,$J780,Счета!$C$10:$C$21,"Кредитная")&gt;0),1,0)</f>
        <v/>
      </c>
    </row>
    <row r="781" ht="19" customHeight="1">
      <c r="B781" s="53">
        <f>IF(AND($C781="",$F781=""),"",ROW()-9)</f>
        <v/>
      </c>
      <c r="C781" s="213" t="n"/>
      <c r="D781" s="55" t="n"/>
      <c r="E781" s="55" t="n"/>
      <c r="F781" s="56" t="n"/>
      <c r="G781" s="196" t="n"/>
      <c r="H781" s="196" t="n"/>
      <c r="I781" s="55" t="n"/>
      <c r="J781" s="55" t="n"/>
      <c r="K781" s="55" t="n"/>
      <c r="L781" s="100">
        <f>IF(OR($C781="",$I781="Оплачено",$I781="Отменено",$H781&lt;&gt;""),"",$C781-TODAY())</f>
        <v/>
      </c>
      <c r="M781" s="101">
        <f>IF($C781="","",INDEX(Настройки!$V$6:$V$17,MONTH($C781))&amp;" "&amp;YEAR($C781))</f>
        <v/>
      </c>
      <c r="N781" s="57">
        <f>IF($F781="","",IF(COUNTIF(Постоянные!$C$8:$C$37,$F781)&gt;0,"есть в Постоянных",IF(COUNTIF(Покупки!$C$7:$C$18,$F781)&gt;0,"есть в Покупках","")))</f>
        <v/>
      </c>
      <c r="P781">
        <f>IF($H781&lt;&gt;"",$H781,IF($I781="Оплачено",N($G781),0))</f>
        <v/>
      </c>
      <c r="Q781">
        <f>IF($I781="Отменено",0,IF($G781&lt;&gt;"",$G781,N($H781)))</f>
        <v/>
      </c>
      <c r="R781">
        <f>IF($C781="","",IFERROR(DATE(Настройки!$C$8,Настройки!$D$9+MATCH($M781,Настройки!$X$6:$X$17,0)-1,1),DATE(YEAR($C781),MONTH($C781),1)))</f>
        <v/>
      </c>
      <c r="S781">
        <f>IF(OR($I781="Оплачено",$H781&lt;&gt;""),$P781,$Q781)</f>
        <v/>
      </c>
      <c r="T781">
        <f>IF(OR($C781="",$D781="Доход",$I781="Оплачено",$I781="Отменено",$H781&lt;&gt;"",$C781&lt;TODAY()),"",$C781)</f>
        <v/>
      </c>
      <c r="U781">
        <f>IF(AND($D781&lt;&gt;"Доход",COUNTIFS(Счета!$B$10:$B$21,$J781,Счета!$C$10:$C$21,"Кредитная")&gt;0),1,0)</f>
        <v/>
      </c>
    </row>
    <row r="782" ht="19" customHeight="1">
      <c r="B782" s="53">
        <f>IF(AND($C782="",$F782=""),"",ROW()-9)</f>
        <v/>
      </c>
      <c r="C782" s="213" t="n"/>
      <c r="D782" s="55" t="n"/>
      <c r="E782" s="55" t="n"/>
      <c r="F782" s="56" t="n"/>
      <c r="G782" s="196" t="n"/>
      <c r="H782" s="196" t="n"/>
      <c r="I782" s="55" t="n"/>
      <c r="J782" s="55" t="n"/>
      <c r="K782" s="55" t="n"/>
      <c r="L782" s="100">
        <f>IF(OR($C782="",$I782="Оплачено",$I782="Отменено",$H782&lt;&gt;""),"",$C782-TODAY())</f>
        <v/>
      </c>
      <c r="M782" s="101">
        <f>IF($C782="","",INDEX(Настройки!$V$6:$V$17,MONTH($C782))&amp;" "&amp;YEAR($C782))</f>
        <v/>
      </c>
      <c r="N782" s="57">
        <f>IF($F782="","",IF(COUNTIF(Постоянные!$C$8:$C$37,$F782)&gt;0,"есть в Постоянных",IF(COUNTIF(Покупки!$C$7:$C$18,$F782)&gt;0,"есть в Покупках","")))</f>
        <v/>
      </c>
      <c r="P782">
        <f>IF($H782&lt;&gt;"",$H782,IF($I782="Оплачено",N($G782),0))</f>
        <v/>
      </c>
      <c r="Q782">
        <f>IF($I782="Отменено",0,IF($G782&lt;&gt;"",$G782,N($H782)))</f>
        <v/>
      </c>
      <c r="R782">
        <f>IF($C782="","",IFERROR(DATE(Настройки!$C$8,Настройки!$D$9+MATCH($M782,Настройки!$X$6:$X$17,0)-1,1),DATE(YEAR($C782),MONTH($C782),1)))</f>
        <v/>
      </c>
      <c r="S782">
        <f>IF(OR($I782="Оплачено",$H782&lt;&gt;""),$P782,$Q782)</f>
        <v/>
      </c>
      <c r="T782">
        <f>IF(OR($C782="",$D782="Доход",$I782="Оплачено",$I782="Отменено",$H782&lt;&gt;"",$C782&lt;TODAY()),"",$C782)</f>
        <v/>
      </c>
      <c r="U782">
        <f>IF(AND($D782&lt;&gt;"Доход",COUNTIFS(Счета!$B$10:$B$21,$J782,Счета!$C$10:$C$21,"Кредитная")&gt;0),1,0)</f>
        <v/>
      </c>
    </row>
    <row r="783" ht="19" customHeight="1">
      <c r="B783" s="53">
        <f>IF(AND($C783="",$F783=""),"",ROW()-9)</f>
        <v/>
      </c>
      <c r="C783" s="213" t="n"/>
      <c r="D783" s="55" t="n"/>
      <c r="E783" s="55" t="n"/>
      <c r="F783" s="56" t="n"/>
      <c r="G783" s="196" t="n"/>
      <c r="H783" s="196" t="n"/>
      <c r="I783" s="55" t="n"/>
      <c r="J783" s="55" t="n"/>
      <c r="K783" s="55" t="n"/>
      <c r="L783" s="100">
        <f>IF(OR($C783="",$I783="Оплачено",$I783="Отменено",$H783&lt;&gt;""),"",$C783-TODAY())</f>
        <v/>
      </c>
      <c r="M783" s="101">
        <f>IF($C783="","",INDEX(Настройки!$V$6:$V$17,MONTH($C783))&amp;" "&amp;YEAR($C783))</f>
        <v/>
      </c>
      <c r="N783" s="57">
        <f>IF($F783="","",IF(COUNTIF(Постоянные!$C$8:$C$37,$F783)&gt;0,"есть в Постоянных",IF(COUNTIF(Покупки!$C$7:$C$18,$F783)&gt;0,"есть в Покупках","")))</f>
        <v/>
      </c>
      <c r="P783">
        <f>IF($H783&lt;&gt;"",$H783,IF($I783="Оплачено",N($G783),0))</f>
        <v/>
      </c>
      <c r="Q783">
        <f>IF($I783="Отменено",0,IF($G783&lt;&gt;"",$G783,N($H783)))</f>
        <v/>
      </c>
      <c r="R783">
        <f>IF($C783="","",IFERROR(DATE(Настройки!$C$8,Настройки!$D$9+MATCH($M783,Настройки!$X$6:$X$17,0)-1,1),DATE(YEAR($C783),MONTH($C783),1)))</f>
        <v/>
      </c>
      <c r="S783">
        <f>IF(OR($I783="Оплачено",$H783&lt;&gt;""),$P783,$Q783)</f>
        <v/>
      </c>
      <c r="T783">
        <f>IF(OR($C783="",$D783="Доход",$I783="Оплачено",$I783="Отменено",$H783&lt;&gt;"",$C783&lt;TODAY()),"",$C783)</f>
        <v/>
      </c>
      <c r="U783">
        <f>IF(AND($D783&lt;&gt;"Доход",COUNTIFS(Счета!$B$10:$B$21,$J783,Счета!$C$10:$C$21,"Кредитная")&gt;0),1,0)</f>
        <v/>
      </c>
    </row>
    <row r="784" ht="19" customHeight="1">
      <c r="B784" s="53">
        <f>IF(AND($C784="",$F784=""),"",ROW()-9)</f>
        <v/>
      </c>
      <c r="C784" s="213" t="n"/>
      <c r="D784" s="55" t="n"/>
      <c r="E784" s="55" t="n"/>
      <c r="F784" s="56" t="n"/>
      <c r="G784" s="196" t="n"/>
      <c r="H784" s="196" t="n"/>
      <c r="I784" s="55" t="n"/>
      <c r="J784" s="55" t="n"/>
      <c r="K784" s="55" t="n"/>
      <c r="L784" s="100">
        <f>IF(OR($C784="",$I784="Оплачено",$I784="Отменено",$H784&lt;&gt;""),"",$C784-TODAY())</f>
        <v/>
      </c>
      <c r="M784" s="101">
        <f>IF($C784="","",INDEX(Настройки!$V$6:$V$17,MONTH($C784))&amp;" "&amp;YEAR($C784))</f>
        <v/>
      </c>
      <c r="N784" s="57">
        <f>IF($F784="","",IF(COUNTIF(Постоянные!$C$8:$C$37,$F784)&gt;0,"есть в Постоянных",IF(COUNTIF(Покупки!$C$7:$C$18,$F784)&gt;0,"есть в Покупках","")))</f>
        <v/>
      </c>
      <c r="P784">
        <f>IF($H784&lt;&gt;"",$H784,IF($I784="Оплачено",N($G784),0))</f>
        <v/>
      </c>
      <c r="Q784">
        <f>IF($I784="Отменено",0,IF($G784&lt;&gt;"",$G784,N($H784)))</f>
        <v/>
      </c>
      <c r="R784">
        <f>IF($C784="","",IFERROR(DATE(Настройки!$C$8,Настройки!$D$9+MATCH($M784,Настройки!$X$6:$X$17,0)-1,1),DATE(YEAR($C784),MONTH($C784),1)))</f>
        <v/>
      </c>
      <c r="S784">
        <f>IF(OR($I784="Оплачено",$H784&lt;&gt;""),$P784,$Q784)</f>
        <v/>
      </c>
      <c r="T784">
        <f>IF(OR($C784="",$D784="Доход",$I784="Оплачено",$I784="Отменено",$H784&lt;&gt;"",$C784&lt;TODAY()),"",$C784)</f>
        <v/>
      </c>
      <c r="U784">
        <f>IF(AND($D784&lt;&gt;"Доход",COUNTIFS(Счета!$B$10:$B$21,$J784,Счета!$C$10:$C$21,"Кредитная")&gt;0),1,0)</f>
        <v/>
      </c>
    </row>
    <row r="785" ht="19" customHeight="1">
      <c r="B785" s="53">
        <f>IF(AND($C785="",$F785=""),"",ROW()-9)</f>
        <v/>
      </c>
      <c r="C785" s="213" t="n"/>
      <c r="D785" s="55" t="n"/>
      <c r="E785" s="55" t="n"/>
      <c r="F785" s="56" t="n"/>
      <c r="G785" s="196" t="n"/>
      <c r="H785" s="196" t="n"/>
      <c r="I785" s="55" t="n"/>
      <c r="J785" s="55" t="n"/>
      <c r="K785" s="55" t="n"/>
      <c r="L785" s="100">
        <f>IF(OR($C785="",$I785="Оплачено",$I785="Отменено",$H785&lt;&gt;""),"",$C785-TODAY())</f>
        <v/>
      </c>
      <c r="M785" s="101">
        <f>IF($C785="","",INDEX(Настройки!$V$6:$V$17,MONTH($C785))&amp;" "&amp;YEAR($C785))</f>
        <v/>
      </c>
      <c r="N785" s="57">
        <f>IF($F785="","",IF(COUNTIF(Постоянные!$C$8:$C$37,$F785)&gt;0,"есть в Постоянных",IF(COUNTIF(Покупки!$C$7:$C$18,$F785)&gt;0,"есть в Покупках","")))</f>
        <v/>
      </c>
      <c r="P785">
        <f>IF($H785&lt;&gt;"",$H785,IF($I785="Оплачено",N($G785),0))</f>
        <v/>
      </c>
      <c r="Q785">
        <f>IF($I785="Отменено",0,IF($G785&lt;&gt;"",$G785,N($H785)))</f>
        <v/>
      </c>
      <c r="R785">
        <f>IF($C785="","",IFERROR(DATE(Настройки!$C$8,Настройки!$D$9+MATCH($M785,Настройки!$X$6:$X$17,0)-1,1),DATE(YEAR($C785),MONTH($C785),1)))</f>
        <v/>
      </c>
      <c r="S785">
        <f>IF(OR($I785="Оплачено",$H785&lt;&gt;""),$P785,$Q785)</f>
        <v/>
      </c>
      <c r="T785">
        <f>IF(OR($C785="",$D785="Доход",$I785="Оплачено",$I785="Отменено",$H785&lt;&gt;"",$C785&lt;TODAY()),"",$C785)</f>
        <v/>
      </c>
      <c r="U785">
        <f>IF(AND($D785&lt;&gt;"Доход",COUNTIFS(Счета!$B$10:$B$21,$J785,Счета!$C$10:$C$21,"Кредитная")&gt;0),1,0)</f>
        <v/>
      </c>
    </row>
    <row r="786" ht="19" customHeight="1">
      <c r="B786" s="53">
        <f>IF(AND($C786="",$F786=""),"",ROW()-9)</f>
        <v/>
      </c>
      <c r="C786" s="213" t="n"/>
      <c r="D786" s="55" t="n"/>
      <c r="E786" s="55" t="n"/>
      <c r="F786" s="56" t="n"/>
      <c r="G786" s="196" t="n"/>
      <c r="H786" s="196" t="n"/>
      <c r="I786" s="55" t="n"/>
      <c r="J786" s="55" t="n"/>
      <c r="K786" s="55" t="n"/>
      <c r="L786" s="100">
        <f>IF(OR($C786="",$I786="Оплачено",$I786="Отменено",$H786&lt;&gt;""),"",$C786-TODAY())</f>
        <v/>
      </c>
      <c r="M786" s="101">
        <f>IF($C786="","",INDEX(Настройки!$V$6:$V$17,MONTH($C786))&amp;" "&amp;YEAR($C786))</f>
        <v/>
      </c>
      <c r="N786" s="57">
        <f>IF($F786="","",IF(COUNTIF(Постоянные!$C$8:$C$37,$F786)&gt;0,"есть в Постоянных",IF(COUNTIF(Покупки!$C$7:$C$18,$F786)&gt;0,"есть в Покупках","")))</f>
        <v/>
      </c>
      <c r="P786">
        <f>IF($H786&lt;&gt;"",$H786,IF($I786="Оплачено",N($G786),0))</f>
        <v/>
      </c>
      <c r="Q786">
        <f>IF($I786="Отменено",0,IF($G786&lt;&gt;"",$G786,N($H786)))</f>
        <v/>
      </c>
      <c r="R786">
        <f>IF($C786="","",IFERROR(DATE(Настройки!$C$8,Настройки!$D$9+MATCH($M786,Настройки!$X$6:$X$17,0)-1,1),DATE(YEAR($C786),MONTH($C786),1)))</f>
        <v/>
      </c>
      <c r="S786">
        <f>IF(OR($I786="Оплачено",$H786&lt;&gt;""),$P786,$Q786)</f>
        <v/>
      </c>
      <c r="T786">
        <f>IF(OR($C786="",$D786="Доход",$I786="Оплачено",$I786="Отменено",$H786&lt;&gt;"",$C786&lt;TODAY()),"",$C786)</f>
        <v/>
      </c>
      <c r="U786">
        <f>IF(AND($D786&lt;&gt;"Доход",COUNTIFS(Счета!$B$10:$B$21,$J786,Счета!$C$10:$C$21,"Кредитная")&gt;0),1,0)</f>
        <v/>
      </c>
    </row>
    <row r="787" ht="19" customHeight="1">
      <c r="B787" s="53">
        <f>IF(AND($C787="",$F787=""),"",ROW()-9)</f>
        <v/>
      </c>
      <c r="C787" s="213" t="n"/>
      <c r="D787" s="55" t="n"/>
      <c r="E787" s="55" t="n"/>
      <c r="F787" s="56" t="n"/>
      <c r="G787" s="196" t="n"/>
      <c r="H787" s="196" t="n"/>
      <c r="I787" s="55" t="n"/>
      <c r="J787" s="55" t="n"/>
      <c r="K787" s="55" t="n"/>
      <c r="L787" s="100">
        <f>IF(OR($C787="",$I787="Оплачено",$I787="Отменено",$H787&lt;&gt;""),"",$C787-TODAY())</f>
        <v/>
      </c>
      <c r="M787" s="101">
        <f>IF($C787="","",INDEX(Настройки!$V$6:$V$17,MONTH($C787))&amp;" "&amp;YEAR($C787))</f>
        <v/>
      </c>
      <c r="N787" s="57">
        <f>IF($F787="","",IF(COUNTIF(Постоянные!$C$8:$C$37,$F787)&gt;0,"есть в Постоянных",IF(COUNTIF(Покупки!$C$7:$C$18,$F787)&gt;0,"есть в Покупках","")))</f>
        <v/>
      </c>
      <c r="P787">
        <f>IF($H787&lt;&gt;"",$H787,IF($I787="Оплачено",N($G787),0))</f>
        <v/>
      </c>
      <c r="Q787">
        <f>IF($I787="Отменено",0,IF($G787&lt;&gt;"",$G787,N($H787)))</f>
        <v/>
      </c>
      <c r="R787">
        <f>IF($C787="","",IFERROR(DATE(Настройки!$C$8,Настройки!$D$9+MATCH($M787,Настройки!$X$6:$X$17,0)-1,1),DATE(YEAR($C787),MONTH($C787),1)))</f>
        <v/>
      </c>
      <c r="S787">
        <f>IF(OR($I787="Оплачено",$H787&lt;&gt;""),$P787,$Q787)</f>
        <v/>
      </c>
      <c r="T787">
        <f>IF(OR($C787="",$D787="Доход",$I787="Оплачено",$I787="Отменено",$H787&lt;&gt;"",$C787&lt;TODAY()),"",$C787)</f>
        <v/>
      </c>
      <c r="U787">
        <f>IF(AND($D787&lt;&gt;"Доход",COUNTIFS(Счета!$B$10:$B$21,$J787,Счета!$C$10:$C$21,"Кредитная")&gt;0),1,0)</f>
        <v/>
      </c>
    </row>
    <row r="788" ht="19" customHeight="1">
      <c r="B788" s="53">
        <f>IF(AND($C788="",$F788=""),"",ROW()-9)</f>
        <v/>
      </c>
      <c r="C788" s="213" t="n"/>
      <c r="D788" s="55" t="n"/>
      <c r="E788" s="55" t="n"/>
      <c r="F788" s="56" t="n"/>
      <c r="G788" s="196" t="n"/>
      <c r="H788" s="196" t="n"/>
      <c r="I788" s="55" t="n"/>
      <c r="J788" s="55" t="n"/>
      <c r="K788" s="55" t="n"/>
      <c r="L788" s="100">
        <f>IF(OR($C788="",$I788="Оплачено",$I788="Отменено",$H788&lt;&gt;""),"",$C788-TODAY())</f>
        <v/>
      </c>
      <c r="M788" s="101">
        <f>IF($C788="","",INDEX(Настройки!$V$6:$V$17,MONTH($C788))&amp;" "&amp;YEAR($C788))</f>
        <v/>
      </c>
      <c r="N788" s="57">
        <f>IF($F788="","",IF(COUNTIF(Постоянные!$C$8:$C$37,$F788)&gt;0,"есть в Постоянных",IF(COUNTIF(Покупки!$C$7:$C$18,$F788)&gt;0,"есть в Покупках","")))</f>
        <v/>
      </c>
      <c r="P788">
        <f>IF($H788&lt;&gt;"",$H788,IF($I788="Оплачено",N($G788),0))</f>
        <v/>
      </c>
      <c r="Q788">
        <f>IF($I788="Отменено",0,IF($G788&lt;&gt;"",$G788,N($H788)))</f>
        <v/>
      </c>
      <c r="R788">
        <f>IF($C788="","",IFERROR(DATE(Настройки!$C$8,Настройки!$D$9+MATCH($M788,Настройки!$X$6:$X$17,0)-1,1),DATE(YEAR($C788),MONTH($C788),1)))</f>
        <v/>
      </c>
      <c r="S788">
        <f>IF(OR($I788="Оплачено",$H788&lt;&gt;""),$P788,$Q788)</f>
        <v/>
      </c>
      <c r="T788">
        <f>IF(OR($C788="",$D788="Доход",$I788="Оплачено",$I788="Отменено",$H788&lt;&gt;"",$C788&lt;TODAY()),"",$C788)</f>
        <v/>
      </c>
      <c r="U788">
        <f>IF(AND($D788&lt;&gt;"Доход",COUNTIFS(Счета!$B$10:$B$21,$J788,Счета!$C$10:$C$21,"Кредитная")&gt;0),1,0)</f>
        <v/>
      </c>
    </row>
    <row r="789" ht="19" customHeight="1">
      <c r="B789" s="53">
        <f>IF(AND($C789="",$F789=""),"",ROW()-9)</f>
        <v/>
      </c>
      <c r="C789" s="213" t="n"/>
      <c r="D789" s="55" t="n"/>
      <c r="E789" s="55" t="n"/>
      <c r="F789" s="56" t="n"/>
      <c r="G789" s="196" t="n"/>
      <c r="H789" s="196" t="n"/>
      <c r="I789" s="55" t="n"/>
      <c r="J789" s="55" t="n"/>
      <c r="K789" s="55" t="n"/>
      <c r="L789" s="100">
        <f>IF(OR($C789="",$I789="Оплачено",$I789="Отменено",$H789&lt;&gt;""),"",$C789-TODAY())</f>
        <v/>
      </c>
      <c r="M789" s="101">
        <f>IF($C789="","",INDEX(Настройки!$V$6:$V$17,MONTH($C789))&amp;" "&amp;YEAR($C789))</f>
        <v/>
      </c>
      <c r="N789" s="57">
        <f>IF($F789="","",IF(COUNTIF(Постоянные!$C$8:$C$37,$F789)&gt;0,"есть в Постоянных",IF(COUNTIF(Покупки!$C$7:$C$18,$F789)&gt;0,"есть в Покупках","")))</f>
        <v/>
      </c>
      <c r="P789">
        <f>IF($H789&lt;&gt;"",$H789,IF($I789="Оплачено",N($G789),0))</f>
        <v/>
      </c>
      <c r="Q789">
        <f>IF($I789="Отменено",0,IF($G789&lt;&gt;"",$G789,N($H789)))</f>
        <v/>
      </c>
      <c r="R789">
        <f>IF($C789="","",IFERROR(DATE(Настройки!$C$8,Настройки!$D$9+MATCH($M789,Настройки!$X$6:$X$17,0)-1,1),DATE(YEAR($C789),MONTH($C789),1)))</f>
        <v/>
      </c>
      <c r="S789">
        <f>IF(OR($I789="Оплачено",$H789&lt;&gt;""),$P789,$Q789)</f>
        <v/>
      </c>
      <c r="T789">
        <f>IF(OR($C789="",$D789="Доход",$I789="Оплачено",$I789="Отменено",$H789&lt;&gt;"",$C789&lt;TODAY()),"",$C789)</f>
        <v/>
      </c>
      <c r="U789">
        <f>IF(AND($D789&lt;&gt;"Доход",COUNTIFS(Счета!$B$10:$B$21,$J789,Счета!$C$10:$C$21,"Кредитная")&gt;0),1,0)</f>
        <v/>
      </c>
    </row>
    <row r="790" ht="19" customHeight="1">
      <c r="B790" s="53">
        <f>IF(AND($C790="",$F790=""),"",ROW()-9)</f>
        <v/>
      </c>
      <c r="C790" s="213" t="n"/>
      <c r="D790" s="55" t="n"/>
      <c r="E790" s="55" t="n"/>
      <c r="F790" s="56" t="n"/>
      <c r="G790" s="196" t="n"/>
      <c r="H790" s="196" t="n"/>
      <c r="I790" s="55" t="n"/>
      <c r="J790" s="55" t="n"/>
      <c r="K790" s="55" t="n"/>
      <c r="L790" s="100">
        <f>IF(OR($C790="",$I790="Оплачено",$I790="Отменено",$H790&lt;&gt;""),"",$C790-TODAY())</f>
        <v/>
      </c>
      <c r="M790" s="101">
        <f>IF($C790="","",INDEX(Настройки!$V$6:$V$17,MONTH($C790))&amp;" "&amp;YEAR($C790))</f>
        <v/>
      </c>
      <c r="N790" s="57">
        <f>IF($F790="","",IF(COUNTIF(Постоянные!$C$8:$C$37,$F790)&gt;0,"есть в Постоянных",IF(COUNTIF(Покупки!$C$7:$C$18,$F790)&gt;0,"есть в Покупках","")))</f>
        <v/>
      </c>
      <c r="P790">
        <f>IF($H790&lt;&gt;"",$H790,IF($I790="Оплачено",N($G790),0))</f>
        <v/>
      </c>
      <c r="Q790">
        <f>IF($I790="Отменено",0,IF($G790&lt;&gt;"",$G790,N($H790)))</f>
        <v/>
      </c>
      <c r="R790">
        <f>IF($C790="","",IFERROR(DATE(Настройки!$C$8,Настройки!$D$9+MATCH($M790,Настройки!$X$6:$X$17,0)-1,1),DATE(YEAR($C790),MONTH($C790),1)))</f>
        <v/>
      </c>
      <c r="S790">
        <f>IF(OR($I790="Оплачено",$H790&lt;&gt;""),$P790,$Q790)</f>
        <v/>
      </c>
      <c r="T790">
        <f>IF(OR($C790="",$D790="Доход",$I790="Оплачено",$I790="Отменено",$H790&lt;&gt;"",$C790&lt;TODAY()),"",$C790)</f>
        <v/>
      </c>
      <c r="U790">
        <f>IF(AND($D790&lt;&gt;"Доход",COUNTIFS(Счета!$B$10:$B$21,$J790,Счета!$C$10:$C$21,"Кредитная")&gt;0),1,0)</f>
        <v/>
      </c>
    </row>
    <row r="791" ht="19" customHeight="1">
      <c r="B791" s="53">
        <f>IF(AND($C791="",$F791=""),"",ROW()-9)</f>
        <v/>
      </c>
      <c r="C791" s="213" t="n"/>
      <c r="D791" s="55" t="n"/>
      <c r="E791" s="55" t="n"/>
      <c r="F791" s="56" t="n"/>
      <c r="G791" s="196" t="n"/>
      <c r="H791" s="196" t="n"/>
      <c r="I791" s="55" t="n"/>
      <c r="J791" s="55" t="n"/>
      <c r="K791" s="55" t="n"/>
      <c r="L791" s="100">
        <f>IF(OR($C791="",$I791="Оплачено",$I791="Отменено",$H791&lt;&gt;""),"",$C791-TODAY())</f>
        <v/>
      </c>
      <c r="M791" s="101">
        <f>IF($C791="","",INDEX(Настройки!$V$6:$V$17,MONTH($C791))&amp;" "&amp;YEAR($C791))</f>
        <v/>
      </c>
      <c r="N791" s="57">
        <f>IF($F791="","",IF(COUNTIF(Постоянные!$C$8:$C$37,$F791)&gt;0,"есть в Постоянных",IF(COUNTIF(Покупки!$C$7:$C$18,$F791)&gt;0,"есть в Покупках","")))</f>
        <v/>
      </c>
      <c r="P791">
        <f>IF($H791&lt;&gt;"",$H791,IF($I791="Оплачено",N($G791),0))</f>
        <v/>
      </c>
      <c r="Q791">
        <f>IF($I791="Отменено",0,IF($G791&lt;&gt;"",$G791,N($H791)))</f>
        <v/>
      </c>
      <c r="R791">
        <f>IF($C791="","",IFERROR(DATE(Настройки!$C$8,Настройки!$D$9+MATCH($M791,Настройки!$X$6:$X$17,0)-1,1),DATE(YEAR($C791),MONTH($C791),1)))</f>
        <v/>
      </c>
      <c r="S791">
        <f>IF(OR($I791="Оплачено",$H791&lt;&gt;""),$P791,$Q791)</f>
        <v/>
      </c>
      <c r="T791">
        <f>IF(OR($C791="",$D791="Доход",$I791="Оплачено",$I791="Отменено",$H791&lt;&gt;"",$C791&lt;TODAY()),"",$C791)</f>
        <v/>
      </c>
      <c r="U791">
        <f>IF(AND($D791&lt;&gt;"Доход",COUNTIFS(Счета!$B$10:$B$21,$J791,Счета!$C$10:$C$21,"Кредитная")&gt;0),1,0)</f>
        <v/>
      </c>
    </row>
    <row r="792" ht="19" customHeight="1">
      <c r="B792" s="53">
        <f>IF(AND($C792="",$F792=""),"",ROW()-9)</f>
        <v/>
      </c>
      <c r="C792" s="213" t="n"/>
      <c r="D792" s="55" t="n"/>
      <c r="E792" s="55" t="n"/>
      <c r="F792" s="56" t="n"/>
      <c r="G792" s="196" t="n"/>
      <c r="H792" s="196" t="n"/>
      <c r="I792" s="55" t="n"/>
      <c r="J792" s="55" t="n"/>
      <c r="K792" s="55" t="n"/>
      <c r="L792" s="100">
        <f>IF(OR($C792="",$I792="Оплачено",$I792="Отменено",$H792&lt;&gt;""),"",$C792-TODAY())</f>
        <v/>
      </c>
      <c r="M792" s="101">
        <f>IF($C792="","",INDEX(Настройки!$V$6:$V$17,MONTH($C792))&amp;" "&amp;YEAR($C792))</f>
        <v/>
      </c>
      <c r="N792" s="57">
        <f>IF($F792="","",IF(COUNTIF(Постоянные!$C$8:$C$37,$F792)&gt;0,"есть в Постоянных",IF(COUNTIF(Покупки!$C$7:$C$18,$F792)&gt;0,"есть в Покупках","")))</f>
        <v/>
      </c>
      <c r="P792">
        <f>IF($H792&lt;&gt;"",$H792,IF($I792="Оплачено",N($G792),0))</f>
        <v/>
      </c>
      <c r="Q792">
        <f>IF($I792="Отменено",0,IF($G792&lt;&gt;"",$G792,N($H792)))</f>
        <v/>
      </c>
      <c r="R792">
        <f>IF($C792="","",IFERROR(DATE(Настройки!$C$8,Настройки!$D$9+MATCH($M792,Настройки!$X$6:$X$17,0)-1,1),DATE(YEAR($C792),MONTH($C792),1)))</f>
        <v/>
      </c>
      <c r="S792">
        <f>IF(OR($I792="Оплачено",$H792&lt;&gt;""),$P792,$Q792)</f>
        <v/>
      </c>
      <c r="T792">
        <f>IF(OR($C792="",$D792="Доход",$I792="Оплачено",$I792="Отменено",$H792&lt;&gt;"",$C792&lt;TODAY()),"",$C792)</f>
        <v/>
      </c>
      <c r="U792">
        <f>IF(AND($D792&lt;&gt;"Доход",COUNTIFS(Счета!$B$10:$B$21,$J792,Счета!$C$10:$C$21,"Кредитная")&gt;0),1,0)</f>
        <v/>
      </c>
    </row>
    <row r="793" ht="19" customHeight="1">
      <c r="B793" s="53">
        <f>IF(AND($C793="",$F793=""),"",ROW()-9)</f>
        <v/>
      </c>
      <c r="C793" s="213" t="n"/>
      <c r="D793" s="55" t="n"/>
      <c r="E793" s="55" t="n"/>
      <c r="F793" s="56" t="n"/>
      <c r="G793" s="196" t="n"/>
      <c r="H793" s="196" t="n"/>
      <c r="I793" s="55" t="n"/>
      <c r="J793" s="55" t="n"/>
      <c r="K793" s="55" t="n"/>
      <c r="L793" s="100">
        <f>IF(OR($C793="",$I793="Оплачено",$I793="Отменено",$H793&lt;&gt;""),"",$C793-TODAY())</f>
        <v/>
      </c>
      <c r="M793" s="101">
        <f>IF($C793="","",INDEX(Настройки!$V$6:$V$17,MONTH($C793))&amp;" "&amp;YEAR($C793))</f>
        <v/>
      </c>
      <c r="N793" s="57">
        <f>IF($F793="","",IF(COUNTIF(Постоянные!$C$8:$C$37,$F793)&gt;0,"есть в Постоянных",IF(COUNTIF(Покупки!$C$7:$C$18,$F793)&gt;0,"есть в Покупках","")))</f>
        <v/>
      </c>
      <c r="P793">
        <f>IF($H793&lt;&gt;"",$H793,IF($I793="Оплачено",N($G793),0))</f>
        <v/>
      </c>
      <c r="Q793">
        <f>IF($I793="Отменено",0,IF($G793&lt;&gt;"",$G793,N($H793)))</f>
        <v/>
      </c>
      <c r="R793">
        <f>IF($C793="","",IFERROR(DATE(Настройки!$C$8,Настройки!$D$9+MATCH($M793,Настройки!$X$6:$X$17,0)-1,1),DATE(YEAR($C793),MONTH($C793),1)))</f>
        <v/>
      </c>
      <c r="S793">
        <f>IF(OR($I793="Оплачено",$H793&lt;&gt;""),$P793,$Q793)</f>
        <v/>
      </c>
      <c r="T793">
        <f>IF(OR($C793="",$D793="Доход",$I793="Оплачено",$I793="Отменено",$H793&lt;&gt;"",$C793&lt;TODAY()),"",$C793)</f>
        <v/>
      </c>
      <c r="U793">
        <f>IF(AND($D793&lt;&gt;"Доход",COUNTIFS(Счета!$B$10:$B$21,$J793,Счета!$C$10:$C$21,"Кредитная")&gt;0),1,0)</f>
        <v/>
      </c>
    </row>
    <row r="794" ht="19" customHeight="1">
      <c r="B794" s="53">
        <f>IF(AND($C794="",$F794=""),"",ROW()-9)</f>
        <v/>
      </c>
      <c r="C794" s="213" t="n"/>
      <c r="D794" s="55" t="n"/>
      <c r="E794" s="55" t="n"/>
      <c r="F794" s="56" t="n"/>
      <c r="G794" s="196" t="n"/>
      <c r="H794" s="196" t="n"/>
      <c r="I794" s="55" t="n"/>
      <c r="J794" s="55" t="n"/>
      <c r="K794" s="55" t="n"/>
      <c r="L794" s="100">
        <f>IF(OR($C794="",$I794="Оплачено",$I794="Отменено",$H794&lt;&gt;""),"",$C794-TODAY())</f>
        <v/>
      </c>
      <c r="M794" s="101">
        <f>IF($C794="","",INDEX(Настройки!$V$6:$V$17,MONTH($C794))&amp;" "&amp;YEAR($C794))</f>
        <v/>
      </c>
      <c r="N794" s="57">
        <f>IF($F794="","",IF(COUNTIF(Постоянные!$C$8:$C$37,$F794)&gt;0,"есть в Постоянных",IF(COUNTIF(Покупки!$C$7:$C$18,$F794)&gt;0,"есть в Покупках","")))</f>
        <v/>
      </c>
      <c r="P794">
        <f>IF($H794&lt;&gt;"",$H794,IF($I794="Оплачено",N($G794),0))</f>
        <v/>
      </c>
      <c r="Q794">
        <f>IF($I794="Отменено",0,IF($G794&lt;&gt;"",$G794,N($H794)))</f>
        <v/>
      </c>
      <c r="R794">
        <f>IF($C794="","",IFERROR(DATE(Настройки!$C$8,Настройки!$D$9+MATCH($M794,Настройки!$X$6:$X$17,0)-1,1),DATE(YEAR($C794),MONTH($C794),1)))</f>
        <v/>
      </c>
      <c r="S794">
        <f>IF(OR($I794="Оплачено",$H794&lt;&gt;""),$P794,$Q794)</f>
        <v/>
      </c>
      <c r="T794">
        <f>IF(OR($C794="",$D794="Доход",$I794="Оплачено",$I794="Отменено",$H794&lt;&gt;"",$C794&lt;TODAY()),"",$C794)</f>
        <v/>
      </c>
      <c r="U794">
        <f>IF(AND($D794&lt;&gt;"Доход",COUNTIFS(Счета!$B$10:$B$21,$J794,Счета!$C$10:$C$21,"Кредитная")&gt;0),1,0)</f>
        <v/>
      </c>
    </row>
    <row r="795" ht="19" customHeight="1">
      <c r="B795" s="53">
        <f>IF(AND($C795="",$F795=""),"",ROW()-9)</f>
        <v/>
      </c>
      <c r="C795" s="213" t="n"/>
      <c r="D795" s="55" t="n"/>
      <c r="E795" s="55" t="n"/>
      <c r="F795" s="56" t="n"/>
      <c r="G795" s="196" t="n"/>
      <c r="H795" s="196" t="n"/>
      <c r="I795" s="55" t="n"/>
      <c r="J795" s="55" t="n"/>
      <c r="K795" s="55" t="n"/>
      <c r="L795" s="100">
        <f>IF(OR($C795="",$I795="Оплачено",$I795="Отменено",$H795&lt;&gt;""),"",$C795-TODAY())</f>
        <v/>
      </c>
      <c r="M795" s="101">
        <f>IF($C795="","",INDEX(Настройки!$V$6:$V$17,MONTH($C795))&amp;" "&amp;YEAR($C795))</f>
        <v/>
      </c>
      <c r="N795" s="57">
        <f>IF($F795="","",IF(COUNTIF(Постоянные!$C$8:$C$37,$F795)&gt;0,"есть в Постоянных",IF(COUNTIF(Покупки!$C$7:$C$18,$F795)&gt;0,"есть в Покупках","")))</f>
        <v/>
      </c>
      <c r="P795">
        <f>IF($H795&lt;&gt;"",$H795,IF($I795="Оплачено",N($G795),0))</f>
        <v/>
      </c>
      <c r="Q795">
        <f>IF($I795="Отменено",0,IF($G795&lt;&gt;"",$G795,N($H795)))</f>
        <v/>
      </c>
      <c r="R795">
        <f>IF($C795="","",IFERROR(DATE(Настройки!$C$8,Настройки!$D$9+MATCH($M795,Настройки!$X$6:$X$17,0)-1,1),DATE(YEAR($C795),MONTH($C795),1)))</f>
        <v/>
      </c>
      <c r="S795">
        <f>IF(OR($I795="Оплачено",$H795&lt;&gt;""),$P795,$Q795)</f>
        <v/>
      </c>
      <c r="T795">
        <f>IF(OR($C795="",$D795="Доход",$I795="Оплачено",$I795="Отменено",$H795&lt;&gt;"",$C795&lt;TODAY()),"",$C795)</f>
        <v/>
      </c>
      <c r="U795">
        <f>IF(AND($D795&lt;&gt;"Доход",COUNTIFS(Счета!$B$10:$B$21,$J795,Счета!$C$10:$C$21,"Кредитная")&gt;0),1,0)</f>
        <v/>
      </c>
    </row>
    <row r="796" ht="19" customHeight="1">
      <c r="B796" s="53">
        <f>IF(AND($C796="",$F796=""),"",ROW()-9)</f>
        <v/>
      </c>
      <c r="C796" s="213" t="n"/>
      <c r="D796" s="55" t="n"/>
      <c r="E796" s="55" t="n"/>
      <c r="F796" s="56" t="n"/>
      <c r="G796" s="196" t="n"/>
      <c r="H796" s="196" t="n"/>
      <c r="I796" s="55" t="n"/>
      <c r="J796" s="55" t="n"/>
      <c r="K796" s="55" t="n"/>
      <c r="L796" s="100">
        <f>IF(OR($C796="",$I796="Оплачено",$I796="Отменено",$H796&lt;&gt;""),"",$C796-TODAY())</f>
        <v/>
      </c>
      <c r="M796" s="101">
        <f>IF($C796="","",INDEX(Настройки!$V$6:$V$17,MONTH($C796))&amp;" "&amp;YEAR($C796))</f>
        <v/>
      </c>
      <c r="N796" s="57">
        <f>IF($F796="","",IF(COUNTIF(Постоянные!$C$8:$C$37,$F796)&gt;0,"есть в Постоянных",IF(COUNTIF(Покупки!$C$7:$C$18,$F796)&gt;0,"есть в Покупках","")))</f>
        <v/>
      </c>
      <c r="P796">
        <f>IF($H796&lt;&gt;"",$H796,IF($I796="Оплачено",N($G796),0))</f>
        <v/>
      </c>
      <c r="Q796">
        <f>IF($I796="Отменено",0,IF($G796&lt;&gt;"",$G796,N($H796)))</f>
        <v/>
      </c>
      <c r="R796">
        <f>IF($C796="","",IFERROR(DATE(Настройки!$C$8,Настройки!$D$9+MATCH($M796,Настройки!$X$6:$X$17,0)-1,1),DATE(YEAR($C796),MONTH($C796),1)))</f>
        <v/>
      </c>
      <c r="S796">
        <f>IF(OR($I796="Оплачено",$H796&lt;&gt;""),$P796,$Q796)</f>
        <v/>
      </c>
      <c r="T796">
        <f>IF(OR($C796="",$D796="Доход",$I796="Оплачено",$I796="Отменено",$H796&lt;&gt;"",$C796&lt;TODAY()),"",$C796)</f>
        <v/>
      </c>
      <c r="U796">
        <f>IF(AND($D796&lt;&gt;"Доход",COUNTIFS(Счета!$B$10:$B$21,$J796,Счета!$C$10:$C$21,"Кредитная")&gt;0),1,0)</f>
        <v/>
      </c>
    </row>
    <row r="797" ht="19" customHeight="1">
      <c r="B797" s="53">
        <f>IF(AND($C797="",$F797=""),"",ROW()-9)</f>
        <v/>
      </c>
      <c r="C797" s="213" t="n"/>
      <c r="D797" s="55" t="n"/>
      <c r="E797" s="55" t="n"/>
      <c r="F797" s="56" t="n"/>
      <c r="G797" s="196" t="n"/>
      <c r="H797" s="196" t="n"/>
      <c r="I797" s="55" t="n"/>
      <c r="J797" s="55" t="n"/>
      <c r="K797" s="55" t="n"/>
      <c r="L797" s="100">
        <f>IF(OR($C797="",$I797="Оплачено",$I797="Отменено",$H797&lt;&gt;""),"",$C797-TODAY())</f>
        <v/>
      </c>
      <c r="M797" s="101">
        <f>IF($C797="","",INDEX(Настройки!$V$6:$V$17,MONTH($C797))&amp;" "&amp;YEAR($C797))</f>
        <v/>
      </c>
      <c r="N797" s="57">
        <f>IF($F797="","",IF(COUNTIF(Постоянные!$C$8:$C$37,$F797)&gt;0,"есть в Постоянных",IF(COUNTIF(Покупки!$C$7:$C$18,$F797)&gt;0,"есть в Покупках","")))</f>
        <v/>
      </c>
      <c r="P797">
        <f>IF($H797&lt;&gt;"",$H797,IF($I797="Оплачено",N($G797),0))</f>
        <v/>
      </c>
      <c r="Q797">
        <f>IF($I797="Отменено",0,IF($G797&lt;&gt;"",$G797,N($H797)))</f>
        <v/>
      </c>
      <c r="R797">
        <f>IF($C797="","",IFERROR(DATE(Настройки!$C$8,Настройки!$D$9+MATCH($M797,Настройки!$X$6:$X$17,0)-1,1),DATE(YEAR($C797),MONTH($C797),1)))</f>
        <v/>
      </c>
      <c r="S797">
        <f>IF(OR($I797="Оплачено",$H797&lt;&gt;""),$P797,$Q797)</f>
        <v/>
      </c>
      <c r="T797">
        <f>IF(OR($C797="",$D797="Доход",$I797="Оплачено",$I797="Отменено",$H797&lt;&gt;"",$C797&lt;TODAY()),"",$C797)</f>
        <v/>
      </c>
      <c r="U797">
        <f>IF(AND($D797&lt;&gt;"Доход",COUNTIFS(Счета!$B$10:$B$21,$J797,Счета!$C$10:$C$21,"Кредитная")&gt;0),1,0)</f>
        <v/>
      </c>
    </row>
    <row r="798" ht="19" customHeight="1">
      <c r="B798" s="53">
        <f>IF(AND($C798="",$F798=""),"",ROW()-9)</f>
        <v/>
      </c>
      <c r="C798" s="213" t="n"/>
      <c r="D798" s="55" t="n"/>
      <c r="E798" s="55" t="n"/>
      <c r="F798" s="56" t="n"/>
      <c r="G798" s="196" t="n"/>
      <c r="H798" s="196" t="n"/>
      <c r="I798" s="55" t="n"/>
      <c r="J798" s="55" t="n"/>
      <c r="K798" s="55" t="n"/>
      <c r="L798" s="100">
        <f>IF(OR($C798="",$I798="Оплачено",$I798="Отменено",$H798&lt;&gt;""),"",$C798-TODAY())</f>
        <v/>
      </c>
      <c r="M798" s="101">
        <f>IF($C798="","",INDEX(Настройки!$V$6:$V$17,MONTH($C798))&amp;" "&amp;YEAR($C798))</f>
        <v/>
      </c>
      <c r="N798" s="57">
        <f>IF($F798="","",IF(COUNTIF(Постоянные!$C$8:$C$37,$F798)&gt;0,"есть в Постоянных",IF(COUNTIF(Покупки!$C$7:$C$18,$F798)&gt;0,"есть в Покупках","")))</f>
        <v/>
      </c>
      <c r="P798">
        <f>IF($H798&lt;&gt;"",$H798,IF($I798="Оплачено",N($G798),0))</f>
        <v/>
      </c>
      <c r="Q798">
        <f>IF($I798="Отменено",0,IF($G798&lt;&gt;"",$G798,N($H798)))</f>
        <v/>
      </c>
      <c r="R798">
        <f>IF($C798="","",IFERROR(DATE(Настройки!$C$8,Настройки!$D$9+MATCH($M798,Настройки!$X$6:$X$17,0)-1,1),DATE(YEAR($C798),MONTH($C798),1)))</f>
        <v/>
      </c>
      <c r="S798">
        <f>IF(OR($I798="Оплачено",$H798&lt;&gt;""),$P798,$Q798)</f>
        <v/>
      </c>
      <c r="T798">
        <f>IF(OR($C798="",$D798="Доход",$I798="Оплачено",$I798="Отменено",$H798&lt;&gt;"",$C798&lt;TODAY()),"",$C798)</f>
        <v/>
      </c>
      <c r="U798">
        <f>IF(AND($D798&lt;&gt;"Доход",COUNTIFS(Счета!$B$10:$B$21,$J798,Счета!$C$10:$C$21,"Кредитная")&gt;0),1,0)</f>
        <v/>
      </c>
    </row>
    <row r="799" ht="19" customHeight="1">
      <c r="B799" s="53">
        <f>IF(AND($C799="",$F799=""),"",ROW()-9)</f>
        <v/>
      </c>
      <c r="C799" s="213" t="n"/>
      <c r="D799" s="55" t="n"/>
      <c r="E799" s="55" t="n"/>
      <c r="F799" s="56" t="n"/>
      <c r="G799" s="196" t="n"/>
      <c r="H799" s="196" t="n"/>
      <c r="I799" s="55" t="n"/>
      <c r="J799" s="55" t="n"/>
      <c r="K799" s="55" t="n"/>
      <c r="L799" s="100">
        <f>IF(OR($C799="",$I799="Оплачено",$I799="Отменено",$H799&lt;&gt;""),"",$C799-TODAY())</f>
        <v/>
      </c>
      <c r="M799" s="101">
        <f>IF($C799="","",INDEX(Настройки!$V$6:$V$17,MONTH($C799))&amp;" "&amp;YEAR($C799))</f>
        <v/>
      </c>
      <c r="N799" s="57">
        <f>IF($F799="","",IF(COUNTIF(Постоянные!$C$8:$C$37,$F799)&gt;0,"есть в Постоянных",IF(COUNTIF(Покупки!$C$7:$C$18,$F799)&gt;0,"есть в Покупках","")))</f>
        <v/>
      </c>
      <c r="P799">
        <f>IF($H799&lt;&gt;"",$H799,IF($I799="Оплачено",N($G799),0))</f>
        <v/>
      </c>
      <c r="Q799">
        <f>IF($I799="Отменено",0,IF($G799&lt;&gt;"",$G799,N($H799)))</f>
        <v/>
      </c>
      <c r="R799">
        <f>IF($C799="","",IFERROR(DATE(Настройки!$C$8,Настройки!$D$9+MATCH($M799,Настройки!$X$6:$X$17,0)-1,1),DATE(YEAR($C799),MONTH($C799),1)))</f>
        <v/>
      </c>
      <c r="S799">
        <f>IF(OR($I799="Оплачено",$H799&lt;&gt;""),$P799,$Q799)</f>
        <v/>
      </c>
      <c r="T799">
        <f>IF(OR($C799="",$D799="Доход",$I799="Оплачено",$I799="Отменено",$H799&lt;&gt;"",$C799&lt;TODAY()),"",$C799)</f>
        <v/>
      </c>
      <c r="U799">
        <f>IF(AND($D799&lt;&gt;"Доход",COUNTIFS(Счета!$B$10:$B$21,$J799,Счета!$C$10:$C$21,"Кредитная")&gt;0),1,0)</f>
        <v/>
      </c>
    </row>
    <row r="800" ht="19" customHeight="1">
      <c r="B800" s="53">
        <f>IF(AND($C800="",$F800=""),"",ROW()-9)</f>
        <v/>
      </c>
      <c r="C800" s="213" t="n"/>
      <c r="D800" s="55" t="n"/>
      <c r="E800" s="55" t="n"/>
      <c r="F800" s="56" t="n"/>
      <c r="G800" s="196" t="n"/>
      <c r="H800" s="196" t="n"/>
      <c r="I800" s="55" t="n"/>
      <c r="J800" s="55" t="n"/>
      <c r="K800" s="55" t="n"/>
      <c r="L800" s="100">
        <f>IF(OR($C800="",$I800="Оплачено",$I800="Отменено",$H800&lt;&gt;""),"",$C800-TODAY())</f>
        <v/>
      </c>
      <c r="M800" s="101">
        <f>IF($C800="","",INDEX(Настройки!$V$6:$V$17,MONTH($C800))&amp;" "&amp;YEAR($C800))</f>
        <v/>
      </c>
      <c r="N800" s="57">
        <f>IF($F800="","",IF(COUNTIF(Постоянные!$C$8:$C$37,$F800)&gt;0,"есть в Постоянных",IF(COUNTIF(Покупки!$C$7:$C$18,$F800)&gt;0,"есть в Покупках","")))</f>
        <v/>
      </c>
      <c r="P800">
        <f>IF($H800&lt;&gt;"",$H800,IF($I800="Оплачено",N($G800),0))</f>
        <v/>
      </c>
      <c r="Q800">
        <f>IF($I800="Отменено",0,IF($G800&lt;&gt;"",$G800,N($H800)))</f>
        <v/>
      </c>
      <c r="R800">
        <f>IF($C800="","",IFERROR(DATE(Настройки!$C$8,Настройки!$D$9+MATCH($M800,Настройки!$X$6:$X$17,0)-1,1),DATE(YEAR($C800),MONTH($C800),1)))</f>
        <v/>
      </c>
      <c r="S800">
        <f>IF(OR($I800="Оплачено",$H800&lt;&gt;""),$P800,$Q800)</f>
        <v/>
      </c>
      <c r="T800">
        <f>IF(OR($C800="",$D800="Доход",$I800="Оплачено",$I800="Отменено",$H800&lt;&gt;"",$C800&lt;TODAY()),"",$C800)</f>
        <v/>
      </c>
      <c r="U800">
        <f>IF(AND($D800&lt;&gt;"Доход",COUNTIFS(Счета!$B$10:$B$21,$J800,Счета!$C$10:$C$21,"Кредитная")&gt;0),1,0)</f>
        <v/>
      </c>
    </row>
    <row r="801" ht="19" customHeight="1">
      <c r="B801" s="53">
        <f>IF(AND($C801="",$F801=""),"",ROW()-9)</f>
        <v/>
      </c>
      <c r="C801" s="213" t="n"/>
      <c r="D801" s="55" t="n"/>
      <c r="E801" s="55" t="n"/>
      <c r="F801" s="56" t="n"/>
      <c r="G801" s="196" t="n"/>
      <c r="H801" s="196" t="n"/>
      <c r="I801" s="55" t="n"/>
      <c r="J801" s="55" t="n"/>
      <c r="K801" s="55" t="n"/>
      <c r="L801" s="100">
        <f>IF(OR($C801="",$I801="Оплачено",$I801="Отменено",$H801&lt;&gt;""),"",$C801-TODAY())</f>
        <v/>
      </c>
      <c r="M801" s="101">
        <f>IF($C801="","",INDEX(Настройки!$V$6:$V$17,MONTH($C801))&amp;" "&amp;YEAR($C801))</f>
        <v/>
      </c>
      <c r="N801" s="57">
        <f>IF($F801="","",IF(COUNTIF(Постоянные!$C$8:$C$37,$F801)&gt;0,"есть в Постоянных",IF(COUNTIF(Покупки!$C$7:$C$18,$F801)&gt;0,"есть в Покупках","")))</f>
        <v/>
      </c>
      <c r="P801">
        <f>IF($H801&lt;&gt;"",$H801,IF($I801="Оплачено",N($G801),0))</f>
        <v/>
      </c>
      <c r="Q801">
        <f>IF($I801="Отменено",0,IF($G801&lt;&gt;"",$G801,N($H801)))</f>
        <v/>
      </c>
      <c r="R801">
        <f>IF($C801="","",IFERROR(DATE(Настройки!$C$8,Настройки!$D$9+MATCH($M801,Настройки!$X$6:$X$17,0)-1,1),DATE(YEAR($C801),MONTH($C801),1)))</f>
        <v/>
      </c>
      <c r="S801">
        <f>IF(OR($I801="Оплачено",$H801&lt;&gt;""),$P801,$Q801)</f>
        <v/>
      </c>
      <c r="T801">
        <f>IF(OR($C801="",$D801="Доход",$I801="Оплачено",$I801="Отменено",$H801&lt;&gt;"",$C801&lt;TODAY()),"",$C801)</f>
        <v/>
      </c>
      <c r="U801">
        <f>IF(AND($D801&lt;&gt;"Доход",COUNTIFS(Счета!$B$10:$B$21,$J801,Счета!$C$10:$C$21,"Кредитная")&gt;0),1,0)</f>
        <v/>
      </c>
    </row>
    <row r="802" ht="19" customHeight="1">
      <c r="B802" s="53">
        <f>IF(AND($C802="",$F802=""),"",ROW()-9)</f>
        <v/>
      </c>
      <c r="C802" s="213" t="n"/>
      <c r="D802" s="55" t="n"/>
      <c r="E802" s="55" t="n"/>
      <c r="F802" s="56" t="n"/>
      <c r="G802" s="196" t="n"/>
      <c r="H802" s="196" t="n"/>
      <c r="I802" s="55" t="n"/>
      <c r="J802" s="55" t="n"/>
      <c r="K802" s="55" t="n"/>
      <c r="L802" s="100">
        <f>IF(OR($C802="",$I802="Оплачено",$I802="Отменено",$H802&lt;&gt;""),"",$C802-TODAY())</f>
        <v/>
      </c>
      <c r="M802" s="101">
        <f>IF($C802="","",INDEX(Настройки!$V$6:$V$17,MONTH($C802))&amp;" "&amp;YEAR($C802))</f>
        <v/>
      </c>
      <c r="N802" s="57">
        <f>IF($F802="","",IF(COUNTIF(Постоянные!$C$8:$C$37,$F802)&gt;0,"есть в Постоянных",IF(COUNTIF(Покупки!$C$7:$C$18,$F802)&gt;0,"есть в Покупках","")))</f>
        <v/>
      </c>
      <c r="P802">
        <f>IF($H802&lt;&gt;"",$H802,IF($I802="Оплачено",N($G802),0))</f>
        <v/>
      </c>
      <c r="Q802">
        <f>IF($I802="Отменено",0,IF($G802&lt;&gt;"",$G802,N($H802)))</f>
        <v/>
      </c>
      <c r="R802">
        <f>IF($C802="","",IFERROR(DATE(Настройки!$C$8,Настройки!$D$9+MATCH($M802,Настройки!$X$6:$X$17,0)-1,1),DATE(YEAR($C802),MONTH($C802),1)))</f>
        <v/>
      </c>
      <c r="S802">
        <f>IF(OR($I802="Оплачено",$H802&lt;&gt;""),$P802,$Q802)</f>
        <v/>
      </c>
      <c r="T802">
        <f>IF(OR($C802="",$D802="Доход",$I802="Оплачено",$I802="Отменено",$H802&lt;&gt;"",$C802&lt;TODAY()),"",$C802)</f>
        <v/>
      </c>
      <c r="U802">
        <f>IF(AND($D802&lt;&gt;"Доход",COUNTIFS(Счета!$B$10:$B$21,$J802,Счета!$C$10:$C$21,"Кредитная")&gt;0),1,0)</f>
        <v/>
      </c>
    </row>
    <row r="803" ht="19" customHeight="1">
      <c r="B803" s="53">
        <f>IF(AND($C803="",$F803=""),"",ROW()-9)</f>
        <v/>
      </c>
      <c r="C803" s="213" t="n"/>
      <c r="D803" s="55" t="n"/>
      <c r="E803" s="55" t="n"/>
      <c r="F803" s="56" t="n"/>
      <c r="G803" s="196" t="n"/>
      <c r="H803" s="196" t="n"/>
      <c r="I803" s="55" t="n"/>
      <c r="J803" s="55" t="n"/>
      <c r="K803" s="55" t="n"/>
      <c r="L803" s="100">
        <f>IF(OR($C803="",$I803="Оплачено",$I803="Отменено",$H803&lt;&gt;""),"",$C803-TODAY())</f>
        <v/>
      </c>
      <c r="M803" s="101">
        <f>IF($C803="","",INDEX(Настройки!$V$6:$V$17,MONTH($C803))&amp;" "&amp;YEAR($C803))</f>
        <v/>
      </c>
      <c r="N803" s="57">
        <f>IF($F803="","",IF(COUNTIF(Постоянные!$C$8:$C$37,$F803)&gt;0,"есть в Постоянных",IF(COUNTIF(Покупки!$C$7:$C$18,$F803)&gt;0,"есть в Покупках","")))</f>
        <v/>
      </c>
      <c r="P803">
        <f>IF($H803&lt;&gt;"",$H803,IF($I803="Оплачено",N($G803),0))</f>
        <v/>
      </c>
      <c r="Q803">
        <f>IF($I803="Отменено",0,IF($G803&lt;&gt;"",$G803,N($H803)))</f>
        <v/>
      </c>
      <c r="R803">
        <f>IF($C803="","",IFERROR(DATE(Настройки!$C$8,Настройки!$D$9+MATCH($M803,Настройки!$X$6:$X$17,0)-1,1),DATE(YEAR($C803),MONTH($C803),1)))</f>
        <v/>
      </c>
      <c r="S803">
        <f>IF(OR($I803="Оплачено",$H803&lt;&gt;""),$P803,$Q803)</f>
        <v/>
      </c>
      <c r="T803">
        <f>IF(OR($C803="",$D803="Доход",$I803="Оплачено",$I803="Отменено",$H803&lt;&gt;"",$C803&lt;TODAY()),"",$C803)</f>
        <v/>
      </c>
      <c r="U803">
        <f>IF(AND($D803&lt;&gt;"Доход",COUNTIFS(Счета!$B$10:$B$21,$J803,Счета!$C$10:$C$21,"Кредитная")&gt;0),1,0)</f>
        <v/>
      </c>
    </row>
    <row r="804" ht="19" customHeight="1">
      <c r="B804" s="53">
        <f>IF(AND($C804="",$F804=""),"",ROW()-9)</f>
        <v/>
      </c>
      <c r="C804" s="213" t="n"/>
      <c r="D804" s="55" t="n"/>
      <c r="E804" s="55" t="n"/>
      <c r="F804" s="56" t="n"/>
      <c r="G804" s="196" t="n"/>
      <c r="H804" s="196" t="n"/>
      <c r="I804" s="55" t="n"/>
      <c r="J804" s="55" t="n"/>
      <c r="K804" s="55" t="n"/>
      <c r="L804" s="100">
        <f>IF(OR($C804="",$I804="Оплачено",$I804="Отменено",$H804&lt;&gt;""),"",$C804-TODAY())</f>
        <v/>
      </c>
      <c r="M804" s="101">
        <f>IF($C804="","",INDEX(Настройки!$V$6:$V$17,MONTH($C804))&amp;" "&amp;YEAR($C804))</f>
        <v/>
      </c>
      <c r="N804" s="57">
        <f>IF($F804="","",IF(COUNTIF(Постоянные!$C$8:$C$37,$F804)&gt;0,"есть в Постоянных",IF(COUNTIF(Покупки!$C$7:$C$18,$F804)&gt;0,"есть в Покупках","")))</f>
        <v/>
      </c>
      <c r="P804">
        <f>IF($H804&lt;&gt;"",$H804,IF($I804="Оплачено",N($G804),0))</f>
        <v/>
      </c>
      <c r="Q804">
        <f>IF($I804="Отменено",0,IF($G804&lt;&gt;"",$G804,N($H804)))</f>
        <v/>
      </c>
      <c r="R804">
        <f>IF($C804="","",IFERROR(DATE(Настройки!$C$8,Настройки!$D$9+MATCH($M804,Настройки!$X$6:$X$17,0)-1,1),DATE(YEAR($C804),MONTH($C804),1)))</f>
        <v/>
      </c>
      <c r="S804">
        <f>IF(OR($I804="Оплачено",$H804&lt;&gt;""),$P804,$Q804)</f>
        <v/>
      </c>
      <c r="T804">
        <f>IF(OR($C804="",$D804="Доход",$I804="Оплачено",$I804="Отменено",$H804&lt;&gt;"",$C804&lt;TODAY()),"",$C804)</f>
        <v/>
      </c>
      <c r="U804">
        <f>IF(AND($D804&lt;&gt;"Доход",COUNTIFS(Счета!$B$10:$B$21,$J804,Счета!$C$10:$C$21,"Кредитная")&gt;0),1,0)</f>
        <v/>
      </c>
    </row>
    <row r="805" ht="19" customHeight="1">
      <c r="B805" s="53">
        <f>IF(AND($C805="",$F805=""),"",ROW()-9)</f>
        <v/>
      </c>
      <c r="C805" s="213" t="n"/>
      <c r="D805" s="55" t="n"/>
      <c r="E805" s="55" t="n"/>
      <c r="F805" s="56" t="n"/>
      <c r="G805" s="196" t="n"/>
      <c r="H805" s="196" t="n"/>
      <c r="I805" s="55" t="n"/>
      <c r="J805" s="55" t="n"/>
      <c r="K805" s="55" t="n"/>
      <c r="L805" s="100">
        <f>IF(OR($C805="",$I805="Оплачено",$I805="Отменено",$H805&lt;&gt;""),"",$C805-TODAY())</f>
        <v/>
      </c>
      <c r="M805" s="101">
        <f>IF($C805="","",INDEX(Настройки!$V$6:$V$17,MONTH($C805))&amp;" "&amp;YEAR($C805))</f>
        <v/>
      </c>
      <c r="N805" s="57">
        <f>IF($F805="","",IF(COUNTIF(Постоянные!$C$8:$C$37,$F805)&gt;0,"есть в Постоянных",IF(COUNTIF(Покупки!$C$7:$C$18,$F805)&gt;0,"есть в Покупках","")))</f>
        <v/>
      </c>
      <c r="P805">
        <f>IF($H805&lt;&gt;"",$H805,IF($I805="Оплачено",N($G805),0))</f>
        <v/>
      </c>
      <c r="Q805">
        <f>IF($I805="Отменено",0,IF($G805&lt;&gt;"",$G805,N($H805)))</f>
        <v/>
      </c>
      <c r="R805">
        <f>IF($C805="","",IFERROR(DATE(Настройки!$C$8,Настройки!$D$9+MATCH($M805,Настройки!$X$6:$X$17,0)-1,1),DATE(YEAR($C805),MONTH($C805),1)))</f>
        <v/>
      </c>
      <c r="S805">
        <f>IF(OR($I805="Оплачено",$H805&lt;&gt;""),$P805,$Q805)</f>
        <v/>
      </c>
      <c r="T805">
        <f>IF(OR($C805="",$D805="Доход",$I805="Оплачено",$I805="Отменено",$H805&lt;&gt;"",$C805&lt;TODAY()),"",$C805)</f>
        <v/>
      </c>
      <c r="U805">
        <f>IF(AND($D805&lt;&gt;"Доход",COUNTIFS(Счета!$B$10:$B$21,$J805,Счета!$C$10:$C$21,"Кредитная")&gt;0),1,0)</f>
        <v/>
      </c>
    </row>
    <row r="806" ht="19" customHeight="1">
      <c r="B806" s="53">
        <f>IF(AND($C806="",$F806=""),"",ROW()-9)</f>
        <v/>
      </c>
      <c r="C806" s="213" t="n"/>
      <c r="D806" s="55" t="n"/>
      <c r="E806" s="55" t="n"/>
      <c r="F806" s="56" t="n"/>
      <c r="G806" s="196" t="n"/>
      <c r="H806" s="196" t="n"/>
      <c r="I806" s="55" t="n"/>
      <c r="J806" s="55" t="n"/>
      <c r="K806" s="55" t="n"/>
      <c r="L806" s="100">
        <f>IF(OR($C806="",$I806="Оплачено",$I806="Отменено",$H806&lt;&gt;""),"",$C806-TODAY())</f>
        <v/>
      </c>
      <c r="M806" s="101">
        <f>IF($C806="","",INDEX(Настройки!$V$6:$V$17,MONTH($C806))&amp;" "&amp;YEAR($C806))</f>
        <v/>
      </c>
      <c r="N806" s="57">
        <f>IF($F806="","",IF(COUNTIF(Постоянные!$C$8:$C$37,$F806)&gt;0,"есть в Постоянных",IF(COUNTIF(Покупки!$C$7:$C$18,$F806)&gt;0,"есть в Покупках","")))</f>
        <v/>
      </c>
      <c r="P806">
        <f>IF($H806&lt;&gt;"",$H806,IF($I806="Оплачено",N($G806),0))</f>
        <v/>
      </c>
      <c r="Q806">
        <f>IF($I806="Отменено",0,IF($G806&lt;&gt;"",$G806,N($H806)))</f>
        <v/>
      </c>
      <c r="R806">
        <f>IF($C806="","",IFERROR(DATE(Настройки!$C$8,Настройки!$D$9+MATCH($M806,Настройки!$X$6:$X$17,0)-1,1),DATE(YEAR($C806),MONTH($C806),1)))</f>
        <v/>
      </c>
      <c r="S806">
        <f>IF(OR($I806="Оплачено",$H806&lt;&gt;""),$P806,$Q806)</f>
        <v/>
      </c>
      <c r="T806">
        <f>IF(OR($C806="",$D806="Доход",$I806="Оплачено",$I806="Отменено",$H806&lt;&gt;"",$C806&lt;TODAY()),"",$C806)</f>
        <v/>
      </c>
      <c r="U806">
        <f>IF(AND($D806&lt;&gt;"Доход",COUNTIFS(Счета!$B$10:$B$21,$J806,Счета!$C$10:$C$21,"Кредитная")&gt;0),1,0)</f>
        <v/>
      </c>
    </row>
    <row r="807" ht="19" customHeight="1">
      <c r="B807" s="53">
        <f>IF(AND($C807="",$F807=""),"",ROW()-9)</f>
        <v/>
      </c>
      <c r="C807" s="213" t="n"/>
      <c r="D807" s="55" t="n"/>
      <c r="E807" s="55" t="n"/>
      <c r="F807" s="56" t="n"/>
      <c r="G807" s="196" t="n"/>
      <c r="H807" s="196" t="n"/>
      <c r="I807" s="55" t="n"/>
      <c r="J807" s="55" t="n"/>
      <c r="K807" s="55" t="n"/>
      <c r="L807" s="100">
        <f>IF(OR($C807="",$I807="Оплачено",$I807="Отменено",$H807&lt;&gt;""),"",$C807-TODAY())</f>
        <v/>
      </c>
      <c r="M807" s="101">
        <f>IF($C807="","",INDEX(Настройки!$V$6:$V$17,MONTH($C807))&amp;" "&amp;YEAR($C807))</f>
        <v/>
      </c>
      <c r="N807" s="57">
        <f>IF($F807="","",IF(COUNTIF(Постоянные!$C$8:$C$37,$F807)&gt;0,"есть в Постоянных",IF(COUNTIF(Покупки!$C$7:$C$18,$F807)&gt;0,"есть в Покупках","")))</f>
        <v/>
      </c>
      <c r="P807">
        <f>IF($H807&lt;&gt;"",$H807,IF($I807="Оплачено",N($G807),0))</f>
        <v/>
      </c>
      <c r="Q807">
        <f>IF($I807="Отменено",0,IF($G807&lt;&gt;"",$G807,N($H807)))</f>
        <v/>
      </c>
      <c r="R807">
        <f>IF($C807="","",IFERROR(DATE(Настройки!$C$8,Настройки!$D$9+MATCH($M807,Настройки!$X$6:$X$17,0)-1,1),DATE(YEAR($C807),MONTH($C807),1)))</f>
        <v/>
      </c>
      <c r="S807">
        <f>IF(OR($I807="Оплачено",$H807&lt;&gt;""),$P807,$Q807)</f>
        <v/>
      </c>
      <c r="T807">
        <f>IF(OR($C807="",$D807="Доход",$I807="Оплачено",$I807="Отменено",$H807&lt;&gt;"",$C807&lt;TODAY()),"",$C807)</f>
        <v/>
      </c>
      <c r="U807">
        <f>IF(AND($D807&lt;&gt;"Доход",COUNTIFS(Счета!$B$10:$B$21,$J807,Счета!$C$10:$C$21,"Кредитная")&gt;0),1,0)</f>
        <v/>
      </c>
    </row>
    <row r="808" ht="19" customHeight="1">
      <c r="B808" s="53">
        <f>IF(AND($C808="",$F808=""),"",ROW()-9)</f>
        <v/>
      </c>
      <c r="C808" s="213" t="n"/>
      <c r="D808" s="55" t="n"/>
      <c r="E808" s="55" t="n"/>
      <c r="F808" s="56" t="n"/>
      <c r="G808" s="196" t="n"/>
      <c r="H808" s="196" t="n"/>
      <c r="I808" s="55" t="n"/>
      <c r="J808" s="55" t="n"/>
      <c r="K808" s="55" t="n"/>
      <c r="L808" s="100">
        <f>IF(OR($C808="",$I808="Оплачено",$I808="Отменено",$H808&lt;&gt;""),"",$C808-TODAY())</f>
        <v/>
      </c>
      <c r="M808" s="101">
        <f>IF($C808="","",INDEX(Настройки!$V$6:$V$17,MONTH($C808))&amp;" "&amp;YEAR($C808))</f>
        <v/>
      </c>
      <c r="N808" s="57">
        <f>IF($F808="","",IF(COUNTIF(Постоянные!$C$8:$C$37,$F808)&gt;0,"есть в Постоянных",IF(COUNTIF(Покупки!$C$7:$C$18,$F808)&gt;0,"есть в Покупках","")))</f>
        <v/>
      </c>
      <c r="P808">
        <f>IF($H808&lt;&gt;"",$H808,IF($I808="Оплачено",N($G808),0))</f>
        <v/>
      </c>
      <c r="Q808">
        <f>IF($I808="Отменено",0,IF($G808&lt;&gt;"",$G808,N($H808)))</f>
        <v/>
      </c>
      <c r="R808">
        <f>IF($C808="","",IFERROR(DATE(Настройки!$C$8,Настройки!$D$9+MATCH($M808,Настройки!$X$6:$X$17,0)-1,1),DATE(YEAR($C808),MONTH($C808),1)))</f>
        <v/>
      </c>
      <c r="S808">
        <f>IF(OR($I808="Оплачено",$H808&lt;&gt;""),$P808,$Q808)</f>
        <v/>
      </c>
      <c r="T808">
        <f>IF(OR($C808="",$D808="Доход",$I808="Оплачено",$I808="Отменено",$H808&lt;&gt;"",$C808&lt;TODAY()),"",$C808)</f>
        <v/>
      </c>
      <c r="U808">
        <f>IF(AND($D808&lt;&gt;"Доход",COUNTIFS(Счета!$B$10:$B$21,$J808,Счета!$C$10:$C$21,"Кредитная")&gt;0),1,0)</f>
        <v/>
      </c>
    </row>
    <row r="809" ht="19" customHeight="1">
      <c r="B809" s="53">
        <f>IF(AND($C809="",$F809=""),"",ROW()-9)</f>
        <v/>
      </c>
      <c r="C809" s="213" t="n"/>
      <c r="D809" s="55" t="n"/>
      <c r="E809" s="55" t="n"/>
      <c r="F809" s="56" t="n"/>
      <c r="G809" s="196" t="n"/>
      <c r="H809" s="196" t="n"/>
      <c r="I809" s="55" t="n"/>
      <c r="J809" s="55" t="n"/>
      <c r="K809" s="55" t="n"/>
      <c r="L809" s="100">
        <f>IF(OR($C809="",$I809="Оплачено",$I809="Отменено",$H809&lt;&gt;""),"",$C809-TODAY())</f>
        <v/>
      </c>
      <c r="M809" s="101">
        <f>IF($C809="","",INDEX(Настройки!$V$6:$V$17,MONTH($C809))&amp;" "&amp;YEAR($C809))</f>
        <v/>
      </c>
      <c r="N809" s="57">
        <f>IF($F809="","",IF(COUNTIF(Постоянные!$C$8:$C$37,$F809)&gt;0,"есть в Постоянных",IF(COUNTIF(Покупки!$C$7:$C$18,$F809)&gt;0,"есть в Покупках","")))</f>
        <v/>
      </c>
      <c r="P809">
        <f>IF($H809&lt;&gt;"",$H809,IF($I809="Оплачено",N($G809),0))</f>
        <v/>
      </c>
      <c r="Q809">
        <f>IF($I809="Отменено",0,IF($G809&lt;&gt;"",$G809,N($H809)))</f>
        <v/>
      </c>
      <c r="R809">
        <f>IF($C809="","",IFERROR(DATE(Настройки!$C$8,Настройки!$D$9+MATCH($M809,Настройки!$X$6:$X$17,0)-1,1),DATE(YEAR($C809),MONTH($C809),1)))</f>
        <v/>
      </c>
      <c r="S809">
        <f>IF(OR($I809="Оплачено",$H809&lt;&gt;""),$P809,$Q809)</f>
        <v/>
      </c>
      <c r="T809">
        <f>IF(OR($C809="",$D809="Доход",$I809="Оплачено",$I809="Отменено",$H809&lt;&gt;"",$C809&lt;TODAY()),"",$C809)</f>
        <v/>
      </c>
      <c r="U809">
        <f>IF(AND($D809&lt;&gt;"Доход",COUNTIFS(Счета!$B$10:$B$21,$J809,Счета!$C$10:$C$21,"Кредитная")&gt;0),1,0)</f>
        <v/>
      </c>
    </row>
    <row r="810" ht="19" customHeight="1">
      <c r="B810" s="53">
        <f>IF(AND($C810="",$F810=""),"",ROW()-9)</f>
        <v/>
      </c>
      <c r="C810" s="213" t="n"/>
      <c r="D810" s="55" t="n"/>
      <c r="E810" s="55" t="n"/>
      <c r="F810" s="56" t="n"/>
      <c r="G810" s="196" t="n"/>
      <c r="H810" s="196" t="n"/>
      <c r="I810" s="55" t="n"/>
      <c r="J810" s="55" t="n"/>
      <c r="K810" s="55" t="n"/>
      <c r="L810" s="100">
        <f>IF(OR($C810="",$I810="Оплачено",$I810="Отменено",$H810&lt;&gt;""),"",$C810-TODAY())</f>
        <v/>
      </c>
      <c r="M810" s="101">
        <f>IF($C810="","",INDEX(Настройки!$V$6:$V$17,MONTH($C810))&amp;" "&amp;YEAR($C810))</f>
        <v/>
      </c>
      <c r="N810" s="57">
        <f>IF($F810="","",IF(COUNTIF(Постоянные!$C$8:$C$37,$F810)&gt;0,"есть в Постоянных",IF(COUNTIF(Покупки!$C$7:$C$18,$F810)&gt;0,"есть в Покупках","")))</f>
        <v/>
      </c>
      <c r="P810">
        <f>IF($H810&lt;&gt;"",$H810,IF($I810="Оплачено",N($G810),0))</f>
        <v/>
      </c>
      <c r="Q810">
        <f>IF($I810="Отменено",0,IF($G810&lt;&gt;"",$G810,N($H810)))</f>
        <v/>
      </c>
      <c r="R810">
        <f>IF($C810="","",IFERROR(DATE(Настройки!$C$8,Настройки!$D$9+MATCH($M810,Настройки!$X$6:$X$17,0)-1,1),DATE(YEAR($C810),MONTH($C810),1)))</f>
        <v/>
      </c>
      <c r="S810">
        <f>IF(OR($I810="Оплачено",$H810&lt;&gt;""),$P810,$Q810)</f>
        <v/>
      </c>
      <c r="T810">
        <f>IF(OR($C810="",$D810="Доход",$I810="Оплачено",$I810="Отменено",$H810&lt;&gt;"",$C810&lt;TODAY()),"",$C810)</f>
        <v/>
      </c>
      <c r="U810">
        <f>IF(AND($D810&lt;&gt;"Доход",COUNTIFS(Счета!$B$10:$B$21,$J810,Счета!$C$10:$C$21,"Кредитная")&gt;0),1,0)</f>
        <v/>
      </c>
    </row>
    <row r="811" ht="19" customHeight="1">
      <c r="B811" s="53">
        <f>IF(AND($C811="",$F811=""),"",ROW()-9)</f>
        <v/>
      </c>
      <c r="C811" s="213" t="n"/>
      <c r="D811" s="55" t="n"/>
      <c r="E811" s="55" t="n"/>
      <c r="F811" s="56" t="n"/>
      <c r="G811" s="196" t="n"/>
      <c r="H811" s="196" t="n"/>
      <c r="I811" s="55" t="n"/>
      <c r="J811" s="55" t="n"/>
      <c r="K811" s="55" t="n"/>
      <c r="L811" s="100">
        <f>IF(OR($C811="",$I811="Оплачено",$I811="Отменено",$H811&lt;&gt;""),"",$C811-TODAY())</f>
        <v/>
      </c>
      <c r="M811" s="101">
        <f>IF($C811="","",INDEX(Настройки!$V$6:$V$17,MONTH($C811))&amp;" "&amp;YEAR($C811))</f>
        <v/>
      </c>
      <c r="N811" s="57">
        <f>IF($F811="","",IF(COUNTIF(Постоянные!$C$8:$C$37,$F811)&gt;0,"есть в Постоянных",IF(COUNTIF(Покупки!$C$7:$C$18,$F811)&gt;0,"есть в Покупках","")))</f>
        <v/>
      </c>
      <c r="P811">
        <f>IF($H811&lt;&gt;"",$H811,IF($I811="Оплачено",N($G811),0))</f>
        <v/>
      </c>
      <c r="Q811">
        <f>IF($I811="Отменено",0,IF($G811&lt;&gt;"",$G811,N($H811)))</f>
        <v/>
      </c>
      <c r="R811">
        <f>IF($C811="","",IFERROR(DATE(Настройки!$C$8,Настройки!$D$9+MATCH($M811,Настройки!$X$6:$X$17,0)-1,1),DATE(YEAR($C811),MONTH($C811),1)))</f>
        <v/>
      </c>
      <c r="S811">
        <f>IF(OR($I811="Оплачено",$H811&lt;&gt;""),$P811,$Q811)</f>
        <v/>
      </c>
      <c r="T811">
        <f>IF(OR($C811="",$D811="Доход",$I811="Оплачено",$I811="Отменено",$H811&lt;&gt;"",$C811&lt;TODAY()),"",$C811)</f>
        <v/>
      </c>
      <c r="U811">
        <f>IF(AND($D811&lt;&gt;"Доход",COUNTIFS(Счета!$B$10:$B$21,$J811,Счета!$C$10:$C$21,"Кредитная")&gt;0),1,0)</f>
        <v/>
      </c>
    </row>
    <row r="812" ht="19" customHeight="1">
      <c r="B812" s="53">
        <f>IF(AND($C812="",$F812=""),"",ROW()-9)</f>
        <v/>
      </c>
      <c r="C812" s="213" t="n"/>
      <c r="D812" s="55" t="n"/>
      <c r="E812" s="55" t="n"/>
      <c r="F812" s="56" t="n"/>
      <c r="G812" s="196" t="n"/>
      <c r="H812" s="196" t="n"/>
      <c r="I812" s="55" t="n"/>
      <c r="J812" s="55" t="n"/>
      <c r="K812" s="55" t="n"/>
      <c r="L812" s="100">
        <f>IF(OR($C812="",$I812="Оплачено",$I812="Отменено",$H812&lt;&gt;""),"",$C812-TODAY())</f>
        <v/>
      </c>
      <c r="M812" s="101">
        <f>IF($C812="","",INDEX(Настройки!$V$6:$V$17,MONTH($C812))&amp;" "&amp;YEAR($C812))</f>
        <v/>
      </c>
      <c r="N812" s="57">
        <f>IF($F812="","",IF(COUNTIF(Постоянные!$C$8:$C$37,$F812)&gt;0,"есть в Постоянных",IF(COUNTIF(Покупки!$C$7:$C$18,$F812)&gt;0,"есть в Покупках","")))</f>
        <v/>
      </c>
      <c r="P812">
        <f>IF($H812&lt;&gt;"",$H812,IF($I812="Оплачено",N($G812),0))</f>
        <v/>
      </c>
      <c r="Q812">
        <f>IF($I812="Отменено",0,IF($G812&lt;&gt;"",$G812,N($H812)))</f>
        <v/>
      </c>
      <c r="R812">
        <f>IF($C812="","",IFERROR(DATE(Настройки!$C$8,Настройки!$D$9+MATCH($M812,Настройки!$X$6:$X$17,0)-1,1),DATE(YEAR($C812),MONTH($C812),1)))</f>
        <v/>
      </c>
      <c r="S812">
        <f>IF(OR($I812="Оплачено",$H812&lt;&gt;""),$P812,$Q812)</f>
        <v/>
      </c>
      <c r="T812">
        <f>IF(OR($C812="",$D812="Доход",$I812="Оплачено",$I812="Отменено",$H812&lt;&gt;"",$C812&lt;TODAY()),"",$C812)</f>
        <v/>
      </c>
      <c r="U812">
        <f>IF(AND($D812&lt;&gt;"Доход",COUNTIFS(Счета!$B$10:$B$21,$J812,Счета!$C$10:$C$21,"Кредитная")&gt;0),1,0)</f>
        <v/>
      </c>
    </row>
    <row r="813" ht="19" customHeight="1">
      <c r="B813" s="53">
        <f>IF(AND($C813="",$F813=""),"",ROW()-9)</f>
        <v/>
      </c>
      <c r="C813" s="213" t="n"/>
      <c r="D813" s="55" t="n"/>
      <c r="E813" s="55" t="n"/>
      <c r="F813" s="56" t="n"/>
      <c r="G813" s="196" t="n"/>
      <c r="H813" s="196" t="n"/>
      <c r="I813" s="55" t="n"/>
      <c r="J813" s="55" t="n"/>
      <c r="K813" s="55" t="n"/>
      <c r="L813" s="100">
        <f>IF(OR($C813="",$I813="Оплачено",$I813="Отменено",$H813&lt;&gt;""),"",$C813-TODAY())</f>
        <v/>
      </c>
      <c r="M813" s="101">
        <f>IF($C813="","",INDEX(Настройки!$V$6:$V$17,MONTH($C813))&amp;" "&amp;YEAR($C813))</f>
        <v/>
      </c>
      <c r="N813" s="57">
        <f>IF($F813="","",IF(COUNTIF(Постоянные!$C$8:$C$37,$F813)&gt;0,"есть в Постоянных",IF(COUNTIF(Покупки!$C$7:$C$18,$F813)&gt;0,"есть в Покупках","")))</f>
        <v/>
      </c>
      <c r="P813">
        <f>IF($H813&lt;&gt;"",$H813,IF($I813="Оплачено",N($G813),0))</f>
        <v/>
      </c>
      <c r="Q813">
        <f>IF($I813="Отменено",0,IF($G813&lt;&gt;"",$G813,N($H813)))</f>
        <v/>
      </c>
      <c r="R813">
        <f>IF($C813="","",IFERROR(DATE(Настройки!$C$8,Настройки!$D$9+MATCH($M813,Настройки!$X$6:$X$17,0)-1,1),DATE(YEAR($C813),MONTH($C813),1)))</f>
        <v/>
      </c>
      <c r="S813">
        <f>IF(OR($I813="Оплачено",$H813&lt;&gt;""),$P813,$Q813)</f>
        <v/>
      </c>
      <c r="T813">
        <f>IF(OR($C813="",$D813="Доход",$I813="Оплачено",$I813="Отменено",$H813&lt;&gt;"",$C813&lt;TODAY()),"",$C813)</f>
        <v/>
      </c>
      <c r="U813">
        <f>IF(AND($D813&lt;&gt;"Доход",COUNTIFS(Счета!$B$10:$B$21,$J813,Счета!$C$10:$C$21,"Кредитная")&gt;0),1,0)</f>
        <v/>
      </c>
    </row>
    <row r="814" ht="19" customHeight="1">
      <c r="B814" s="53">
        <f>IF(AND($C814="",$F814=""),"",ROW()-9)</f>
        <v/>
      </c>
      <c r="C814" s="213" t="n"/>
      <c r="D814" s="55" t="n"/>
      <c r="E814" s="55" t="n"/>
      <c r="F814" s="56" t="n"/>
      <c r="G814" s="196" t="n"/>
      <c r="H814" s="196" t="n"/>
      <c r="I814" s="55" t="n"/>
      <c r="J814" s="55" t="n"/>
      <c r="K814" s="55" t="n"/>
      <c r="L814" s="100">
        <f>IF(OR($C814="",$I814="Оплачено",$I814="Отменено",$H814&lt;&gt;""),"",$C814-TODAY())</f>
        <v/>
      </c>
      <c r="M814" s="101">
        <f>IF($C814="","",INDEX(Настройки!$V$6:$V$17,MONTH($C814))&amp;" "&amp;YEAR($C814))</f>
        <v/>
      </c>
      <c r="N814" s="57">
        <f>IF($F814="","",IF(COUNTIF(Постоянные!$C$8:$C$37,$F814)&gt;0,"есть в Постоянных",IF(COUNTIF(Покупки!$C$7:$C$18,$F814)&gt;0,"есть в Покупках","")))</f>
        <v/>
      </c>
      <c r="P814">
        <f>IF($H814&lt;&gt;"",$H814,IF($I814="Оплачено",N($G814),0))</f>
        <v/>
      </c>
      <c r="Q814">
        <f>IF($I814="Отменено",0,IF($G814&lt;&gt;"",$G814,N($H814)))</f>
        <v/>
      </c>
      <c r="R814">
        <f>IF($C814="","",IFERROR(DATE(Настройки!$C$8,Настройки!$D$9+MATCH($M814,Настройки!$X$6:$X$17,0)-1,1),DATE(YEAR($C814),MONTH($C814),1)))</f>
        <v/>
      </c>
      <c r="S814">
        <f>IF(OR($I814="Оплачено",$H814&lt;&gt;""),$P814,$Q814)</f>
        <v/>
      </c>
      <c r="T814">
        <f>IF(OR($C814="",$D814="Доход",$I814="Оплачено",$I814="Отменено",$H814&lt;&gt;"",$C814&lt;TODAY()),"",$C814)</f>
        <v/>
      </c>
      <c r="U814">
        <f>IF(AND($D814&lt;&gt;"Доход",COUNTIFS(Счета!$B$10:$B$21,$J814,Счета!$C$10:$C$21,"Кредитная")&gt;0),1,0)</f>
        <v/>
      </c>
    </row>
    <row r="815" ht="19" customHeight="1">
      <c r="B815" s="53">
        <f>IF(AND($C815="",$F815=""),"",ROW()-9)</f>
        <v/>
      </c>
      <c r="C815" s="213" t="n"/>
      <c r="D815" s="55" t="n"/>
      <c r="E815" s="55" t="n"/>
      <c r="F815" s="56" t="n"/>
      <c r="G815" s="196" t="n"/>
      <c r="H815" s="196" t="n"/>
      <c r="I815" s="55" t="n"/>
      <c r="J815" s="55" t="n"/>
      <c r="K815" s="55" t="n"/>
      <c r="L815" s="100">
        <f>IF(OR($C815="",$I815="Оплачено",$I815="Отменено",$H815&lt;&gt;""),"",$C815-TODAY())</f>
        <v/>
      </c>
      <c r="M815" s="101">
        <f>IF($C815="","",INDEX(Настройки!$V$6:$V$17,MONTH($C815))&amp;" "&amp;YEAR($C815))</f>
        <v/>
      </c>
      <c r="N815" s="57">
        <f>IF($F815="","",IF(COUNTIF(Постоянные!$C$8:$C$37,$F815)&gt;0,"есть в Постоянных",IF(COUNTIF(Покупки!$C$7:$C$18,$F815)&gt;0,"есть в Покупках","")))</f>
        <v/>
      </c>
      <c r="P815">
        <f>IF($H815&lt;&gt;"",$H815,IF($I815="Оплачено",N($G815),0))</f>
        <v/>
      </c>
      <c r="Q815">
        <f>IF($I815="Отменено",0,IF($G815&lt;&gt;"",$G815,N($H815)))</f>
        <v/>
      </c>
      <c r="R815">
        <f>IF($C815="","",IFERROR(DATE(Настройки!$C$8,Настройки!$D$9+MATCH($M815,Настройки!$X$6:$X$17,0)-1,1),DATE(YEAR($C815),MONTH($C815),1)))</f>
        <v/>
      </c>
      <c r="S815">
        <f>IF(OR($I815="Оплачено",$H815&lt;&gt;""),$P815,$Q815)</f>
        <v/>
      </c>
      <c r="T815">
        <f>IF(OR($C815="",$D815="Доход",$I815="Оплачено",$I815="Отменено",$H815&lt;&gt;"",$C815&lt;TODAY()),"",$C815)</f>
        <v/>
      </c>
      <c r="U815">
        <f>IF(AND($D815&lt;&gt;"Доход",COUNTIFS(Счета!$B$10:$B$21,$J815,Счета!$C$10:$C$21,"Кредитная")&gt;0),1,0)</f>
        <v/>
      </c>
    </row>
    <row r="816" ht="19" customHeight="1">
      <c r="B816" s="53">
        <f>IF(AND($C816="",$F816=""),"",ROW()-9)</f>
        <v/>
      </c>
      <c r="C816" s="213" t="n"/>
      <c r="D816" s="55" t="n"/>
      <c r="E816" s="55" t="n"/>
      <c r="F816" s="56" t="n"/>
      <c r="G816" s="196" t="n"/>
      <c r="H816" s="196" t="n"/>
      <c r="I816" s="55" t="n"/>
      <c r="J816" s="55" t="n"/>
      <c r="K816" s="55" t="n"/>
      <c r="L816" s="100">
        <f>IF(OR($C816="",$I816="Оплачено",$I816="Отменено",$H816&lt;&gt;""),"",$C816-TODAY())</f>
        <v/>
      </c>
      <c r="M816" s="101">
        <f>IF($C816="","",INDEX(Настройки!$V$6:$V$17,MONTH($C816))&amp;" "&amp;YEAR($C816))</f>
        <v/>
      </c>
      <c r="N816" s="57">
        <f>IF($F816="","",IF(COUNTIF(Постоянные!$C$8:$C$37,$F816)&gt;0,"есть в Постоянных",IF(COUNTIF(Покупки!$C$7:$C$18,$F816)&gt;0,"есть в Покупках","")))</f>
        <v/>
      </c>
      <c r="P816">
        <f>IF($H816&lt;&gt;"",$H816,IF($I816="Оплачено",N($G816),0))</f>
        <v/>
      </c>
      <c r="Q816">
        <f>IF($I816="Отменено",0,IF($G816&lt;&gt;"",$G816,N($H816)))</f>
        <v/>
      </c>
      <c r="R816">
        <f>IF($C816="","",IFERROR(DATE(Настройки!$C$8,Настройки!$D$9+MATCH($M816,Настройки!$X$6:$X$17,0)-1,1),DATE(YEAR($C816),MONTH($C816),1)))</f>
        <v/>
      </c>
      <c r="S816">
        <f>IF(OR($I816="Оплачено",$H816&lt;&gt;""),$P816,$Q816)</f>
        <v/>
      </c>
      <c r="T816">
        <f>IF(OR($C816="",$D816="Доход",$I816="Оплачено",$I816="Отменено",$H816&lt;&gt;"",$C816&lt;TODAY()),"",$C816)</f>
        <v/>
      </c>
      <c r="U816">
        <f>IF(AND($D816&lt;&gt;"Доход",COUNTIFS(Счета!$B$10:$B$21,$J816,Счета!$C$10:$C$21,"Кредитная")&gt;0),1,0)</f>
        <v/>
      </c>
    </row>
    <row r="817" ht="19" customHeight="1">
      <c r="B817" s="53">
        <f>IF(AND($C817="",$F817=""),"",ROW()-9)</f>
        <v/>
      </c>
      <c r="C817" s="213" t="n"/>
      <c r="D817" s="55" t="n"/>
      <c r="E817" s="55" t="n"/>
      <c r="F817" s="56" t="n"/>
      <c r="G817" s="196" t="n"/>
      <c r="H817" s="196" t="n"/>
      <c r="I817" s="55" t="n"/>
      <c r="J817" s="55" t="n"/>
      <c r="K817" s="55" t="n"/>
      <c r="L817" s="100">
        <f>IF(OR($C817="",$I817="Оплачено",$I817="Отменено",$H817&lt;&gt;""),"",$C817-TODAY())</f>
        <v/>
      </c>
      <c r="M817" s="101">
        <f>IF($C817="","",INDEX(Настройки!$V$6:$V$17,MONTH($C817))&amp;" "&amp;YEAR($C817))</f>
        <v/>
      </c>
      <c r="N817" s="57">
        <f>IF($F817="","",IF(COUNTIF(Постоянные!$C$8:$C$37,$F817)&gt;0,"есть в Постоянных",IF(COUNTIF(Покупки!$C$7:$C$18,$F817)&gt;0,"есть в Покупках","")))</f>
        <v/>
      </c>
      <c r="P817">
        <f>IF($H817&lt;&gt;"",$H817,IF($I817="Оплачено",N($G817),0))</f>
        <v/>
      </c>
      <c r="Q817">
        <f>IF($I817="Отменено",0,IF($G817&lt;&gt;"",$G817,N($H817)))</f>
        <v/>
      </c>
      <c r="R817">
        <f>IF($C817="","",IFERROR(DATE(Настройки!$C$8,Настройки!$D$9+MATCH($M817,Настройки!$X$6:$X$17,0)-1,1),DATE(YEAR($C817),MONTH($C817),1)))</f>
        <v/>
      </c>
      <c r="S817">
        <f>IF(OR($I817="Оплачено",$H817&lt;&gt;""),$P817,$Q817)</f>
        <v/>
      </c>
      <c r="T817">
        <f>IF(OR($C817="",$D817="Доход",$I817="Оплачено",$I817="Отменено",$H817&lt;&gt;"",$C817&lt;TODAY()),"",$C817)</f>
        <v/>
      </c>
      <c r="U817">
        <f>IF(AND($D817&lt;&gt;"Доход",COUNTIFS(Счета!$B$10:$B$21,$J817,Счета!$C$10:$C$21,"Кредитная")&gt;0),1,0)</f>
        <v/>
      </c>
    </row>
    <row r="818" ht="19" customHeight="1">
      <c r="B818" s="53">
        <f>IF(AND($C818="",$F818=""),"",ROW()-9)</f>
        <v/>
      </c>
      <c r="C818" s="213" t="n"/>
      <c r="D818" s="55" t="n"/>
      <c r="E818" s="55" t="n"/>
      <c r="F818" s="56" t="n"/>
      <c r="G818" s="196" t="n"/>
      <c r="H818" s="196" t="n"/>
      <c r="I818" s="55" t="n"/>
      <c r="J818" s="55" t="n"/>
      <c r="K818" s="55" t="n"/>
      <c r="L818" s="100">
        <f>IF(OR($C818="",$I818="Оплачено",$I818="Отменено",$H818&lt;&gt;""),"",$C818-TODAY())</f>
        <v/>
      </c>
      <c r="M818" s="101">
        <f>IF($C818="","",INDEX(Настройки!$V$6:$V$17,MONTH($C818))&amp;" "&amp;YEAR($C818))</f>
        <v/>
      </c>
      <c r="N818" s="57">
        <f>IF($F818="","",IF(COUNTIF(Постоянные!$C$8:$C$37,$F818)&gt;0,"есть в Постоянных",IF(COUNTIF(Покупки!$C$7:$C$18,$F818)&gt;0,"есть в Покупках","")))</f>
        <v/>
      </c>
      <c r="P818">
        <f>IF($H818&lt;&gt;"",$H818,IF($I818="Оплачено",N($G818),0))</f>
        <v/>
      </c>
      <c r="Q818">
        <f>IF($I818="Отменено",0,IF($G818&lt;&gt;"",$G818,N($H818)))</f>
        <v/>
      </c>
      <c r="R818">
        <f>IF($C818="","",IFERROR(DATE(Настройки!$C$8,Настройки!$D$9+MATCH($M818,Настройки!$X$6:$X$17,0)-1,1),DATE(YEAR($C818),MONTH($C818),1)))</f>
        <v/>
      </c>
      <c r="S818">
        <f>IF(OR($I818="Оплачено",$H818&lt;&gt;""),$P818,$Q818)</f>
        <v/>
      </c>
      <c r="T818">
        <f>IF(OR($C818="",$D818="Доход",$I818="Оплачено",$I818="Отменено",$H818&lt;&gt;"",$C818&lt;TODAY()),"",$C818)</f>
        <v/>
      </c>
      <c r="U818">
        <f>IF(AND($D818&lt;&gt;"Доход",COUNTIFS(Счета!$B$10:$B$21,$J818,Счета!$C$10:$C$21,"Кредитная")&gt;0),1,0)</f>
        <v/>
      </c>
    </row>
    <row r="819" ht="19" customHeight="1">
      <c r="B819" s="53">
        <f>IF(AND($C819="",$F819=""),"",ROW()-9)</f>
        <v/>
      </c>
      <c r="C819" s="213" t="n"/>
      <c r="D819" s="55" t="n"/>
      <c r="E819" s="55" t="n"/>
      <c r="F819" s="56" t="n"/>
      <c r="G819" s="196" t="n"/>
      <c r="H819" s="196" t="n"/>
      <c r="I819" s="55" t="n"/>
      <c r="J819" s="55" t="n"/>
      <c r="K819" s="55" t="n"/>
      <c r="L819" s="100">
        <f>IF(OR($C819="",$I819="Оплачено",$I819="Отменено",$H819&lt;&gt;""),"",$C819-TODAY())</f>
        <v/>
      </c>
      <c r="M819" s="101">
        <f>IF($C819="","",INDEX(Настройки!$V$6:$V$17,MONTH($C819))&amp;" "&amp;YEAR($C819))</f>
        <v/>
      </c>
      <c r="N819" s="57">
        <f>IF($F819="","",IF(COUNTIF(Постоянные!$C$8:$C$37,$F819)&gt;0,"есть в Постоянных",IF(COUNTIF(Покупки!$C$7:$C$18,$F819)&gt;0,"есть в Покупках","")))</f>
        <v/>
      </c>
      <c r="P819">
        <f>IF($H819&lt;&gt;"",$H819,IF($I819="Оплачено",N($G819),0))</f>
        <v/>
      </c>
      <c r="Q819">
        <f>IF($I819="Отменено",0,IF($G819&lt;&gt;"",$G819,N($H819)))</f>
        <v/>
      </c>
      <c r="R819">
        <f>IF($C819="","",IFERROR(DATE(Настройки!$C$8,Настройки!$D$9+MATCH($M819,Настройки!$X$6:$X$17,0)-1,1),DATE(YEAR($C819),MONTH($C819),1)))</f>
        <v/>
      </c>
      <c r="S819">
        <f>IF(OR($I819="Оплачено",$H819&lt;&gt;""),$P819,$Q819)</f>
        <v/>
      </c>
      <c r="T819">
        <f>IF(OR($C819="",$D819="Доход",$I819="Оплачено",$I819="Отменено",$H819&lt;&gt;"",$C819&lt;TODAY()),"",$C819)</f>
        <v/>
      </c>
      <c r="U819">
        <f>IF(AND($D819&lt;&gt;"Доход",COUNTIFS(Счета!$B$10:$B$21,$J819,Счета!$C$10:$C$21,"Кредитная")&gt;0),1,0)</f>
        <v/>
      </c>
    </row>
    <row r="820" ht="19" customHeight="1">
      <c r="B820" s="53">
        <f>IF(AND($C820="",$F820=""),"",ROW()-9)</f>
        <v/>
      </c>
      <c r="C820" s="213" t="n"/>
      <c r="D820" s="55" t="n"/>
      <c r="E820" s="55" t="n"/>
      <c r="F820" s="56" t="n"/>
      <c r="G820" s="196" t="n"/>
      <c r="H820" s="196" t="n"/>
      <c r="I820" s="55" t="n"/>
      <c r="J820" s="55" t="n"/>
      <c r="K820" s="55" t="n"/>
      <c r="L820" s="100">
        <f>IF(OR($C820="",$I820="Оплачено",$I820="Отменено",$H820&lt;&gt;""),"",$C820-TODAY())</f>
        <v/>
      </c>
      <c r="M820" s="101">
        <f>IF($C820="","",INDEX(Настройки!$V$6:$V$17,MONTH($C820))&amp;" "&amp;YEAR($C820))</f>
        <v/>
      </c>
      <c r="N820" s="57">
        <f>IF($F820="","",IF(COUNTIF(Постоянные!$C$8:$C$37,$F820)&gt;0,"есть в Постоянных",IF(COUNTIF(Покупки!$C$7:$C$18,$F820)&gt;0,"есть в Покупках","")))</f>
        <v/>
      </c>
      <c r="P820">
        <f>IF($H820&lt;&gt;"",$H820,IF($I820="Оплачено",N($G820),0))</f>
        <v/>
      </c>
      <c r="Q820">
        <f>IF($I820="Отменено",0,IF($G820&lt;&gt;"",$G820,N($H820)))</f>
        <v/>
      </c>
      <c r="R820">
        <f>IF($C820="","",IFERROR(DATE(Настройки!$C$8,Настройки!$D$9+MATCH($M820,Настройки!$X$6:$X$17,0)-1,1),DATE(YEAR($C820),MONTH($C820),1)))</f>
        <v/>
      </c>
      <c r="S820">
        <f>IF(OR($I820="Оплачено",$H820&lt;&gt;""),$P820,$Q820)</f>
        <v/>
      </c>
      <c r="T820">
        <f>IF(OR($C820="",$D820="Доход",$I820="Оплачено",$I820="Отменено",$H820&lt;&gt;"",$C820&lt;TODAY()),"",$C820)</f>
        <v/>
      </c>
      <c r="U820">
        <f>IF(AND($D820&lt;&gt;"Доход",COUNTIFS(Счета!$B$10:$B$21,$J820,Счета!$C$10:$C$21,"Кредитная")&gt;0),1,0)</f>
        <v/>
      </c>
    </row>
    <row r="821" ht="19" customHeight="1">
      <c r="B821" s="53">
        <f>IF(AND($C821="",$F821=""),"",ROW()-9)</f>
        <v/>
      </c>
      <c r="C821" s="213" t="n"/>
      <c r="D821" s="55" t="n"/>
      <c r="E821" s="55" t="n"/>
      <c r="F821" s="56" t="n"/>
      <c r="G821" s="196" t="n"/>
      <c r="H821" s="196" t="n"/>
      <c r="I821" s="55" t="n"/>
      <c r="J821" s="55" t="n"/>
      <c r="K821" s="55" t="n"/>
      <c r="L821" s="100">
        <f>IF(OR($C821="",$I821="Оплачено",$I821="Отменено",$H821&lt;&gt;""),"",$C821-TODAY())</f>
        <v/>
      </c>
      <c r="M821" s="101">
        <f>IF($C821="","",INDEX(Настройки!$V$6:$V$17,MONTH($C821))&amp;" "&amp;YEAR($C821))</f>
        <v/>
      </c>
      <c r="N821" s="57">
        <f>IF($F821="","",IF(COUNTIF(Постоянные!$C$8:$C$37,$F821)&gt;0,"есть в Постоянных",IF(COUNTIF(Покупки!$C$7:$C$18,$F821)&gt;0,"есть в Покупках","")))</f>
        <v/>
      </c>
      <c r="P821">
        <f>IF($H821&lt;&gt;"",$H821,IF($I821="Оплачено",N($G821),0))</f>
        <v/>
      </c>
      <c r="Q821">
        <f>IF($I821="Отменено",0,IF($G821&lt;&gt;"",$G821,N($H821)))</f>
        <v/>
      </c>
      <c r="R821">
        <f>IF($C821="","",IFERROR(DATE(Настройки!$C$8,Настройки!$D$9+MATCH($M821,Настройки!$X$6:$X$17,0)-1,1),DATE(YEAR($C821),MONTH($C821),1)))</f>
        <v/>
      </c>
      <c r="S821">
        <f>IF(OR($I821="Оплачено",$H821&lt;&gt;""),$P821,$Q821)</f>
        <v/>
      </c>
      <c r="T821">
        <f>IF(OR($C821="",$D821="Доход",$I821="Оплачено",$I821="Отменено",$H821&lt;&gt;"",$C821&lt;TODAY()),"",$C821)</f>
        <v/>
      </c>
      <c r="U821">
        <f>IF(AND($D821&lt;&gt;"Доход",COUNTIFS(Счета!$B$10:$B$21,$J821,Счета!$C$10:$C$21,"Кредитная")&gt;0),1,0)</f>
        <v/>
      </c>
    </row>
    <row r="822" ht="19" customHeight="1">
      <c r="B822" s="53">
        <f>IF(AND($C822="",$F822=""),"",ROW()-9)</f>
        <v/>
      </c>
      <c r="C822" s="213" t="n"/>
      <c r="D822" s="55" t="n"/>
      <c r="E822" s="55" t="n"/>
      <c r="F822" s="56" t="n"/>
      <c r="G822" s="196" t="n"/>
      <c r="H822" s="196" t="n"/>
      <c r="I822" s="55" t="n"/>
      <c r="J822" s="55" t="n"/>
      <c r="K822" s="55" t="n"/>
      <c r="L822" s="100">
        <f>IF(OR($C822="",$I822="Оплачено",$I822="Отменено",$H822&lt;&gt;""),"",$C822-TODAY())</f>
        <v/>
      </c>
      <c r="M822" s="101">
        <f>IF($C822="","",INDEX(Настройки!$V$6:$V$17,MONTH($C822))&amp;" "&amp;YEAR($C822))</f>
        <v/>
      </c>
      <c r="N822" s="57">
        <f>IF($F822="","",IF(COUNTIF(Постоянные!$C$8:$C$37,$F822)&gt;0,"есть в Постоянных",IF(COUNTIF(Покупки!$C$7:$C$18,$F822)&gt;0,"есть в Покупках","")))</f>
        <v/>
      </c>
      <c r="P822">
        <f>IF($H822&lt;&gt;"",$H822,IF($I822="Оплачено",N($G822),0))</f>
        <v/>
      </c>
      <c r="Q822">
        <f>IF($I822="Отменено",0,IF($G822&lt;&gt;"",$G822,N($H822)))</f>
        <v/>
      </c>
      <c r="R822">
        <f>IF($C822="","",IFERROR(DATE(Настройки!$C$8,Настройки!$D$9+MATCH($M822,Настройки!$X$6:$X$17,0)-1,1),DATE(YEAR($C822),MONTH($C822),1)))</f>
        <v/>
      </c>
      <c r="S822">
        <f>IF(OR($I822="Оплачено",$H822&lt;&gt;""),$P822,$Q822)</f>
        <v/>
      </c>
      <c r="T822">
        <f>IF(OR($C822="",$D822="Доход",$I822="Оплачено",$I822="Отменено",$H822&lt;&gt;"",$C822&lt;TODAY()),"",$C822)</f>
        <v/>
      </c>
      <c r="U822">
        <f>IF(AND($D822&lt;&gt;"Доход",COUNTIFS(Счета!$B$10:$B$21,$J822,Счета!$C$10:$C$21,"Кредитная")&gt;0),1,0)</f>
        <v/>
      </c>
    </row>
    <row r="823" ht="19" customHeight="1">
      <c r="B823" s="53">
        <f>IF(AND($C823="",$F823=""),"",ROW()-9)</f>
        <v/>
      </c>
      <c r="C823" s="213" t="n"/>
      <c r="D823" s="55" t="n"/>
      <c r="E823" s="55" t="n"/>
      <c r="F823" s="56" t="n"/>
      <c r="G823" s="196" t="n"/>
      <c r="H823" s="196" t="n"/>
      <c r="I823" s="55" t="n"/>
      <c r="J823" s="55" t="n"/>
      <c r="K823" s="55" t="n"/>
      <c r="L823" s="100">
        <f>IF(OR($C823="",$I823="Оплачено",$I823="Отменено",$H823&lt;&gt;""),"",$C823-TODAY())</f>
        <v/>
      </c>
      <c r="M823" s="101">
        <f>IF($C823="","",INDEX(Настройки!$V$6:$V$17,MONTH($C823))&amp;" "&amp;YEAR($C823))</f>
        <v/>
      </c>
      <c r="N823" s="57">
        <f>IF($F823="","",IF(COUNTIF(Постоянные!$C$8:$C$37,$F823)&gt;0,"есть в Постоянных",IF(COUNTIF(Покупки!$C$7:$C$18,$F823)&gt;0,"есть в Покупках","")))</f>
        <v/>
      </c>
      <c r="P823">
        <f>IF($H823&lt;&gt;"",$H823,IF($I823="Оплачено",N($G823),0))</f>
        <v/>
      </c>
      <c r="Q823">
        <f>IF($I823="Отменено",0,IF($G823&lt;&gt;"",$G823,N($H823)))</f>
        <v/>
      </c>
      <c r="R823">
        <f>IF($C823="","",IFERROR(DATE(Настройки!$C$8,Настройки!$D$9+MATCH($M823,Настройки!$X$6:$X$17,0)-1,1),DATE(YEAR($C823),MONTH($C823),1)))</f>
        <v/>
      </c>
      <c r="S823">
        <f>IF(OR($I823="Оплачено",$H823&lt;&gt;""),$P823,$Q823)</f>
        <v/>
      </c>
      <c r="T823">
        <f>IF(OR($C823="",$D823="Доход",$I823="Оплачено",$I823="Отменено",$H823&lt;&gt;"",$C823&lt;TODAY()),"",$C823)</f>
        <v/>
      </c>
      <c r="U823">
        <f>IF(AND($D823&lt;&gt;"Доход",COUNTIFS(Счета!$B$10:$B$21,$J823,Счета!$C$10:$C$21,"Кредитная")&gt;0),1,0)</f>
        <v/>
      </c>
    </row>
    <row r="824" ht="19" customHeight="1">
      <c r="B824" s="53">
        <f>IF(AND($C824="",$F824=""),"",ROW()-9)</f>
        <v/>
      </c>
      <c r="C824" s="213" t="n"/>
      <c r="D824" s="55" t="n"/>
      <c r="E824" s="55" t="n"/>
      <c r="F824" s="56" t="n"/>
      <c r="G824" s="196" t="n"/>
      <c r="H824" s="196" t="n"/>
      <c r="I824" s="55" t="n"/>
      <c r="J824" s="55" t="n"/>
      <c r="K824" s="55" t="n"/>
      <c r="L824" s="100">
        <f>IF(OR($C824="",$I824="Оплачено",$I824="Отменено",$H824&lt;&gt;""),"",$C824-TODAY())</f>
        <v/>
      </c>
      <c r="M824" s="101">
        <f>IF($C824="","",INDEX(Настройки!$V$6:$V$17,MONTH($C824))&amp;" "&amp;YEAR($C824))</f>
        <v/>
      </c>
      <c r="N824" s="57">
        <f>IF($F824="","",IF(COUNTIF(Постоянные!$C$8:$C$37,$F824)&gt;0,"есть в Постоянных",IF(COUNTIF(Покупки!$C$7:$C$18,$F824)&gt;0,"есть в Покупках","")))</f>
        <v/>
      </c>
      <c r="P824">
        <f>IF($H824&lt;&gt;"",$H824,IF($I824="Оплачено",N($G824),0))</f>
        <v/>
      </c>
      <c r="Q824">
        <f>IF($I824="Отменено",0,IF($G824&lt;&gt;"",$G824,N($H824)))</f>
        <v/>
      </c>
      <c r="R824">
        <f>IF($C824="","",IFERROR(DATE(Настройки!$C$8,Настройки!$D$9+MATCH($M824,Настройки!$X$6:$X$17,0)-1,1),DATE(YEAR($C824),MONTH($C824),1)))</f>
        <v/>
      </c>
      <c r="S824">
        <f>IF(OR($I824="Оплачено",$H824&lt;&gt;""),$P824,$Q824)</f>
        <v/>
      </c>
      <c r="T824">
        <f>IF(OR($C824="",$D824="Доход",$I824="Оплачено",$I824="Отменено",$H824&lt;&gt;"",$C824&lt;TODAY()),"",$C824)</f>
        <v/>
      </c>
      <c r="U824">
        <f>IF(AND($D824&lt;&gt;"Доход",COUNTIFS(Счета!$B$10:$B$21,$J824,Счета!$C$10:$C$21,"Кредитная")&gt;0),1,0)</f>
        <v/>
      </c>
    </row>
    <row r="825" ht="19" customHeight="1">
      <c r="B825" s="53">
        <f>IF(AND($C825="",$F825=""),"",ROW()-9)</f>
        <v/>
      </c>
      <c r="C825" s="213" t="n"/>
      <c r="D825" s="55" t="n"/>
      <c r="E825" s="55" t="n"/>
      <c r="F825" s="56" t="n"/>
      <c r="G825" s="196" t="n"/>
      <c r="H825" s="196" t="n"/>
      <c r="I825" s="55" t="n"/>
      <c r="J825" s="55" t="n"/>
      <c r="K825" s="55" t="n"/>
      <c r="L825" s="100">
        <f>IF(OR($C825="",$I825="Оплачено",$I825="Отменено",$H825&lt;&gt;""),"",$C825-TODAY())</f>
        <v/>
      </c>
      <c r="M825" s="101">
        <f>IF($C825="","",INDEX(Настройки!$V$6:$V$17,MONTH($C825))&amp;" "&amp;YEAR($C825))</f>
        <v/>
      </c>
      <c r="N825" s="57">
        <f>IF($F825="","",IF(COUNTIF(Постоянные!$C$8:$C$37,$F825)&gt;0,"есть в Постоянных",IF(COUNTIF(Покупки!$C$7:$C$18,$F825)&gt;0,"есть в Покупках","")))</f>
        <v/>
      </c>
      <c r="P825">
        <f>IF($H825&lt;&gt;"",$H825,IF($I825="Оплачено",N($G825),0))</f>
        <v/>
      </c>
      <c r="Q825">
        <f>IF($I825="Отменено",0,IF($G825&lt;&gt;"",$G825,N($H825)))</f>
        <v/>
      </c>
      <c r="R825">
        <f>IF($C825="","",IFERROR(DATE(Настройки!$C$8,Настройки!$D$9+MATCH($M825,Настройки!$X$6:$X$17,0)-1,1),DATE(YEAR($C825),MONTH($C825),1)))</f>
        <v/>
      </c>
      <c r="S825">
        <f>IF(OR($I825="Оплачено",$H825&lt;&gt;""),$P825,$Q825)</f>
        <v/>
      </c>
      <c r="T825">
        <f>IF(OR($C825="",$D825="Доход",$I825="Оплачено",$I825="Отменено",$H825&lt;&gt;"",$C825&lt;TODAY()),"",$C825)</f>
        <v/>
      </c>
      <c r="U825">
        <f>IF(AND($D825&lt;&gt;"Доход",COUNTIFS(Счета!$B$10:$B$21,$J825,Счета!$C$10:$C$21,"Кредитная")&gt;0),1,0)</f>
        <v/>
      </c>
    </row>
    <row r="826" ht="19" customHeight="1">
      <c r="B826" s="53">
        <f>IF(AND($C826="",$F826=""),"",ROW()-9)</f>
        <v/>
      </c>
      <c r="C826" s="213" t="n"/>
      <c r="D826" s="55" t="n"/>
      <c r="E826" s="55" t="n"/>
      <c r="F826" s="56" t="n"/>
      <c r="G826" s="196" t="n"/>
      <c r="H826" s="196" t="n"/>
      <c r="I826" s="55" t="n"/>
      <c r="J826" s="55" t="n"/>
      <c r="K826" s="55" t="n"/>
      <c r="L826" s="100">
        <f>IF(OR($C826="",$I826="Оплачено",$I826="Отменено",$H826&lt;&gt;""),"",$C826-TODAY())</f>
        <v/>
      </c>
      <c r="M826" s="101">
        <f>IF($C826="","",INDEX(Настройки!$V$6:$V$17,MONTH($C826))&amp;" "&amp;YEAR($C826))</f>
        <v/>
      </c>
      <c r="N826" s="57">
        <f>IF($F826="","",IF(COUNTIF(Постоянные!$C$8:$C$37,$F826)&gt;0,"есть в Постоянных",IF(COUNTIF(Покупки!$C$7:$C$18,$F826)&gt;0,"есть в Покупках","")))</f>
        <v/>
      </c>
      <c r="P826">
        <f>IF($H826&lt;&gt;"",$H826,IF($I826="Оплачено",N($G826),0))</f>
        <v/>
      </c>
      <c r="Q826">
        <f>IF($I826="Отменено",0,IF($G826&lt;&gt;"",$G826,N($H826)))</f>
        <v/>
      </c>
      <c r="R826">
        <f>IF($C826="","",IFERROR(DATE(Настройки!$C$8,Настройки!$D$9+MATCH($M826,Настройки!$X$6:$X$17,0)-1,1),DATE(YEAR($C826),MONTH($C826),1)))</f>
        <v/>
      </c>
      <c r="S826">
        <f>IF(OR($I826="Оплачено",$H826&lt;&gt;""),$P826,$Q826)</f>
        <v/>
      </c>
      <c r="T826">
        <f>IF(OR($C826="",$D826="Доход",$I826="Оплачено",$I826="Отменено",$H826&lt;&gt;"",$C826&lt;TODAY()),"",$C826)</f>
        <v/>
      </c>
      <c r="U826">
        <f>IF(AND($D826&lt;&gt;"Доход",COUNTIFS(Счета!$B$10:$B$21,$J826,Счета!$C$10:$C$21,"Кредитная")&gt;0),1,0)</f>
        <v/>
      </c>
    </row>
    <row r="827" ht="19" customHeight="1">
      <c r="B827" s="53">
        <f>IF(AND($C827="",$F827=""),"",ROW()-9)</f>
        <v/>
      </c>
      <c r="C827" s="213" t="n"/>
      <c r="D827" s="55" t="n"/>
      <c r="E827" s="55" t="n"/>
      <c r="F827" s="56" t="n"/>
      <c r="G827" s="196" t="n"/>
      <c r="H827" s="196" t="n"/>
      <c r="I827" s="55" t="n"/>
      <c r="J827" s="55" t="n"/>
      <c r="K827" s="55" t="n"/>
      <c r="L827" s="100">
        <f>IF(OR($C827="",$I827="Оплачено",$I827="Отменено",$H827&lt;&gt;""),"",$C827-TODAY())</f>
        <v/>
      </c>
      <c r="M827" s="101">
        <f>IF($C827="","",INDEX(Настройки!$V$6:$V$17,MONTH($C827))&amp;" "&amp;YEAR($C827))</f>
        <v/>
      </c>
      <c r="N827" s="57">
        <f>IF($F827="","",IF(COUNTIF(Постоянные!$C$8:$C$37,$F827)&gt;0,"есть в Постоянных",IF(COUNTIF(Покупки!$C$7:$C$18,$F827)&gt;0,"есть в Покупках","")))</f>
        <v/>
      </c>
      <c r="P827">
        <f>IF($H827&lt;&gt;"",$H827,IF($I827="Оплачено",N($G827),0))</f>
        <v/>
      </c>
      <c r="Q827">
        <f>IF($I827="Отменено",0,IF($G827&lt;&gt;"",$G827,N($H827)))</f>
        <v/>
      </c>
      <c r="R827">
        <f>IF($C827="","",IFERROR(DATE(Настройки!$C$8,Настройки!$D$9+MATCH($M827,Настройки!$X$6:$X$17,0)-1,1),DATE(YEAR($C827),MONTH($C827),1)))</f>
        <v/>
      </c>
      <c r="S827">
        <f>IF(OR($I827="Оплачено",$H827&lt;&gt;""),$P827,$Q827)</f>
        <v/>
      </c>
      <c r="T827">
        <f>IF(OR($C827="",$D827="Доход",$I827="Оплачено",$I827="Отменено",$H827&lt;&gt;"",$C827&lt;TODAY()),"",$C827)</f>
        <v/>
      </c>
      <c r="U827">
        <f>IF(AND($D827&lt;&gt;"Доход",COUNTIFS(Счета!$B$10:$B$21,$J827,Счета!$C$10:$C$21,"Кредитная")&gt;0),1,0)</f>
        <v/>
      </c>
    </row>
    <row r="828" ht="19" customHeight="1">
      <c r="B828" s="53">
        <f>IF(AND($C828="",$F828=""),"",ROW()-9)</f>
        <v/>
      </c>
      <c r="C828" s="213" t="n"/>
      <c r="D828" s="55" t="n"/>
      <c r="E828" s="55" t="n"/>
      <c r="F828" s="56" t="n"/>
      <c r="G828" s="196" t="n"/>
      <c r="H828" s="196" t="n"/>
      <c r="I828" s="55" t="n"/>
      <c r="J828" s="55" t="n"/>
      <c r="K828" s="55" t="n"/>
      <c r="L828" s="100">
        <f>IF(OR($C828="",$I828="Оплачено",$I828="Отменено",$H828&lt;&gt;""),"",$C828-TODAY())</f>
        <v/>
      </c>
      <c r="M828" s="101">
        <f>IF($C828="","",INDEX(Настройки!$V$6:$V$17,MONTH($C828))&amp;" "&amp;YEAR($C828))</f>
        <v/>
      </c>
      <c r="N828" s="57">
        <f>IF($F828="","",IF(COUNTIF(Постоянные!$C$8:$C$37,$F828)&gt;0,"есть в Постоянных",IF(COUNTIF(Покупки!$C$7:$C$18,$F828)&gt;0,"есть в Покупках","")))</f>
        <v/>
      </c>
      <c r="P828">
        <f>IF($H828&lt;&gt;"",$H828,IF($I828="Оплачено",N($G828),0))</f>
        <v/>
      </c>
      <c r="Q828">
        <f>IF($I828="Отменено",0,IF($G828&lt;&gt;"",$G828,N($H828)))</f>
        <v/>
      </c>
      <c r="R828">
        <f>IF($C828="","",IFERROR(DATE(Настройки!$C$8,Настройки!$D$9+MATCH($M828,Настройки!$X$6:$X$17,0)-1,1),DATE(YEAR($C828),MONTH($C828),1)))</f>
        <v/>
      </c>
      <c r="S828">
        <f>IF(OR($I828="Оплачено",$H828&lt;&gt;""),$P828,$Q828)</f>
        <v/>
      </c>
      <c r="T828">
        <f>IF(OR($C828="",$D828="Доход",$I828="Оплачено",$I828="Отменено",$H828&lt;&gt;"",$C828&lt;TODAY()),"",$C828)</f>
        <v/>
      </c>
      <c r="U828">
        <f>IF(AND($D828&lt;&gt;"Доход",COUNTIFS(Счета!$B$10:$B$21,$J828,Счета!$C$10:$C$21,"Кредитная")&gt;0),1,0)</f>
        <v/>
      </c>
    </row>
    <row r="829" ht="19" customHeight="1">
      <c r="B829" s="53">
        <f>IF(AND($C829="",$F829=""),"",ROW()-9)</f>
        <v/>
      </c>
      <c r="C829" s="213" t="n"/>
      <c r="D829" s="55" t="n"/>
      <c r="E829" s="55" t="n"/>
      <c r="F829" s="56" t="n"/>
      <c r="G829" s="196" t="n"/>
      <c r="H829" s="196" t="n"/>
      <c r="I829" s="55" t="n"/>
      <c r="J829" s="55" t="n"/>
      <c r="K829" s="55" t="n"/>
      <c r="L829" s="100">
        <f>IF(OR($C829="",$I829="Оплачено",$I829="Отменено",$H829&lt;&gt;""),"",$C829-TODAY())</f>
        <v/>
      </c>
      <c r="M829" s="101">
        <f>IF($C829="","",INDEX(Настройки!$V$6:$V$17,MONTH($C829))&amp;" "&amp;YEAR($C829))</f>
        <v/>
      </c>
      <c r="N829" s="57">
        <f>IF($F829="","",IF(COUNTIF(Постоянные!$C$8:$C$37,$F829)&gt;0,"есть в Постоянных",IF(COUNTIF(Покупки!$C$7:$C$18,$F829)&gt;0,"есть в Покупках","")))</f>
        <v/>
      </c>
      <c r="P829">
        <f>IF($H829&lt;&gt;"",$H829,IF($I829="Оплачено",N($G829),0))</f>
        <v/>
      </c>
      <c r="Q829">
        <f>IF($I829="Отменено",0,IF($G829&lt;&gt;"",$G829,N($H829)))</f>
        <v/>
      </c>
      <c r="R829">
        <f>IF($C829="","",IFERROR(DATE(Настройки!$C$8,Настройки!$D$9+MATCH($M829,Настройки!$X$6:$X$17,0)-1,1),DATE(YEAR($C829),MONTH($C829),1)))</f>
        <v/>
      </c>
      <c r="S829">
        <f>IF(OR($I829="Оплачено",$H829&lt;&gt;""),$P829,$Q829)</f>
        <v/>
      </c>
      <c r="T829">
        <f>IF(OR($C829="",$D829="Доход",$I829="Оплачено",$I829="Отменено",$H829&lt;&gt;"",$C829&lt;TODAY()),"",$C829)</f>
        <v/>
      </c>
      <c r="U829">
        <f>IF(AND($D829&lt;&gt;"Доход",COUNTIFS(Счета!$B$10:$B$21,$J829,Счета!$C$10:$C$21,"Кредитная")&gt;0),1,0)</f>
        <v/>
      </c>
    </row>
    <row r="830" ht="19" customHeight="1">
      <c r="B830" s="53">
        <f>IF(AND($C830="",$F830=""),"",ROW()-9)</f>
        <v/>
      </c>
      <c r="C830" s="213" t="n"/>
      <c r="D830" s="55" t="n"/>
      <c r="E830" s="55" t="n"/>
      <c r="F830" s="56" t="n"/>
      <c r="G830" s="196" t="n"/>
      <c r="H830" s="196" t="n"/>
      <c r="I830" s="55" t="n"/>
      <c r="J830" s="55" t="n"/>
      <c r="K830" s="55" t="n"/>
      <c r="L830" s="100">
        <f>IF(OR($C830="",$I830="Оплачено",$I830="Отменено",$H830&lt;&gt;""),"",$C830-TODAY())</f>
        <v/>
      </c>
      <c r="M830" s="101">
        <f>IF($C830="","",INDEX(Настройки!$V$6:$V$17,MONTH($C830))&amp;" "&amp;YEAR($C830))</f>
        <v/>
      </c>
      <c r="N830" s="57">
        <f>IF($F830="","",IF(COUNTIF(Постоянные!$C$8:$C$37,$F830)&gt;0,"есть в Постоянных",IF(COUNTIF(Покупки!$C$7:$C$18,$F830)&gt;0,"есть в Покупках","")))</f>
        <v/>
      </c>
      <c r="P830">
        <f>IF($H830&lt;&gt;"",$H830,IF($I830="Оплачено",N($G830),0))</f>
        <v/>
      </c>
      <c r="Q830">
        <f>IF($I830="Отменено",0,IF($G830&lt;&gt;"",$G830,N($H830)))</f>
        <v/>
      </c>
      <c r="R830">
        <f>IF($C830="","",IFERROR(DATE(Настройки!$C$8,Настройки!$D$9+MATCH($M830,Настройки!$X$6:$X$17,0)-1,1),DATE(YEAR($C830),MONTH($C830),1)))</f>
        <v/>
      </c>
      <c r="S830">
        <f>IF(OR($I830="Оплачено",$H830&lt;&gt;""),$P830,$Q830)</f>
        <v/>
      </c>
      <c r="T830">
        <f>IF(OR($C830="",$D830="Доход",$I830="Оплачено",$I830="Отменено",$H830&lt;&gt;"",$C830&lt;TODAY()),"",$C830)</f>
        <v/>
      </c>
      <c r="U830">
        <f>IF(AND($D830&lt;&gt;"Доход",COUNTIFS(Счета!$B$10:$B$21,$J830,Счета!$C$10:$C$21,"Кредитная")&gt;0),1,0)</f>
        <v/>
      </c>
    </row>
    <row r="831" ht="19" customHeight="1">
      <c r="B831" s="53">
        <f>IF(AND($C831="",$F831=""),"",ROW()-9)</f>
        <v/>
      </c>
      <c r="C831" s="213" t="n"/>
      <c r="D831" s="55" t="n"/>
      <c r="E831" s="55" t="n"/>
      <c r="F831" s="56" t="n"/>
      <c r="G831" s="196" t="n"/>
      <c r="H831" s="196" t="n"/>
      <c r="I831" s="55" t="n"/>
      <c r="J831" s="55" t="n"/>
      <c r="K831" s="55" t="n"/>
      <c r="L831" s="100">
        <f>IF(OR($C831="",$I831="Оплачено",$I831="Отменено",$H831&lt;&gt;""),"",$C831-TODAY())</f>
        <v/>
      </c>
      <c r="M831" s="101">
        <f>IF($C831="","",INDEX(Настройки!$V$6:$V$17,MONTH($C831))&amp;" "&amp;YEAR($C831))</f>
        <v/>
      </c>
      <c r="N831" s="57">
        <f>IF($F831="","",IF(COUNTIF(Постоянные!$C$8:$C$37,$F831)&gt;0,"есть в Постоянных",IF(COUNTIF(Покупки!$C$7:$C$18,$F831)&gt;0,"есть в Покупках","")))</f>
        <v/>
      </c>
      <c r="P831">
        <f>IF($H831&lt;&gt;"",$H831,IF($I831="Оплачено",N($G831),0))</f>
        <v/>
      </c>
      <c r="Q831">
        <f>IF($I831="Отменено",0,IF($G831&lt;&gt;"",$G831,N($H831)))</f>
        <v/>
      </c>
      <c r="R831">
        <f>IF($C831="","",IFERROR(DATE(Настройки!$C$8,Настройки!$D$9+MATCH($M831,Настройки!$X$6:$X$17,0)-1,1),DATE(YEAR($C831),MONTH($C831),1)))</f>
        <v/>
      </c>
      <c r="S831">
        <f>IF(OR($I831="Оплачено",$H831&lt;&gt;""),$P831,$Q831)</f>
        <v/>
      </c>
      <c r="T831">
        <f>IF(OR($C831="",$D831="Доход",$I831="Оплачено",$I831="Отменено",$H831&lt;&gt;"",$C831&lt;TODAY()),"",$C831)</f>
        <v/>
      </c>
      <c r="U831">
        <f>IF(AND($D831&lt;&gt;"Доход",COUNTIFS(Счета!$B$10:$B$21,$J831,Счета!$C$10:$C$21,"Кредитная")&gt;0),1,0)</f>
        <v/>
      </c>
    </row>
    <row r="832" ht="19" customHeight="1">
      <c r="B832" s="53">
        <f>IF(AND($C832="",$F832=""),"",ROW()-9)</f>
        <v/>
      </c>
      <c r="C832" s="213" t="n"/>
      <c r="D832" s="55" t="n"/>
      <c r="E832" s="55" t="n"/>
      <c r="F832" s="56" t="n"/>
      <c r="G832" s="196" t="n"/>
      <c r="H832" s="196" t="n"/>
      <c r="I832" s="55" t="n"/>
      <c r="J832" s="55" t="n"/>
      <c r="K832" s="55" t="n"/>
      <c r="L832" s="100">
        <f>IF(OR($C832="",$I832="Оплачено",$I832="Отменено",$H832&lt;&gt;""),"",$C832-TODAY())</f>
        <v/>
      </c>
      <c r="M832" s="101">
        <f>IF($C832="","",INDEX(Настройки!$V$6:$V$17,MONTH($C832))&amp;" "&amp;YEAR($C832))</f>
        <v/>
      </c>
      <c r="N832" s="57">
        <f>IF($F832="","",IF(COUNTIF(Постоянные!$C$8:$C$37,$F832)&gt;0,"есть в Постоянных",IF(COUNTIF(Покупки!$C$7:$C$18,$F832)&gt;0,"есть в Покупках","")))</f>
        <v/>
      </c>
      <c r="P832">
        <f>IF($H832&lt;&gt;"",$H832,IF($I832="Оплачено",N($G832),0))</f>
        <v/>
      </c>
      <c r="Q832">
        <f>IF($I832="Отменено",0,IF($G832&lt;&gt;"",$G832,N($H832)))</f>
        <v/>
      </c>
      <c r="R832">
        <f>IF($C832="","",IFERROR(DATE(Настройки!$C$8,Настройки!$D$9+MATCH($M832,Настройки!$X$6:$X$17,0)-1,1),DATE(YEAR($C832),MONTH($C832),1)))</f>
        <v/>
      </c>
      <c r="S832">
        <f>IF(OR($I832="Оплачено",$H832&lt;&gt;""),$P832,$Q832)</f>
        <v/>
      </c>
      <c r="T832">
        <f>IF(OR($C832="",$D832="Доход",$I832="Оплачено",$I832="Отменено",$H832&lt;&gt;"",$C832&lt;TODAY()),"",$C832)</f>
        <v/>
      </c>
      <c r="U832">
        <f>IF(AND($D832&lt;&gt;"Доход",COUNTIFS(Счета!$B$10:$B$21,$J832,Счета!$C$10:$C$21,"Кредитная")&gt;0),1,0)</f>
        <v/>
      </c>
    </row>
    <row r="833" ht="19" customHeight="1">
      <c r="B833" s="53">
        <f>IF(AND($C833="",$F833=""),"",ROW()-9)</f>
        <v/>
      </c>
      <c r="C833" s="213" t="n"/>
      <c r="D833" s="55" t="n"/>
      <c r="E833" s="55" t="n"/>
      <c r="F833" s="56" t="n"/>
      <c r="G833" s="196" t="n"/>
      <c r="H833" s="196" t="n"/>
      <c r="I833" s="55" t="n"/>
      <c r="J833" s="55" t="n"/>
      <c r="K833" s="55" t="n"/>
      <c r="L833" s="100">
        <f>IF(OR($C833="",$I833="Оплачено",$I833="Отменено",$H833&lt;&gt;""),"",$C833-TODAY())</f>
        <v/>
      </c>
      <c r="M833" s="101">
        <f>IF($C833="","",INDEX(Настройки!$V$6:$V$17,MONTH($C833))&amp;" "&amp;YEAR($C833))</f>
        <v/>
      </c>
      <c r="N833" s="57">
        <f>IF($F833="","",IF(COUNTIF(Постоянные!$C$8:$C$37,$F833)&gt;0,"есть в Постоянных",IF(COUNTIF(Покупки!$C$7:$C$18,$F833)&gt;0,"есть в Покупках","")))</f>
        <v/>
      </c>
      <c r="P833">
        <f>IF($H833&lt;&gt;"",$H833,IF($I833="Оплачено",N($G833),0))</f>
        <v/>
      </c>
      <c r="Q833">
        <f>IF($I833="Отменено",0,IF($G833&lt;&gt;"",$G833,N($H833)))</f>
        <v/>
      </c>
      <c r="R833">
        <f>IF($C833="","",IFERROR(DATE(Настройки!$C$8,Настройки!$D$9+MATCH($M833,Настройки!$X$6:$X$17,0)-1,1),DATE(YEAR($C833),MONTH($C833),1)))</f>
        <v/>
      </c>
      <c r="S833">
        <f>IF(OR($I833="Оплачено",$H833&lt;&gt;""),$P833,$Q833)</f>
        <v/>
      </c>
      <c r="T833">
        <f>IF(OR($C833="",$D833="Доход",$I833="Оплачено",$I833="Отменено",$H833&lt;&gt;"",$C833&lt;TODAY()),"",$C833)</f>
        <v/>
      </c>
      <c r="U833">
        <f>IF(AND($D833&lt;&gt;"Доход",COUNTIFS(Счета!$B$10:$B$21,$J833,Счета!$C$10:$C$21,"Кредитная")&gt;0),1,0)</f>
        <v/>
      </c>
    </row>
    <row r="834" ht="19" customHeight="1">
      <c r="B834" s="53">
        <f>IF(AND($C834="",$F834=""),"",ROW()-9)</f>
        <v/>
      </c>
      <c r="C834" s="213" t="n"/>
      <c r="D834" s="55" t="n"/>
      <c r="E834" s="55" t="n"/>
      <c r="F834" s="56" t="n"/>
      <c r="G834" s="196" t="n"/>
      <c r="H834" s="196" t="n"/>
      <c r="I834" s="55" t="n"/>
      <c r="J834" s="55" t="n"/>
      <c r="K834" s="55" t="n"/>
      <c r="L834" s="100">
        <f>IF(OR($C834="",$I834="Оплачено",$I834="Отменено",$H834&lt;&gt;""),"",$C834-TODAY())</f>
        <v/>
      </c>
      <c r="M834" s="101">
        <f>IF($C834="","",INDEX(Настройки!$V$6:$V$17,MONTH($C834))&amp;" "&amp;YEAR($C834))</f>
        <v/>
      </c>
      <c r="N834" s="57">
        <f>IF($F834="","",IF(COUNTIF(Постоянные!$C$8:$C$37,$F834)&gt;0,"есть в Постоянных",IF(COUNTIF(Покупки!$C$7:$C$18,$F834)&gt;0,"есть в Покупках","")))</f>
        <v/>
      </c>
      <c r="P834">
        <f>IF($H834&lt;&gt;"",$H834,IF($I834="Оплачено",N($G834),0))</f>
        <v/>
      </c>
      <c r="Q834">
        <f>IF($I834="Отменено",0,IF($G834&lt;&gt;"",$G834,N($H834)))</f>
        <v/>
      </c>
      <c r="R834">
        <f>IF($C834="","",IFERROR(DATE(Настройки!$C$8,Настройки!$D$9+MATCH($M834,Настройки!$X$6:$X$17,0)-1,1),DATE(YEAR($C834),MONTH($C834),1)))</f>
        <v/>
      </c>
      <c r="S834">
        <f>IF(OR($I834="Оплачено",$H834&lt;&gt;""),$P834,$Q834)</f>
        <v/>
      </c>
      <c r="T834">
        <f>IF(OR($C834="",$D834="Доход",$I834="Оплачено",$I834="Отменено",$H834&lt;&gt;"",$C834&lt;TODAY()),"",$C834)</f>
        <v/>
      </c>
      <c r="U834">
        <f>IF(AND($D834&lt;&gt;"Доход",COUNTIFS(Счета!$B$10:$B$21,$J834,Счета!$C$10:$C$21,"Кредитная")&gt;0),1,0)</f>
        <v/>
      </c>
    </row>
    <row r="835" ht="19" customHeight="1">
      <c r="B835" s="53">
        <f>IF(AND($C835="",$F835=""),"",ROW()-9)</f>
        <v/>
      </c>
      <c r="C835" s="213" t="n"/>
      <c r="D835" s="55" t="n"/>
      <c r="E835" s="55" t="n"/>
      <c r="F835" s="56" t="n"/>
      <c r="G835" s="196" t="n"/>
      <c r="H835" s="196" t="n"/>
      <c r="I835" s="55" t="n"/>
      <c r="J835" s="55" t="n"/>
      <c r="K835" s="55" t="n"/>
      <c r="L835" s="100">
        <f>IF(OR($C835="",$I835="Оплачено",$I835="Отменено",$H835&lt;&gt;""),"",$C835-TODAY())</f>
        <v/>
      </c>
      <c r="M835" s="101">
        <f>IF($C835="","",INDEX(Настройки!$V$6:$V$17,MONTH($C835))&amp;" "&amp;YEAR($C835))</f>
        <v/>
      </c>
      <c r="N835" s="57">
        <f>IF($F835="","",IF(COUNTIF(Постоянные!$C$8:$C$37,$F835)&gt;0,"есть в Постоянных",IF(COUNTIF(Покупки!$C$7:$C$18,$F835)&gt;0,"есть в Покупках","")))</f>
        <v/>
      </c>
      <c r="P835">
        <f>IF($H835&lt;&gt;"",$H835,IF($I835="Оплачено",N($G835),0))</f>
        <v/>
      </c>
      <c r="Q835">
        <f>IF($I835="Отменено",0,IF($G835&lt;&gt;"",$G835,N($H835)))</f>
        <v/>
      </c>
      <c r="R835">
        <f>IF($C835="","",IFERROR(DATE(Настройки!$C$8,Настройки!$D$9+MATCH($M835,Настройки!$X$6:$X$17,0)-1,1),DATE(YEAR($C835),MONTH($C835),1)))</f>
        <v/>
      </c>
      <c r="S835">
        <f>IF(OR($I835="Оплачено",$H835&lt;&gt;""),$P835,$Q835)</f>
        <v/>
      </c>
      <c r="T835">
        <f>IF(OR($C835="",$D835="Доход",$I835="Оплачено",$I835="Отменено",$H835&lt;&gt;"",$C835&lt;TODAY()),"",$C835)</f>
        <v/>
      </c>
      <c r="U835">
        <f>IF(AND($D835&lt;&gt;"Доход",COUNTIFS(Счета!$B$10:$B$21,$J835,Счета!$C$10:$C$21,"Кредитная")&gt;0),1,0)</f>
        <v/>
      </c>
    </row>
    <row r="836" ht="19" customHeight="1">
      <c r="B836" s="53">
        <f>IF(AND($C836="",$F836=""),"",ROW()-9)</f>
        <v/>
      </c>
      <c r="C836" s="213" t="n"/>
      <c r="D836" s="55" t="n"/>
      <c r="E836" s="55" t="n"/>
      <c r="F836" s="56" t="n"/>
      <c r="G836" s="196" t="n"/>
      <c r="H836" s="196" t="n"/>
      <c r="I836" s="55" t="n"/>
      <c r="J836" s="55" t="n"/>
      <c r="K836" s="55" t="n"/>
      <c r="L836" s="100">
        <f>IF(OR($C836="",$I836="Оплачено",$I836="Отменено",$H836&lt;&gt;""),"",$C836-TODAY())</f>
        <v/>
      </c>
      <c r="M836" s="101">
        <f>IF($C836="","",INDEX(Настройки!$V$6:$V$17,MONTH($C836))&amp;" "&amp;YEAR($C836))</f>
        <v/>
      </c>
      <c r="N836" s="57">
        <f>IF($F836="","",IF(COUNTIF(Постоянные!$C$8:$C$37,$F836)&gt;0,"есть в Постоянных",IF(COUNTIF(Покупки!$C$7:$C$18,$F836)&gt;0,"есть в Покупках","")))</f>
        <v/>
      </c>
      <c r="P836">
        <f>IF($H836&lt;&gt;"",$H836,IF($I836="Оплачено",N($G836),0))</f>
        <v/>
      </c>
      <c r="Q836">
        <f>IF($I836="Отменено",0,IF($G836&lt;&gt;"",$G836,N($H836)))</f>
        <v/>
      </c>
      <c r="R836">
        <f>IF($C836="","",IFERROR(DATE(Настройки!$C$8,Настройки!$D$9+MATCH($M836,Настройки!$X$6:$X$17,0)-1,1),DATE(YEAR($C836),MONTH($C836),1)))</f>
        <v/>
      </c>
      <c r="S836">
        <f>IF(OR($I836="Оплачено",$H836&lt;&gt;""),$P836,$Q836)</f>
        <v/>
      </c>
      <c r="T836">
        <f>IF(OR($C836="",$D836="Доход",$I836="Оплачено",$I836="Отменено",$H836&lt;&gt;"",$C836&lt;TODAY()),"",$C836)</f>
        <v/>
      </c>
      <c r="U836">
        <f>IF(AND($D836&lt;&gt;"Доход",COUNTIFS(Счета!$B$10:$B$21,$J836,Счета!$C$10:$C$21,"Кредитная")&gt;0),1,0)</f>
        <v/>
      </c>
    </row>
    <row r="837" ht="19" customHeight="1">
      <c r="B837" s="53">
        <f>IF(AND($C837="",$F837=""),"",ROW()-9)</f>
        <v/>
      </c>
      <c r="C837" s="213" t="n"/>
      <c r="D837" s="55" t="n"/>
      <c r="E837" s="55" t="n"/>
      <c r="F837" s="56" t="n"/>
      <c r="G837" s="196" t="n"/>
      <c r="H837" s="196" t="n"/>
      <c r="I837" s="55" t="n"/>
      <c r="J837" s="55" t="n"/>
      <c r="K837" s="55" t="n"/>
      <c r="L837" s="100">
        <f>IF(OR($C837="",$I837="Оплачено",$I837="Отменено",$H837&lt;&gt;""),"",$C837-TODAY())</f>
        <v/>
      </c>
      <c r="M837" s="101">
        <f>IF($C837="","",INDEX(Настройки!$V$6:$V$17,MONTH($C837))&amp;" "&amp;YEAR($C837))</f>
        <v/>
      </c>
      <c r="N837" s="57">
        <f>IF($F837="","",IF(COUNTIF(Постоянные!$C$8:$C$37,$F837)&gt;0,"есть в Постоянных",IF(COUNTIF(Покупки!$C$7:$C$18,$F837)&gt;0,"есть в Покупках","")))</f>
        <v/>
      </c>
      <c r="P837">
        <f>IF($H837&lt;&gt;"",$H837,IF($I837="Оплачено",N($G837),0))</f>
        <v/>
      </c>
      <c r="Q837">
        <f>IF($I837="Отменено",0,IF($G837&lt;&gt;"",$G837,N($H837)))</f>
        <v/>
      </c>
      <c r="R837">
        <f>IF($C837="","",IFERROR(DATE(Настройки!$C$8,Настройки!$D$9+MATCH($M837,Настройки!$X$6:$X$17,0)-1,1),DATE(YEAR($C837),MONTH($C837),1)))</f>
        <v/>
      </c>
      <c r="S837">
        <f>IF(OR($I837="Оплачено",$H837&lt;&gt;""),$P837,$Q837)</f>
        <v/>
      </c>
      <c r="T837">
        <f>IF(OR($C837="",$D837="Доход",$I837="Оплачено",$I837="Отменено",$H837&lt;&gt;"",$C837&lt;TODAY()),"",$C837)</f>
        <v/>
      </c>
      <c r="U837">
        <f>IF(AND($D837&lt;&gt;"Доход",COUNTIFS(Счета!$B$10:$B$21,$J837,Счета!$C$10:$C$21,"Кредитная")&gt;0),1,0)</f>
        <v/>
      </c>
    </row>
    <row r="838" ht="19" customHeight="1">
      <c r="B838" s="53">
        <f>IF(AND($C838="",$F838=""),"",ROW()-9)</f>
        <v/>
      </c>
      <c r="C838" s="213" t="n"/>
      <c r="D838" s="55" t="n"/>
      <c r="E838" s="55" t="n"/>
      <c r="F838" s="56" t="n"/>
      <c r="G838" s="196" t="n"/>
      <c r="H838" s="196" t="n"/>
      <c r="I838" s="55" t="n"/>
      <c r="J838" s="55" t="n"/>
      <c r="K838" s="55" t="n"/>
      <c r="L838" s="100">
        <f>IF(OR($C838="",$I838="Оплачено",$I838="Отменено",$H838&lt;&gt;""),"",$C838-TODAY())</f>
        <v/>
      </c>
      <c r="M838" s="101">
        <f>IF($C838="","",INDEX(Настройки!$V$6:$V$17,MONTH($C838))&amp;" "&amp;YEAR($C838))</f>
        <v/>
      </c>
      <c r="N838" s="57">
        <f>IF($F838="","",IF(COUNTIF(Постоянные!$C$8:$C$37,$F838)&gt;0,"есть в Постоянных",IF(COUNTIF(Покупки!$C$7:$C$18,$F838)&gt;0,"есть в Покупках","")))</f>
        <v/>
      </c>
      <c r="P838">
        <f>IF($H838&lt;&gt;"",$H838,IF($I838="Оплачено",N($G838),0))</f>
        <v/>
      </c>
      <c r="Q838">
        <f>IF($I838="Отменено",0,IF($G838&lt;&gt;"",$G838,N($H838)))</f>
        <v/>
      </c>
      <c r="R838">
        <f>IF($C838="","",IFERROR(DATE(Настройки!$C$8,Настройки!$D$9+MATCH($M838,Настройки!$X$6:$X$17,0)-1,1),DATE(YEAR($C838),MONTH($C838),1)))</f>
        <v/>
      </c>
      <c r="S838">
        <f>IF(OR($I838="Оплачено",$H838&lt;&gt;""),$P838,$Q838)</f>
        <v/>
      </c>
      <c r="T838">
        <f>IF(OR($C838="",$D838="Доход",$I838="Оплачено",$I838="Отменено",$H838&lt;&gt;"",$C838&lt;TODAY()),"",$C838)</f>
        <v/>
      </c>
      <c r="U838">
        <f>IF(AND($D838&lt;&gt;"Доход",COUNTIFS(Счета!$B$10:$B$21,$J838,Счета!$C$10:$C$21,"Кредитная")&gt;0),1,0)</f>
        <v/>
      </c>
    </row>
    <row r="839" ht="19" customHeight="1">
      <c r="B839" s="53">
        <f>IF(AND($C839="",$F839=""),"",ROW()-9)</f>
        <v/>
      </c>
      <c r="C839" s="213" t="n"/>
      <c r="D839" s="55" t="n"/>
      <c r="E839" s="55" t="n"/>
      <c r="F839" s="56" t="n"/>
      <c r="G839" s="196" t="n"/>
      <c r="H839" s="196" t="n"/>
      <c r="I839" s="55" t="n"/>
      <c r="J839" s="55" t="n"/>
      <c r="K839" s="55" t="n"/>
      <c r="L839" s="100">
        <f>IF(OR($C839="",$I839="Оплачено",$I839="Отменено",$H839&lt;&gt;""),"",$C839-TODAY())</f>
        <v/>
      </c>
      <c r="M839" s="101">
        <f>IF($C839="","",INDEX(Настройки!$V$6:$V$17,MONTH($C839))&amp;" "&amp;YEAR($C839))</f>
        <v/>
      </c>
      <c r="N839" s="57">
        <f>IF($F839="","",IF(COUNTIF(Постоянные!$C$8:$C$37,$F839)&gt;0,"есть в Постоянных",IF(COUNTIF(Покупки!$C$7:$C$18,$F839)&gt;0,"есть в Покупках","")))</f>
        <v/>
      </c>
      <c r="P839">
        <f>IF($H839&lt;&gt;"",$H839,IF($I839="Оплачено",N($G839),0))</f>
        <v/>
      </c>
      <c r="Q839">
        <f>IF($I839="Отменено",0,IF($G839&lt;&gt;"",$G839,N($H839)))</f>
        <v/>
      </c>
      <c r="R839">
        <f>IF($C839="","",IFERROR(DATE(Настройки!$C$8,Настройки!$D$9+MATCH($M839,Настройки!$X$6:$X$17,0)-1,1),DATE(YEAR($C839),MONTH($C839),1)))</f>
        <v/>
      </c>
      <c r="S839">
        <f>IF(OR($I839="Оплачено",$H839&lt;&gt;""),$P839,$Q839)</f>
        <v/>
      </c>
      <c r="T839">
        <f>IF(OR($C839="",$D839="Доход",$I839="Оплачено",$I839="Отменено",$H839&lt;&gt;"",$C839&lt;TODAY()),"",$C839)</f>
        <v/>
      </c>
      <c r="U839">
        <f>IF(AND($D839&lt;&gt;"Доход",COUNTIFS(Счета!$B$10:$B$21,$J839,Счета!$C$10:$C$21,"Кредитная")&gt;0),1,0)</f>
        <v/>
      </c>
    </row>
    <row r="840" ht="19" customHeight="1">
      <c r="B840" s="53">
        <f>IF(AND($C840="",$F840=""),"",ROW()-9)</f>
        <v/>
      </c>
      <c r="C840" s="213" t="n"/>
      <c r="D840" s="55" t="n"/>
      <c r="E840" s="55" t="n"/>
      <c r="F840" s="56" t="n"/>
      <c r="G840" s="196" t="n"/>
      <c r="H840" s="196" t="n"/>
      <c r="I840" s="55" t="n"/>
      <c r="J840" s="55" t="n"/>
      <c r="K840" s="55" t="n"/>
      <c r="L840" s="100">
        <f>IF(OR($C840="",$I840="Оплачено",$I840="Отменено",$H840&lt;&gt;""),"",$C840-TODAY())</f>
        <v/>
      </c>
      <c r="M840" s="101">
        <f>IF($C840="","",INDEX(Настройки!$V$6:$V$17,MONTH($C840))&amp;" "&amp;YEAR($C840))</f>
        <v/>
      </c>
      <c r="N840" s="57">
        <f>IF($F840="","",IF(COUNTIF(Постоянные!$C$8:$C$37,$F840)&gt;0,"есть в Постоянных",IF(COUNTIF(Покупки!$C$7:$C$18,$F840)&gt;0,"есть в Покупках","")))</f>
        <v/>
      </c>
      <c r="P840">
        <f>IF($H840&lt;&gt;"",$H840,IF($I840="Оплачено",N($G840),0))</f>
        <v/>
      </c>
      <c r="Q840">
        <f>IF($I840="Отменено",0,IF($G840&lt;&gt;"",$G840,N($H840)))</f>
        <v/>
      </c>
      <c r="R840">
        <f>IF($C840="","",IFERROR(DATE(Настройки!$C$8,Настройки!$D$9+MATCH($M840,Настройки!$X$6:$X$17,0)-1,1),DATE(YEAR($C840),MONTH($C840),1)))</f>
        <v/>
      </c>
      <c r="S840">
        <f>IF(OR($I840="Оплачено",$H840&lt;&gt;""),$P840,$Q840)</f>
        <v/>
      </c>
      <c r="T840">
        <f>IF(OR($C840="",$D840="Доход",$I840="Оплачено",$I840="Отменено",$H840&lt;&gt;"",$C840&lt;TODAY()),"",$C840)</f>
        <v/>
      </c>
      <c r="U840">
        <f>IF(AND($D840&lt;&gt;"Доход",COUNTIFS(Счета!$B$10:$B$21,$J840,Счета!$C$10:$C$21,"Кредитная")&gt;0),1,0)</f>
        <v/>
      </c>
    </row>
    <row r="841" ht="19" customHeight="1">
      <c r="B841" s="53">
        <f>IF(AND($C841="",$F841=""),"",ROW()-9)</f>
        <v/>
      </c>
      <c r="C841" s="213" t="n"/>
      <c r="D841" s="55" t="n"/>
      <c r="E841" s="55" t="n"/>
      <c r="F841" s="56" t="n"/>
      <c r="G841" s="196" t="n"/>
      <c r="H841" s="196" t="n"/>
      <c r="I841" s="55" t="n"/>
      <c r="J841" s="55" t="n"/>
      <c r="K841" s="55" t="n"/>
      <c r="L841" s="100">
        <f>IF(OR($C841="",$I841="Оплачено",$I841="Отменено",$H841&lt;&gt;""),"",$C841-TODAY())</f>
        <v/>
      </c>
      <c r="M841" s="101">
        <f>IF($C841="","",INDEX(Настройки!$V$6:$V$17,MONTH($C841))&amp;" "&amp;YEAR($C841))</f>
        <v/>
      </c>
      <c r="N841" s="57">
        <f>IF($F841="","",IF(COUNTIF(Постоянные!$C$8:$C$37,$F841)&gt;0,"есть в Постоянных",IF(COUNTIF(Покупки!$C$7:$C$18,$F841)&gt;0,"есть в Покупках","")))</f>
        <v/>
      </c>
      <c r="P841">
        <f>IF($H841&lt;&gt;"",$H841,IF($I841="Оплачено",N($G841),0))</f>
        <v/>
      </c>
      <c r="Q841">
        <f>IF($I841="Отменено",0,IF($G841&lt;&gt;"",$G841,N($H841)))</f>
        <v/>
      </c>
      <c r="R841">
        <f>IF($C841="","",IFERROR(DATE(Настройки!$C$8,Настройки!$D$9+MATCH($M841,Настройки!$X$6:$X$17,0)-1,1),DATE(YEAR($C841),MONTH($C841),1)))</f>
        <v/>
      </c>
      <c r="S841">
        <f>IF(OR($I841="Оплачено",$H841&lt;&gt;""),$P841,$Q841)</f>
        <v/>
      </c>
      <c r="T841">
        <f>IF(OR($C841="",$D841="Доход",$I841="Оплачено",$I841="Отменено",$H841&lt;&gt;"",$C841&lt;TODAY()),"",$C841)</f>
        <v/>
      </c>
      <c r="U841">
        <f>IF(AND($D841&lt;&gt;"Доход",COUNTIFS(Счета!$B$10:$B$21,$J841,Счета!$C$10:$C$21,"Кредитная")&gt;0),1,0)</f>
        <v/>
      </c>
    </row>
    <row r="842" ht="19" customHeight="1">
      <c r="B842" s="53">
        <f>IF(AND($C842="",$F842=""),"",ROW()-9)</f>
        <v/>
      </c>
      <c r="C842" s="213" t="n"/>
      <c r="D842" s="55" t="n"/>
      <c r="E842" s="55" t="n"/>
      <c r="F842" s="56" t="n"/>
      <c r="G842" s="196" t="n"/>
      <c r="H842" s="196" t="n"/>
      <c r="I842" s="55" t="n"/>
      <c r="J842" s="55" t="n"/>
      <c r="K842" s="55" t="n"/>
      <c r="L842" s="100">
        <f>IF(OR($C842="",$I842="Оплачено",$I842="Отменено",$H842&lt;&gt;""),"",$C842-TODAY())</f>
        <v/>
      </c>
      <c r="M842" s="101">
        <f>IF($C842="","",INDEX(Настройки!$V$6:$V$17,MONTH($C842))&amp;" "&amp;YEAR($C842))</f>
        <v/>
      </c>
      <c r="N842" s="57">
        <f>IF($F842="","",IF(COUNTIF(Постоянные!$C$8:$C$37,$F842)&gt;0,"есть в Постоянных",IF(COUNTIF(Покупки!$C$7:$C$18,$F842)&gt;0,"есть в Покупках","")))</f>
        <v/>
      </c>
      <c r="P842">
        <f>IF($H842&lt;&gt;"",$H842,IF($I842="Оплачено",N($G842),0))</f>
        <v/>
      </c>
      <c r="Q842">
        <f>IF($I842="Отменено",0,IF($G842&lt;&gt;"",$G842,N($H842)))</f>
        <v/>
      </c>
      <c r="R842">
        <f>IF($C842="","",IFERROR(DATE(Настройки!$C$8,Настройки!$D$9+MATCH($M842,Настройки!$X$6:$X$17,0)-1,1),DATE(YEAR($C842),MONTH($C842),1)))</f>
        <v/>
      </c>
      <c r="S842">
        <f>IF(OR($I842="Оплачено",$H842&lt;&gt;""),$P842,$Q842)</f>
        <v/>
      </c>
      <c r="T842">
        <f>IF(OR($C842="",$D842="Доход",$I842="Оплачено",$I842="Отменено",$H842&lt;&gt;"",$C842&lt;TODAY()),"",$C842)</f>
        <v/>
      </c>
      <c r="U842">
        <f>IF(AND($D842&lt;&gt;"Доход",COUNTIFS(Счета!$B$10:$B$21,$J842,Счета!$C$10:$C$21,"Кредитная")&gt;0),1,0)</f>
        <v/>
      </c>
    </row>
    <row r="843" ht="19" customHeight="1">
      <c r="B843" s="53">
        <f>IF(AND($C843="",$F843=""),"",ROW()-9)</f>
        <v/>
      </c>
      <c r="C843" s="213" t="n"/>
      <c r="D843" s="55" t="n"/>
      <c r="E843" s="55" t="n"/>
      <c r="F843" s="56" t="n"/>
      <c r="G843" s="196" t="n"/>
      <c r="H843" s="196" t="n"/>
      <c r="I843" s="55" t="n"/>
      <c r="J843" s="55" t="n"/>
      <c r="K843" s="55" t="n"/>
      <c r="L843" s="100">
        <f>IF(OR($C843="",$I843="Оплачено",$I843="Отменено",$H843&lt;&gt;""),"",$C843-TODAY())</f>
        <v/>
      </c>
      <c r="M843" s="101">
        <f>IF($C843="","",INDEX(Настройки!$V$6:$V$17,MONTH($C843))&amp;" "&amp;YEAR($C843))</f>
        <v/>
      </c>
      <c r="N843" s="57">
        <f>IF($F843="","",IF(COUNTIF(Постоянные!$C$8:$C$37,$F843)&gt;0,"есть в Постоянных",IF(COUNTIF(Покупки!$C$7:$C$18,$F843)&gt;0,"есть в Покупках","")))</f>
        <v/>
      </c>
      <c r="P843">
        <f>IF($H843&lt;&gt;"",$H843,IF($I843="Оплачено",N($G843),0))</f>
        <v/>
      </c>
      <c r="Q843">
        <f>IF($I843="Отменено",0,IF($G843&lt;&gt;"",$G843,N($H843)))</f>
        <v/>
      </c>
      <c r="R843">
        <f>IF($C843="","",IFERROR(DATE(Настройки!$C$8,Настройки!$D$9+MATCH($M843,Настройки!$X$6:$X$17,0)-1,1),DATE(YEAR($C843),MONTH($C843),1)))</f>
        <v/>
      </c>
      <c r="S843">
        <f>IF(OR($I843="Оплачено",$H843&lt;&gt;""),$P843,$Q843)</f>
        <v/>
      </c>
      <c r="T843">
        <f>IF(OR($C843="",$D843="Доход",$I843="Оплачено",$I843="Отменено",$H843&lt;&gt;"",$C843&lt;TODAY()),"",$C843)</f>
        <v/>
      </c>
      <c r="U843">
        <f>IF(AND($D843&lt;&gt;"Доход",COUNTIFS(Счета!$B$10:$B$21,$J843,Счета!$C$10:$C$21,"Кредитная")&gt;0),1,0)</f>
        <v/>
      </c>
    </row>
    <row r="844" ht="19" customHeight="1">
      <c r="B844" s="53">
        <f>IF(AND($C844="",$F844=""),"",ROW()-9)</f>
        <v/>
      </c>
      <c r="C844" s="213" t="n"/>
      <c r="D844" s="55" t="n"/>
      <c r="E844" s="55" t="n"/>
      <c r="F844" s="56" t="n"/>
      <c r="G844" s="196" t="n"/>
      <c r="H844" s="196" t="n"/>
      <c r="I844" s="55" t="n"/>
      <c r="J844" s="55" t="n"/>
      <c r="K844" s="55" t="n"/>
      <c r="L844" s="100">
        <f>IF(OR($C844="",$I844="Оплачено",$I844="Отменено",$H844&lt;&gt;""),"",$C844-TODAY())</f>
        <v/>
      </c>
      <c r="M844" s="101">
        <f>IF($C844="","",INDEX(Настройки!$V$6:$V$17,MONTH($C844))&amp;" "&amp;YEAR($C844))</f>
        <v/>
      </c>
      <c r="N844" s="57">
        <f>IF($F844="","",IF(COUNTIF(Постоянные!$C$8:$C$37,$F844)&gt;0,"есть в Постоянных",IF(COUNTIF(Покупки!$C$7:$C$18,$F844)&gt;0,"есть в Покупках","")))</f>
        <v/>
      </c>
      <c r="P844">
        <f>IF($H844&lt;&gt;"",$H844,IF($I844="Оплачено",N($G844),0))</f>
        <v/>
      </c>
      <c r="Q844">
        <f>IF($I844="Отменено",0,IF($G844&lt;&gt;"",$G844,N($H844)))</f>
        <v/>
      </c>
      <c r="R844">
        <f>IF($C844="","",IFERROR(DATE(Настройки!$C$8,Настройки!$D$9+MATCH($M844,Настройки!$X$6:$X$17,0)-1,1),DATE(YEAR($C844),MONTH($C844),1)))</f>
        <v/>
      </c>
      <c r="S844">
        <f>IF(OR($I844="Оплачено",$H844&lt;&gt;""),$P844,$Q844)</f>
        <v/>
      </c>
      <c r="T844">
        <f>IF(OR($C844="",$D844="Доход",$I844="Оплачено",$I844="Отменено",$H844&lt;&gt;"",$C844&lt;TODAY()),"",$C844)</f>
        <v/>
      </c>
      <c r="U844">
        <f>IF(AND($D844&lt;&gt;"Доход",COUNTIFS(Счета!$B$10:$B$21,$J844,Счета!$C$10:$C$21,"Кредитная")&gt;0),1,0)</f>
        <v/>
      </c>
    </row>
    <row r="845" ht="19" customHeight="1">
      <c r="B845" s="53">
        <f>IF(AND($C845="",$F845=""),"",ROW()-9)</f>
        <v/>
      </c>
      <c r="C845" s="213" t="n"/>
      <c r="D845" s="55" t="n"/>
      <c r="E845" s="55" t="n"/>
      <c r="F845" s="56" t="n"/>
      <c r="G845" s="196" t="n"/>
      <c r="H845" s="196" t="n"/>
      <c r="I845" s="55" t="n"/>
      <c r="J845" s="55" t="n"/>
      <c r="K845" s="55" t="n"/>
      <c r="L845" s="100">
        <f>IF(OR($C845="",$I845="Оплачено",$I845="Отменено",$H845&lt;&gt;""),"",$C845-TODAY())</f>
        <v/>
      </c>
      <c r="M845" s="101">
        <f>IF($C845="","",INDEX(Настройки!$V$6:$V$17,MONTH($C845))&amp;" "&amp;YEAR($C845))</f>
        <v/>
      </c>
      <c r="N845" s="57">
        <f>IF($F845="","",IF(COUNTIF(Постоянные!$C$8:$C$37,$F845)&gt;0,"есть в Постоянных",IF(COUNTIF(Покупки!$C$7:$C$18,$F845)&gt;0,"есть в Покупках","")))</f>
        <v/>
      </c>
      <c r="P845">
        <f>IF($H845&lt;&gt;"",$H845,IF($I845="Оплачено",N($G845),0))</f>
        <v/>
      </c>
      <c r="Q845">
        <f>IF($I845="Отменено",0,IF($G845&lt;&gt;"",$G845,N($H845)))</f>
        <v/>
      </c>
      <c r="R845">
        <f>IF($C845="","",IFERROR(DATE(Настройки!$C$8,Настройки!$D$9+MATCH($M845,Настройки!$X$6:$X$17,0)-1,1),DATE(YEAR($C845),MONTH($C845),1)))</f>
        <v/>
      </c>
      <c r="S845">
        <f>IF(OR($I845="Оплачено",$H845&lt;&gt;""),$P845,$Q845)</f>
        <v/>
      </c>
      <c r="T845">
        <f>IF(OR($C845="",$D845="Доход",$I845="Оплачено",$I845="Отменено",$H845&lt;&gt;"",$C845&lt;TODAY()),"",$C845)</f>
        <v/>
      </c>
      <c r="U845">
        <f>IF(AND($D845&lt;&gt;"Доход",COUNTIFS(Счета!$B$10:$B$21,$J845,Счета!$C$10:$C$21,"Кредитная")&gt;0),1,0)</f>
        <v/>
      </c>
    </row>
    <row r="846" ht="19" customHeight="1">
      <c r="B846" s="53">
        <f>IF(AND($C846="",$F846=""),"",ROW()-9)</f>
        <v/>
      </c>
      <c r="C846" s="213" t="n"/>
      <c r="D846" s="55" t="n"/>
      <c r="E846" s="55" t="n"/>
      <c r="F846" s="56" t="n"/>
      <c r="G846" s="196" t="n"/>
      <c r="H846" s="196" t="n"/>
      <c r="I846" s="55" t="n"/>
      <c r="J846" s="55" t="n"/>
      <c r="K846" s="55" t="n"/>
      <c r="L846" s="100">
        <f>IF(OR($C846="",$I846="Оплачено",$I846="Отменено",$H846&lt;&gt;""),"",$C846-TODAY())</f>
        <v/>
      </c>
      <c r="M846" s="101">
        <f>IF($C846="","",INDEX(Настройки!$V$6:$V$17,MONTH($C846))&amp;" "&amp;YEAR($C846))</f>
        <v/>
      </c>
      <c r="N846" s="57">
        <f>IF($F846="","",IF(COUNTIF(Постоянные!$C$8:$C$37,$F846)&gt;0,"есть в Постоянных",IF(COUNTIF(Покупки!$C$7:$C$18,$F846)&gt;0,"есть в Покупках","")))</f>
        <v/>
      </c>
      <c r="P846">
        <f>IF($H846&lt;&gt;"",$H846,IF($I846="Оплачено",N($G846),0))</f>
        <v/>
      </c>
      <c r="Q846">
        <f>IF($I846="Отменено",0,IF($G846&lt;&gt;"",$G846,N($H846)))</f>
        <v/>
      </c>
      <c r="R846">
        <f>IF($C846="","",IFERROR(DATE(Настройки!$C$8,Настройки!$D$9+MATCH($M846,Настройки!$X$6:$X$17,0)-1,1),DATE(YEAR($C846),MONTH($C846),1)))</f>
        <v/>
      </c>
      <c r="S846">
        <f>IF(OR($I846="Оплачено",$H846&lt;&gt;""),$P846,$Q846)</f>
        <v/>
      </c>
      <c r="T846">
        <f>IF(OR($C846="",$D846="Доход",$I846="Оплачено",$I846="Отменено",$H846&lt;&gt;"",$C846&lt;TODAY()),"",$C846)</f>
        <v/>
      </c>
      <c r="U846">
        <f>IF(AND($D846&lt;&gt;"Доход",COUNTIFS(Счета!$B$10:$B$21,$J846,Счета!$C$10:$C$21,"Кредитная")&gt;0),1,0)</f>
        <v/>
      </c>
    </row>
    <row r="847" ht="19" customHeight="1">
      <c r="B847" s="53">
        <f>IF(AND($C847="",$F847=""),"",ROW()-9)</f>
        <v/>
      </c>
      <c r="C847" s="213" t="n"/>
      <c r="D847" s="55" t="n"/>
      <c r="E847" s="55" t="n"/>
      <c r="F847" s="56" t="n"/>
      <c r="G847" s="196" t="n"/>
      <c r="H847" s="196" t="n"/>
      <c r="I847" s="55" t="n"/>
      <c r="J847" s="55" t="n"/>
      <c r="K847" s="55" t="n"/>
      <c r="L847" s="100">
        <f>IF(OR($C847="",$I847="Оплачено",$I847="Отменено",$H847&lt;&gt;""),"",$C847-TODAY())</f>
        <v/>
      </c>
      <c r="M847" s="101">
        <f>IF($C847="","",INDEX(Настройки!$V$6:$V$17,MONTH($C847))&amp;" "&amp;YEAR($C847))</f>
        <v/>
      </c>
      <c r="N847" s="57">
        <f>IF($F847="","",IF(COUNTIF(Постоянные!$C$8:$C$37,$F847)&gt;0,"есть в Постоянных",IF(COUNTIF(Покупки!$C$7:$C$18,$F847)&gt;0,"есть в Покупках","")))</f>
        <v/>
      </c>
      <c r="P847">
        <f>IF($H847&lt;&gt;"",$H847,IF($I847="Оплачено",N($G847),0))</f>
        <v/>
      </c>
      <c r="Q847">
        <f>IF($I847="Отменено",0,IF($G847&lt;&gt;"",$G847,N($H847)))</f>
        <v/>
      </c>
      <c r="R847">
        <f>IF($C847="","",IFERROR(DATE(Настройки!$C$8,Настройки!$D$9+MATCH($M847,Настройки!$X$6:$X$17,0)-1,1),DATE(YEAR($C847),MONTH($C847),1)))</f>
        <v/>
      </c>
      <c r="S847">
        <f>IF(OR($I847="Оплачено",$H847&lt;&gt;""),$P847,$Q847)</f>
        <v/>
      </c>
      <c r="T847">
        <f>IF(OR($C847="",$D847="Доход",$I847="Оплачено",$I847="Отменено",$H847&lt;&gt;"",$C847&lt;TODAY()),"",$C847)</f>
        <v/>
      </c>
      <c r="U847">
        <f>IF(AND($D847&lt;&gt;"Доход",COUNTIFS(Счета!$B$10:$B$21,$J847,Счета!$C$10:$C$21,"Кредитная")&gt;0),1,0)</f>
        <v/>
      </c>
    </row>
    <row r="848" ht="19" customHeight="1">
      <c r="B848" s="53">
        <f>IF(AND($C848="",$F848=""),"",ROW()-9)</f>
        <v/>
      </c>
      <c r="C848" s="213" t="n"/>
      <c r="D848" s="55" t="n"/>
      <c r="E848" s="55" t="n"/>
      <c r="F848" s="56" t="n"/>
      <c r="G848" s="196" t="n"/>
      <c r="H848" s="196" t="n"/>
      <c r="I848" s="55" t="n"/>
      <c r="J848" s="55" t="n"/>
      <c r="K848" s="55" t="n"/>
      <c r="L848" s="100">
        <f>IF(OR($C848="",$I848="Оплачено",$I848="Отменено",$H848&lt;&gt;""),"",$C848-TODAY())</f>
        <v/>
      </c>
      <c r="M848" s="101">
        <f>IF($C848="","",INDEX(Настройки!$V$6:$V$17,MONTH($C848))&amp;" "&amp;YEAR($C848))</f>
        <v/>
      </c>
      <c r="N848" s="57">
        <f>IF($F848="","",IF(COUNTIF(Постоянные!$C$8:$C$37,$F848)&gt;0,"есть в Постоянных",IF(COUNTIF(Покупки!$C$7:$C$18,$F848)&gt;0,"есть в Покупках","")))</f>
        <v/>
      </c>
      <c r="P848">
        <f>IF($H848&lt;&gt;"",$H848,IF($I848="Оплачено",N($G848),0))</f>
        <v/>
      </c>
      <c r="Q848">
        <f>IF($I848="Отменено",0,IF($G848&lt;&gt;"",$G848,N($H848)))</f>
        <v/>
      </c>
      <c r="R848">
        <f>IF($C848="","",IFERROR(DATE(Настройки!$C$8,Настройки!$D$9+MATCH($M848,Настройки!$X$6:$X$17,0)-1,1),DATE(YEAR($C848),MONTH($C848),1)))</f>
        <v/>
      </c>
      <c r="S848">
        <f>IF(OR($I848="Оплачено",$H848&lt;&gt;""),$P848,$Q848)</f>
        <v/>
      </c>
      <c r="T848">
        <f>IF(OR($C848="",$D848="Доход",$I848="Оплачено",$I848="Отменено",$H848&lt;&gt;"",$C848&lt;TODAY()),"",$C848)</f>
        <v/>
      </c>
      <c r="U848">
        <f>IF(AND($D848&lt;&gt;"Доход",COUNTIFS(Счета!$B$10:$B$21,$J848,Счета!$C$10:$C$21,"Кредитная")&gt;0),1,0)</f>
        <v/>
      </c>
    </row>
    <row r="849" ht="19" customHeight="1">
      <c r="B849" s="53">
        <f>IF(AND($C849="",$F849=""),"",ROW()-9)</f>
        <v/>
      </c>
      <c r="C849" s="213" t="n"/>
      <c r="D849" s="55" t="n"/>
      <c r="E849" s="55" t="n"/>
      <c r="F849" s="56" t="n"/>
      <c r="G849" s="196" t="n"/>
      <c r="H849" s="196" t="n"/>
      <c r="I849" s="55" t="n"/>
      <c r="J849" s="55" t="n"/>
      <c r="K849" s="55" t="n"/>
      <c r="L849" s="100">
        <f>IF(OR($C849="",$I849="Оплачено",$I849="Отменено",$H849&lt;&gt;""),"",$C849-TODAY())</f>
        <v/>
      </c>
      <c r="M849" s="101">
        <f>IF($C849="","",INDEX(Настройки!$V$6:$V$17,MONTH($C849))&amp;" "&amp;YEAR($C849))</f>
        <v/>
      </c>
      <c r="N849" s="57">
        <f>IF($F849="","",IF(COUNTIF(Постоянные!$C$8:$C$37,$F849)&gt;0,"есть в Постоянных",IF(COUNTIF(Покупки!$C$7:$C$18,$F849)&gt;0,"есть в Покупках","")))</f>
        <v/>
      </c>
      <c r="P849">
        <f>IF($H849&lt;&gt;"",$H849,IF($I849="Оплачено",N($G849),0))</f>
        <v/>
      </c>
      <c r="Q849">
        <f>IF($I849="Отменено",0,IF($G849&lt;&gt;"",$G849,N($H849)))</f>
        <v/>
      </c>
      <c r="R849">
        <f>IF($C849="","",IFERROR(DATE(Настройки!$C$8,Настройки!$D$9+MATCH($M849,Настройки!$X$6:$X$17,0)-1,1),DATE(YEAR($C849),MONTH($C849),1)))</f>
        <v/>
      </c>
      <c r="S849">
        <f>IF(OR($I849="Оплачено",$H849&lt;&gt;""),$P849,$Q849)</f>
        <v/>
      </c>
      <c r="T849">
        <f>IF(OR($C849="",$D849="Доход",$I849="Оплачено",$I849="Отменено",$H849&lt;&gt;"",$C849&lt;TODAY()),"",$C849)</f>
        <v/>
      </c>
      <c r="U849">
        <f>IF(AND($D849&lt;&gt;"Доход",COUNTIFS(Счета!$B$10:$B$21,$J849,Счета!$C$10:$C$21,"Кредитная")&gt;0),1,0)</f>
        <v/>
      </c>
    </row>
    <row r="850" ht="19" customHeight="1">
      <c r="B850" s="53">
        <f>IF(AND($C850="",$F850=""),"",ROW()-9)</f>
        <v/>
      </c>
      <c r="C850" s="213" t="n"/>
      <c r="D850" s="55" t="n"/>
      <c r="E850" s="55" t="n"/>
      <c r="F850" s="56" t="n"/>
      <c r="G850" s="196" t="n"/>
      <c r="H850" s="196" t="n"/>
      <c r="I850" s="55" t="n"/>
      <c r="J850" s="55" t="n"/>
      <c r="K850" s="55" t="n"/>
      <c r="L850" s="100">
        <f>IF(OR($C850="",$I850="Оплачено",$I850="Отменено",$H850&lt;&gt;""),"",$C850-TODAY())</f>
        <v/>
      </c>
      <c r="M850" s="101">
        <f>IF($C850="","",INDEX(Настройки!$V$6:$V$17,MONTH($C850))&amp;" "&amp;YEAR($C850))</f>
        <v/>
      </c>
      <c r="N850" s="57">
        <f>IF($F850="","",IF(COUNTIF(Постоянные!$C$8:$C$37,$F850)&gt;0,"есть в Постоянных",IF(COUNTIF(Покупки!$C$7:$C$18,$F850)&gt;0,"есть в Покупках","")))</f>
        <v/>
      </c>
      <c r="P850">
        <f>IF($H850&lt;&gt;"",$H850,IF($I850="Оплачено",N($G850),0))</f>
        <v/>
      </c>
      <c r="Q850">
        <f>IF($I850="Отменено",0,IF($G850&lt;&gt;"",$G850,N($H850)))</f>
        <v/>
      </c>
      <c r="R850">
        <f>IF($C850="","",IFERROR(DATE(Настройки!$C$8,Настройки!$D$9+MATCH($M850,Настройки!$X$6:$X$17,0)-1,1),DATE(YEAR($C850),MONTH($C850),1)))</f>
        <v/>
      </c>
      <c r="S850">
        <f>IF(OR($I850="Оплачено",$H850&lt;&gt;""),$P850,$Q850)</f>
        <v/>
      </c>
      <c r="T850">
        <f>IF(OR($C850="",$D850="Доход",$I850="Оплачено",$I850="Отменено",$H850&lt;&gt;"",$C850&lt;TODAY()),"",$C850)</f>
        <v/>
      </c>
      <c r="U850">
        <f>IF(AND($D850&lt;&gt;"Доход",COUNTIFS(Счета!$B$10:$B$21,$J850,Счета!$C$10:$C$21,"Кредитная")&gt;0),1,0)</f>
        <v/>
      </c>
    </row>
    <row r="851" ht="19" customHeight="1">
      <c r="B851" s="53">
        <f>IF(AND($C851="",$F851=""),"",ROW()-9)</f>
        <v/>
      </c>
      <c r="C851" s="213" t="n"/>
      <c r="D851" s="55" t="n"/>
      <c r="E851" s="55" t="n"/>
      <c r="F851" s="56" t="n"/>
      <c r="G851" s="196" t="n"/>
      <c r="H851" s="196" t="n"/>
      <c r="I851" s="55" t="n"/>
      <c r="J851" s="55" t="n"/>
      <c r="K851" s="55" t="n"/>
      <c r="L851" s="100">
        <f>IF(OR($C851="",$I851="Оплачено",$I851="Отменено",$H851&lt;&gt;""),"",$C851-TODAY())</f>
        <v/>
      </c>
      <c r="M851" s="101">
        <f>IF($C851="","",INDEX(Настройки!$V$6:$V$17,MONTH($C851))&amp;" "&amp;YEAR($C851))</f>
        <v/>
      </c>
      <c r="N851" s="57">
        <f>IF($F851="","",IF(COUNTIF(Постоянные!$C$8:$C$37,$F851)&gt;0,"есть в Постоянных",IF(COUNTIF(Покупки!$C$7:$C$18,$F851)&gt;0,"есть в Покупках","")))</f>
        <v/>
      </c>
      <c r="P851">
        <f>IF($H851&lt;&gt;"",$H851,IF($I851="Оплачено",N($G851),0))</f>
        <v/>
      </c>
      <c r="Q851">
        <f>IF($I851="Отменено",0,IF($G851&lt;&gt;"",$G851,N($H851)))</f>
        <v/>
      </c>
      <c r="R851">
        <f>IF($C851="","",IFERROR(DATE(Настройки!$C$8,Настройки!$D$9+MATCH($M851,Настройки!$X$6:$X$17,0)-1,1),DATE(YEAR($C851),MONTH($C851),1)))</f>
        <v/>
      </c>
      <c r="S851">
        <f>IF(OR($I851="Оплачено",$H851&lt;&gt;""),$P851,$Q851)</f>
        <v/>
      </c>
      <c r="T851">
        <f>IF(OR($C851="",$D851="Доход",$I851="Оплачено",$I851="Отменено",$H851&lt;&gt;"",$C851&lt;TODAY()),"",$C851)</f>
        <v/>
      </c>
      <c r="U851">
        <f>IF(AND($D851&lt;&gt;"Доход",COUNTIFS(Счета!$B$10:$B$21,$J851,Счета!$C$10:$C$21,"Кредитная")&gt;0),1,0)</f>
        <v/>
      </c>
    </row>
    <row r="852" ht="19" customHeight="1">
      <c r="B852" s="53">
        <f>IF(AND($C852="",$F852=""),"",ROW()-9)</f>
        <v/>
      </c>
      <c r="C852" s="213" t="n"/>
      <c r="D852" s="55" t="n"/>
      <c r="E852" s="55" t="n"/>
      <c r="F852" s="56" t="n"/>
      <c r="G852" s="196" t="n"/>
      <c r="H852" s="196" t="n"/>
      <c r="I852" s="55" t="n"/>
      <c r="J852" s="55" t="n"/>
      <c r="K852" s="55" t="n"/>
      <c r="L852" s="100">
        <f>IF(OR($C852="",$I852="Оплачено",$I852="Отменено",$H852&lt;&gt;""),"",$C852-TODAY())</f>
        <v/>
      </c>
      <c r="M852" s="101">
        <f>IF($C852="","",INDEX(Настройки!$V$6:$V$17,MONTH($C852))&amp;" "&amp;YEAR($C852))</f>
        <v/>
      </c>
      <c r="N852" s="57">
        <f>IF($F852="","",IF(COUNTIF(Постоянные!$C$8:$C$37,$F852)&gt;0,"есть в Постоянных",IF(COUNTIF(Покупки!$C$7:$C$18,$F852)&gt;0,"есть в Покупках","")))</f>
        <v/>
      </c>
      <c r="P852">
        <f>IF($H852&lt;&gt;"",$H852,IF($I852="Оплачено",N($G852),0))</f>
        <v/>
      </c>
      <c r="Q852">
        <f>IF($I852="Отменено",0,IF($G852&lt;&gt;"",$G852,N($H852)))</f>
        <v/>
      </c>
      <c r="R852">
        <f>IF($C852="","",IFERROR(DATE(Настройки!$C$8,Настройки!$D$9+MATCH($M852,Настройки!$X$6:$X$17,0)-1,1),DATE(YEAR($C852),MONTH($C852),1)))</f>
        <v/>
      </c>
      <c r="S852">
        <f>IF(OR($I852="Оплачено",$H852&lt;&gt;""),$P852,$Q852)</f>
        <v/>
      </c>
      <c r="T852">
        <f>IF(OR($C852="",$D852="Доход",$I852="Оплачено",$I852="Отменено",$H852&lt;&gt;"",$C852&lt;TODAY()),"",$C852)</f>
        <v/>
      </c>
      <c r="U852">
        <f>IF(AND($D852&lt;&gt;"Доход",COUNTIFS(Счета!$B$10:$B$21,$J852,Счета!$C$10:$C$21,"Кредитная")&gt;0),1,0)</f>
        <v/>
      </c>
    </row>
    <row r="853" ht="19" customHeight="1">
      <c r="B853" s="53">
        <f>IF(AND($C853="",$F853=""),"",ROW()-9)</f>
        <v/>
      </c>
      <c r="C853" s="213" t="n"/>
      <c r="D853" s="55" t="n"/>
      <c r="E853" s="55" t="n"/>
      <c r="F853" s="56" t="n"/>
      <c r="G853" s="196" t="n"/>
      <c r="H853" s="196" t="n"/>
      <c r="I853" s="55" t="n"/>
      <c r="J853" s="55" t="n"/>
      <c r="K853" s="55" t="n"/>
      <c r="L853" s="100">
        <f>IF(OR($C853="",$I853="Оплачено",$I853="Отменено",$H853&lt;&gt;""),"",$C853-TODAY())</f>
        <v/>
      </c>
      <c r="M853" s="101">
        <f>IF($C853="","",INDEX(Настройки!$V$6:$V$17,MONTH($C853))&amp;" "&amp;YEAR($C853))</f>
        <v/>
      </c>
      <c r="N853" s="57">
        <f>IF($F853="","",IF(COUNTIF(Постоянные!$C$8:$C$37,$F853)&gt;0,"есть в Постоянных",IF(COUNTIF(Покупки!$C$7:$C$18,$F853)&gt;0,"есть в Покупках","")))</f>
        <v/>
      </c>
      <c r="P853">
        <f>IF($H853&lt;&gt;"",$H853,IF($I853="Оплачено",N($G853),0))</f>
        <v/>
      </c>
      <c r="Q853">
        <f>IF($I853="Отменено",0,IF($G853&lt;&gt;"",$G853,N($H853)))</f>
        <v/>
      </c>
      <c r="R853">
        <f>IF($C853="","",IFERROR(DATE(Настройки!$C$8,Настройки!$D$9+MATCH($M853,Настройки!$X$6:$X$17,0)-1,1),DATE(YEAR($C853),MONTH($C853),1)))</f>
        <v/>
      </c>
      <c r="S853">
        <f>IF(OR($I853="Оплачено",$H853&lt;&gt;""),$P853,$Q853)</f>
        <v/>
      </c>
      <c r="T853">
        <f>IF(OR($C853="",$D853="Доход",$I853="Оплачено",$I853="Отменено",$H853&lt;&gt;"",$C853&lt;TODAY()),"",$C853)</f>
        <v/>
      </c>
      <c r="U853">
        <f>IF(AND($D853&lt;&gt;"Доход",COUNTIFS(Счета!$B$10:$B$21,$J853,Счета!$C$10:$C$21,"Кредитная")&gt;0),1,0)</f>
        <v/>
      </c>
    </row>
    <row r="854" ht="19" customHeight="1">
      <c r="B854" s="53">
        <f>IF(AND($C854="",$F854=""),"",ROW()-9)</f>
        <v/>
      </c>
      <c r="C854" s="213" t="n"/>
      <c r="D854" s="55" t="n"/>
      <c r="E854" s="55" t="n"/>
      <c r="F854" s="56" t="n"/>
      <c r="G854" s="196" t="n"/>
      <c r="H854" s="196" t="n"/>
      <c r="I854" s="55" t="n"/>
      <c r="J854" s="55" t="n"/>
      <c r="K854" s="55" t="n"/>
      <c r="L854" s="100">
        <f>IF(OR($C854="",$I854="Оплачено",$I854="Отменено",$H854&lt;&gt;""),"",$C854-TODAY())</f>
        <v/>
      </c>
      <c r="M854" s="101">
        <f>IF($C854="","",INDEX(Настройки!$V$6:$V$17,MONTH($C854))&amp;" "&amp;YEAR($C854))</f>
        <v/>
      </c>
      <c r="N854" s="57">
        <f>IF($F854="","",IF(COUNTIF(Постоянные!$C$8:$C$37,$F854)&gt;0,"есть в Постоянных",IF(COUNTIF(Покупки!$C$7:$C$18,$F854)&gt;0,"есть в Покупках","")))</f>
        <v/>
      </c>
      <c r="P854">
        <f>IF($H854&lt;&gt;"",$H854,IF($I854="Оплачено",N($G854),0))</f>
        <v/>
      </c>
      <c r="Q854">
        <f>IF($I854="Отменено",0,IF($G854&lt;&gt;"",$G854,N($H854)))</f>
        <v/>
      </c>
      <c r="R854">
        <f>IF($C854="","",IFERROR(DATE(Настройки!$C$8,Настройки!$D$9+MATCH($M854,Настройки!$X$6:$X$17,0)-1,1),DATE(YEAR($C854),MONTH($C854),1)))</f>
        <v/>
      </c>
      <c r="S854">
        <f>IF(OR($I854="Оплачено",$H854&lt;&gt;""),$P854,$Q854)</f>
        <v/>
      </c>
      <c r="T854">
        <f>IF(OR($C854="",$D854="Доход",$I854="Оплачено",$I854="Отменено",$H854&lt;&gt;"",$C854&lt;TODAY()),"",$C854)</f>
        <v/>
      </c>
      <c r="U854">
        <f>IF(AND($D854&lt;&gt;"Доход",COUNTIFS(Счета!$B$10:$B$21,$J854,Счета!$C$10:$C$21,"Кредитная")&gt;0),1,0)</f>
        <v/>
      </c>
    </row>
    <row r="855" ht="19" customHeight="1">
      <c r="B855" s="53">
        <f>IF(AND($C855="",$F855=""),"",ROW()-9)</f>
        <v/>
      </c>
      <c r="C855" s="213" t="n"/>
      <c r="D855" s="55" t="n"/>
      <c r="E855" s="55" t="n"/>
      <c r="F855" s="56" t="n"/>
      <c r="G855" s="196" t="n"/>
      <c r="H855" s="196" t="n"/>
      <c r="I855" s="55" t="n"/>
      <c r="J855" s="55" t="n"/>
      <c r="K855" s="55" t="n"/>
      <c r="L855" s="100">
        <f>IF(OR($C855="",$I855="Оплачено",$I855="Отменено",$H855&lt;&gt;""),"",$C855-TODAY())</f>
        <v/>
      </c>
      <c r="M855" s="101">
        <f>IF($C855="","",INDEX(Настройки!$V$6:$V$17,MONTH($C855))&amp;" "&amp;YEAR($C855))</f>
        <v/>
      </c>
      <c r="N855" s="57">
        <f>IF($F855="","",IF(COUNTIF(Постоянные!$C$8:$C$37,$F855)&gt;0,"есть в Постоянных",IF(COUNTIF(Покупки!$C$7:$C$18,$F855)&gt;0,"есть в Покупках","")))</f>
        <v/>
      </c>
      <c r="P855">
        <f>IF($H855&lt;&gt;"",$H855,IF($I855="Оплачено",N($G855),0))</f>
        <v/>
      </c>
      <c r="Q855">
        <f>IF($I855="Отменено",0,IF($G855&lt;&gt;"",$G855,N($H855)))</f>
        <v/>
      </c>
      <c r="R855">
        <f>IF($C855="","",IFERROR(DATE(Настройки!$C$8,Настройки!$D$9+MATCH($M855,Настройки!$X$6:$X$17,0)-1,1),DATE(YEAR($C855),MONTH($C855),1)))</f>
        <v/>
      </c>
      <c r="S855">
        <f>IF(OR($I855="Оплачено",$H855&lt;&gt;""),$P855,$Q855)</f>
        <v/>
      </c>
      <c r="T855">
        <f>IF(OR($C855="",$D855="Доход",$I855="Оплачено",$I855="Отменено",$H855&lt;&gt;"",$C855&lt;TODAY()),"",$C855)</f>
        <v/>
      </c>
      <c r="U855">
        <f>IF(AND($D855&lt;&gt;"Доход",COUNTIFS(Счета!$B$10:$B$21,$J855,Счета!$C$10:$C$21,"Кредитная")&gt;0),1,0)</f>
        <v/>
      </c>
    </row>
    <row r="856" ht="19" customHeight="1">
      <c r="B856" s="53">
        <f>IF(AND($C856="",$F856=""),"",ROW()-9)</f>
        <v/>
      </c>
      <c r="C856" s="213" t="n"/>
      <c r="D856" s="55" t="n"/>
      <c r="E856" s="55" t="n"/>
      <c r="F856" s="56" t="n"/>
      <c r="G856" s="196" t="n"/>
      <c r="H856" s="196" t="n"/>
      <c r="I856" s="55" t="n"/>
      <c r="J856" s="55" t="n"/>
      <c r="K856" s="55" t="n"/>
      <c r="L856" s="100">
        <f>IF(OR($C856="",$I856="Оплачено",$I856="Отменено",$H856&lt;&gt;""),"",$C856-TODAY())</f>
        <v/>
      </c>
      <c r="M856" s="101">
        <f>IF($C856="","",INDEX(Настройки!$V$6:$V$17,MONTH($C856))&amp;" "&amp;YEAR($C856))</f>
        <v/>
      </c>
      <c r="N856" s="57">
        <f>IF($F856="","",IF(COUNTIF(Постоянные!$C$8:$C$37,$F856)&gt;0,"есть в Постоянных",IF(COUNTIF(Покупки!$C$7:$C$18,$F856)&gt;0,"есть в Покупках","")))</f>
        <v/>
      </c>
      <c r="P856">
        <f>IF($H856&lt;&gt;"",$H856,IF($I856="Оплачено",N($G856),0))</f>
        <v/>
      </c>
      <c r="Q856">
        <f>IF($I856="Отменено",0,IF($G856&lt;&gt;"",$G856,N($H856)))</f>
        <v/>
      </c>
      <c r="R856">
        <f>IF($C856="","",IFERROR(DATE(Настройки!$C$8,Настройки!$D$9+MATCH($M856,Настройки!$X$6:$X$17,0)-1,1),DATE(YEAR($C856),MONTH($C856),1)))</f>
        <v/>
      </c>
      <c r="S856">
        <f>IF(OR($I856="Оплачено",$H856&lt;&gt;""),$P856,$Q856)</f>
        <v/>
      </c>
      <c r="T856">
        <f>IF(OR($C856="",$D856="Доход",$I856="Оплачено",$I856="Отменено",$H856&lt;&gt;"",$C856&lt;TODAY()),"",$C856)</f>
        <v/>
      </c>
      <c r="U856">
        <f>IF(AND($D856&lt;&gt;"Доход",COUNTIFS(Счета!$B$10:$B$21,$J856,Счета!$C$10:$C$21,"Кредитная")&gt;0),1,0)</f>
        <v/>
      </c>
    </row>
    <row r="857" ht="19" customHeight="1">
      <c r="B857" s="53">
        <f>IF(AND($C857="",$F857=""),"",ROW()-9)</f>
        <v/>
      </c>
      <c r="C857" s="213" t="n"/>
      <c r="D857" s="55" t="n"/>
      <c r="E857" s="55" t="n"/>
      <c r="F857" s="56" t="n"/>
      <c r="G857" s="196" t="n"/>
      <c r="H857" s="196" t="n"/>
      <c r="I857" s="55" t="n"/>
      <c r="J857" s="55" t="n"/>
      <c r="K857" s="55" t="n"/>
      <c r="L857" s="100">
        <f>IF(OR($C857="",$I857="Оплачено",$I857="Отменено",$H857&lt;&gt;""),"",$C857-TODAY())</f>
        <v/>
      </c>
      <c r="M857" s="101">
        <f>IF($C857="","",INDEX(Настройки!$V$6:$V$17,MONTH($C857))&amp;" "&amp;YEAR($C857))</f>
        <v/>
      </c>
      <c r="N857" s="57">
        <f>IF($F857="","",IF(COUNTIF(Постоянные!$C$8:$C$37,$F857)&gt;0,"есть в Постоянных",IF(COUNTIF(Покупки!$C$7:$C$18,$F857)&gt;0,"есть в Покупках","")))</f>
        <v/>
      </c>
      <c r="P857">
        <f>IF($H857&lt;&gt;"",$H857,IF($I857="Оплачено",N($G857),0))</f>
        <v/>
      </c>
      <c r="Q857">
        <f>IF($I857="Отменено",0,IF($G857&lt;&gt;"",$G857,N($H857)))</f>
        <v/>
      </c>
      <c r="R857">
        <f>IF($C857="","",IFERROR(DATE(Настройки!$C$8,Настройки!$D$9+MATCH($M857,Настройки!$X$6:$X$17,0)-1,1),DATE(YEAR($C857),MONTH($C857),1)))</f>
        <v/>
      </c>
      <c r="S857">
        <f>IF(OR($I857="Оплачено",$H857&lt;&gt;""),$P857,$Q857)</f>
        <v/>
      </c>
      <c r="T857">
        <f>IF(OR($C857="",$D857="Доход",$I857="Оплачено",$I857="Отменено",$H857&lt;&gt;"",$C857&lt;TODAY()),"",$C857)</f>
        <v/>
      </c>
      <c r="U857">
        <f>IF(AND($D857&lt;&gt;"Доход",COUNTIFS(Счета!$B$10:$B$21,$J857,Счета!$C$10:$C$21,"Кредитная")&gt;0),1,0)</f>
        <v/>
      </c>
    </row>
    <row r="858" ht="19" customHeight="1">
      <c r="B858" s="53">
        <f>IF(AND($C858="",$F858=""),"",ROW()-9)</f>
        <v/>
      </c>
      <c r="C858" s="213" t="n"/>
      <c r="D858" s="55" t="n"/>
      <c r="E858" s="55" t="n"/>
      <c r="F858" s="56" t="n"/>
      <c r="G858" s="196" t="n"/>
      <c r="H858" s="196" t="n"/>
      <c r="I858" s="55" t="n"/>
      <c r="J858" s="55" t="n"/>
      <c r="K858" s="55" t="n"/>
      <c r="L858" s="100">
        <f>IF(OR($C858="",$I858="Оплачено",$I858="Отменено",$H858&lt;&gt;""),"",$C858-TODAY())</f>
        <v/>
      </c>
      <c r="M858" s="101">
        <f>IF($C858="","",INDEX(Настройки!$V$6:$V$17,MONTH($C858))&amp;" "&amp;YEAR($C858))</f>
        <v/>
      </c>
      <c r="N858" s="57">
        <f>IF($F858="","",IF(COUNTIF(Постоянные!$C$8:$C$37,$F858)&gt;0,"есть в Постоянных",IF(COUNTIF(Покупки!$C$7:$C$18,$F858)&gt;0,"есть в Покупках","")))</f>
        <v/>
      </c>
      <c r="P858">
        <f>IF($H858&lt;&gt;"",$H858,IF($I858="Оплачено",N($G858),0))</f>
        <v/>
      </c>
      <c r="Q858">
        <f>IF($I858="Отменено",0,IF($G858&lt;&gt;"",$G858,N($H858)))</f>
        <v/>
      </c>
      <c r="R858">
        <f>IF($C858="","",IFERROR(DATE(Настройки!$C$8,Настройки!$D$9+MATCH($M858,Настройки!$X$6:$X$17,0)-1,1),DATE(YEAR($C858),MONTH($C858),1)))</f>
        <v/>
      </c>
      <c r="S858">
        <f>IF(OR($I858="Оплачено",$H858&lt;&gt;""),$P858,$Q858)</f>
        <v/>
      </c>
      <c r="T858">
        <f>IF(OR($C858="",$D858="Доход",$I858="Оплачено",$I858="Отменено",$H858&lt;&gt;"",$C858&lt;TODAY()),"",$C858)</f>
        <v/>
      </c>
      <c r="U858">
        <f>IF(AND($D858&lt;&gt;"Доход",COUNTIFS(Счета!$B$10:$B$21,$J858,Счета!$C$10:$C$21,"Кредитная")&gt;0),1,0)</f>
        <v/>
      </c>
    </row>
    <row r="859" ht="19" customHeight="1">
      <c r="B859" s="53">
        <f>IF(AND($C859="",$F859=""),"",ROW()-9)</f>
        <v/>
      </c>
      <c r="C859" s="213" t="n"/>
      <c r="D859" s="55" t="n"/>
      <c r="E859" s="55" t="n"/>
      <c r="F859" s="56" t="n"/>
      <c r="G859" s="196" t="n"/>
      <c r="H859" s="196" t="n"/>
      <c r="I859" s="55" t="n"/>
      <c r="J859" s="55" t="n"/>
      <c r="K859" s="55" t="n"/>
      <c r="L859" s="100">
        <f>IF(OR($C859="",$I859="Оплачено",$I859="Отменено",$H859&lt;&gt;""),"",$C859-TODAY())</f>
        <v/>
      </c>
      <c r="M859" s="101">
        <f>IF($C859="","",INDEX(Настройки!$V$6:$V$17,MONTH($C859))&amp;" "&amp;YEAR($C859))</f>
        <v/>
      </c>
      <c r="N859" s="57">
        <f>IF($F859="","",IF(COUNTIF(Постоянные!$C$8:$C$37,$F859)&gt;0,"есть в Постоянных",IF(COUNTIF(Покупки!$C$7:$C$18,$F859)&gt;0,"есть в Покупках","")))</f>
        <v/>
      </c>
      <c r="P859">
        <f>IF($H859&lt;&gt;"",$H859,IF($I859="Оплачено",N($G859),0))</f>
        <v/>
      </c>
      <c r="Q859">
        <f>IF($I859="Отменено",0,IF($G859&lt;&gt;"",$G859,N($H859)))</f>
        <v/>
      </c>
      <c r="R859">
        <f>IF($C859="","",IFERROR(DATE(Настройки!$C$8,Настройки!$D$9+MATCH($M859,Настройки!$X$6:$X$17,0)-1,1),DATE(YEAR($C859),MONTH($C859),1)))</f>
        <v/>
      </c>
      <c r="S859">
        <f>IF(OR($I859="Оплачено",$H859&lt;&gt;""),$P859,$Q859)</f>
        <v/>
      </c>
      <c r="T859">
        <f>IF(OR($C859="",$D859="Доход",$I859="Оплачено",$I859="Отменено",$H859&lt;&gt;"",$C859&lt;TODAY()),"",$C859)</f>
        <v/>
      </c>
      <c r="U859">
        <f>IF(AND($D859&lt;&gt;"Доход",COUNTIFS(Счета!$B$10:$B$21,$J859,Счета!$C$10:$C$21,"Кредитная")&gt;0),1,0)</f>
        <v/>
      </c>
    </row>
    <row r="860" ht="19" customHeight="1">
      <c r="B860" s="53">
        <f>IF(AND($C860="",$F860=""),"",ROW()-9)</f>
        <v/>
      </c>
      <c r="C860" s="213" t="n"/>
      <c r="D860" s="55" t="n"/>
      <c r="E860" s="55" t="n"/>
      <c r="F860" s="56" t="n"/>
      <c r="G860" s="196" t="n"/>
      <c r="H860" s="196" t="n"/>
      <c r="I860" s="55" t="n"/>
      <c r="J860" s="55" t="n"/>
      <c r="K860" s="55" t="n"/>
      <c r="L860" s="100">
        <f>IF(OR($C860="",$I860="Оплачено",$I860="Отменено",$H860&lt;&gt;""),"",$C860-TODAY())</f>
        <v/>
      </c>
      <c r="M860" s="101">
        <f>IF($C860="","",INDEX(Настройки!$V$6:$V$17,MONTH($C860))&amp;" "&amp;YEAR($C860))</f>
        <v/>
      </c>
      <c r="N860" s="57">
        <f>IF($F860="","",IF(COUNTIF(Постоянные!$C$8:$C$37,$F860)&gt;0,"есть в Постоянных",IF(COUNTIF(Покупки!$C$7:$C$18,$F860)&gt;0,"есть в Покупках","")))</f>
        <v/>
      </c>
      <c r="P860">
        <f>IF($H860&lt;&gt;"",$H860,IF($I860="Оплачено",N($G860),0))</f>
        <v/>
      </c>
      <c r="Q860">
        <f>IF($I860="Отменено",0,IF($G860&lt;&gt;"",$G860,N($H860)))</f>
        <v/>
      </c>
      <c r="R860">
        <f>IF($C860="","",IFERROR(DATE(Настройки!$C$8,Настройки!$D$9+MATCH($M860,Настройки!$X$6:$X$17,0)-1,1),DATE(YEAR($C860),MONTH($C860),1)))</f>
        <v/>
      </c>
      <c r="S860">
        <f>IF(OR($I860="Оплачено",$H860&lt;&gt;""),$P860,$Q860)</f>
        <v/>
      </c>
      <c r="T860">
        <f>IF(OR($C860="",$D860="Доход",$I860="Оплачено",$I860="Отменено",$H860&lt;&gt;"",$C860&lt;TODAY()),"",$C860)</f>
        <v/>
      </c>
      <c r="U860">
        <f>IF(AND($D860&lt;&gt;"Доход",COUNTIFS(Счета!$B$10:$B$21,$J860,Счета!$C$10:$C$21,"Кредитная")&gt;0),1,0)</f>
        <v/>
      </c>
    </row>
    <row r="861" ht="19" customHeight="1">
      <c r="B861" s="53">
        <f>IF(AND($C861="",$F861=""),"",ROW()-9)</f>
        <v/>
      </c>
      <c r="C861" s="213" t="n"/>
      <c r="D861" s="55" t="n"/>
      <c r="E861" s="55" t="n"/>
      <c r="F861" s="56" t="n"/>
      <c r="G861" s="196" t="n"/>
      <c r="H861" s="196" t="n"/>
      <c r="I861" s="55" t="n"/>
      <c r="J861" s="55" t="n"/>
      <c r="K861" s="55" t="n"/>
      <c r="L861" s="100">
        <f>IF(OR($C861="",$I861="Оплачено",$I861="Отменено",$H861&lt;&gt;""),"",$C861-TODAY())</f>
        <v/>
      </c>
      <c r="M861" s="101">
        <f>IF($C861="","",INDEX(Настройки!$V$6:$V$17,MONTH($C861))&amp;" "&amp;YEAR($C861))</f>
        <v/>
      </c>
      <c r="N861" s="57">
        <f>IF($F861="","",IF(COUNTIF(Постоянные!$C$8:$C$37,$F861)&gt;0,"есть в Постоянных",IF(COUNTIF(Покупки!$C$7:$C$18,$F861)&gt;0,"есть в Покупках","")))</f>
        <v/>
      </c>
      <c r="P861">
        <f>IF($H861&lt;&gt;"",$H861,IF($I861="Оплачено",N($G861),0))</f>
        <v/>
      </c>
      <c r="Q861">
        <f>IF($I861="Отменено",0,IF($G861&lt;&gt;"",$G861,N($H861)))</f>
        <v/>
      </c>
      <c r="R861">
        <f>IF($C861="","",IFERROR(DATE(Настройки!$C$8,Настройки!$D$9+MATCH($M861,Настройки!$X$6:$X$17,0)-1,1),DATE(YEAR($C861),MONTH($C861),1)))</f>
        <v/>
      </c>
      <c r="S861">
        <f>IF(OR($I861="Оплачено",$H861&lt;&gt;""),$P861,$Q861)</f>
        <v/>
      </c>
      <c r="T861">
        <f>IF(OR($C861="",$D861="Доход",$I861="Оплачено",$I861="Отменено",$H861&lt;&gt;"",$C861&lt;TODAY()),"",$C861)</f>
        <v/>
      </c>
      <c r="U861">
        <f>IF(AND($D861&lt;&gt;"Доход",COUNTIFS(Счета!$B$10:$B$21,$J861,Счета!$C$10:$C$21,"Кредитная")&gt;0),1,0)</f>
        <v/>
      </c>
    </row>
    <row r="862" ht="19" customHeight="1">
      <c r="B862" s="53">
        <f>IF(AND($C862="",$F862=""),"",ROW()-9)</f>
        <v/>
      </c>
      <c r="C862" s="213" t="n"/>
      <c r="D862" s="55" t="n"/>
      <c r="E862" s="55" t="n"/>
      <c r="F862" s="56" t="n"/>
      <c r="G862" s="196" t="n"/>
      <c r="H862" s="196" t="n"/>
      <c r="I862" s="55" t="n"/>
      <c r="J862" s="55" t="n"/>
      <c r="K862" s="55" t="n"/>
      <c r="L862" s="100">
        <f>IF(OR($C862="",$I862="Оплачено",$I862="Отменено",$H862&lt;&gt;""),"",$C862-TODAY())</f>
        <v/>
      </c>
      <c r="M862" s="101">
        <f>IF($C862="","",INDEX(Настройки!$V$6:$V$17,MONTH($C862))&amp;" "&amp;YEAR($C862))</f>
        <v/>
      </c>
      <c r="N862" s="57">
        <f>IF($F862="","",IF(COUNTIF(Постоянные!$C$8:$C$37,$F862)&gt;0,"есть в Постоянных",IF(COUNTIF(Покупки!$C$7:$C$18,$F862)&gt;0,"есть в Покупках","")))</f>
        <v/>
      </c>
      <c r="P862">
        <f>IF($H862&lt;&gt;"",$H862,IF($I862="Оплачено",N($G862),0))</f>
        <v/>
      </c>
      <c r="Q862">
        <f>IF($I862="Отменено",0,IF($G862&lt;&gt;"",$G862,N($H862)))</f>
        <v/>
      </c>
      <c r="R862">
        <f>IF($C862="","",IFERROR(DATE(Настройки!$C$8,Настройки!$D$9+MATCH($M862,Настройки!$X$6:$X$17,0)-1,1),DATE(YEAR($C862),MONTH($C862),1)))</f>
        <v/>
      </c>
      <c r="S862">
        <f>IF(OR($I862="Оплачено",$H862&lt;&gt;""),$P862,$Q862)</f>
        <v/>
      </c>
      <c r="T862">
        <f>IF(OR($C862="",$D862="Доход",$I862="Оплачено",$I862="Отменено",$H862&lt;&gt;"",$C862&lt;TODAY()),"",$C862)</f>
        <v/>
      </c>
      <c r="U862">
        <f>IF(AND($D862&lt;&gt;"Доход",COUNTIFS(Счета!$B$10:$B$21,$J862,Счета!$C$10:$C$21,"Кредитная")&gt;0),1,0)</f>
        <v/>
      </c>
    </row>
    <row r="863" ht="19" customHeight="1">
      <c r="B863" s="53">
        <f>IF(AND($C863="",$F863=""),"",ROW()-9)</f>
        <v/>
      </c>
      <c r="C863" s="213" t="n"/>
      <c r="D863" s="55" t="n"/>
      <c r="E863" s="55" t="n"/>
      <c r="F863" s="56" t="n"/>
      <c r="G863" s="196" t="n"/>
      <c r="H863" s="196" t="n"/>
      <c r="I863" s="55" t="n"/>
      <c r="J863" s="55" t="n"/>
      <c r="K863" s="55" t="n"/>
      <c r="L863" s="100">
        <f>IF(OR($C863="",$I863="Оплачено",$I863="Отменено",$H863&lt;&gt;""),"",$C863-TODAY())</f>
        <v/>
      </c>
      <c r="M863" s="101">
        <f>IF($C863="","",INDEX(Настройки!$V$6:$V$17,MONTH($C863))&amp;" "&amp;YEAR($C863))</f>
        <v/>
      </c>
      <c r="N863" s="57">
        <f>IF($F863="","",IF(COUNTIF(Постоянные!$C$8:$C$37,$F863)&gt;0,"есть в Постоянных",IF(COUNTIF(Покупки!$C$7:$C$18,$F863)&gt;0,"есть в Покупках","")))</f>
        <v/>
      </c>
      <c r="P863">
        <f>IF($H863&lt;&gt;"",$H863,IF($I863="Оплачено",N($G863),0))</f>
        <v/>
      </c>
      <c r="Q863">
        <f>IF($I863="Отменено",0,IF($G863&lt;&gt;"",$G863,N($H863)))</f>
        <v/>
      </c>
      <c r="R863">
        <f>IF($C863="","",IFERROR(DATE(Настройки!$C$8,Настройки!$D$9+MATCH($M863,Настройки!$X$6:$X$17,0)-1,1),DATE(YEAR($C863),MONTH($C863),1)))</f>
        <v/>
      </c>
      <c r="S863">
        <f>IF(OR($I863="Оплачено",$H863&lt;&gt;""),$P863,$Q863)</f>
        <v/>
      </c>
      <c r="T863">
        <f>IF(OR($C863="",$D863="Доход",$I863="Оплачено",$I863="Отменено",$H863&lt;&gt;"",$C863&lt;TODAY()),"",$C863)</f>
        <v/>
      </c>
      <c r="U863">
        <f>IF(AND($D863&lt;&gt;"Доход",COUNTIFS(Счета!$B$10:$B$21,$J863,Счета!$C$10:$C$21,"Кредитная")&gt;0),1,0)</f>
        <v/>
      </c>
    </row>
    <row r="864" ht="19" customHeight="1">
      <c r="B864" s="53">
        <f>IF(AND($C864="",$F864=""),"",ROW()-9)</f>
        <v/>
      </c>
      <c r="C864" s="213" t="n"/>
      <c r="D864" s="55" t="n"/>
      <c r="E864" s="55" t="n"/>
      <c r="F864" s="56" t="n"/>
      <c r="G864" s="196" t="n"/>
      <c r="H864" s="196" t="n"/>
      <c r="I864" s="55" t="n"/>
      <c r="J864" s="55" t="n"/>
      <c r="K864" s="55" t="n"/>
      <c r="L864" s="100">
        <f>IF(OR($C864="",$I864="Оплачено",$I864="Отменено",$H864&lt;&gt;""),"",$C864-TODAY())</f>
        <v/>
      </c>
      <c r="M864" s="101">
        <f>IF($C864="","",INDEX(Настройки!$V$6:$V$17,MONTH($C864))&amp;" "&amp;YEAR($C864))</f>
        <v/>
      </c>
      <c r="N864" s="57">
        <f>IF($F864="","",IF(COUNTIF(Постоянные!$C$8:$C$37,$F864)&gt;0,"есть в Постоянных",IF(COUNTIF(Покупки!$C$7:$C$18,$F864)&gt;0,"есть в Покупках","")))</f>
        <v/>
      </c>
      <c r="P864">
        <f>IF($H864&lt;&gt;"",$H864,IF($I864="Оплачено",N($G864),0))</f>
        <v/>
      </c>
      <c r="Q864">
        <f>IF($I864="Отменено",0,IF($G864&lt;&gt;"",$G864,N($H864)))</f>
        <v/>
      </c>
      <c r="R864">
        <f>IF($C864="","",IFERROR(DATE(Настройки!$C$8,Настройки!$D$9+MATCH($M864,Настройки!$X$6:$X$17,0)-1,1),DATE(YEAR($C864),MONTH($C864),1)))</f>
        <v/>
      </c>
      <c r="S864">
        <f>IF(OR($I864="Оплачено",$H864&lt;&gt;""),$P864,$Q864)</f>
        <v/>
      </c>
      <c r="T864">
        <f>IF(OR($C864="",$D864="Доход",$I864="Оплачено",$I864="Отменено",$H864&lt;&gt;"",$C864&lt;TODAY()),"",$C864)</f>
        <v/>
      </c>
      <c r="U864">
        <f>IF(AND($D864&lt;&gt;"Доход",COUNTIFS(Счета!$B$10:$B$21,$J864,Счета!$C$10:$C$21,"Кредитная")&gt;0),1,0)</f>
        <v/>
      </c>
    </row>
    <row r="865" ht="19" customHeight="1">
      <c r="B865" s="53">
        <f>IF(AND($C865="",$F865=""),"",ROW()-9)</f>
        <v/>
      </c>
      <c r="C865" s="213" t="n"/>
      <c r="D865" s="55" t="n"/>
      <c r="E865" s="55" t="n"/>
      <c r="F865" s="56" t="n"/>
      <c r="G865" s="196" t="n"/>
      <c r="H865" s="196" t="n"/>
      <c r="I865" s="55" t="n"/>
      <c r="J865" s="55" t="n"/>
      <c r="K865" s="55" t="n"/>
      <c r="L865" s="100">
        <f>IF(OR($C865="",$I865="Оплачено",$I865="Отменено",$H865&lt;&gt;""),"",$C865-TODAY())</f>
        <v/>
      </c>
      <c r="M865" s="101">
        <f>IF($C865="","",INDEX(Настройки!$V$6:$V$17,MONTH($C865))&amp;" "&amp;YEAR($C865))</f>
        <v/>
      </c>
      <c r="N865" s="57">
        <f>IF($F865="","",IF(COUNTIF(Постоянные!$C$8:$C$37,$F865)&gt;0,"есть в Постоянных",IF(COUNTIF(Покупки!$C$7:$C$18,$F865)&gt;0,"есть в Покупках","")))</f>
        <v/>
      </c>
      <c r="P865">
        <f>IF($H865&lt;&gt;"",$H865,IF($I865="Оплачено",N($G865),0))</f>
        <v/>
      </c>
      <c r="Q865">
        <f>IF($I865="Отменено",0,IF($G865&lt;&gt;"",$G865,N($H865)))</f>
        <v/>
      </c>
      <c r="R865">
        <f>IF($C865="","",IFERROR(DATE(Настройки!$C$8,Настройки!$D$9+MATCH($M865,Настройки!$X$6:$X$17,0)-1,1),DATE(YEAR($C865),MONTH($C865),1)))</f>
        <v/>
      </c>
      <c r="S865">
        <f>IF(OR($I865="Оплачено",$H865&lt;&gt;""),$P865,$Q865)</f>
        <v/>
      </c>
      <c r="T865">
        <f>IF(OR($C865="",$D865="Доход",$I865="Оплачено",$I865="Отменено",$H865&lt;&gt;"",$C865&lt;TODAY()),"",$C865)</f>
        <v/>
      </c>
      <c r="U865">
        <f>IF(AND($D865&lt;&gt;"Доход",COUNTIFS(Счета!$B$10:$B$21,$J865,Счета!$C$10:$C$21,"Кредитная")&gt;0),1,0)</f>
        <v/>
      </c>
    </row>
    <row r="866" ht="19" customHeight="1">
      <c r="B866" s="53">
        <f>IF(AND($C866="",$F866=""),"",ROW()-9)</f>
        <v/>
      </c>
      <c r="C866" s="213" t="n"/>
      <c r="D866" s="55" t="n"/>
      <c r="E866" s="55" t="n"/>
      <c r="F866" s="56" t="n"/>
      <c r="G866" s="196" t="n"/>
      <c r="H866" s="196" t="n"/>
      <c r="I866" s="55" t="n"/>
      <c r="J866" s="55" t="n"/>
      <c r="K866" s="55" t="n"/>
      <c r="L866" s="100">
        <f>IF(OR($C866="",$I866="Оплачено",$I866="Отменено",$H866&lt;&gt;""),"",$C866-TODAY())</f>
        <v/>
      </c>
      <c r="M866" s="101">
        <f>IF($C866="","",INDEX(Настройки!$V$6:$V$17,MONTH($C866))&amp;" "&amp;YEAR($C866))</f>
        <v/>
      </c>
      <c r="N866" s="57">
        <f>IF($F866="","",IF(COUNTIF(Постоянные!$C$8:$C$37,$F866)&gt;0,"есть в Постоянных",IF(COUNTIF(Покупки!$C$7:$C$18,$F866)&gt;0,"есть в Покупках","")))</f>
        <v/>
      </c>
      <c r="P866">
        <f>IF($H866&lt;&gt;"",$H866,IF($I866="Оплачено",N($G866),0))</f>
        <v/>
      </c>
      <c r="Q866">
        <f>IF($I866="Отменено",0,IF($G866&lt;&gt;"",$G866,N($H866)))</f>
        <v/>
      </c>
      <c r="R866">
        <f>IF($C866="","",IFERROR(DATE(Настройки!$C$8,Настройки!$D$9+MATCH($M866,Настройки!$X$6:$X$17,0)-1,1),DATE(YEAR($C866),MONTH($C866),1)))</f>
        <v/>
      </c>
      <c r="S866">
        <f>IF(OR($I866="Оплачено",$H866&lt;&gt;""),$P866,$Q866)</f>
        <v/>
      </c>
      <c r="T866">
        <f>IF(OR($C866="",$D866="Доход",$I866="Оплачено",$I866="Отменено",$H866&lt;&gt;"",$C866&lt;TODAY()),"",$C866)</f>
        <v/>
      </c>
      <c r="U866">
        <f>IF(AND($D866&lt;&gt;"Доход",COUNTIFS(Счета!$B$10:$B$21,$J866,Счета!$C$10:$C$21,"Кредитная")&gt;0),1,0)</f>
        <v/>
      </c>
    </row>
    <row r="867" ht="19" customHeight="1">
      <c r="B867" s="53">
        <f>IF(AND($C867="",$F867=""),"",ROW()-9)</f>
        <v/>
      </c>
      <c r="C867" s="213" t="n"/>
      <c r="D867" s="55" t="n"/>
      <c r="E867" s="55" t="n"/>
      <c r="F867" s="56" t="n"/>
      <c r="G867" s="196" t="n"/>
      <c r="H867" s="196" t="n"/>
      <c r="I867" s="55" t="n"/>
      <c r="J867" s="55" t="n"/>
      <c r="K867" s="55" t="n"/>
      <c r="L867" s="100">
        <f>IF(OR($C867="",$I867="Оплачено",$I867="Отменено",$H867&lt;&gt;""),"",$C867-TODAY())</f>
        <v/>
      </c>
      <c r="M867" s="101">
        <f>IF($C867="","",INDEX(Настройки!$V$6:$V$17,MONTH($C867))&amp;" "&amp;YEAR($C867))</f>
        <v/>
      </c>
      <c r="N867" s="57">
        <f>IF($F867="","",IF(COUNTIF(Постоянные!$C$8:$C$37,$F867)&gt;0,"есть в Постоянных",IF(COUNTIF(Покупки!$C$7:$C$18,$F867)&gt;0,"есть в Покупках","")))</f>
        <v/>
      </c>
      <c r="P867">
        <f>IF($H867&lt;&gt;"",$H867,IF($I867="Оплачено",N($G867),0))</f>
        <v/>
      </c>
      <c r="Q867">
        <f>IF($I867="Отменено",0,IF($G867&lt;&gt;"",$G867,N($H867)))</f>
        <v/>
      </c>
      <c r="R867">
        <f>IF($C867="","",IFERROR(DATE(Настройки!$C$8,Настройки!$D$9+MATCH($M867,Настройки!$X$6:$X$17,0)-1,1),DATE(YEAR($C867),MONTH($C867),1)))</f>
        <v/>
      </c>
      <c r="S867">
        <f>IF(OR($I867="Оплачено",$H867&lt;&gt;""),$P867,$Q867)</f>
        <v/>
      </c>
      <c r="T867">
        <f>IF(OR($C867="",$D867="Доход",$I867="Оплачено",$I867="Отменено",$H867&lt;&gt;"",$C867&lt;TODAY()),"",$C867)</f>
        <v/>
      </c>
      <c r="U867">
        <f>IF(AND($D867&lt;&gt;"Доход",COUNTIFS(Счета!$B$10:$B$21,$J867,Счета!$C$10:$C$21,"Кредитная")&gt;0),1,0)</f>
        <v/>
      </c>
    </row>
    <row r="868" ht="19" customHeight="1">
      <c r="B868" s="53">
        <f>IF(AND($C868="",$F868=""),"",ROW()-9)</f>
        <v/>
      </c>
      <c r="C868" s="213" t="n"/>
      <c r="D868" s="55" t="n"/>
      <c r="E868" s="55" t="n"/>
      <c r="F868" s="56" t="n"/>
      <c r="G868" s="196" t="n"/>
      <c r="H868" s="196" t="n"/>
      <c r="I868" s="55" t="n"/>
      <c r="J868" s="55" t="n"/>
      <c r="K868" s="55" t="n"/>
      <c r="L868" s="100">
        <f>IF(OR($C868="",$I868="Оплачено",$I868="Отменено",$H868&lt;&gt;""),"",$C868-TODAY())</f>
        <v/>
      </c>
      <c r="M868" s="101">
        <f>IF($C868="","",INDEX(Настройки!$V$6:$V$17,MONTH($C868))&amp;" "&amp;YEAR($C868))</f>
        <v/>
      </c>
      <c r="N868" s="57">
        <f>IF($F868="","",IF(COUNTIF(Постоянные!$C$8:$C$37,$F868)&gt;0,"есть в Постоянных",IF(COUNTIF(Покупки!$C$7:$C$18,$F868)&gt;0,"есть в Покупках","")))</f>
        <v/>
      </c>
      <c r="P868">
        <f>IF($H868&lt;&gt;"",$H868,IF($I868="Оплачено",N($G868),0))</f>
        <v/>
      </c>
      <c r="Q868">
        <f>IF($I868="Отменено",0,IF($G868&lt;&gt;"",$G868,N($H868)))</f>
        <v/>
      </c>
      <c r="R868">
        <f>IF($C868="","",IFERROR(DATE(Настройки!$C$8,Настройки!$D$9+MATCH($M868,Настройки!$X$6:$X$17,0)-1,1),DATE(YEAR($C868),MONTH($C868),1)))</f>
        <v/>
      </c>
      <c r="S868">
        <f>IF(OR($I868="Оплачено",$H868&lt;&gt;""),$P868,$Q868)</f>
        <v/>
      </c>
      <c r="T868">
        <f>IF(OR($C868="",$D868="Доход",$I868="Оплачено",$I868="Отменено",$H868&lt;&gt;"",$C868&lt;TODAY()),"",$C868)</f>
        <v/>
      </c>
      <c r="U868">
        <f>IF(AND($D868&lt;&gt;"Доход",COUNTIFS(Счета!$B$10:$B$21,$J868,Счета!$C$10:$C$21,"Кредитная")&gt;0),1,0)</f>
        <v/>
      </c>
    </row>
    <row r="869" ht="19" customHeight="1">
      <c r="B869" s="53">
        <f>IF(AND($C869="",$F869=""),"",ROW()-9)</f>
        <v/>
      </c>
      <c r="C869" s="213" t="n"/>
      <c r="D869" s="55" t="n"/>
      <c r="E869" s="55" t="n"/>
      <c r="F869" s="56" t="n"/>
      <c r="G869" s="196" t="n"/>
      <c r="H869" s="196" t="n"/>
      <c r="I869" s="55" t="n"/>
      <c r="J869" s="55" t="n"/>
      <c r="K869" s="55" t="n"/>
      <c r="L869" s="100">
        <f>IF(OR($C869="",$I869="Оплачено",$I869="Отменено",$H869&lt;&gt;""),"",$C869-TODAY())</f>
        <v/>
      </c>
      <c r="M869" s="101">
        <f>IF($C869="","",INDEX(Настройки!$V$6:$V$17,MONTH($C869))&amp;" "&amp;YEAR($C869))</f>
        <v/>
      </c>
      <c r="N869" s="57">
        <f>IF($F869="","",IF(COUNTIF(Постоянные!$C$8:$C$37,$F869)&gt;0,"есть в Постоянных",IF(COUNTIF(Покупки!$C$7:$C$18,$F869)&gt;0,"есть в Покупках","")))</f>
        <v/>
      </c>
      <c r="P869">
        <f>IF($H869&lt;&gt;"",$H869,IF($I869="Оплачено",N($G869),0))</f>
        <v/>
      </c>
      <c r="Q869">
        <f>IF($I869="Отменено",0,IF($G869&lt;&gt;"",$G869,N($H869)))</f>
        <v/>
      </c>
      <c r="R869">
        <f>IF($C869="","",IFERROR(DATE(Настройки!$C$8,Настройки!$D$9+MATCH($M869,Настройки!$X$6:$X$17,0)-1,1),DATE(YEAR($C869),MONTH($C869),1)))</f>
        <v/>
      </c>
      <c r="S869">
        <f>IF(OR($I869="Оплачено",$H869&lt;&gt;""),$P869,$Q869)</f>
        <v/>
      </c>
      <c r="T869">
        <f>IF(OR($C869="",$D869="Доход",$I869="Оплачено",$I869="Отменено",$H869&lt;&gt;"",$C869&lt;TODAY()),"",$C869)</f>
        <v/>
      </c>
      <c r="U869">
        <f>IF(AND($D869&lt;&gt;"Доход",COUNTIFS(Счета!$B$10:$B$21,$J869,Счета!$C$10:$C$21,"Кредитная")&gt;0),1,0)</f>
        <v/>
      </c>
    </row>
    <row r="870" ht="19" customHeight="1">
      <c r="B870" s="53">
        <f>IF(AND($C870="",$F870=""),"",ROW()-9)</f>
        <v/>
      </c>
      <c r="C870" s="213" t="n"/>
      <c r="D870" s="55" t="n"/>
      <c r="E870" s="55" t="n"/>
      <c r="F870" s="56" t="n"/>
      <c r="G870" s="196" t="n"/>
      <c r="H870" s="196" t="n"/>
      <c r="I870" s="55" t="n"/>
      <c r="J870" s="55" t="n"/>
      <c r="K870" s="55" t="n"/>
      <c r="L870" s="100">
        <f>IF(OR($C870="",$I870="Оплачено",$I870="Отменено",$H870&lt;&gt;""),"",$C870-TODAY())</f>
        <v/>
      </c>
      <c r="M870" s="101">
        <f>IF($C870="","",INDEX(Настройки!$V$6:$V$17,MONTH($C870))&amp;" "&amp;YEAR($C870))</f>
        <v/>
      </c>
      <c r="N870" s="57">
        <f>IF($F870="","",IF(COUNTIF(Постоянные!$C$8:$C$37,$F870)&gt;0,"есть в Постоянных",IF(COUNTIF(Покупки!$C$7:$C$18,$F870)&gt;0,"есть в Покупках","")))</f>
        <v/>
      </c>
      <c r="P870">
        <f>IF($H870&lt;&gt;"",$H870,IF($I870="Оплачено",N($G870),0))</f>
        <v/>
      </c>
      <c r="Q870">
        <f>IF($I870="Отменено",0,IF($G870&lt;&gt;"",$G870,N($H870)))</f>
        <v/>
      </c>
      <c r="R870">
        <f>IF($C870="","",IFERROR(DATE(Настройки!$C$8,Настройки!$D$9+MATCH($M870,Настройки!$X$6:$X$17,0)-1,1),DATE(YEAR($C870),MONTH($C870),1)))</f>
        <v/>
      </c>
      <c r="S870">
        <f>IF(OR($I870="Оплачено",$H870&lt;&gt;""),$P870,$Q870)</f>
        <v/>
      </c>
      <c r="T870">
        <f>IF(OR($C870="",$D870="Доход",$I870="Оплачено",$I870="Отменено",$H870&lt;&gt;"",$C870&lt;TODAY()),"",$C870)</f>
        <v/>
      </c>
      <c r="U870">
        <f>IF(AND($D870&lt;&gt;"Доход",COUNTIFS(Счета!$B$10:$B$21,$J870,Счета!$C$10:$C$21,"Кредитная")&gt;0),1,0)</f>
        <v/>
      </c>
    </row>
    <row r="871" ht="19" customHeight="1">
      <c r="B871" s="53">
        <f>IF(AND($C871="",$F871=""),"",ROW()-9)</f>
        <v/>
      </c>
      <c r="C871" s="213" t="n"/>
      <c r="D871" s="55" t="n"/>
      <c r="E871" s="55" t="n"/>
      <c r="F871" s="56" t="n"/>
      <c r="G871" s="196" t="n"/>
      <c r="H871" s="196" t="n"/>
      <c r="I871" s="55" t="n"/>
      <c r="J871" s="55" t="n"/>
      <c r="K871" s="55" t="n"/>
      <c r="L871" s="100">
        <f>IF(OR($C871="",$I871="Оплачено",$I871="Отменено",$H871&lt;&gt;""),"",$C871-TODAY())</f>
        <v/>
      </c>
      <c r="M871" s="101">
        <f>IF($C871="","",INDEX(Настройки!$V$6:$V$17,MONTH($C871))&amp;" "&amp;YEAR($C871))</f>
        <v/>
      </c>
      <c r="N871" s="57">
        <f>IF($F871="","",IF(COUNTIF(Постоянные!$C$8:$C$37,$F871)&gt;0,"есть в Постоянных",IF(COUNTIF(Покупки!$C$7:$C$18,$F871)&gt;0,"есть в Покупках","")))</f>
        <v/>
      </c>
      <c r="P871">
        <f>IF($H871&lt;&gt;"",$H871,IF($I871="Оплачено",N($G871),0))</f>
        <v/>
      </c>
      <c r="Q871">
        <f>IF($I871="Отменено",0,IF($G871&lt;&gt;"",$G871,N($H871)))</f>
        <v/>
      </c>
      <c r="R871">
        <f>IF($C871="","",IFERROR(DATE(Настройки!$C$8,Настройки!$D$9+MATCH($M871,Настройки!$X$6:$X$17,0)-1,1),DATE(YEAR($C871),MONTH($C871),1)))</f>
        <v/>
      </c>
      <c r="S871">
        <f>IF(OR($I871="Оплачено",$H871&lt;&gt;""),$P871,$Q871)</f>
        <v/>
      </c>
      <c r="T871">
        <f>IF(OR($C871="",$D871="Доход",$I871="Оплачено",$I871="Отменено",$H871&lt;&gt;"",$C871&lt;TODAY()),"",$C871)</f>
        <v/>
      </c>
      <c r="U871">
        <f>IF(AND($D871&lt;&gt;"Доход",COUNTIFS(Счета!$B$10:$B$21,$J871,Счета!$C$10:$C$21,"Кредитная")&gt;0),1,0)</f>
        <v/>
      </c>
    </row>
    <row r="872" ht="19" customHeight="1">
      <c r="B872" s="53">
        <f>IF(AND($C872="",$F872=""),"",ROW()-9)</f>
        <v/>
      </c>
      <c r="C872" s="213" t="n"/>
      <c r="D872" s="55" t="n"/>
      <c r="E872" s="55" t="n"/>
      <c r="F872" s="56" t="n"/>
      <c r="G872" s="196" t="n"/>
      <c r="H872" s="196" t="n"/>
      <c r="I872" s="55" t="n"/>
      <c r="J872" s="55" t="n"/>
      <c r="K872" s="55" t="n"/>
      <c r="L872" s="100">
        <f>IF(OR($C872="",$I872="Оплачено",$I872="Отменено",$H872&lt;&gt;""),"",$C872-TODAY())</f>
        <v/>
      </c>
      <c r="M872" s="101">
        <f>IF($C872="","",INDEX(Настройки!$V$6:$V$17,MONTH($C872))&amp;" "&amp;YEAR($C872))</f>
        <v/>
      </c>
      <c r="N872" s="57">
        <f>IF($F872="","",IF(COUNTIF(Постоянные!$C$8:$C$37,$F872)&gt;0,"есть в Постоянных",IF(COUNTIF(Покупки!$C$7:$C$18,$F872)&gt;0,"есть в Покупках","")))</f>
        <v/>
      </c>
      <c r="P872">
        <f>IF($H872&lt;&gt;"",$H872,IF($I872="Оплачено",N($G872),0))</f>
        <v/>
      </c>
      <c r="Q872">
        <f>IF($I872="Отменено",0,IF($G872&lt;&gt;"",$G872,N($H872)))</f>
        <v/>
      </c>
      <c r="R872">
        <f>IF($C872="","",IFERROR(DATE(Настройки!$C$8,Настройки!$D$9+MATCH($M872,Настройки!$X$6:$X$17,0)-1,1),DATE(YEAR($C872),MONTH($C872),1)))</f>
        <v/>
      </c>
      <c r="S872">
        <f>IF(OR($I872="Оплачено",$H872&lt;&gt;""),$P872,$Q872)</f>
        <v/>
      </c>
      <c r="T872">
        <f>IF(OR($C872="",$D872="Доход",$I872="Оплачено",$I872="Отменено",$H872&lt;&gt;"",$C872&lt;TODAY()),"",$C872)</f>
        <v/>
      </c>
      <c r="U872">
        <f>IF(AND($D872&lt;&gt;"Доход",COUNTIFS(Счета!$B$10:$B$21,$J872,Счета!$C$10:$C$21,"Кредитная")&gt;0),1,0)</f>
        <v/>
      </c>
    </row>
    <row r="873" ht="19" customHeight="1">
      <c r="B873" s="53">
        <f>IF(AND($C873="",$F873=""),"",ROW()-9)</f>
        <v/>
      </c>
      <c r="C873" s="213" t="n"/>
      <c r="D873" s="55" t="n"/>
      <c r="E873" s="55" t="n"/>
      <c r="F873" s="56" t="n"/>
      <c r="G873" s="196" t="n"/>
      <c r="H873" s="196" t="n"/>
      <c r="I873" s="55" t="n"/>
      <c r="J873" s="55" t="n"/>
      <c r="K873" s="55" t="n"/>
      <c r="L873" s="100">
        <f>IF(OR($C873="",$I873="Оплачено",$I873="Отменено",$H873&lt;&gt;""),"",$C873-TODAY())</f>
        <v/>
      </c>
      <c r="M873" s="101">
        <f>IF($C873="","",INDEX(Настройки!$V$6:$V$17,MONTH($C873))&amp;" "&amp;YEAR($C873))</f>
        <v/>
      </c>
      <c r="N873" s="57">
        <f>IF($F873="","",IF(COUNTIF(Постоянные!$C$8:$C$37,$F873)&gt;0,"есть в Постоянных",IF(COUNTIF(Покупки!$C$7:$C$18,$F873)&gt;0,"есть в Покупках","")))</f>
        <v/>
      </c>
      <c r="P873">
        <f>IF($H873&lt;&gt;"",$H873,IF($I873="Оплачено",N($G873),0))</f>
        <v/>
      </c>
      <c r="Q873">
        <f>IF($I873="Отменено",0,IF($G873&lt;&gt;"",$G873,N($H873)))</f>
        <v/>
      </c>
      <c r="R873">
        <f>IF($C873="","",IFERROR(DATE(Настройки!$C$8,Настройки!$D$9+MATCH($M873,Настройки!$X$6:$X$17,0)-1,1),DATE(YEAR($C873),MONTH($C873),1)))</f>
        <v/>
      </c>
      <c r="S873">
        <f>IF(OR($I873="Оплачено",$H873&lt;&gt;""),$P873,$Q873)</f>
        <v/>
      </c>
      <c r="T873">
        <f>IF(OR($C873="",$D873="Доход",$I873="Оплачено",$I873="Отменено",$H873&lt;&gt;"",$C873&lt;TODAY()),"",$C873)</f>
        <v/>
      </c>
      <c r="U873">
        <f>IF(AND($D873&lt;&gt;"Доход",COUNTIFS(Счета!$B$10:$B$21,$J873,Счета!$C$10:$C$21,"Кредитная")&gt;0),1,0)</f>
        <v/>
      </c>
    </row>
    <row r="874" ht="19" customHeight="1">
      <c r="B874" s="53">
        <f>IF(AND($C874="",$F874=""),"",ROW()-9)</f>
        <v/>
      </c>
      <c r="C874" s="213" t="n"/>
      <c r="D874" s="55" t="n"/>
      <c r="E874" s="55" t="n"/>
      <c r="F874" s="56" t="n"/>
      <c r="G874" s="196" t="n"/>
      <c r="H874" s="196" t="n"/>
      <c r="I874" s="55" t="n"/>
      <c r="J874" s="55" t="n"/>
      <c r="K874" s="55" t="n"/>
      <c r="L874" s="100">
        <f>IF(OR($C874="",$I874="Оплачено",$I874="Отменено",$H874&lt;&gt;""),"",$C874-TODAY())</f>
        <v/>
      </c>
      <c r="M874" s="101">
        <f>IF($C874="","",INDEX(Настройки!$V$6:$V$17,MONTH($C874))&amp;" "&amp;YEAR($C874))</f>
        <v/>
      </c>
      <c r="N874" s="57">
        <f>IF($F874="","",IF(COUNTIF(Постоянные!$C$8:$C$37,$F874)&gt;0,"есть в Постоянных",IF(COUNTIF(Покупки!$C$7:$C$18,$F874)&gt;0,"есть в Покупках","")))</f>
        <v/>
      </c>
      <c r="P874">
        <f>IF($H874&lt;&gt;"",$H874,IF($I874="Оплачено",N($G874),0))</f>
        <v/>
      </c>
      <c r="Q874">
        <f>IF($I874="Отменено",0,IF($G874&lt;&gt;"",$G874,N($H874)))</f>
        <v/>
      </c>
      <c r="R874">
        <f>IF($C874="","",IFERROR(DATE(Настройки!$C$8,Настройки!$D$9+MATCH($M874,Настройки!$X$6:$X$17,0)-1,1),DATE(YEAR($C874),MONTH($C874),1)))</f>
        <v/>
      </c>
      <c r="S874">
        <f>IF(OR($I874="Оплачено",$H874&lt;&gt;""),$P874,$Q874)</f>
        <v/>
      </c>
      <c r="T874">
        <f>IF(OR($C874="",$D874="Доход",$I874="Оплачено",$I874="Отменено",$H874&lt;&gt;"",$C874&lt;TODAY()),"",$C874)</f>
        <v/>
      </c>
      <c r="U874">
        <f>IF(AND($D874&lt;&gt;"Доход",COUNTIFS(Счета!$B$10:$B$21,$J874,Счета!$C$10:$C$21,"Кредитная")&gt;0),1,0)</f>
        <v/>
      </c>
    </row>
    <row r="875" ht="19" customHeight="1">
      <c r="B875" s="53">
        <f>IF(AND($C875="",$F875=""),"",ROW()-9)</f>
        <v/>
      </c>
      <c r="C875" s="213" t="n"/>
      <c r="D875" s="55" t="n"/>
      <c r="E875" s="55" t="n"/>
      <c r="F875" s="56" t="n"/>
      <c r="G875" s="196" t="n"/>
      <c r="H875" s="196" t="n"/>
      <c r="I875" s="55" t="n"/>
      <c r="J875" s="55" t="n"/>
      <c r="K875" s="55" t="n"/>
      <c r="L875" s="100">
        <f>IF(OR($C875="",$I875="Оплачено",$I875="Отменено",$H875&lt;&gt;""),"",$C875-TODAY())</f>
        <v/>
      </c>
      <c r="M875" s="101">
        <f>IF($C875="","",INDEX(Настройки!$V$6:$V$17,MONTH($C875))&amp;" "&amp;YEAR($C875))</f>
        <v/>
      </c>
      <c r="N875" s="57">
        <f>IF($F875="","",IF(COUNTIF(Постоянные!$C$8:$C$37,$F875)&gt;0,"есть в Постоянных",IF(COUNTIF(Покупки!$C$7:$C$18,$F875)&gt;0,"есть в Покупках","")))</f>
        <v/>
      </c>
      <c r="P875">
        <f>IF($H875&lt;&gt;"",$H875,IF($I875="Оплачено",N($G875),0))</f>
        <v/>
      </c>
      <c r="Q875">
        <f>IF($I875="Отменено",0,IF($G875&lt;&gt;"",$G875,N($H875)))</f>
        <v/>
      </c>
      <c r="R875">
        <f>IF($C875="","",IFERROR(DATE(Настройки!$C$8,Настройки!$D$9+MATCH($M875,Настройки!$X$6:$X$17,0)-1,1),DATE(YEAR($C875),MONTH($C875),1)))</f>
        <v/>
      </c>
      <c r="S875">
        <f>IF(OR($I875="Оплачено",$H875&lt;&gt;""),$P875,$Q875)</f>
        <v/>
      </c>
      <c r="T875">
        <f>IF(OR($C875="",$D875="Доход",$I875="Оплачено",$I875="Отменено",$H875&lt;&gt;"",$C875&lt;TODAY()),"",$C875)</f>
        <v/>
      </c>
      <c r="U875">
        <f>IF(AND($D875&lt;&gt;"Доход",COUNTIFS(Счета!$B$10:$B$21,$J875,Счета!$C$10:$C$21,"Кредитная")&gt;0),1,0)</f>
        <v/>
      </c>
    </row>
    <row r="876" ht="19" customHeight="1">
      <c r="B876" s="53">
        <f>IF(AND($C876="",$F876=""),"",ROW()-9)</f>
        <v/>
      </c>
      <c r="C876" s="213" t="n"/>
      <c r="D876" s="55" t="n"/>
      <c r="E876" s="55" t="n"/>
      <c r="F876" s="56" t="n"/>
      <c r="G876" s="196" t="n"/>
      <c r="H876" s="196" t="n"/>
      <c r="I876" s="55" t="n"/>
      <c r="J876" s="55" t="n"/>
      <c r="K876" s="55" t="n"/>
      <c r="L876" s="100">
        <f>IF(OR($C876="",$I876="Оплачено",$I876="Отменено",$H876&lt;&gt;""),"",$C876-TODAY())</f>
        <v/>
      </c>
      <c r="M876" s="101">
        <f>IF($C876="","",INDEX(Настройки!$V$6:$V$17,MONTH($C876))&amp;" "&amp;YEAR($C876))</f>
        <v/>
      </c>
      <c r="N876" s="57">
        <f>IF($F876="","",IF(COUNTIF(Постоянные!$C$8:$C$37,$F876)&gt;0,"есть в Постоянных",IF(COUNTIF(Покупки!$C$7:$C$18,$F876)&gt;0,"есть в Покупках","")))</f>
        <v/>
      </c>
      <c r="P876">
        <f>IF($H876&lt;&gt;"",$H876,IF($I876="Оплачено",N($G876),0))</f>
        <v/>
      </c>
      <c r="Q876">
        <f>IF($I876="Отменено",0,IF($G876&lt;&gt;"",$G876,N($H876)))</f>
        <v/>
      </c>
      <c r="R876">
        <f>IF($C876="","",IFERROR(DATE(Настройки!$C$8,Настройки!$D$9+MATCH($M876,Настройки!$X$6:$X$17,0)-1,1),DATE(YEAR($C876),MONTH($C876),1)))</f>
        <v/>
      </c>
      <c r="S876">
        <f>IF(OR($I876="Оплачено",$H876&lt;&gt;""),$P876,$Q876)</f>
        <v/>
      </c>
      <c r="T876">
        <f>IF(OR($C876="",$D876="Доход",$I876="Оплачено",$I876="Отменено",$H876&lt;&gt;"",$C876&lt;TODAY()),"",$C876)</f>
        <v/>
      </c>
      <c r="U876">
        <f>IF(AND($D876&lt;&gt;"Доход",COUNTIFS(Счета!$B$10:$B$21,$J876,Счета!$C$10:$C$21,"Кредитная")&gt;0),1,0)</f>
        <v/>
      </c>
    </row>
    <row r="877" ht="19" customHeight="1">
      <c r="B877" s="53">
        <f>IF(AND($C877="",$F877=""),"",ROW()-9)</f>
        <v/>
      </c>
      <c r="C877" s="213" t="n"/>
      <c r="D877" s="55" t="n"/>
      <c r="E877" s="55" t="n"/>
      <c r="F877" s="56" t="n"/>
      <c r="G877" s="196" t="n"/>
      <c r="H877" s="196" t="n"/>
      <c r="I877" s="55" t="n"/>
      <c r="J877" s="55" t="n"/>
      <c r="K877" s="55" t="n"/>
      <c r="L877" s="100">
        <f>IF(OR($C877="",$I877="Оплачено",$I877="Отменено",$H877&lt;&gt;""),"",$C877-TODAY())</f>
        <v/>
      </c>
      <c r="M877" s="101">
        <f>IF($C877="","",INDEX(Настройки!$V$6:$V$17,MONTH($C877))&amp;" "&amp;YEAR($C877))</f>
        <v/>
      </c>
      <c r="N877" s="57">
        <f>IF($F877="","",IF(COUNTIF(Постоянные!$C$8:$C$37,$F877)&gt;0,"есть в Постоянных",IF(COUNTIF(Покупки!$C$7:$C$18,$F877)&gt;0,"есть в Покупках","")))</f>
        <v/>
      </c>
      <c r="P877">
        <f>IF($H877&lt;&gt;"",$H877,IF($I877="Оплачено",N($G877),0))</f>
        <v/>
      </c>
      <c r="Q877">
        <f>IF($I877="Отменено",0,IF($G877&lt;&gt;"",$G877,N($H877)))</f>
        <v/>
      </c>
      <c r="R877">
        <f>IF($C877="","",IFERROR(DATE(Настройки!$C$8,Настройки!$D$9+MATCH($M877,Настройки!$X$6:$X$17,0)-1,1),DATE(YEAR($C877),MONTH($C877),1)))</f>
        <v/>
      </c>
      <c r="S877">
        <f>IF(OR($I877="Оплачено",$H877&lt;&gt;""),$P877,$Q877)</f>
        <v/>
      </c>
      <c r="T877">
        <f>IF(OR($C877="",$D877="Доход",$I877="Оплачено",$I877="Отменено",$H877&lt;&gt;"",$C877&lt;TODAY()),"",$C877)</f>
        <v/>
      </c>
      <c r="U877">
        <f>IF(AND($D877&lt;&gt;"Доход",COUNTIFS(Счета!$B$10:$B$21,$J877,Счета!$C$10:$C$21,"Кредитная")&gt;0),1,0)</f>
        <v/>
      </c>
    </row>
    <row r="878" ht="19" customHeight="1">
      <c r="B878" s="53">
        <f>IF(AND($C878="",$F878=""),"",ROW()-9)</f>
        <v/>
      </c>
      <c r="C878" s="213" t="n"/>
      <c r="D878" s="55" t="n"/>
      <c r="E878" s="55" t="n"/>
      <c r="F878" s="56" t="n"/>
      <c r="G878" s="196" t="n"/>
      <c r="H878" s="196" t="n"/>
      <c r="I878" s="55" t="n"/>
      <c r="J878" s="55" t="n"/>
      <c r="K878" s="55" t="n"/>
      <c r="L878" s="100">
        <f>IF(OR($C878="",$I878="Оплачено",$I878="Отменено",$H878&lt;&gt;""),"",$C878-TODAY())</f>
        <v/>
      </c>
      <c r="M878" s="101">
        <f>IF($C878="","",INDEX(Настройки!$V$6:$V$17,MONTH($C878))&amp;" "&amp;YEAR($C878))</f>
        <v/>
      </c>
      <c r="N878" s="57">
        <f>IF($F878="","",IF(COUNTIF(Постоянные!$C$8:$C$37,$F878)&gt;0,"есть в Постоянных",IF(COUNTIF(Покупки!$C$7:$C$18,$F878)&gt;0,"есть в Покупках","")))</f>
        <v/>
      </c>
      <c r="P878">
        <f>IF($H878&lt;&gt;"",$H878,IF($I878="Оплачено",N($G878),0))</f>
        <v/>
      </c>
      <c r="Q878">
        <f>IF($I878="Отменено",0,IF($G878&lt;&gt;"",$G878,N($H878)))</f>
        <v/>
      </c>
      <c r="R878">
        <f>IF($C878="","",IFERROR(DATE(Настройки!$C$8,Настройки!$D$9+MATCH($M878,Настройки!$X$6:$X$17,0)-1,1),DATE(YEAR($C878),MONTH($C878),1)))</f>
        <v/>
      </c>
      <c r="S878">
        <f>IF(OR($I878="Оплачено",$H878&lt;&gt;""),$P878,$Q878)</f>
        <v/>
      </c>
      <c r="T878">
        <f>IF(OR($C878="",$D878="Доход",$I878="Оплачено",$I878="Отменено",$H878&lt;&gt;"",$C878&lt;TODAY()),"",$C878)</f>
        <v/>
      </c>
      <c r="U878">
        <f>IF(AND($D878&lt;&gt;"Доход",COUNTIFS(Счета!$B$10:$B$21,$J878,Счета!$C$10:$C$21,"Кредитная")&gt;0),1,0)</f>
        <v/>
      </c>
    </row>
    <row r="879" ht="19" customHeight="1">
      <c r="B879" s="53">
        <f>IF(AND($C879="",$F879=""),"",ROW()-9)</f>
        <v/>
      </c>
      <c r="C879" s="213" t="n"/>
      <c r="D879" s="55" t="n"/>
      <c r="E879" s="55" t="n"/>
      <c r="F879" s="56" t="n"/>
      <c r="G879" s="196" t="n"/>
      <c r="H879" s="196" t="n"/>
      <c r="I879" s="55" t="n"/>
      <c r="J879" s="55" t="n"/>
      <c r="K879" s="55" t="n"/>
      <c r="L879" s="100">
        <f>IF(OR($C879="",$I879="Оплачено",$I879="Отменено",$H879&lt;&gt;""),"",$C879-TODAY())</f>
        <v/>
      </c>
      <c r="M879" s="101">
        <f>IF($C879="","",INDEX(Настройки!$V$6:$V$17,MONTH($C879))&amp;" "&amp;YEAR($C879))</f>
        <v/>
      </c>
      <c r="N879" s="57">
        <f>IF($F879="","",IF(COUNTIF(Постоянные!$C$8:$C$37,$F879)&gt;0,"есть в Постоянных",IF(COUNTIF(Покупки!$C$7:$C$18,$F879)&gt;0,"есть в Покупках","")))</f>
        <v/>
      </c>
      <c r="P879">
        <f>IF($H879&lt;&gt;"",$H879,IF($I879="Оплачено",N($G879),0))</f>
        <v/>
      </c>
      <c r="Q879">
        <f>IF($I879="Отменено",0,IF($G879&lt;&gt;"",$G879,N($H879)))</f>
        <v/>
      </c>
      <c r="R879">
        <f>IF($C879="","",IFERROR(DATE(Настройки!$C$8,Настройки!$D$9+MATCH($M879,Настройки!$X$6:$X$17,0)-1,1),DATE(YEAR($C879),MONTH($C879),1)))</f>
        <v/>
      </c>
      <c r="S879">
        <f>IF(OR($I879="Оплачено",$H879&lt;&gt;""),$P879,$Q879)</f>
        <v/>
      </c>
      <c r="T879">
        <f>IF(OR($C879="",$D879="Доход",$I879="Оплачено",$I879="Отменено",$H879&lt;&gt;"",$C879&lt;TODAY()),"",$C879)</f>
        <v/>
      </c>
      <c r="U879">
        <f>IF(AND($D879&lt;&gt;"Доход",COUNTIFS(Счета!$B$10:$B$21,$J879,Счета!$C$10:$C$21,"Кредитная")&gt;0),1,0)</f>
        <v/>
      </c>
    </row>
    <row r="880" ht="19" customHeight="1">
      <c r="B880" s="53">
        <f>IF(AND($C880="",$F880=""),"",ROW()-9)</f>
        <v/>
      </c>
      <c r="C880" s="213" t="n"/>
      <c r="D880" s="55" t="n"/>
      <c r="E880" s="55" t="n"/>
      <c r="F880" s="56" t="n"/>
      <c r="G880" s="196" t="n"/>
      <c r="H880" s="196" t="n"/>
      <c r="I880" s="55" t="n"/>
      <c r="J880" s="55" t="n"/>
      <c r="K880" s="55" t="n"/>
      <c r="L880" s="100">
        <f>IF(OR($C880="",$I880="Оплачено",$I880="Отменено",$H880&lt;&gt;""),"",$C880-TODAY())</f>
        <v/>
      </c>
      <c r="M880" s="101">
        <f>IF($C880="","",INDEX(Настройки!$V$6:$V$17,MONTH($C880))&amp;" "&amp;YEAR($C880))</f>
        <v/>
      </c>
      <c r="N880" s="57">
        <f>IF($F880="","",IF(COUNTIF(Постоянные!$C$8:$C$37,$F880)&gt;0,"есть в Постоянных",IF(COUNTIF(Покупки!$C$7:$C$18,$F880)&gt;0,"есть в Покупках","")))</f>
        <v/>
      </c>
      <c r="P880">
        <f>IF($H880&lt;&gt;"",$H880,IF($I880="Оплачено",N($G880),0))</f>
        <v/>
      </c>
      <c r="Q880">
        <f>IF($I880="Отменено",0,IF($G880&lt;&gt;"",$G880,N($H880)))</f>
        <v/>
      </c>
      <c r="R880">
        <f>IF($C880="","",IFERROR(DATE(Настройки!$C$8,Настройки!$D$9+MATCH($M880,Настройки!$X$6:$X$17,0)-1,1),DATE(YEAR($C880),MONTH($C880),1)))</f>
        <v/>
      </c>
      <c r="S880">
        <f>IF(OR($I880="Оплачено",$H880&lt;&gt;""),$P880,$Q880)</f>
        <v/>
      </c>
      <c r="T880">
        <f>IF(OR($C880="",$D880="Доход",$I880="Оплачено",$I880="Отменено",$H880&lt;&gt;"",$C880&lt;TODAY()),"",$C880)</f>
        <v/>
      </c>
      <c r="U880">
        <f>IF(AND($D880&lt;&gt;"Доход",COUNTIFS(Счета!$B$10:$B$21,$J880,Счета!$C$10:$C$21,"Кредитная")&gt;0),1,0)</f>
        <v/>
      </c>
    </row>
    <row r="881" ht="19" customHeight="1">
      <c r="B881" s="53">
        <f>IF(AND($C881="",$F881=""),"",ROW()-9)</f>
        <v/>
      </c>
      <c r="C881" s="213" t="n"/>
      <c r="D881" s="55" t="n"/>
      <c r="E881" s="55" t="n"/>
      <c r="F881" s="56" t="n"/>
      <c r="G881" s="196" t="n"/>
      <c r="H881" s="196" t="n"/>
      <c r="I881" s="55" t="n"/>
      <c r="J881" s="55" t="n"/>
      <c r="K881" s="55" t="n"/>
      <c r="L881" s="100">
        <f>IF(OR($C881="",$I881="Оплачено",$I881="Отменено",$H881&lt;&gt;""),"",$C881-TODAY())</f>
        <v/>
      </c>
      <c r="M881" s="101">
        <f>IF($C881="","",INDEX(Настройки!$V$6:$V$17,MONTH($C881))&amp;" "&amp;YEAR($C881))</f>
        <v/>
      </c>
      <c r="N881" s="57">
        <f>IF($F881="","",IF(COUNTIF(Постоянные!$C$8:$C$37,$F881)&gt;0,"есть в Постоянных",IF(COUNTIF(Покупки!$C$7:$C$18,$F881)&gt;0,"есть в Покупках","")))</f>
        <v/>
      </c>
      <c r="P881">
        <f>IF($H881&lt;&gt;"",$H881,IF($I881="Оплачено",N($G881),0))</f>
        <v/>
      </c>
      <c r="Q881">
        <f>IF($I881="Отменено",0,IF($G881&lt;&gt;"",$G881,N($H881)))</f>
        <v/>
      </c>
      <c r="R881">
        <f>IF($C881="","",IFERROR(DATE(Настройки!$C$8,Настройки!$D$9+MATCH($M881,Настройки!$X$6:$X$17,0)-1,1),DATE(YEAR($C881),MONTH($C881),1)))</f>
        <v/>
      </c>
      <c r="S881">
        <f>IF(OR($I881="Оплачено",$H881&lt;&gt;""),$P881,$Q881)</f>
        <v/>
      </c>
      <c r="T881">
        <f>IF(OR($C881="",$D881="Доход",$I881="Оплачено",$I881="Отменено",$H881&lt;&gt;"",$C881&lt;TODAY()),"",$C881)</f>
        <v/>
      </c>
      <c r="U881">
        <f>IF(AND($D881&lt;&gt;"Доход",COUNTIFS(Счета!$B$10:$B$21,$J881,Счета!$C$10:$C$21,"Кредитная")&gt;0),1,0)</f>
        <v/>
      </c>
    </row>
    <row r="882" ht="19" customHeight="1">
      <c r="B882" s="53">
        <f>IF(AND($C882="",$F882=""),"",ROW()-9)</f>
        <v/>
      </c>
      <c r="C882" s="213" t="n"/>
      <c r="D882" s="55" t="n"/>
      <c r="E882" s="55" t="n"/>
      <c r="F882" s="56" t="n"/>
      <c r="G882" s="196" t="n"/>
      <c r="H882" s="196" t="n"/>
      <c r="I882" s="55" t="n"/>
      <c r="J882" s="55" t="n"/>
      <c r="K882" s="55" t="n"/>
      <c r="L882" s="100">
        <f>IF(OR($C882="",$I882="Оплачено",$I882="Отменено",$H882&lt;&gt;""),"",$C882-TODAY())</f>
        <v/>
      </c>
      <c r="M882" s="101">
        <f>IF($C882="","",INDEX(Настройки!$V$6:$V$17,MONTH($C882))&amp;" "&amp;YEAR($C882))</f>
        <v/>
      </c>
      <c r="N882" s="57">
        <f>IF($F882="","",IF(COUNTIF(Постоянные!$C$8:$C$37,$F882)&gt;0,"есть в Постоянных",IF(COUNTIF(Покупки!$C$7:$C$18,$F882)&gt;0,"есть в Покупках","")))</f>
        <v/>
      </c>
      <c r="P882">
        <f>IF($H882&lt;&gt;"",$H882,IF($I882="Оплачено",N($G882),0))</f>
        <v/>
      </c>
      <c r="Q882">
        <f>IF($I882="Отменено",0,IF($G882&lt;&gt;"",$G882,N($H882)))</f>
        <v/>
      </c>
      <c r="R882">
        <f>IF($C882="","",IFERROR(DATE(Настройки!$C$8,Настройки!$D$9+MATCH($M882,Настройки!$X$6:$X$17,0)-1,1),DATE(YEAR($C882),MONTH($C882),1)))</f>
        <v/>
      </c>
      <c r="S882">
        <f>IF(OR($I882="Оплачено",$H882&lt;&gt;""),$P882,$Q882)</f>
        <v/>
      </c>
      <c r="T882">
        <f>IF(OR($C882="",$D882="Доход",$I882="Оплачено",$I882="Отменено",$H882&lt;&gt;"",$C882&lt;TODAY()),"",$C882)</f>
        <v/>
      </c>
      <c r="U882">
        <f>IF(AND($D882&lt;&gt;"Доход",COUNTIFS(Счета!$B$10:$B$21,$J882,Счета!$C$10:$C$21,"Кредитная")&gt;0),1,0)</f>
        <v/>
      </c>
    </row>
    <row r="883" ht="19" customHeight="1">
      <c r="B883" s="53">
        <f>IF(AND($C883="",$F883=""),"",ROW()-9)</f>
        <v/>
      </c>
      <c r="C883" s="213" t="n"/>
      <c r="D883" s="55" t="n"/>
      <c r="E883" s="55" t="n"/>
      <c r="F883" s="56" t="n"/>
      <c r="G883" s="196" t="n"/>
      <c r="H883" s="196" t="n"/>
      <c r="I883" s="55" t="n"/>
      <c r="J883" s="55" t="n"/>
      <c r="K883" s="55" t="n"/>
      <c r="L883" s="100">
        <f>IF(OR($C883="",$I883="Оплачено",$I883="Отменено",$H883&lt;&gt;""),"",$C883-TODAY())</f>
        <v/>
      </c>
      <c r="M883" s="101">
        <f>IF($C883="","",INDEX(Настройки!$V$6:$V$17,MONTH($C883))&amp;" "&amp;YEAR($C883))</f>
        <v/>
      </c>
      <c r="N883" s="57">
        <f>IF($F883="","",IF(COUNTIF(Постоянные!$C$8:$C$37,$F883)&gt;0,"есть в Постоянных",IF(COUNTIF(Покупки!$C$7:$C$18,$F883)&gt;0,"есть в Покупках","")))</f>
        <v/>
      </c>
      <c r="P883">
        <f>IF($H883&lt;&gt;"",$H883,IF($I883="Оплачено",N($G883),0))</f>
        <v/>
      </c>
      <c r="Q883">
        <f>IF($I883="Отменено",0,IF($G883&lt;&gt;"",$G883,N($H883)))</f>
        <v/>
      </c>
      <c r="R883">
        <f>IF($C883="","",IFERROR(DATE(Настройки!$C$8,Настройки!$D$9+MATCH($M883,Настройки!$X$6:$X$17,0)-1,1),DATE(YEAR($C883),MONTH($C883),1)))</f>
        <v/>
      </c>
      <c r="S883">
        <f>IF(OR($I883="Оплачено",$H883&lt;&gt;""),$P883,$Q883)</f>
        <v/>
      </c>
      <c r="T883">
        <f>IF(OR($C883="",$D883="Доход",$I883="Оплачено",$I883="Отменено",$H883&lt;&gt;"",$C883&lt;TODAY()),"",$C883)</f>
        <v/>
      </c>
      <c r="U883">
        <f>IF(AND($D883&lt;&gt;"Доход",COUNTIFS(Счета!$B$10:$B$21,$J883,Счета!$C$10:$C$21,"Кредитная")&gt;0),1,0)</f>
        <v/>
      </c>
    </row>
    <row r="884" ht="19" customHeight="1">
      <c r="B884" s="53">
        <f>IF(AND($C884="",$F884=""),"",ROW()-9)</f>
        <v/>
      </c>
      <c r="C884" s="213" t="n"/>
      <c r="D884" s="55" t="n"/>
      <c r="E884" s="55" t="n"/>
      <c r="F884" s="56" t="n"/>
      <c r="G884" s="196" t="n"/>
      <c r="H884" s="196" t="n"/>
      <c r="I884" s="55" t="n"/>
      <c r="J884" s="55" t="n"/>
      <c r="K884" s="55" t="n"/>
      <c r="L884" s="100">
        <f>IF(OR($C884="",$I884="Оплачено",$I884="Отменено",$H884&lt;&gt;""),"",$C884-TODAY())</f>
        <v/>
      </c>
      <c r="M884" s="101">
        <f>IF($C884="","",INDEX(Настройки!$V$6:$V$17,MONTH($C884))&amp;" "&amp;YEAR($C884))</f>
        <v/>
      </c>
      <c r="N884" s="57">
        <f>IF($F884="","",IF(COUNTIF(Постоянные!$C$8:$C$37,$F884)&gt;0,"есть в Постоянных",IF(COUNTIF(Покупки!$C$7:$C$18,$F884)&gt;0,"есть в Покупках","")))</f>
        <v/>
      </c>
      <c r="P884">
        <f>IF($H884&lt;&gt;"",$H884,IF($I884="Оплачено",N($G884),0))</f>
        <v/>
      </c>
      <c r="Q884">
        <f>IF($I884="Отменено",0,IF($G884&lt;&gt;"",$G884,N($H884)))</f>
        <v/>
      </c>
      <c r="R884">
        <f>IF($C884="","",IFERROR(DATE(Настройки!$C$8,Настройки!$D$9+MATCH($M884,Настройки!$X$6:$X$17,0)-1,1),DATE(YEAR($C884),MONTH($C884),1)))</f>
        <v/>
      </c>
      <c r="S884">
        <f>IF(OR($I884="Оплачено",$H884&lt;&gt;""),$P884,$Q884)</f>
        <v/>
      </c>
      <c r="T884">
        <f>IF(OR($C884="",$D884="Доход",$I884="Оплачено",$I884="Отменено",$H884&lt;&gt;"",$C884&lt;TODAY()),"",$C884)</f>
        <v/>
      </c>
      <c r="U884">
        <f>IF(AND($D884&lt;&gt;"Доход",COUNTIFS(Счета!$B$10:$B$21,$J884,Счета!$C$10:$C$21,"Кредитная")&gt;0),1,0)</f>
        <v/>
      </c>
    </row>
    <row r="885" ht="19" customHeight="1">
      <c r="B885" s="53">
        <f>IF(AND($C885="",$F885=""),"",ROW()-9)</f>
        <v/>
      </c>
      <c r="C885" s="213" t="n"/>
      <c r="D885" s="55" t="n"/>
      <c r="E885" s="55" t="n"/>
      <c r="F885" s="56" t="n"/>
      <c r="G885" s="196" t="n"/>
      <c r="H885" s="196" t="n"/>
      <c r="I885" s="55" t="n"/>
      <c r="J885" s="55" t="n"/>
      <c r="K885" s="55" t="n"/>
      <c r="L885" s="100">
        <f>IF(OR($C885="",$I885="Оплачено",$I885="Отменено",$H885&lt;&gt;""),"",$C885-TODAY())</f>
        <v/>
      </c>
      <c r="M885" s="101">
        <f>IF($C885="","",INDEX(Настройки!$V$6:$V$17,MONTH($C885))&amp;" "&amp;YEAR($C885))</f>
        <v/>
      </c>
      <c r="N885" s="57">
        <f>IF($F885="","",IF(COUNTIF(Постоянные!$C$8:$C$37,$F885)&gt;0,"есть в Постоянных",IF(COUNTIF(Покупки!$C$7:$C$18,$F885)&gt;0,"есть в Покупках","")))</f>
        <v/>
      </c>
      <c r="P885">
        <f>IF($H885&lt;&gt;"",$H885,IF($I885="Оплачено",N($G885),0))</f>
        <v/>
      </c>
      <c r="Q885">
        <f>IF($I885="Отменено",0,IF($G885&lt;&gt;"",$G885,N($H885)))</f>
        <v/>
      </c>
      <c r="R885">
        <f>IF($C885="","",IFERROR(DATE(Настройки!$C$8,Настройки!$D$9+MATCH($M885,Настройки!$X$6:$X$17,0)-1,1),DATE(YEAR($C885),MONTH($C885),1)))</f>
        <v/>
      </c>
      <c r="S885">
        <f>IF(OR($I885="Оплачено",$H885&lt;&gt;""),$P885,$Q885)</f>
        <v/>
      </c>
      <c r="T885">
        <f>IF(OR($C885="",$D885="Доход",$I885="Оплачено",$I885="Отменено",$H885&lt;&gt;"",$C885&lt;TODAY()),"",$C885)</f>
        <v/>
      </c>
      <c r="U885">
        <f>IF(AND($D885&lt;&gt;"Доход",COUNTIFS(Счета!$B$10:$B$21,$J885,Счета!$C$10:$C$21,"Кредитная")&gt;0),1,0)</f>
        <v/>
      </c>
    </row>
    <row r="886" ht="19" customHeight="1">
      <c r="B886" s="53">
        <f>IF(AND($C886="",$F886=""),"",ROW()-9)</f>
        <v/>
      </c>
      <c r="C886" s="213" t="n"/>
      <c r="D886" s="55" t="n"/>
      <c r="E886" s="55" t="n"/>
      <c r="F886" s="56" t="n"/>
      <c r="G886" s="196" t="n"/>
      <c r="H886" s="196" t="n"/>
      <c r="I886" s="55" t="n"/>
      <c r="J886" s="55" t="n"/>
      <c r="K886" s="55" t="n"/>
      <c r="L886" s="100">
        <f>IF(OR($C886="",$I886="Оплачено",$I886="Отменено",$H886&lt;&gt;""),"",$C886-TODAY())</f>
        <v/>
      </c>
      <c r="M886" s="101">
        <f>IF($C886="","",INDEX(Настройки!$V$6:$V$17,MONTH($C886))&amp;" "&amp;YEAR($C886))</f>
        <v/>
      </c>
      <c r="N886" s="57">
        <f>IF($F886="","",IF(COUNTIF(Постоянные!$C$8:$C$37,$F886)&gt;0,"есть в Постоянных",IF(COUNTIF(Покупки!$C$7:$C$18,$F886)&gt;0,"есть в Покупках","")))</f>
        <v/>
      </c>
      <c r="P886">
        <f>IF($H886&lt;&gt;"",$H886,IF($I886="Оплачено",N($G886),0))</f>
        <v/>
      </c>
      <c r="Q886">
        <f>IF($I886="Отменено",0,IF($G886&lt;&gt;"",$G886,N($H886)))</f>
        <v/>
      </c>
      <c r="R886">
        <f>IF($C886="","",IFERROR(DATE(Настройки!$C$8,Настройки!$D$9+MATCH($M886,Настройки!$X$6:$X$17,0)-1,1),DATE(YEAR($C886),MONTH($C886),1)))</f>
        <v/>
      </c>
      <c r="S886">
        <f>IF(OR($I886="Оплачено",$H886&lt;&gt;""),$P886,$Q886)</f>
        <v/>
      </c>
      <c r="T886">
        <f>IF(OR($C886="",$D886="Доход",$I886="Оплачено",$I886="Отменено",$H886&lt;&gt;"",$C886&lt;TODAY()),"",$C886)</f>
        <v/>
      </c>
      <c r="U886">
        <f>IF(AND($D886&lt;&gt;"Доход",COUNTIFS(Счета!$B$10:$B$21,$J886,Счета!$C$10:$C$21,"Кредитная")&gt;0),1,0)</f>
        <v/>
      </c>
    </row>
    <row r="887" ht="19" customHeight="1">
      <c r="B887" s="53">
        <f>IF(AND($C887="",$F887=""),"",ROW()-9)</f>
        <v/>
      </c>
      <c r="C887" s="213" t="n"/>
      <c r="D887" s="55" t="n"/>
      <c r="E887" s="55" t="n"/>
      <c r="F887" s="56" t="n"/>
      <c r="G887" s="196" t="n"/>
      <c r="H887" s="196" t="n"/>
      <c r="I887" s="55" t="n"/>
      <c r="J887" s="55" t="n"/>
      <c r="K887" s="55" t="n"/>
      <c r="L887" s="100">
        <f>IF(OR($C887="",$I887="Оплачено",$I887="Отменено",$H887&lt;&gt;""),"",$C887-TODAY())</f>
        <v/>
      </c>
      <c r="M887" s="101">
        <f>IF($C887="","",INDEX(Настройки!$V$6:$V$17,MONTH($C887))&amp;" "&amp;YEAR($C887))</f>
        <v/>
      </c>
      <c r="N887" s="57">
        <f>IF($F887="","",IF(COUNTIF(Постоянные!$C$8:$C$37,$F887)&gt;0,"есть в Постоянных",IF(COUNTIF(Покупки!$C$7:$C$18,$F887)&gt;0,"есть в Покупках","")))</f>
        <v/>
      </c>
      <c r="P887">
        <f>IF($H887&lt;&gt;"",$H887,IF($I887="Оплачено",N($G887),0))</f>
        <v/>
      </c>
      <c r="Q887">
        <f>IF($I887="Отменено",0,IF($G887&lt;&gt;"",$G887,N($H887)))</f>
        <v/>
      </c>
      <c r="R887">
        <f>IF($C887="","",IFERROR(DATE(Настройки!$C$8,Настройки!$D$9+MATCH($M887,Настройки!$X$6:$X$17,0)-1,1),DATE(YEAR($C887),MONTH($C887),1)))</f>
        <v/>
      </c>
      <c r="S887">
        <f>IF(OR($I887="Оплачено",$H887&lt;&gt;""),$P887,$Q887)</f>
        <v/>
      </c>
      <c r="T887">
        <f>IF(OR($C887="",$D887="Доход",$I887="Оплачено",$I887="Отменено",$H887&lt;&gt;"",$C887&lt;TODAY()),"",$C887)</f>
        <v/>
      </c>
      <c r="U887">
        <f>IF(AND($D887&lt;&gt;"Доход",COUNTIFS(Счета!$B$10:$B$21,$J887,Счета!$C$10:$C$21,"Кредитная")&gt;0),1,0)</f>
        <v/>
      </c>
    </row>
    <row r="888" ht="19" customHeight="1">
      <c r="B888" s="53">
        <f>IF(AND($C888="",$F888=""),"",ROW()-9)</f>
        <v/>
      </c>
      <c r="C888" s="213" t="n"/>
      <c r="D888" s="55" t="n"/>
      <c r="E888" s="55" t="n"/>
      <c r="F888" s="56" t="n"/>
      <c r="G888" s="196" t="n"/>
      <c r="H888" s="196" t="n"/>
      <c r="I888" s="55" t="n"/>
      <c r="J888" s="55" t="n"/>
      <c r="K888" s="55" t="n"/>
      <c r="L888" s="100">
        <f>IF(OR($C888="",$I888="Оплачено",$I888="Отменено",$H888&lt;&gt;""),"",$C888-TODAY())</f>
        <v/>
      </c>
      <c r="M888" s="101">
        <f>IF($C888="","",INDEX(Настройки!$V$6:$V$17,MONTH($C888))&amp;" "&amp;YEAR($C888))</f>
        <v/>
      </c>
      <c r="N888" s="57">
        <f>IF($F888="","",IF(COUNTIF(Постоянные!$C$8:$C$37,$F888)&gt;0,"есть в Постоянных",IF(COUNTIF(Покупки!$C$7:$C$18,$F888)&gt;0,"есть в Покупках","")))</f>
        <v/>
      </c>
      <c r="P888">
        <f>IF($H888&lt;&gt;"",$H888,IF($I888="Оплачено",N($G888),0))</f>
        <v/>
      </c>
      <c r="Q888">
        <f>IF($I888="Отменено",0,IF($G888&lt;&gt;"",$G888,N($H888)))</f>
        <v/>
      </c>
      <c r="R888">
        <f>IF($C888="","",IFERROR(DATE(Настройки!$C$8,Настройки!$D$9+MATCH($M888,Настройки!$X$6:$X$17,0)-1,1),DATE(YEAR($C888),MONTH($C888),1)))</f>
        <v/>
      </c>
      <c r="S888">
        <f>IF(OR($I888="Оплачено",$H888&lt;&gt;""),$P888,$Q888)</f>
        <v/>
      </c>
      <c r="T888">
        <f>IF(OR($C888="",$D888="Доход",$I888="Оплачено",$I888="Отменено",$H888&lt;&gt;"",$C888&lt;TODAY()),"",$C888)</f>
        <v/>
      </c>
      <c r="U888">
        <f>IF(AND($D888&lt;&gt;"Доход",COUNTIFS(Счета!$B$10:$B$21,$J888,Счета!$C$10:$C$21,"Кредитная")&gt;0),1,0)</f>
        <v/>
      </c>
    </row>
    <row r="889" ht="19" customHeight="1">
      <c r="B889" s="53">
        <f>IF(AND($C889="",$F889=""),"",ROW()-9)</f>
        <v/>
      </c>
      <c r="C889" s="213" t="n"/>
      <c r="D889" s="55" t="n"/>
      <c r="E889" s="55" t="n"/>
      <c r="F889" s="56" t="n"/>
      <c r="G889" s="196" t="n"/>
      <c r="H889" s="196" t="n"/>
      <c r="I889" s="55" t="n"/>
      <c r="J889" s="55" t="n"/>
      <c r="K889" s="55" t="n"/>
      <c r="L889" s="100">
        <f>IF(OR($C889="",$I889="Оплачено",$I889="Отменено",$H889&lt;&gt;""),"",$C889-TODAY())</f>
        <v/>
      </c>
      <c r="M889" s="101">
        <f>IF($C889="","",INDEX(Настройки!$V$6:$V$17,MONTH($C889))&amp;" "&amp;YEAR($C889))</f>
        <v/>
      </c>
      <c r="N889" s="57">
        <f>IF($F889="","",IF(COUNTIF(Постоянные!$C$8:$C$37,$F889)&gt;0,"есть в Постоянных",IF(COUNTIF(Покупки!$C$7:$C$18,$F889)&gt;0,"есть в Покупках","")))</f>
        <v/>
      </c>
      <c r="P889">
        <f>IF($H889&lt;&gt;"",$H889,IF($I889="Оплачено",N($G889),0))</f>
        <v/>
      </c>
      <c r="Q889">
        <f>IF($I889="Отменено",0,IF($G889&lt;&gt;"",$G889,N($H889)))</f>
        <v/>
      </c>
      <c r="R889">
        <f>IF($C889="","",IFERROR(DATE(Настройки!$C$8,Настройки!$D$9+MATCH($M889,Настройки!$X$6:$X$17,0)-1,1),DATE(YEAR($C889),MONTH($C889),1)))</f>
        <v/>
      </c>
      <c r="S889">
        <f>IF(OR($I889="Оплачено",$H889&lt;&gt;""),$P889,$Q889)</f>
        <v/>
      </c>
      <c r="T889">
        <f>IF(OR($C889="",$D889="Доход",$I889="Оплачено",$I889="Отменено",$H889&lt;&gt;"",$C889&lt;TODAY()),"",$C889)</f>
        <v/>
      </c>
      <c r="U889">
        <f>IF(AND($D889&lt;&gt;"Доход",COUNTIFS(Счета!$B$10:$B$21,$J889,Счета!$C$10:$C$21,"Кредитная")&gt;0),1,0)</f>
        <v/>
      </c>
    </row>
    <row r="890" ht="19" customHeight="1">
      <c r="B890" s="53">
        <f>IF(AND($C890="",$F890=""),"",ROW()-9)</f>
        <v/>
      </c>
      <c r="C890" s="213" t="n"/>
      <c r="D890" s="55" t="n"/>
      <c r="E890" s="55" t="n"/>
      <c r="F890" s="56" t="n"/>
      <c r="G890" s="196" t="n"/>
      <c r="H890" s="196" t="n"/>
      <c r="I890" s="55" t="n"/>
      <c r="J890" s="55" t="n"/>
      <c r="K890" s="55" t="n"/>
      <c r="L890" s="100">
        <f>IF(OR($C890="",$I890="Оплачено",$I890="Отменено",$H890&lt;&gt;""),"",$C890-TODAY())</f>
        <v/>
      </c>
      <c r="M890" s="101">
        <f>IF($C890="","",INDEX(Настройки!$V$6:$V$17,MONTH($C890))&amp;" "&amp;YEAR($C890))</f>
        <v/>
      </c>
      <c r="N890" s="57">
        <f>IF($F890="","",IF(COUNTIF(Постоянные!$C$8:$C$37,$F890)&gt;0,"есть в Постоянных",IF(COUNTIF(Покупки!$C$7:$C$18,$F890)&gt;0,"есть в Покупках","")))</f>
        <v/>
      </c>
      <c r="P890">
        <f>IF($H890&lt;&gt;"",$H890,IF($I890="Оплачено",N($G890),0))</f>
        <v/>
      </c>
      <c r="Q890">
        <f>IF($I890="Отменено",0,IF($G890&lt;&gt;"",$G890,N($H890)))</f>
        <v/>
      </c>
      <c r="R890">
        <f>IF($C890="","",IFERROR(DATE(Настройки!$C$8,Настройки!$D$9+MATCH($M890,Настройки!$X$6:$X$17,0)-1,1),DATE(YEAR($C890),MONTH($C890),1)))</f>
        <v/>
      </c>
      <c r="S890">
        <f>IF(OR($I890="Оплачено",$H890&lt;&gt;""),$P890,$Q890)</f>
        <v/>
      </c>
      <c r="T890">
        <f>IF(OR($C890="",$D890="Доход",$I890="Оплачено",$I890="Отменено",$H890&lt;&gt;"",$C890&lt;TODAY()),"",$C890)</f>
        <v/>
      </c>
      <c r="U890">
        <f>IF(AND($D890&lt;&gt;"Доход",COUNTIFS(Счета!$B$10:$B$21,$J890,Счета!$C$10:$C$21,"Кредитная")&gt;0),1,0)</f>
        <v/>
      </c>
    </row>
    <row r="891" ht="19" customHeight="1">
      <c r="B891" s="53">
        <f>IF(AND($C891="",$F891=""),"",ROW()-9)</f>
        <v/>
      </c>
      <c r="C891" s="213" t="n"/>
      <c r="D891" s="55" t="n"/>
      <c r="E891" s="55" t="n"/>
      <c r="F891" s="56" t="n"/>
      <c r="G891" s="196" t="n"/>
      <c r="H891" s="196" t="n"/>
      <c r="I891" s="55" t="n"/>
      <c r="J891" s="55" t="n"/>
      <c r="K891" s="55" t="n"/>
      <c r="L891" s="100">
        <f>IF(OR($C891="",$I891="Оплачено",$I891="Отменено",$H891&lt;&gt;""),"",$C891-TODAY())</f>
        <v/>
      </c>
      <c r="M891" s="101">
        <f>IF($C891="","",INDEX(Настройки!$V$6:$V$17,MONTH($C891))&amp;" "&amp;YEAR($C891))</f>
        <v/>
      </c>
      <c r="N891" s="57">
        <f>IF($F891="","",IF(COUNTIF(Постоянные!$C$8:$C$37,$F891)&gt;0,"есть в Постоянных",IF(COUNTIF(Покупки!$C$7:$C$18,$F891)&gt;0,"есть в Покупках","")))</f>
        <v/>
      </c>
      <c r="P891">
        <f>IF($H891&lt;&gt;"",$H891,IF($I891="Оплачено",N($G891),0))</f>
        <v/>
      </c>
      <c r="Q891">
        <f>IF($I891="Отменено",0,IF($G891&lt;&gt;"",$G891,N($H891)))</f>
        <v/>
      </c>
      <c r="R891">
        <f>IF($C891="","",IFERROR(DATE(Настройки!$C$8,Настройки!$D$9+MATCH($M891,Настройки!$X$6:$X$17,0)-1,1),DATE(YEAR($C891),MONTH($C891),1)))</f>
        <v/>
      </c>
      <c r="S891">
        <f>IF(OR($I891="Оплачено",$H891&lt;&gt;""),$P891,$Q891)</f>
        <v/>
      </c>
      <c r="T891">
        <f>IF(OR($C891="",$D891="Доход",$I891="Оплачено",$I891="Отменено",$H891&lt;&gt;"",$C891&lt;TODAY()),"",$C891)</f>
        <v/>
      </c>
      <c r="U891">
        <f>IF(AND($D891&lt;&gt;"Доход",COUNTIFS(Счета!$B$10:$B$21,$J891,Счета!$C$10:$C$21,"Кредитная")&gt;0),1,0)</f>
        <v/>
      </c>
    </row>
    <row r="892" ht="19" customHeight="1">
      <c r="B892" s="53">
        <f>IF(AND($C892="",$F892=""),"",ROW()-9)</f>
        <v/>
      </c>
      <c r="C892" s="213" t="n"/>
      <c r="D892" s="55" t="n"/>
      <c r="E892" s="55" t="n"/>
      <c r="F892" s="56" t="n"/>
      <c r="G892" s="196" t="n"/>
      <c r="H892" s="196" t="n"/>
      <c r="I892" s="55" t="n"/>
      <c r="J892" s="55" t="n"/>
      <c r="K892" s="55" t="n"/>
      <c r="L892" s="100">
        <f>IF(OR($C892="",$I892="Оплачено",$I892="Отменено",$H892&lt;&gt;""),"",$C892-TODAY())</f>
        <v/>
      </c>
      <c r="M892" s="101">
        <f>IF($C892="","",INDEX(Настройки!$V$6:$V$17,MONTH($C892))&amp;" "&amp;YEAR($C892))</f>
        <v/>
      </c>
      <c r="N892" s="57">
        <f>IF($F892="","",IF(COUNTIF(Постоянные!$C$8:$C$37,$F892)&gt;0,"есть в Постоянных",IF(COUNTIF(Покупки!$C$7:$C$18,$F892)&gt;0,"есть в Покупках","")))</f>
        <v/>
      </c>
      <c r="P892">
        <f>IF($H892&lt;&gt;"",$H892,IF($I892="Оплачено",N($G892),0))</f>
        <v/>
      </c>
      <c r="Q892">
        <f>IF($I892="Отменено",0,IF($G892&lt;&gt;"",$G892,N($H892)))</f>
        <v/>
      </c>
      <c r="R892">
        <f>IF($C892="","",IFERROR(DATE(Настройки!$C$8,Настройки!$D$9+MATCH($M892,Настройки!$X$6:$X$17,0)-1,1),DATE(YEAR($C892),MONTH($C892),1)))</f>
        <v/>
      </c>
      <c r="S892">
        <f>IF(OR($I892="Оплачено",$H892&lt;&gt;""),$P892,$Q892)</f>
        <v/>
      </c>
      <c r="T892">
        <f>IF(OR($C892="",$D892="Доход",$I892="Оплачено",$I892="Отменено",$H892&lt;&gt;"",$C892&lt;TODAY()),"",$C892)</f>
        <v/>
      </c>
      <c r="U892">
        <f>IF(AND($D892&lt;&gt;"Доход",COUNTIFS(Счета!$B$10:$B$21,$J892,Счета!$C$10:$C$21,"Кредитная")&gt;0),1,0)</f>
        <v/>
      </c>
    </row>
    <row r="893" ht="19" customHeight="1">
      <c r="B893" s="53">
        <f>IF(AND($C893="",$F893=""),"",ROW()-9)</f>
        <v/>
      </c>
      <c r="C893" s="213" t="n"/>
      <c r="D893" s="55" t="n"/>
      <c r="E893" s="55" t="n"/>
      <c r="F893" s="56" t="n"/>
      <c r="G893" s="196" t="n"/>
      <c r="H893" s="196" t="n"/>
      <c r="I893" s="55" t="n"/>
      <c r="J893" s="55" t="n"/>
      <c r="K893" s="55" t="n"/>
      <c r="L893" s="100">
        <f>IF(OR($C893="",$I893="Оплачено",$I893="Отменено",$H893&lt;&gt;""),"",$C893-TODAY())</f>
        <v/>
      </c>
      <c r="M893" s="101">
        <f>IF($C893="","",INDEX(Настройки!$V$6:$V$17,MONTH($C893))&amp;" "&amp;YEAR($C893))</f>
        <v/>
      </c>
      <c r="N893" s="57">
        <f>IF($F893="","",IF(COUNTIF(Постоянные!$C$8:$C$37,$F893)&gt;0,"есть в Постоянных",IF(COUNTIF(Покупки!$C$7:$C$18,$F893)&gt;0,"есть в Покупках","")))</f>
        <v/>
      </c>
      <c r="P893">
        <f>IF($H893&lt;&gt;"",$H893,IF($I893="Оплачено",N($G893),0))</f>
        <v/>
      </c>
      <c r="Q893">
        <f>IF($I893="Отменено",0,IF($G893&lt;&gt;"",$G893,N($H893)))</f>
        <v/>
      </c>
      <c r="R893">
        <f>IF($C893="","",IFERROR(DATE(Настройки!$C$8,Настройки!$D$9+MATCH($M893,Настройки!$X$6:$X$17,0)-1,1),DATE(YEAR($C893),MONTH($C893),1)))</f>
        <v/>
      </c>
      <c r="S893">
        <f>IF(OR($I893="Оплачено",$H893&lt;&gt;""),$P893,$Q893)</f>
        <v/>
      </c>
      <c r="T893">
        <f>IF(OR($C893="",$D893="Доход",$I893="Оплачено",$I893="Отменено",$H893&lt;&gt;"",$C893&lt;TODAY()),"",$C893)</f>
        <v/>
      </c>
      <c r="U893">
        <f>IF(AND($D893&lt;&gt;"Доход",COUNTIFS(Счета!$B$10:$B$21,$J893,Счета!$C$10:$C$21,"Кредитная")&gt;0),1,0)</f>
        <v/>
      </c>
    </row>
    <row r="894" ht="19" customHeight="1">
      <c r="B894" s="53">
        <f>IF(AND($C894="",$F894=""),"",ROW()-9)</f>
        <v/>
      </c>
      <c r="C894" s="213" t="n"/>
      <c r="D894" s="55" t="n"/>
      <c r="E894" s="55" t="n"/>
      <c r="F894" s="56" t="n"/>
      <c r="G894" s="196" t="n"/>
      <c r="H894" s="196" t="n"/>
      <c r="I894" s="55" t="n"/>
      <c r="J894" s="55" t="n"/>
      <c r="K894" s="55" t="n"/>
      <c r="L894" s="100">
        <f>IF(OR($C894="",$I894="Оплачено",$I894="Отменено",$H894&lt;&gt;""),"",$C894-TODAY())</f>
        <v/>
      </c>
      <c r="M894" s="101">
        <f>IF($C894="","",INDEX(Настройки!$V$6:$V$17,MONTH($C894))&amp;" "&amp;YEAR($C894))</f>
        <v/>
      </c>
      <c r="N894" s="57">
        <f>IF($F894="","",IF(COUNTIF(Постоянные!$C$8:$C$37,$F894)&gt;0,"есть в Постоянных",IF(COUNTIF(Покупки!$C$7:$C$18,$F894)&gt;0,"есть в Покупках","")))</f>
        <v/>
      </c>
      <c r="P894">
        <f>IF($H894&lt;&gt;"",$H894,IF($I894="Оплачено",N($G894),0))</f>
        <v/>
      </c>
      <c r="Q894">
        <f>IF($I894="Отменено",0,IF($G894&lt;&gt;"",$G894,N($H894)))</f>
        <v/>
      </c>
      <c r="R894">
        <f>IF($C894="","",IFERROR(DATE(Настройки!$C$8,Настройки!$D$9+MATCH($M894,Настройки!$X$6:$X$17,0)-1,1),DATE(YEAR($C894),MONTH($C894),1)))</f>
        <v/>
      </c>
      <c r="S894">
        <f>IF(OR($I894="Оплачено",$H894&lt;&gt;""),$P894,$Q894)</f>
        <v/>
      </c>
      <c r="T894">
        <f>IF(OR($C894="",$D894="Доход",$I894="Оплачено",$I894="Отменено",$H894&lt;&gt;"",$C894&lt;TODAY()),"",$C894)</f>
        <v/>
      </c>
      <c r="U894">
        <f>IF(AND($D894&lt;&gt;"Доход",COUNTIFS(Счета!$B$10:$B$21,$J894,Счета!$C$10:$C$21,"Кредитная")&gt;0),1,0)</f>
        <v/>
      </c>
    </row>
    <row r="895" ht="19" customHeight="1">
      <c r="B895" s="53">
        <f>IF(AND($C895="",$F895=""),"",ROW()-9)</f>
        <v/>
      </c>
      <c r="C895" s="213" t="n"/>
      <c r="D895" s="55" t="n"/>
      <c r="E895" s="55" t="n"/>
      <c r="F895" s="56" t="n"/>
      <c r="G895" s="196" t="n"/>
      <c r="H895" s="196" t="n"/>
      <c r="I895" s="55" t="n"/>
      <c r="J895" s="55" t="n"/>
      <c r="K895" s="55" t="n"/>
      <c r="L895" s="100">
        <f>IF(OR($C895="",$I895="Оплачено",$I895="Отменено",$H895&lt;&gt;""),"",$C895-TODAY())</f>
        <v/>
      </c>
      <c r="M895" s="101">
        <f>IF($C895="","",INDEX(Настройки!$V$6:$V$17,MONTH($C895))&amp;" "&amp;YEAR($C895))</f>
        <v/>
      </c>
      <c r="N895" s="57">
        <f>IF($F895="","",IF(COUNTIF(Постоянные!$C$8:$C$37,$F895)&gt;0,"есть в Постоянных",IF(COUNTIF(Покупки!$C$7:$C$18,$F895)&gt;0,"есть в Покупках","")))</f>
        <v/>
      </c>
      <c r="P895">
        <f>IF($H895&lt;&gt;"",$H895,IF($I895="Оплачено",N($G895),0))</f>
        <v/>
      </c>
      <c r="Q895">
        <f>IF($I895="Отменено",0,IF($G895&lt;&gt;"",$G895,N($H895)))</f>
        <v/>
      </c>
      <c r="R895">
        <f>IF($C895="","",IFERROR(DATE(Настройки!$C$8,Настройки!$D$9+MATCH($M895,Настройки!$X$6:$X$17,0)-1,1),DATE(YEAR($C895),MONTH($C895),1)))</f>
        <v/>
      </c>
      <c r="S895">
        <f>IF(OR($I895="Оплачено",$H895&lt;&gt;""),$P895,$Q895)</f>
        <v/>
      </c>
      <c r="T895">
        <f>IF(OR($C895="",$D895="Доход",$I895="Оплачено",$I895="Отменено",$H895&lt;&gt;"",$C895&lt;TODAY()),"",$C895)</f>
        <v/>
      </c>
      <c r="U895">
        <f>IF(AND($D895&lt;&gt;"Доход",COUNTIFS(Счета!$B$10:$B$21,$J895,Счета!$C$10:$C$21,"Кредитная")&gt;0),1,0)</f>
        <v/>
      </c>
    </row>
    <row r="896" ht="19" customHeight="1">
      <c r="B896" s="53">
        <f>IF(AND($C896="",$F896=""),"",ROW()-9)</f>
        <v/>
      </c>
      <c r="C896" s="213" t="n"/>
      <c r="D896" s="55" t="n"/>
      <c r="E896" s="55" t="n"/>
      <c r="F896" s="56" t="n"/>
      <c r="G896" s="196" t="n"/>
      <c r="H896" s="196" t="n"/>
      <c r="I896" s="55" t="n"/>
      <c r="J896" s="55" t="n"/>
      <c r="K896" s="55" t="n"/>
      <c r="L896" s="100">
        <f>IF(OR($C896="",$I896="Оплачено",$I896="Отменено",$H896&lt;&gt;""),"",$C896-TODAY())</f>
        <v/>
      </c>
      <c r="M896" s="101">
        <f>IF($C896="","",INDEX(Настройки!$V$6:$V$17,MONTH($C896))&amp;" "&amp;YEAR($C896))</f>
        <v/>
      </c>
      <c r="N896" s="57">
        <f>IF($F896="","",IF(COUNTIF(Постоянные!$C$8:$C$37,$F896)&gt;0,"есть в Постоянных",IF(COUNTIF(Покупки!$C$7:$C$18,$F896)&gt;0,"есть в Покупках","")))</f>
        <v/>
      </c>
      <c r="P896">
        <f>IF($H896&lt;&gt;"",$H896,IF($I896="Оплачено",N($G896),0))</f>
        <v/>
      </c>
      <c r="Q896">
        <f>IF($I896="Отменено",0,IF($G896&lt;&gt;"",$G896,N($H896)))</f>
        <v/>
      </c>
      <c r="R896">
        <f>IF($C896="","",IFERROR(DATE(Настройки!$C$8,Настройки!$D$9+MATCH($M896,Настройки!$X$6:$X$17,0)-1,1),DATE(YEAR($C896),MONTH($C896),1)))</f>
        <v/>
      </c>
      <c r="S896">
        <f>IF(OR($I896="Оплачено",$H896&lt;&gt;""),$P896,$Q896)</f>
        <v/>
      </c>
      <c r="T896">
        <f>IF(OR($C896="",$D896="Доход",$I896="Оплачено",$I896="Отменено",$H896&lt;&gt;"",$C896&lt;TODAY()),"",$C896)</f>
        <v/>
      </c>
      <c r="U896">
        <f>IF(AND($D896&lt;&gt;"Доход",COUNTIFS(Счета!$B$10:$B$21,$J896,Счета!$C$10:$C$21,"Кредитная")&gt;0),1,0)</f>
        <v/>
      </c>
    </row>
    <row r="897" ht="19" customHeight="1">
      <c r="B897" s="53">
        <f>IF(AND($C897="",$F897=""),"",ROW()-9)</f>
        <v/>
      </c>
      <c r="C897" s="213" t="n"/>
      <c r="D897" s="55" t="n"/>
      <c r="E897" s="55" t="n"/>
      <c r="F897" s="56" t="n"/>
      <c r="G897" s="196" t="n"/>
      <c r="H897" s="196" t="n"/>
      <c r="I897" s="55" t="n"/>
      <c r="J897" s="55" t="n"/>
      <c r="K897" s="55" t="n"/>
      <c r="L897" s="100">
        <f>IF(OR($C897="",$I897="Оплачено",$I897="Отменено",$H897&lt;&gt;""),"",$C897-TODAY())</f>
        <v/>
      </c>
      <c r="M897" s="101">
        <f>IF($C897="","",INDEX(Настройки!$V$6:$V$17,MONTH($C897))&amp;" "&amp;YEAR($C897))</f>
        <v/>
      </c>
      <c r="N897" s="57">
        <f>IF($F897="","",IF(COUNTIF(Постоянные!$C$8:$C$37,$F897)&gt;0,"есть в Постоянных",IF(COUNTIF(Покупки!$C$7:$C$18,$F897)&gt;0,"есть в Покупках","")))</f>
        <v/>
      </c>
      <c r="P897">
        <f>IF($H897&lt;&gt;"",$H897,IF($I897="Оплачено",N($G897),0))</f>
        <v/>
      </c>
      <c r="Q897">
        <f>IF($I897="Отменено",0,IF($G897&lt;&gt;"",$G897,N($H897)))</f>
        <v/>
      </c>
      <c r="R897">
        <f>IF($C897="","",IFERROR(DATE(Настройки!$C$8,Настройки!$D$9+MATCH($M897,Настройки!$X$6:$X$17,0)-1,1),DATE(YEAR($C897),MONTH($C897),1)))</f>
        <v/>
      </c>
      <c r="S897">
        <f>IF(OR($I897="Оплачено",$H897&lt;&gt;""),$P897,$Q897)</f>
        <v/>
      </c>
      <c r="T897">
        <f>IF(OR($C897="",$D897="Доход",$I897="Оплачено",$I897="Отменено",$H897&lt;&gt;"",$C897&lt;TODAY()),"",$C897)</f>
        <v/>
      </c>
      <c r="U897">
        <f>IF(AND($D897&lt;&gt;"Доход",COUNTIFS(Счета!$B$10:$B$21,$J897,Счета!$C$10:$C$21,"Кредитная")&gt;0),1,0)</f>
        <v/>
      </c>
    </row>
    <row r="898" ht="19" customHeight="1">
      <c r="B898" s="53">
        <f>IF(AND($C898="",$F898=""),"",ROW()-9)</f>
        <v/>
      </c>
      <c r="C898" s="213" t="n"/>
      <c r="D898" s="55" t="n"/>
      <c r="E898" s="55" t="n"/>
      <c r="F898" s="56" t="n"/>
      <c r="G898" s="196" t="n"/>
      <c r="H898" s="196" t="n"/>
      <c r="I898" s="55" t="n"/>
      <c r="J898" s="55" t="n"/>
      <c r="K898" s="55" t="n"/>
      <c r="L898" s="100">
        <f>IF(OR($C898="",$I898="Оплачено",$I898="Отменено",$H898&lt;&gt;""),"",$C898-TODAY())</f>
        <v/>
      </c>
      <c r="M898" s="101">
        <f>IF($C898="","",INDEX(Настройки!$V$6:$V$17,MONTH($C898))&amp;" "&amp;YEAR($C898))</f>
        <v/>
      </c>
      <c r="N898" s="57">
        <f>IF($F898="","",IF(COUNTIF(Постоянные!$C$8:$C$37,$F898)&gt;0,"есть в Постоянных",IF(COUNTIF(Покупки!$C$7:$C$18,$F898)&gt;0,"есть в Покупках","")))</f>
        <v/>
      </c>
      <c r="P898">
        <f>IF($H898&lt;&gt;"",$H898,IF($I898="Оплачено",N($G898),0))</f>
        <v/>
      </c>
      <c r="Q898">
        <f>IF($I898="Отменено",0,IF($G898&lt;&gt;"",$G898,N($H898)))</f>
        <v/>
      </c>
      <c r="R898">
        <f>IF($C898="","",IFERROR(DATE(Настройки!$C$8,Настройки!$D$9+MATCH($M898,Настройки!$X$6:$X$17,0)-1,1),DATE(YEAR($C898),MONTH($C898),1)))</f>
        <v/>
      </c>
      <c r="S898">
        <f>IF(OR($I898="Оплачено",$H898&lt;&gt;""),$P898,$Q898)</f>
        <v/>
      </c>
      <c r="T898">
        <f>IF(OR($C898="",$D898="Доход",$I898="Оплачено",$I898="Отменено",$H898&lt;&gt;"",$C898&lt;TODAY()),"",$C898)</f>
        <v/>
      </c>
      <c r="U898">
        <f>IF(AND($D898&lt;&gt;"Доход",COUNTIFS(Счета!$B$10:$B$21,$J898,Счета!$C$10:$C$21,"Кредитная")&gt;0),1,0)</f>
        <v/>
      </c>
    </row>
    <row r="899" ht="19" customHeight="1">
      <c r="B899" s="53">
        <f>IF(AND($C899="",$F899=""),"",ROW()-9)</f>
        <v/>
      </c>
      <c r="C899" s="213" t="n"/>
      <c r="D899" s="55" t="n"/>
      <c r="E899" s="55" t="n"/>
      <c r="F899" s="56" t="n"/>
      <c r="G899" s="196" t="n"/>
      <c r="H899" s="196" t="n"/>
      <c r="I899" s="55" t="n"/>
      <c r="J899" s="55" t="n"/>
      <c r="K899" s="55" t="n"/>
      <c r="L899" s="100">
        <f>IF(OR($C899="",$I899="Оплачено",$I899="Отменено",$H899&lt;&gt;""),"",$C899-TODAY())</f>
        <v/>
      </c>
      <c r="M899" s="101">
        <f>IF($C899="","",INDEX(Настройки!$V$6:$V$17,MONTH($C899))&amp;" "&amp;YEAR($C899))</f>
        <v/>
      </c>
      <c r="N899" s="57">
        <f>IF($F899="","",IF(COUNTIF(Постоянные!$C$8:$C$37,$F899)&gt;0,"есть в Постоянных",IF(COUNTIF(Покупки!$C$7:$C$18,$F899)&gt;0,"есть в Покупках","")))</f>
        <v/>
      </c>
      <c r="P899">
        <f>IF($H899&lt;&gt;"",$H899,IF($I899="Оплачено",N($G899),0))</f>
        <v/>
      </c>
      <c r="Q899">
        <f>IF($I899="Отменено",0,IF($G899&lt;&gt;"",$G899,N($H899)))</f>
        <v/>
      </c>
      <c r="R899">
        <f>IF($C899="","",IFERROR(DATE(Настройки!$C$8,Настройки!$D$9+MATCH($M899,Настройки!$X$6:$X$17,0)-1,1),DATE(YEAR($C899),MONTH($C899),1)))</f>
        <v/>
      </c>
      <c r="S899">
        <f>IF(OR($I899="Оплачено",$H899&lt;&gt;""),$P899,$Q899)</f>
        <v/>
      </c>
      <c r="T899">
        <f>IF(OR($C899="",$D899="Доход",$I899="Оплачено",$I899="Отменено",$H899&lt;&gt;"",$C899&lt;TODAY()),"",$C899)</f>
        <v/>
      </c>
      <c r="U899">
        <f>IF(AND($D899&lt;&gt;"Доход",COUNTIFS(Счета!$B$10:$B$21,$J899,Счета!$C$10:$C$21,"Кредитная")&gt;0),1,0)</f>
        <v/>
      </c>
    </row>
    <row r="900" ht="19" customHeight="1">
      <c r="B900" s="53">
        <f>IF(AND($C900="",$F900=""),"",ROW()-9)</f>
        <v/>
      </c>
      <c r="C900" s="213" t="n"/>
      <c r="D900" s="55" t="n"/>
      <c r="E900" s="55" t="n"/>
      <c r="F900" s="56" t="n"/>
      <c r="G900" s="196" t="n"/>
      <c r="H900" s="196" t="n"/>
      <c r="I900" s="55" t="n"/>
      <c r="J900" s="55" t="n"/>
      <c r="K900" s="55" t="n"/>
      <c r="L900" s="100">
        <f>IF(OR($C900="",$I900="Оплачено",$I900="Отменено",$H900&lt;&gt;""),"",$C900-TODAY())</f>
        <v/>
      </c>
      <c r="M900" s="101">
        <f>IF($C900="","",INDEX(Настройки!$V$6:$V$17,MONTH($C900))&amp;" "&amp;YEAR($C900))</f>
        <v/>
      </c>
      <c r="N900" s="57">
        <f>IF($F900="","",IF(COUNTIF(Постоянные!$C$8:$C$37,$F900)&gt;0,"есть в Постоянных",IF(COUNTIF(Покупки!$C$7:$C$18,$F900)&gt;0,"есть в Покупках","")))</f>
        <v/>
      </c>
      <c r="P900">
        <f>IF($H900&lt;&gt;"",$H900,IF($I900="Оплачено",N($G900),0))</f>
        <v/>
      </c>
      <c r="Q900">
        <f>IF($I900="Отменено",0,IF($G900&lt;&gt;"",$G900,N($H900)))</f>
        <v/>
      </c>
      <c r="R900">
        <f>IF($C900="","",IFERROR(DATE(Настройки!$C$8,Настройки!$D$9+MATCH($M900,Настройки!$X$6:$X$17,0)-1,1),DATE(YEAR($C900),MONTH($C900),1)))</f>
        <v/>
      </c>
      <c r="S900">
        <f>IF(OR($I900="Оплачено",$H900&lt;&gt;""),$P900,$Q900)</f>
        <v/>
      </c>
      <c r="T900">
        <f>IF(OR($C900="",$D900="Доход",$I900="Оплачено",$I900="Отменено",$H900&lt;&gt;"",$C900&lt;TODAY()),"",$C900)</f>
        <v/>
      </c>
      <c r="U900">
        <f>IF(AND($D900&lt;&gt;"Доход",COUNTIFS(Счета!$B$10:$B$21,$J900,Счета!$C$10:$C$21,"Кредитная")&gt;0),1,0)</f>
        <v/>
      </c>
    </row>
    <row r="901" ht="19" customHeight="1">
      <c r="B901" s="53">
        <f>IF(AND($C901="",$F901=""),"",ROW()-9)</f>
        <v/>
      </c>
      <c r="C901" s="213" t="n"/>
      <c r="D901" s="55" t="n"/>
      <c r="E901" s="55" t="n"/>
      <c r="F901" s="56" t="n"/>
      <c r="G901" s="196" t="n"/>
      <c r="H901" s="196" t="n"/>
      <c r="I901" s="55" t="n"/>
      <c r="J901" s="55" t="n"/>
      <c r="K901" s="55" t="n"/>
      <c r="L901" s="100">
        <f>IF(OR($C901="",$I901="Оплачено",$I901="Отменено",$H901&lt;&gt;""),"",$C901-TODAY())</f>
        <v/>
      </c>
      <c r="M901" s="101">
        <f>IF($C901="","",INDEX(Настройки!$V$6:$V$17,MONTH($C901))&amp;" "&amp;YEAR($C901))</f>
        <v/>
      </c>
      <c r="N901" s="57">
        <f>IF($F901="","",IF(COUNTIF(Постоянные!$C$8:$C$37,$F901)&gt;0,"есть в Постоянных",IF(COUNTIF(Покупки!$C$7:$C$18,$F901)&gt;0,"есть в Покупках","")))</f>
        <v/>
      </c>
      <c r="P901">
        <f>IF($H901&lt;&gt;"",$H901,IF($I901="Оплачено",N($G901),0))</f>
        <v/>
      </c>
      <c r="Q901">
        <f>IF($I901="Отменено",0,IF($G901&lt;&gt;"",$G901,N($H901)))</f>
        <v/>
      </c>
      <c r="R901">
        <f>IF($C901="","",IFERROR(DATE(Настройки!$C$8,Настройки!$D$9+MATCH($M901,Настройки!$X$6:$X$17,0)-1,1),DATE(YEAR($C901),MONTH($C901),1)))</f>
        <v/>
      </c>
      <c r="S901">
        <f>IF(OR($I901="Оплачено",$H901&lt;&gt;""),$P901,$Q901)</f>
        <v/>
      </c>
      <c r="T901">
        <f>IF(OR($C901="",$D901="Доход",$I901="Оплачено",$I901="Отменено",$H901&lt;&gt;"",$C901&lt;TODAY()),"",$C901)</f>
        <v/>
      </c>
      <c r="U901">
        <f>IF(AND($D901&lt;&gt;"Доход",COUNTIFS(Счета!$B$10:$B$21,$J901,Счета!$C$10:$C$21,"Кредитная")&gt;0),1,0)</f>
        <v/>
      </c>
    </row>
    <row r="902" ht="19" customHeight="1">
      <c r="B902" s="53">
        <f>IF(AND($C902="",$F902=""),"",ROW()-9)</f>
        <v/>
      </c>
      <c r="C902" s="213" t="n"/>
      <c r="D902" s="55" t="n"/>
      <c r="E902" s="55" t="n"/>
      <c r="F902" s="56" t="n"/>
      <c r="G902" s="196" t="n"/>
      <c r="H902" s="196" t="n"/>
      <c r="I902" s="55" t="n"/>
      <c r="J902" s="55" t="n"/>
      <c r="K902" s="55" t="n"/>
      <c r="L902" s="100">
        <f>IF(OR($C902="",$I902="Оплачено",$I902="Отменено",$H902&lt;&gt;""),"",$C902-TODAY())</f>
        <v/>
      </c>
      <c r="M902" s="101">
        <f>IF($C902="","",INDEX(Настройки!$V$6:$V$17,MONTH($C902))&amp;" "&amp;YEAR($C902))</f>
        <v/>
      </c>
      <c r="N902" s="57">
        <f>IF($F902="","",IF(COUNTIF(Постоянные!$C$8:$C$37,$F902)&gt;0,"есть в Постоянных",IF(COUNTIF(Покупки!$C$7:$C$18,$F902)&gt;0,"есть в Покупках","")))</f>
        <v/>
      </c>
      <c r="P902">
        <f>IF($H902&lt;&gt;"",$H902,IF($I902="Оплачено",N($G902),0))</f>
        <v/>
      </c>
      <c r="Q902">
        <f>IF($I902="Отменено",0,IF($G902&lt;&gt;"",$G902,N($H902)))</f>
        <v/>
      </c>
      <c r="R902">
        <f>IF($C902="","",IFERROR(DATE(Настройки!$C$8,Настройки!$D$9+MATCH($M902,Настройки!$X$6:$X$17,0)-1,1),DATE(YEAR($C902),MONTH($C902),1)))</f>
        <v/>
      </c>
      <c r="S902">
        <f>IF(OR($I902="Оплачено",$H902&lt;&gt;""),$P902,$Q902)</f>
        <v/>
      </c>
      <c r="T902">
        <f>IF(OR($C902="",$D902="Доход",$I902="Оплачено",$I902="Отменено",$H902&lt;&gt;"",$C902&lt;TODAY()),"",$C902)</f>
        <v/>
      </c>
      <c r="U902">
        <f>IF(AND($D902&lt;&gt;"Доход",COUNTIFS(Счета!$B$10:$B$21,$J902,Счета!$C$10:$C$21,"Кредитная")&gt;0),1,0)</f>
        <v/>
      </c>
    </row>
    <row r="903" ht="19" customHeight="1">
      <c r="B903" s="53">
        <f>IF(AND($C903="",$F903=""),"",ROW()-9)</f>
        <v/>
      </c>
      <c r="C903" s="213" t="n"/>
      <c r="D903" s="55" t="n"/>
      <c r="E903" s="55" t="n"/>
      <c r="F903" s="56" t="n"/>
      <c r="G903" s="196" t="n"/>
      <c r="H903" s="196" t="n"/>
      <c r="I903" s="55" t="n"/>
      <c r="J903" s="55" t="n"/>
      <c r="K903" s="55" t="n"/>
      <c r="L903" s="100">
        <f>IF(OR($C903="",$I903="Оплачено",$I903="Отменено",$H903&lt;&gt;""),"",$C903-TODAY())</f>
        <v/>
      </c>
      <c r="M903" s="101">
        <f>IF($C903="","",INDEX(Настройки!$V$6:$V$17,MONTH($C903))&amp;" "&amp;YEAR($C903))</f>
        <v/>
      </c>
      <c r="N903" s="57">
        <f>IF($F903="","",IF(COUNTIF(Постоянные!$C$8:$C$37,$F903)&gt;0,"есть в Постоянных",IF(COUNTIF(Покупки!$C$7:$C$18,$F903)&gt;0,"есть в Покупках","")))</f>
        <v/>
      </c>
      <c r="P903">
        <f>IF($H903&lt;&gt;"",$H903,IF($I903="Оплачено",N($G903),0))</f>
        <v/>
      </c>
      <c r="Q903">
        <f>IF($I903="Отменено",0,IF($G903&lt;&gt;"",$G903,N($H903)))</f>
        <v/>
      </c>
      <c r="R903">
        <f>IF($C903="","",IFERROR(DATE(Настройки!$C$8,Настройки!$D$9+MATCH($M903,Настройки!$X$6:$X$17,0)-1,1),DATE(YEAR($C903),MONTH($C903),1)))</f>
        <v/>
      </c>
      <c r="S903">
        <f>IF(OR($I903="Оплачено",$H903&lt;&gt;""),$P903,$Q903)</f>
        <v/>
      </c>
      <c r="T903">
        <f>IF(OR($C903="",$D903="Доход",$I903="Оплачено",$I903="Отменено",$H903&lt;&gt;"",$C903&lt;TODAY()),"",$C903)</f>
        <v/>
      </c>
      <c r="U903">
        <f>IF(AND($D903&lt;&gt;"Доход",COUNTIFS(Счета!$B$10:$B$21,$J903,Счета!$C$10:$C$21,"Кредитная")&gt;0),1,0)</f>
        <v/>
      </c>
    </row>
    <row r="904" ht="19" customHeight="1">
      <c r="B904" s="53">
        <f>IF(AND($C904="",$F904=""),"",ROW()-9)</f>
        <v/>
      </c>
      <c r="C904" s="213" t="n"/>
      <c r="D904" s="55" t="n"/>
      <c r="E904" s="55" t="n"/>
      <c r="F904" s="56" t="n"/>
      <c r="G904" s="196" t="n"/>
      <c r="H904" s="196" t="n"/>
      <c r="I904" s="55" t="n"/>
      <c r="J904" s="55" t="n"/>
      <c r="K904" s="55" t="n"/>
      <c r="L904" s="100">
        <f>IF(OR($C904="",$I904="Оплачено",$I904="Отменено",$H904&lt;&gt;""),"",$C904-TODAY())</f>
        <v/>
      </c>
      <c r="M904" s="101">
        <f>IF($C904="","",INDEX(Настройки!$V$6:$V$17,MONTH($C904))&amp;" "&amp;YEAR($C904))</f>
        <v/>
      </c>
      <c r="N904" s="57">
        <f>IF($F904="","",IF(COUNTIF(Постоянные!$C$8:$C$37,$F904)&gt;0,"есть в Постоянных",IF(COUNTIF(Покупки!$C$7:$C$18,$F904)&gt;0,"есть в Покупках","")))</f>
        <v/>
      </c>
      <c r="P904">
        <f>IF($H904&lt;&gt;"",$H904,IF($I904="Оплачено",N($G904),0))</f>
        <v/>
      </c>
      <c r="Q904">
        <f>IF($I904="Отменено",0,IF($G904&lt;&gt;"",$G904,N($H904)))</f>
        <v/>
      </c>
      <c r="R904">
        <f>IF($C904="","",IFERROR(DATE(Настройки!$C$8,Настройки!$D$9+MATCH($M904,Настройки!$X$6:$X$17,0)-1,1),DATE(YEAR($C904),MONTH($C904),1)))</f>
        <v/>
      </c>
      <c r="S904">
        <f>IF(OR($I904="Оплачено",$H904&lt;&gt;""),$P904,$Q904)</f>
        <v/>
      </c>
      <c r="T904">
        <f>IF(OR($C904="",$D904="Доход",$I904="Оплачено",$I904="Отменено",$H904&lt;&gt;"",$C904&lt;TODAY()),"",$C904)</f>
        <v/>
      </c>
      <c r="U904">
        <f>IF(AND($D904&lt;&gt;"Доход",COUNTIFS(Счета!$B$10:$B$21,$J904,Счета!$C$10:$C$21,"Кредитная")&gt;0),1,0)</f>
        <v/>
      </c>
    </row>
    <row r="905" ht="19" customHeight="1">
      <c r="B905" s="53">
        <f>IF(AND($C905="",$F905=""),"",ROW()-9)</f>
        <v/>
      </c>
      <c r="C905" s="213" t="n"/>
      <c r="D905" s="55" t="n"/>
      <c r="E905" s="55" t="n"/>
      <c r="F905" s="56" t="n"/>
      <c r="G905" s="196" t="n"/>
      <c r="H905" s="196" t="n"/>
      <c r="I905" s="55" t="n"/>
      <c r="J905" s="55" t="n"/>
      <c r="K905" s="55" t="n"/>
      <c r="L905" s="100">
        <f>IF(OR($C905="",$I905="Оплачено",$I905="Отменено",$H905&lt;&gt;""),"",$C905-TODAY())</f>
        <v/>
      </c>
      <c r="M905" s="101">
        <f>IF($C905="","",INDEX(Настройки!$V$6:$V$17,MONTH($C905))&amp;" "&amp;YEAR($C905))</f>
        <v/>
      </c>
      <c r="N905" s="57">
        <f>IF($F905="","",IF(COUNTIF(Постоянные!$C$8:$C$37,$F905)&gt;0,"есть в Постоянных",IF(COUNTIF(Покупки!$C$7:$C$18,$F905)&gt;0,"есть в Покупках","")))</f>
        <v/>
      </c>
      <c r="P905">
        <f>IF($H905&lt;&gt;"",$H905,IF($I905="Оплачено",N($G905),0))</f>
        <v/>
      </c>
      <c r="Q905">
        <f>IF($I905="Отменено",0,IF($G905&lt;&gt;"",$G905,N($H905)))</f>
        <v/>
      </c>
      <c r="R905">
        <f>IF($C905="","",IFERROR(DATE(Настройки!$C$8,Настройки!$D$9+MATCH($M905,Настройки!$X$6:$X$17,0)-1,1),DATE(YEAR($C905),MONTH($C905),1)))</f>
        <v/>
      </c>
      <c r="S905">
        <f>IF(OR($I905="Оплачено",$H905&lt;&gt;""),$P905,$Q905)</f>
        <v/>
      </c>
      <c r="T905">
        <f>IF(OR($C905="",$D905="Доход",$I905="Оплачено",$I905="Отменено",$H905&lt;&gt;"",$C905&lt;TODAY()),"",$C905)</f>
        <v/>
      </c>
      <c r="U905">
        <f>IF(AND($D905&lt;&gt;"Доход",COUNTIFS(Счета!$B$10:$B$21,$J905,Счета!$C$10:$C$21,"Кредитная")&gt;0),1,0)</f>
        <v/>
      </c>
    </row>
    <row r="906" ht="19" customHeight="1">
      <c r="B906" s="53">
        <f>IF(AND($C906="",$F906=""),"",ROW()-9)</f>
        <v/>
      </c>
      <c r="C906" s="213" t="n"/>
      <c r="D906" s="55" t="n"/>
      <c r="E906" s="55" t="n"/>
      <c r="F906" s="56" t="n"/>
      <c r="G906" s="196" t="n"/>
      <c r="H906" s="196" t="n"/>
      <c r="I906" s="55" t="n"/>
      <c r="J906" s="55" t="n"/>
      <c r="K906" s="55" t="n"/>
      <c r="L906" s="100">
        <f>IF(OR($C906="",$I906="Оплачено",$I906="Отменено",$H906&lt;&gt;""),"",$C906-TODAY())</f>
        <v/>
      </c>
      <c r="M906" s="101">
        <f>IF($C906="","",INDEX(Настройки!$V$6:$V$17,MONTH($C906))&amp;" "&amp;YEAR($C906))</f>
        <v/>
      </c>
      <c r="N906" s="57">
        <f>IF($F906="","",IF(COUNTIF(Постоянные!$C$8:$C$37,$F906)&gt;0,"есть в Постоянных",IF(COUNTIF(Покупки!$C$7:$C$18,$F906)&gt;0,"есть в Покупках","")))</f>
        <v/>
      </c>
      <c r="P906">
        <f>IF($H906&lt;&gt;"",$H906,IF($I906="Оплачено",N($G906),0))</f>
        <v/>
      </c>
      <c r="Q906">
        <f>IF($I906="Отменено",0,IF($G906&lt;&gt;"",$G906,N($H906)))</f>
        <v/>
      </c>
      <c r="R906">
        <f>IF($C906="","",IFERROR(DATE(Настройки!$C$8,Настройки!$D$9+MATCH($M906,Настройки!$X$6:$X$17,0)-1,1),DATE(YEAR($C906),MONTH($C906),1)))</f>
        <v/>
      </c>
      <c r="S906">
        <f>IF(OR($I906="Оплачено",$H906&lt;&gt;""),$P906,$Q906)</f>
        <v/>
      </c>
      <c r="T906">
        <f>IF(OR($C906="",$D906="Доход",$I906="Оплачено",$I906="Отменено",$H906&lt;&gt;"",$C906&lt;TODAY()),"",$C906)</f>
        <v/>
      </c>
      <c r="U906">
        <f>IF(AND($D906&lt;&gt;"Доход",COUNTIFS(Счета!$B$10:$B$21,$J906,Счета!$C$10:$C$21,"Кредитная")&gt;0),1,0)</f>
        <v/>
      </c>
    </row>
    <row r="907" ht="19" customHeight="1">
      <c r="B907" s="53">
        <f>IF(AND($C907="",$F907=""),"",ROW()-9)</f>
        <v/>
      </c>
      <c r="C907" s="213" t="n"/>
      <c r="D907" s="55" t="n"/>
      <c r="E907" s="55" t="n"/>
      <c r="F907" s="56" t="n"/>
      <c r="G907" s="196" t="n"/>
      <c r="H907" s="196" t="n"/>
      <c r="I907" s="55" t="n"/>
      <c r="J907" s="55" t="n"/>
      <c r="K907" s="55" t="n"/>
      <c r="L907" s="100">
        <f>IF(OR($C907="",$I907="Оплачено",$I907="Отменено",$H907&lt;&gt;""),"",$C907-TODAY())</f>
        <v/>
      </c>
      <c r="M907" s="101">
        <f>IF($C907="","",INDEX(Настройки!$V$6:$V$17,MONTH($C907))&amp;" "&amp;YEAR($C907))</f>
        <v/>
      </c>
      <c r="N907" s="57">
        <f>IF($F907="","",IF(COUNTIF(Постоянные!$C$8:$C$37,$F907)&gt;0,"есть в Постоянных",IF(COUNTIF(Покупки!$C$7:$C$18,$F907)&gt;0,"есть в Покупках","")))</f>
        <v/>
      </c>
      <c r="P907">
        <f>IF($H907&lt;&gt;"",$H907,IF($I907="Оплачено",N($G907),0))</f>
        <v/>
      </c>
      <c r="Q907">
        <f>IF($I907="Отменено",0,IF($G907&lt;&gt;"",$G907,N($H907)))</f>
        <v/>
      </c>
      <c r="R907">
        <f>IF($C907="","",IFERROR(DATE(Настройки!$C$8,Настройки!$D$9+MATCH($M907,Настройки!$X$6:$X$17,0)-1,1),DATE(YEAR($C907),MONTH($C907),1)))</f>
        <v/>
      </c>
      <c r="S907">
        <f>IF(OR($I907="Оплачено",$H907&lt;&gt;""),$P907,$Q907)</f>
        <v/>
      </c>
      <c r="T907">
        <f>IF(OR($C907="",$D907="Доход",$I907="Оплачено",$I907="Отменено",$H907&lt;&gt;"",$C907&lt;TODAY()),"",$C907)</f>
        <v/>
      </c>
      <c r="U907">
        <f>IF(AND($D907&lt;&gt;"Доход",COUNTIFS(Счета!$B$10:$B$21,$J907,Счета!$C$10:$C$21,"Кредитная")&gt;0),1,0)</f>
        <v/>
      </c>
    </row>
    <row r="908" ht="19" customHeight="1">
      <c r="B908" s="53">
        <f>IF(AND($C908="",$F908=""),"",ROW()-9)</f>
        <v/>
      </c>
      <c r="C908" s="213" t="n"/>
      <c r="D908" s="55" t="n"/>
      <c r="E908" s="55" t="n"/>
      <c r="F908" s="56" t="n"/>
      <c r="G908" s="196" t="n"/>
      <c r="H908" s="196" t="n"/>
      <c r="I908" s="55" t="n"/>
      <c r="J908" s="55" t="n"/>
      <c r="K908" s="55" t="n"/>
      <c r="L908" s="100">
        <f>IF(OR($C908="",$I908="Оплачено",$I908="Отменено",$H908&lt;&gt;""),"",$C908-TODAY())</f>
        <v/>
      </c>
      <c r="M908" s="101">
        <f>IF($C908="","",INDEX(Настройки!$V$6:$V$17,MONTH($C908))&amp;" "&amp;YEAR($C908))</f>
        <v/>
      </c>
      <c r="N908" s="57">
        <f>IF($F908="","",IF(COUNTIF(Постоянные!$C$8:$C$37,$F908)&gt;0,"есть в Постоянных",IF(COUNTIF(Покупки!$C$7:$C$18,$F908)&gt;0,"есть в Покупках","")))</f>
        <v/>
      </c>
      <c r="P908">
        <f>IF($H908&lt;&gt;"",$H908,IF($I908="Оплачено",N($G908),0))</f>
        <v/>
      </c>
      <c r="Q908">
        <f>IF($I908="Отменено",0,IF($G908&lt;&gt;"",$G908,N($H908)))</f>
        <v/>
      </c>
      <c r="R908">
        <f>IF($C908="","",IFERROR(DATE(Настройки!$C$8,Настройки!$D$9+MATCH($M908,Настройки!$X$6:$X$17,0)-1,1),DATE(YEAR($C908),MONTH($C908),1)))</f>
        <v/>
      </c>
      <c r="S908">
        <f>IF(OR($I908="Оплачено",$H908&lt;&gt;""),$P908,$Q908)</f>
        <v/>
      </c>
      <c r="T908">
        <f>IF(OR($C908="",$D908="Доход",$I908="Оплачено",$I908="Отменено",$H908&lt;&gt;"",$C908&lt;TODAY()),"",$C908)</f>
        <v/>
      </c>
      <c r="U908">
        <f>IF(AND($D908&lt;&gt;"Доход",COUNTIFS(Счета!$B$10:$B$21,$J908,Счета!$C$10:$C$21,"Кредитная")&gt;0),1,0)</f>
        <v/>
      </c>
    </row>
    <row r="909" ht="19" customHeight="1">
      <c r="B909" s="53">
        <f>IF(AND($C909="",$F909=""),"",ROW()-9)</f>
        <v/>
      </c>
      <c r="C909" s="213" t="n"/>
      <c r="D909" s="55" t="n"/>
      <c r="E909" s="55" t="n"/>
      <c r="F909" s="56" t="n"/>
      <c r="G909" s="196" t="n"/>
      <c r="H909" s="196" t="n"/>
      <c r="I909" s="55" t="n"/>
      <c r="J909" s="55" t="n"/>
      <c r="K909" s="55" t="n"/>
      <c r="L909" s="100">
        <f>IF(OR($C909="",$I909="Оплачено",$I909="Отменено",$H909&lt;&gt;""),"",$C909-TODAY())</f>
        <v/>
      </c>
      <c r="M909" s="101">
        <f>IF($C909="","",INDEX(Настройки!$V$6:$V$17,MONTH($C909))&amp;" "&amp;YEAR($C909))</f>
        <v/>
      </c>
      <c r="N909" s="57">
        <f>IF($F909="","",IF(COUNTIF(Постоянные!$C$8:$C$37,$F909)&gt;0,"есть в Постоянных",IF(COUNTIF(Покупки!$C$7:$C$18,$F909)&gt;0,"есть в Покупках","")))</f>
        <v/>
      </c>
      <c r="P909">
        <f>IF($H909&lt;&gt;"",$H909,IF($I909="Оплачено",N($G909),0))</f>
        <v/>
      </c>
      <c r="Q909">
        <f>IF($I909="Отменено",0,IF($G909&lt;&gt;"",$G909,N($H909)))</f>
        <v/>
      </c>
      <c r="R909">
        <f>IF($C909="","",IFERROR(DATE(Настройки!$C$8,Настройки!$D$9+MATCH($M909,Настройки!$X$6:$X$17,0)-1,1),DATE(YEAR($C909),MONTH($C909),1)))</f>
        <v/>
      </c>
      <c r="S909">
        <f>IF(OR($I909="Оплачено",$H909&lt;&gt;""),$P909,$Q909)</f>
        <v/>
      </c>
      <c r="T909">
        <f>IF(OR($C909="",$D909="Доход",$I909="Оплачено",$I909="Отменено",$H909&lt;&gt;"",$C909&lt;TODAY()),"",$C909)</f>
        <v/>
      </c>
      <c r="U909">
        <f>IF(AND($D909&lt;&gt;"Доход",COUNTIFS(Счета!$B$10:$B$21,$J909,Счета!$C$10:$C$21,"Кредитная")&gt;0),1,0)</f>
        <v/>
      </c>
    </row>
    <row r="910" ht="19" customHeight="1">
      <c r="B910" s="53">
        <f>IF(AND($C910="",$F910=""),"",ROW()-9)</f>
        <v/>
      </c>
      <c r="C910" s="213" t="n"/>
      <c r="D910" s="55" t="n"/>
      <c r="E910" s="55" t="n"/>
      <c r="F910" s="56" t="n"/>
      <c r="G910" s="196" t="n"/>
      <c r="H910" s="196" t="n"/>
      <c r="I910" s="55" t="n"/>
      <c r="J910" s="55" t="n"/>
      <c r="K910" s="55" t="n"/>
      <c r="L910" s="100">
        <f>IF(OR($C910="",$I910="Оплачено",$I910="Отменено",$H910&lt;&gt;""),"",$C910-TODAY())</f>
        <v/>
      </c>
      <c r="M910" s="101">
        <f>IF($C910="","",INDEX(Настройки!$V$6:$V$17,MONTH($C910))&amp;" "&amp;YEAR($C910))</f>
        <v/>
      </c>
      <c r="N910" s="57">
        <f>IF($F910="","",IF(COUNTIF(Постоянные!$C$8:$C$37,$F910)&gt;0,"есть в Постоянных",IF(COUNTIF(Покупки!$C$7:$C$18,$F910)&gt;0,"есть в Покупках","")))</f>
        <v/>
      </c>
      <c r="P910">
        <f>IF($H910&lt;&gt;"",$H910,IF($I910="Оплачено",N($G910),0))</f>
        <v/>
      </c>
      <c r="Q910">
        <f>IF($I910="Отменено",0,IF($G910&lt;&gt;"",$G910,N($H910)))</f>
        <v/>
      </c>
      <c r="R910">
        <f>IF($C910="","",IFERROR(DATE(Настройки!$C$8,Настройки!$D$9+MATCH($M910,Настройки!$X$6:$X$17,0)-1,1),DATE(YEAR($C910),MONTH($C910),1)))</f>
        <v/>
      </c>
      <c r="S910">
        <f>IF(OR($I910="Оплачено",$H910&lt;&gt;""),$P910,$Q910)</f>
        <v/>
      </c>
      <c r="T910">
        <f>IF(OR($C910="",$D910="Доход",$I910="Оплачено",$I910="Отменено",$H910&lt;&gt;"",$C910&lt;TODAY()),"",$C910)</f>
        <v/>
      </c>
      <c r="U910">
        <f>IF(AND($D910&lt;&gt;"Доход",COUNTIFS(Счета!$B$10:$B$21,$J910,Счета!$C$10:$C$21,"Кредитная")&gt;0),1,0)</f>
        <v/>
      </c>
    </row>
    <row r="911" ht="19" customHeight="1">
      <c r="B911" s="53">
        <f>IF(AND($C911="",$F911=""),"",ROW()-9)</f>
        <v/>
      </c>
      <c r="C911" s="213" t="n"/>
      <c r="D911" s="55" t="n"/>
      <c r="E911" s="55" t="n"/>
      <c r="F911" s="56" t="n"/>
      <c r="G911" s="196" t="n"/>
      <c r="H911" s="196" t="n"/>
      <c r="I911" s="55" t="n"/>
      <c r="J911" s="55" t="n"/>
      <c r="K911" s="55" t="n"/>
      <c r="L911" s="100">
        <f>IF(OR($C911="",$I911="Оплачено",$I911="Отменено",$H911&lt;&gt;""),"",$C911-TODAY())</f>
        <v/>
      </c>
      <c r="M911" s="101">
        <f>IF($C911="","",INDEX(Настройки!$V$6:$V$17,MONTH($C911))&amp;" "&amp;YEAR($C911))</f>
        <v/>
      </c>
      <c r="N911" s="57">
        <f>IF($F911="","",IF(COUNTIF(Постоянные!$C$8:$C$37,$F911)&gt;0,"есть в Постоянных",IF(COUNTIF(Покупки!$C$7:$C$18,$F911)&gt;0,"есть в Покупках","")))</f>
        <v/>
      </c>
      <c r="P911">
        <f>IF($H911&lt;&gt;"",$H911,IF($I911="Оплачено",N($G911),0))</f>
        <v/>
      </c>
      <c r="Q911">
        <f>IF($I911="Отменено",0,IF($G911&lt;&gt;"",$G911,N($H911)))</f>
        <v/>
      </c>
      <c r="R911">
        <f>IF($C911="","",IFERROR(DATE(Настройки!$C$8,Настройки!$D$9+MATCH($M911,Настройки!$X$6:$X$17,0)-1,1),DATE(YEAR($C911),MONTH($C911),1)))</f>
        <v/>
      </c>
      <c r="S911">
        <f>IF(OR($I911="Оплачено",$H911&lt;&gt;""),$P911,$Q911)</f>
        <v/>
      </c>
      <c r="T911">
        <f>IF(OR($C911="",$D911="Доход",$I911="Оплачено",$I911="Отменено",$H911&lt;&gt;"",$C911&lt;TODAY()),"",$C911)</f>
        <v/>
      </c>
      <c r="U911">
        <f>IF(AND($D911&lt;&gt;"Доход",COUNTIFS(Счета!$B$10:$B$21,$J911,Счета!$C$10:$C$21,"Кредитная")&gt;0),1,0)</f>
        <v/>
      </c>
    </row>
    <row r="912" ht="19" customHeight="1">
      <c r="B912" s="53">
        <f>IF(AND($C912="",$F912=""),"",ROW()-9)</f>
        <v/>
      </c>
      <c r="C912" s="213" t="n"/>
      <c r="D912" s="55" t="n"/>
      <c r="E912" s="55" t="n"/>
      <c r="F912" s="56" t="n"/>
      <c r="G912" s="196" t="n"/>
      <c r="H912" s="196" t="n"/>
      <c r="I912" s="55" t="n"/>
      <c r="J912" s="55" t="n"/>
      <c r="K912" s="55" t="n"/>
      <c r="L912" s="100">
        <f>IF(OR($C912="",$I912="Оплачено",$I912="Отменено",$H912&lt;&gt;""),"",$C912-TODAY())</f>
        <v/>
      </c>
      <c r="M912" s="101">
        <f>IF($C912="","",INDEX(Настройки!$V$6:$V$17,MONTH($C912))&amp;" "&amp;YEAR($C912))</f>
        <v/>
      </c>
      <c r="N912" s="57">
        <f>IF($F912="","",IF(COUNTIF(Постоянные!$C$8:$C$37,$F912)&gt;0,"есть в Постоянных",IF(COUNTIF(Покупки!$C$7:$C$18,$F912)&gt;0,"есть в Покупках","")))</f>
        <v/>
      </c>
      <c r="P912">
        <f>IF($H912&lt;&gt;"",$H912,IF($I912="Оплачено",N($G912),0))</f>
        <v/>
      </c>
      <c r="Q912">
        <f>IF($I912="Отменено",0,IF($G912&lt;&gt;"",$G912,N($H912)))</f>
        <v/>
      </c>
      <c r="R912">
        <f>IF($C912="","",IFERROR(DATE(Настройки!$C$8,Настройки!$D$9+MATCH($M912,Настройки!$X$6:$X$17,0)-1,1),DATE(YEAR($C912),MONTH($C912),1)))</f>
        <v/>
      </c>
      <c r="S912">
        <f>IF(OR($I912="Оплачено",$H912&lt;&gt;""),$P912,$Q912)</f>
        <v/>
      </c>
      <c r="T912">
        <f>IF(OR($C912="",$D912="Доход",$I912="Оплачено",$I912="Отменено",$H912&lt;&gt;"",$C912&lt;TODAY()),"",$C912)</f>
        <v/>
      </c>
      <c r="U912">
        <f>IF(AND($D912&lt;&gt;"Доход",COUNTIFS(Счета!$B$10:$B$21,$J912,Счета!$C$10:$C$21,"Кредитная")&gt;0),1,0)</f>
        <v/>
      </c>
    </row>
    <row r="913" ht="19" customHeight="1">
      <c r="B913" s="53">
        <f>IF(AND($C913="",$F913=""),"",ROW()-9)</f>
        <v/>
      </c>
      <c r="C913" s="213" t="n"/>
      <c r="D913" s="55" t="n"/>
      <c r="E913" s="55" t="n"/>
      <c r="F913" s="56" t="n"/>
      <c r="G913" s="196" t="n"/>
      <c r="H913" s="196" t="n"/>
      <c r="I913" s="55" t="n"/>
      <c r="J913" s="55" t="n"/>
      <c r="K913" s="55" t="n"/>
      <c r="L913" s="100">
        <f>IF(OR($C913="",$I913="Оплачено",$I913="Отменено",$H913&lt;&gt;""),"",$C913-TODAY())</f>
        <v/>
      </c>
      <c r="M913" s="101">
        <f>IF($C913="","",INDEX(Настройки!$V$6:$V$17,MONTH($C913))&amp;" "&amp;YEAR($C913))</f>
        <v/>
      </c>
      <c r="N913" s="57">
        <f>IF($F913="","",IF(COUNTIF(Постоянные!$C$8:$C$37,$F913)&gt;0,"есть в Постоянных",IF(COUNTIF(Покупки!$C$7:$C$18,$F913)&gt;0,"есть в Покупках","")))</f>
        <v/>
      </c>
      <c r="P913">
        <f>IF($H913&lt;&gt;"",$H913,IF($I913="Оплачено",N($G913),0))</f>
        <v/>
      </c>
      <c r="Q913">
        <f>IF($I913="Отменено",0,IF($G913&lt;&gt;"",$G913,N($H913)))</f>
        <v/>
      </c>
      <c r="R913">
        <f>IF($C913="","",IFERROR(DATE(Настройки!$C$8,Настройки!$D$9+MATCH($M913,Настройки!$X$6:$X$17,0)-1,1),DATE(YEAR($C913),MONTH($C913),1)))</f>
        <v/>
      </c>
      <c r="S913">
        <f>IF(OR($I913="Оплачено",$H913&lt;&gt;""),$P913,$Q913)</f>
        <v/>
      </c>
      <c r="T913">
        <f>IF(OR($C913="",$D913="Доход",$I913="Оплачено",$I913="Отменено",$H913&lt;&gt;"",$C913&lt;TODAY()),"",$C913)</f>
        <v/>
      </c>
      <c r="U913">
        <f>IF(AND($D913&lt;&gt;"Доход",COUNTIFS(Счета!$B$10:$B$21,$J913,Счета!$C$10:$C$21,"Кредитная")&gt;0),1,0)</f>
        <v/>
      </c>
    </row>
    <row r="914" ht="19" customHeight="1">
      <c r="B914" s="53">
        <f>IF(AND($C914="",$F914=""),"",ROW()-9)</f>
        <v/>
      </c>
      <c r="C914" s="213" t="n"/>
      <c r="D914" s="55" t="n"/>
      <c r="E914" s="55" t="n"/>
      <c r="F914" s="56" t="n"/>
      <c r="G914" s="196" t="n"/>
      <c r="H914" s="196" t="n"/>
      <c r="I914" s="55" t="n"/>
      <c r="J914" s="55" t="n"/>
      <c r="K914" s="55" t="n"/>
      <c r="L914" s="100">
        <f>IF(OR($C914="",$I914="Оплачено",$I914="Отменено",$H914&lt;&gt;""),"",$C914-TODAY())</f>
        <v/>
      </c>
      <c r="M914" s="101">
        <f>IF($C914="","",INDEX(Настройки!$V$6:$V$17,MONTH($C914))&amp;" "&amp;YEAR($C914))</f>
        <v/>
      </c>
      <c r="N914" s="57">
        <f>IF($F914="","",IF(COUNTIF(Постоянные!$C$8:$C$37,$F914)&gt;0,"есть в Постоянных",IF(COUNTIF(Покупки!$C$7:$C$18,$F914)&gt;0,"есть в Покупках","")))</f>
        <v/>
      </c>
      <c r="P914">
        <f>IF($H914&lt;&gt;"",$H914,IF($I914="Оплачено",N($G914),0))</f>
        <v/>
      </c>
      <c r="Q914">
        <f>IF($I914="Отменено",0,IF($G914&lt;&gt;"",$G914,N($H914)))</f>
        <v/>
      </c>
      <c r="R914">
        <f>IF($C914="","",IFERROR(DATE(Настройки!$C$8,Настройки!$D$9+MATCH($M914,Настройки!$X$6:$X$17,0)-1,1),DATE(YEAR($C914),MONTH($C914),1)))</f>
        <v/>
      </c>
      <c r="S914">
        <f>IF(OR($I914="Оплачено",$H914&lt;&gt;""),$P914,$Q914)</f>
        <v/>
      </c>
      <c r="T914">
        <f>IF(OR($C914="",$D914="Доход",$I914="Оплачено",$I914="Отменено",$H914&lt;&gt;"",$C914&lt;TODAY()),"",$C914)</f>
        <v/>
      </c>
      <c r="U914">
        <f>IF(AND($D914&lt;&gt;"Доход",COUNTIFS(Счета!$B$10:$B$21,$J914,Счета!$C$10:$C$21,"Кредитная")&gt;0),1,0)</f>
        <v/>
      </c>
    </row>
    <row r="915" ht="19" customHeight="1">
      <c r="B915" s="53">
        <f>IF(AND($C915="",$F915=""),"",ROW()-9)</f>
        <v/>
      </c>
      <c r="C915" s="213" t="n"/>
      <c r="D915" s="55" t="n"/>
      <c r="E915" s="55" t="n"/>
      <c r="F915" s="56" t="n"/>
      <c r="G915" s="196" t="n"/>
      <c r="H915" s="196" t="n"/>
      <c r="I915" s="55" t="n"/>
      <c r="J915" s="55" t="n"/>
      <c r="K915" s="55" t="n"/>
      <c r="L915" s="100">
        <f>IF(OR($C915="",$I915="Оплачено",$I915="Отменено",$H915&lt;&gt;""),"",$C915-TODAY())</f>
        <v/>
      </c>
      <c r="M915" s="101">
        <f>IF($C915="","",INDEX(Настройки!$V$6:$V$17,MONTH($C915))&amp;" "&amp;YEAR($C915))</f>
        <v/>
      </c>
      <c r="N915" s="57">
        <f>IF($F915="","",IF(COUNTIF(Постоянные!$C$8:$C$37,$F915)&gt;0,"есть в Постоянных",IF(COUNTIF(Покупки!$C$7:$C$18,$F915)&gt;0,"есть в Покупках","")))</f>
        <v/>
      </c>
      <c r="P915">
        <f>IF($H915&lt;&gt;"",$H915,IF($I915="Оплачено",N($G915),0))</f>
        <v/>
      </c>
      <c r="Q915">
        <f>IF($I915="Отменено",0,IF($G915&lt;&gt;"",$G915,N($H915)))</f>
        <v/>
      </c>
      <c r="R915">
        <f>IF($C915="","",IFERROR(DATE(Настройки!$C$8,Настройки!$D$9+MATCH($M915,Настройки!$X$6:$X$17,0)-1,1),DATE(YEAR($C915),MONTH($C915),1)))</f>
        <v/>
      </c>
      <c r="S915">
        <f>IF(OR($I915="Оплачено",$H915&lt;&gt;""),$P915,$Q915)</f>
        <v/>
      </c>
      <c r="T915">
        <f>IF(OR($C915="",$D915="Доход",$I915="Оплачено",$I915="Отменено",$H915&lt;&gt;"",$C915&lt;TODAY()),"",$C915)</f>
        <v/>
      </c>
      <c r="U915">
        <f>IF(AND($D915&lt;&gt;"Доход",COUNTIFS(Счета!$B$10:$B$21,$J915,Счета!$C$10:$C$21,"Кредитная")&gt;0),1,0)</f>
        <v/>
      </c>
    </row>
    <row r="916" ht="19" customHeight="1">
      <c r="B916" s="53">
        <f>IF(AND($C916="",$F916=""),"",ROW()-9)</f>
        <v/>
      </c>
      <c r="C916" s="213" t="n"/>
      <c r="D916" s="55" t="n"/>
      <c r="E916" s="55" t="n"/>
      <c r="F916" s="56" t="n"/>
      <c r="G916" s="196" t="n"/>
      <c r="H916" s="196" t="n"/>
      <c r="I916" s="55" t="n"/>
      <c r="J916" s="55" t="n"/>
      <c r="K916" s="55" t="n"/>
      <c r="L916" s="100">
        <f>IF(OR($C916="",$I916="Оплачено",$I916="Отменено",$H916&lt;&gt;""),"",$C916-TODAY())</f>
        <v/>
      </c>
      <c r="M916" s="101">
        <f>IF($C916="","",INDEX(Настройки!$V$6:$V$17,MONTH($C916))&amp;" "&amp;YEAR($C916))</f>
        <v/>
      </c>
      <c r="N916" s="57">
        <f>IF($F916="","",IF(COUNTIF(Постоянные!$C$8:$C$37,$F916)&gt;0,"есть в Постоянных",IF(COUNTIF(Покупки!$C$7:$C$18,$F916)&gt;0,"есть в Покупках","")))</f>
        <v/>
      </c>
      <c r="P916">
        <f>IF($H916&lt;&gt;"",$H916,IF($I916="Оплачено",N($G916),0))</f>
        <v/>
      </c>
      <c r="Q916">
        <f>IF($I916="Отменено",0,IF($G916&lt;&gt;"",$G916,N($H916)))</f>
        <v/>
      </c>
      <c r="R916">
        <f>IF($C916="","",IFERROR(DATE(Настройки!$C$8,Настройки!$D$9+MATCH($M916,Настройки!$X$6:$X$17,0)-1,1),DATE(YEAR($C916),MONTH($C916),1)))</f>
        <v/>
      </c>
      <c r="S916">
        <f>IF(OR($I916="Оплачено",$H916&lt;&gt;""),$P916,$Q916)</f>
        <v/>
      </c>
      <c r="T916">
        <f>IF(OR($C916="",$D916="Доход",$I916="Оплачено",$I916="Отменено",$H916&lt;&gt;"",$C916&lt;TODAY()),"",$C916)</f>
        <v/>
      </c>
      <c r="U916">
        <f>IF(AND($D916&lt;&gt;"Доход",COUNTIFS(Счета!$B$10:$B$21,$J916,Счета!$C$10:$C$21,"Кредитная")&gt;0),1,0)</f>
        <v/>
      </c>
    </row>
    <row r="917" ht="19" customHeight="1">
      <c r="B917" s="53">
        <f>IF(AND($C917="",$F917=""),"",ROW()-9)</f>
        <v/>
      </c>
      <c r="C917" s="213" t="n"/>
      <c r="D917" s="55" t="n"/>
      <c r="E917" s="55" t="n"/>
      <c r="F917" s="56" t="n"/>
      <c r="G917" s="196" t="n"/>
      <c r="H917" s="196" t="n"/>
      <c r="I917" s="55" t="n"/>
      <c r="J917" s="55" t="n"/>
      <c r="K917" s="55" t="n"/>
      <c r="L917" s="100">
        <f>IF(OR($C917="",$I917="Оплачено",$I917="Отменено",$H917&lt;&gt;""),"",$C917-TODAY())</f>
        <v/>
      </c>
      <c r="M917" s="101">
        <f>IF($C917="","",INDEX(Настройки!$V$6:$V$17,MONTH($C917))&amp;" "&amp;YEAR($C917))</f>
        <v/>
      </c>
      <c r="N917" s="57">
        <f>IF($F917="","",IF(COUNTIF(Постоянные!$C$8:$C$37,$F917)&gt;0,"есть в Постоянных",IF(COUNTIF(Покупки!$C$7:$C$18,$F917)&gt;0,"есть в Покупках","")))</f>
        <v/>
      </c>
      <c r="P917">
        <f>IF($H917&lt;&gt;"",$H917,IF($I917="Оплачено",N($G917),0))</f>
        <v/>
      </c>
      <c r="Q917">
        <f>IF($I917="Отменено",0,IF($G917&lt;&gt;"",$G917,N($H917)))</f>
        <v/>
      </c>
      <c r="R917">
        <f>IF($C917="","",IFERROR(DATE(Настройки!$C$8,Настройки!$D$9+MATCH($M917,Настройки!$X$6:$X$17,0)-1,1),DATE(YEAR($C917),MONTH($C917),1)))</f>
        <v/>
      </c>
      <c r="S917">
        <f>IF(OR($I917="Оплачено",$H917&lt;&gt;""),$P917,$Q917)</f>
        <v/>
      </c>
      <c r="T917">
        <f>IF(OR($C917="",$D917="Доход",$I917="Оплачено",$I917="Отменено",$H917&lt;&gt;"",$C917&lt;TODAY()),"",$C917)</f>
        <v/>
      </c>
      <c r="U917">
        <f>IF(AND($D917&lt;&gt;"Доход",COUNTIFS(Счета!$B$10:$B$21,$J917,Счета!$C$10:$C$21,"Кредитная")&gt;0),1,0)</f>
        <v/>
      </c>
    </row>
    <row r="918" ht="19" customHeight="1">
      <c r="B918" s="53">
        <f>IF(AND($C918="",$F918=""),"",ROW()-9)</f>
        <v/>
      </c>
      <c r="C918" s="213" t="n"/>
      <c r="D918" s="55" t="n"/>
      <c r="E918" s="55" t="n"/>
      <c r="F918" s="56" t="n"/>
      <c r="G918" s="196" t="n"/>
      <c r="H918" s="196" t="n"/>
      <c r="I918" s="55" t="n"/>
      <c r="J918" s="55" t="n"/>
      <c r="K918" s="55" t="n"/>
      <c r="L918" s="100">
        <f>IF(OR($C918="",$I918="Оплачено",$I918="Отменено",$H918&lt;&gt;""),"",$C918-TODAY())</f>
        <v/>
      </c>
      <c r="M918" s="101">
        <f>IF($C918="","",INDEX(Настройки!$V$6:$V$17,MONTH($C918))&amp;" "&amp;YEAR($C918))</f>
        <v/>
      </c>
      <c r="N918" s="57">
        <f>IF($F918="","",IF(COUNTIF(Постоянные!$C$8:$C$37,$F918)&gt;0,"есть в Постоянных",IF(COUNTIF(Покупки!$C$7:$C$18,$F918)&gt;0,"есть в Покупках","")))</f>
        <v/>
      </c>
      <c r="P918">
        <f>IF($H918&lt;&gt;"",$H918,IF($I918="Оплачено",N($G918),0))</f>
        <v/>
      </c>
      <c r="Q918">
        <f>IF($I918="Отменено",0,IF($G918&lt;&gt;"",$G918,N($H918)))</f>
        <v/>
      </c>
      <c r="R918">
        <f>IF($C918="","",IFERROR(DATE(Настройки!$C$8,Настройки!$D$9+MATCH($M918,Настройки!$X$6:$X$17,0)-1,1),DATE(YEAR($C918),MONTH($C918),1)))</f>
        <v/>
      </c>
      <c r="S918">
        <f>IF(OR($I918="Оплачено",$H918&lt;&gt;""),$P918,$Q918)</f>
        <v/>
      </c>
      <c r="T918">
        <f>IF(OR($C918="",$D918="Доход",$I918="Оплачено",$I918="Отменено",$H918&lt;&gt;"",$C918&lt;TODAY()),"",$C918)</f>
        <v/>
      </c>
      <c r="U918">
        <f>IF(AND($D918&lt;&gt;"Доход",COUNTIFS(Счета!$B$10:$B$21,$J918,Счета!$C$10:$C$21,"Кредитная")&gt;0),1,0)</f>
        <v/>
      </c>
    </row>
    <row r="919" ht="19" customHeight="1">
      <c r="B919" s="53">
        <f>IF(AND($C919="",$F919=""),"",ROW()-9)</f>
        <v/>
      </c>
      <c r="C919" s="213" t="n"/>
      <c r="D919" s="55" t="n"/>
      <c r="E919" s="55" t="n"/>
      <c r="F919" s="56" t="n"/>
      <c r="G919" s="196" t="n"/>
      <c r="H919" s="196" t="n"/>
      <c r="I919" s="55" t="n"/>
      <c r="J919" s="55" t="n"/>
      <c r="K919" s="55" t="n"/>
      <c r="L919" s="100">
        <f>IF(OR($C919="",$I919="Оплачено",$I919="Отменено",$H919&lt;&gt;""),"",$C919-TODAY())</f>
        <v/>
      </c>
      <c r="M919" s="101">
        <f>IF($C919="","",INDEX(Настройки!$V$6:$V$17,MONTH($C919))&amp;" "&amp;YEAR($C919))</f>
        <v/>
      </c>
      <c r="N919" s="57">
        <f>IF($F919="","",IF(COUNTIF(Постоянные!$C$8:$C$37,$F919)&gt;0,"есть в Постоянных",IF(COUNTIF(Покупки!$C$7:$C$18,$F919)&gt;0,"есть в Покупках","")))</f>
        <v/>
      </c>
      <c r="P919">
        <f>IF($H919&lt;&gt;"",$H919,IF($I919="Оплачено",N($G919),0))</f>
        <v/>
      </c>
      <c r="Q919">
        <f>IF($I919="Отменено",0,IF($G919&lt;&gt;"",$G919,N($H919)))</f>
        <v/>
      </c>
      <c r="R919">
        <f>IF($C919="","",IFERROR(DATE(Настройки!$C$8,Настройки!$D$9+MATCH($M919,Настройки!$X$6:$X$17,0)-1,1),DATE(YEAR($C919),MONTH($C919),1)))</f>
        <v/>
      </c>
      <c r="S919">
        <f>IF(OR($I919="Оплачено",$H919&lt;&gt;""),$P919,$Q919)</f>
        <v/>
      </c>
      <c r="T919">
        <f>IF(OR($C919="",$D919="Доход",$I919="Оплачено",$I919="Отменено",$H919&lt;&gt;"",$C919&lt;TODAY()),"",$C919)</f>
        <v/>
      </c>
      <c r="U919">
        <f>IF(AND($D919&lt;&gt;"Доход",COUNTIFS(Счета!$B$10:$B$21,$J919,Счета!$C$10:$C$21,"Кредитная")&gt;0),1,0)</f>
        <v/>
      </c>
    </row>
    <row r="920" ht="19" customHeight="1">
      <c r="B920" s="53">
        <f>IF(AND($C920="",$F920=""),"",ROW()-9)</f>
        <v/>
      </c>
      <c r="C920" s="213" t="n"/>
      <c r="D920" s="55" t="n"/>
      <c r="E920" s="55" t="n"/>
      <c r="F920" s="56" t="n"/>
      <c r="G920" s="196" t="n"/>
      <c r="H920" s="196" t="n"/>
      <c r="I920" s="55" t="n"/>
      <c r="J920" s="55" t="n"/>
      <c r="K920" s="55" t="n"/>
      <c r="L920" s="100">
        <f>IF(OR($C920="",$I920="Оплачено",$I920="Отменено",$H920&lt;&gt;""),"",$C920-TODAY())</f>
        <v/>
      </c>
      <c r="M920" s="101">
        <f>IF($C920="","",INDEX(Настройки!$V$6:$V$17,MONTH($C920))&amp;" "&amp;YEAR($C920))</f>
        <v/>
      </c>
      <c r="N920" s="57">
        <f>IF($F920="","",IF(COUNTIF(Постоянные!$C$8:$C$37,$F920)&gt;0,"есть в Постоянных",IF(COUNTIF(Покупки!$C$7:$C$18,$F920)&gt;0,"есть в Покупках","")))</f>
        <v/>
      </c>
      <c r="P920">
        <f>IF($H920&lt;&gt;"",$H920,IF($I920="Оплачено",N($G920),0))</f>
        <v/>
      </c>
      <c r="Q920">
        <f>IF($I920="Отменено",0,IF($G920&lt;&gt;"",$G920,N($H920)))</f>
        <v/>
      </c>
      <c r="R920">
        <f>IF($C920="","",IFERROR(DATE(Настройки!$C$8,Настройки!$D$9+MATCH($M920,Настройки!$X$6:$X$17,0)-1,1),DATE(YEAR($C920),MONTH($C920),1)))</f>
        <v/>
      </c>
      <c r="S920">
        <f>IF(OR($I920="Оплачено",$H920&lt;&gt;""),$P920,$Q920)</f>
        <v/>
      </c>
      <c r="T920">
        <f>IF(OR($C920="",$D920="Доход",$I920="Оплачено",$I920="Отменено",$H920&lt;&gt;"",$C920&lt;TODAY()),"",$C920)</f>
        <v/>
      </c>
      <c r="U920">
        <f>IF(AND($D920&lt;&gt;"Доход",COUNTIFS(Счета!$B$10:$B$21,$J920,Счета!$C$10:$C$21,"Кредитная")&gt;0),1,0)</f>
        <v/>
      </c>
    </row>
    <row r="921" ht="19" customHeight="1">
      <c r="B921" s="53">
        <f>IF(AND($C921="",$F921=""),"",ROW()-9)</f>
        <v/>
      </c>
      <c r="C921" s="213" t="n"/>
      <c r="D921" s="55" t="n"/>
      <c r="E921" s="55" t="n"/>
      <c r="F921" s="56" t="n"/>
      <c r="G921" s="196" t="n"/>
      <c r="H921" s="196" t="n"/>
      <c r="I921" s="55" t="n"/>
      <c r="J921" s="55" t="n"/>
      <c r="K921" s="55" t="n"/>
      <c r="L921" s="100">
        <f>IF(OR($C921="",$I921="Оплачено",$I921="Отменено",$H921&lt;&gt;""),"",$C921-TODAY())</f>
        <v/>
      </c>
      <c r="M921" s="101">
        <f>IF($C921="","",INDEX(Настройки!$V$6:$V$17,MONTH($C921))&amp;" "&amp;YEAR($C921))</f>
        <v/>
      </c>
      <c r="N921" s="57">
        <f>IF($F921="","",IF(COUNTIF(Постоянные!$C$8:$C$37,$F921)&gt;0,"есть в Постоянных",IF(COUNTIF(Покупки!$C$7:$C$18,$F921)&gt;0,"есть в Покупках","")))</f>
        <v/>
      </c>
      <c r="P921">
        <f>IF($H921&lt;&gt;"",$H921,IF($I921="Оплачено",N($G921),0))</f>
        <v/>
      </c>
      <c r="Q921">
        <f>IF($I921="Отменено",0,IF($G921&lt;&gt;"",$G921,N($H921)))</f>
        <v/>
      </c>
      <c r="R921">
        <f>IF($C921="","",IFERROR(DATE(Настройки!$C$8,Настройки!$D$9+MATCH($M921,Настройки!$X$6:$X$17,0)-1,1),DATE(YEAR($C921),MONTH($C921),1)))</f>
        <v/>
      </c>
      <c r="S921">
        <f>IF(OR($I921="Оплачено",$H921&lt;&gt;""),$P921,$Q921)</f>
        <v/>
      </c>
      <c r="T921">
        <f>IF(OR($C921="",$D921="Доход",$I921="Оплачено",$I921="Отменено",$H921&lt;&gt;"",$C921&lt;TODAY()),"",$C921)</f>
        <v/>
      </c>
      <c r="U921">
        <f>IF(AND($D921&lt;&gt;"Доход",COUNTIFS(Счета!$B$10:$B$21,$J921,Счета!$C$10:$C$21,"Кредитная")&gt;0),1,0)</f>
        <v/>
      </c>
    </row>
    <row r="922" ht="19" customHeight="1">
      <c r="B922" s="53">
        <f>IF(AND($C922="",$F922=""),"",ROW()-9)</f>
        <v/>
      </c>
      <c r="C922" s="213" t="n"/>
      <c r="D922" s="55" t="n"/>
      <c r="E922" s="55" t="n"/>
      <c r="F922" s="56" t="n"/>
      <c r="G922" s="196" t="n"/>
      <c r="H922" s="196" t="n"/>
      <c r="I922" s="55" t="n"/>
      <c r="J922" s="55" t="n"/>
      <c r="K922" s="55" t="n"/>
      <c r="L922" s="100">
        <f>IF(OR($C922="",$I922="Оплачено",$I922="Отменено",$H922&lt;&gt;""),"",$C922-TODAY())</f>
        <v/>
      </c>
      <c r="M922" s="101">
        <f>IF($C922="","",INDEX(Настройки!$V$6:$V$17,MONTH($C922))&amp;" "&amp;YEAR($C922))</f>
        <v/>
      </c>
      <c r="N922" s="57">
        <f>IF($F922="","",IF(COUNTIF(Постоянные!$C$8:$C$37,$F922)&gt;0,"есть в Постоянных",IF(COUNTIF(Покупки!$C$7:$C$18,$F922)&gt;0,"есть в Покупках","")))</f>
        <v/>
      </c>
      <c r="P922">
        <f>IF($H922&lt;&gt;"",$H922,IF($I922="Оплачено",N($G922),0))</f>
        <v/>
      </c>
      <c r="Q922">
        <f>IF($I922="Отменено",0,IF($G922&lt;&gt;"",$G922,N($H922)))</f>
        <v/>
      </c>
      <c r="R922">
        <f>IF($C922="","",IFERROR(DATE(Настройки!$C$8,Настройки!$D$9+MATCH($M922,Настройки!$X$6:$X$17,0)-1,1),DATE(YEAR($C922),MONTH($C922),1)))</f>
        <v/>
      </c>
      <c r="S922">
        <f>IF(OR($I922="Оплачено",$H922&lt;&gt;""),$P922,$Q922)</f>
        <v/>
      </c>
      <c r="T922">
        <f>IF(OR($C922="",$D922="Доход",$I922="Оплачено",$I922="Отменено",$H922&lt;&gt;"",$C922&lt;TODAY()),"",$C922)</f>
        <v/>
      </c>
      <c r="U922">
        <f>IF(AND($D922&lt;&gt;"Доход",COUNTIFS(Счета!$B$10:$B$21,$J922,Счета!$C$10:$C$21,"Кредитная")&gt;0),1,0)</f>
        <v/>
      </c>
    </row>
    <row r="923" ht="19" customHeight="1">
      <c r="B923" s="53">
        <f>IF(AND($C923="",$F923=""),"",ROW()-9)</f>
        <v/>
      </c>
      <c r="C923" s="213" t="n"/>
      <c r="D923" s="55" t="n"/>
      <c r="E923" s="55" t="n"/>
      <c r="F923" s="56" t="n"/>
      <c r="G923" s="196" t="n"/>
      <c r="H923" s="196" t="n"/>
      <c r="I923" s="55" t="n"/>
      <c r="J923" s="55" t="n"/>
      <c r="K923" s="55" t="n"/>
      <c r="L923" s="100">
        <f>IF(OR($C923="",$I923="Оплачено",$I923="Отменено",$H923&lt;&gt;""),"",$C923-TODAY())</f>
        <v/>
      </c>
      <c r="M923" s="101">
        <f>IF($C923="","",INDEX(Настройки!$V$6:$V$17,MONTH($C923))&amp;" "&amp;YEAR($C923))</f>
        <v/>
      </c>
      <c r="N923" s="57">
        <f>IF($F923="","",IF(COUNTIF(Постоянные!$C$8:$C$37,$F923)&gt;0,"есть в Постоянных",IF(COUNTIF(Покупки!$C$7:$C$18,$F923)&gt;0,"есть в Покупках","")))</f>
        <v/>
      </c>
      <c r="P923">
        <f>IF($H923&lt;&gt;"",$H923,IF($I923="Оплачено",N($G923),0))</f>
        <v/>
      </c>
      <c r="Q923">
        <f>IF($I923="Отменено",0,IF($G923&lt;&gt;"",$G923,N($H923)))</f>
        <v/>
      </c>
      <c r="R923">
        <f>IF($C923="","",IFERROR(DATE(Настройки!$C$8,Настройки!$D$9+MATCH($M923,Настройки!$X$6:$X$17,0)-1,1),DATE(YEAR($C923),MONTH($C923),1)))</f>
        <v/>
      </c>
      <c r="S923">
        <f>IF(OR($I923="Оплачено",$H923&lt;&gt;""),$P923,$Q923)</f>
        <v/>
      </c>
      <c r="T923">
        <f>IF(OR($C923="",$D923="Доход",$I923="Оплачено",$I923="Отменено",$H923&lt;&gt;"",$C923&lt;TODAY()),"",$C923)</f>
        <v/>
      </c>
      <c r="U923">
        <f>IF(AND($D923&lt;&gt;"Доход",COUNTIFS(Счета!$B$10:$B$21,$J923,Счета!$C$10:$C$21,"Кредитная")&gt;0),1,0)</f>
        <v/>
      </c>
    </row>
    <row r="924" ht="19" customHeight="1">
      <c r="B924" s="53">
        <f>IF(AND($C924="",$F924=""),"",ROW()-9)</f>
        <v/>
      </c>
      <c r="C924" s="213" t="n"/>
      <c r="D924" s="55" t="n"/>
      <c r="E924" s="55" t="n"/>
      <c r="F924" s="56" t="n"/>
      <c r="G924" s="196" t="n"/>
      <c r="H924" s="196" t="n"/>
      <c r="I924" s="55" t="n"/>
      <c r="J924" s="55" t="n"/>
      <c r="K924" s="55" t="n"/>
      <c r="L924" s="100">
        <f>IF(OR($C924="",$I924="Оплачено",$I924="Отменено",$H924&lt;&gt;""),"",$C924-TODAY())</f>
        <v/>
      </c>
      <c r="M924" s="101">
        <f>IF($C924="","",INDEX(Настройки!$V$6:$V$17,MONTH($C924))&amp;" "&amp;YEAR($C924))</f>
        <v/>
      </c>
      <c r="N924" s="57">
        <f>IF($F924="","",IF(COUNTIF(Постоянные!$C$8:$C$37,$F924)&gt;0,"есть в Постоянных",IF(COUNTIF(Покупки!$C$7:$C$18,$F924)&gt;0,"есть в Покупках","")))</f>
        <v/>
      </c>
      <c r="P924">
        <f>IF($H924&lt;&gt;"",$H924,IF($I924="Оплачено",N($G924),0))</f>
        <v/>
      </c>
      <c r="Q924">
        <f>IF($I924="Отменено",0,IF($G924&lt;&gt;"",$G924,N($H924)))</f>
        <v/>
      </c>
      <c r="R924">
        <f>IF($C924="","",IFERROR(DATE(Настройки!$C$8,Настройки!$D$9+MATCH($M924,Настройки!$X$6:$X$17,0)-1,1),DATE(YEAR($C924),MONTH($C924),1)))</f>
        <v/>
      </c>
      <c r="S924">
        <f>IF(OR($I924="Оплачено",$H924&lt;&gt;""),$P924,$Q924)</f>
        <v/>
      </c>
      <c r="T924">
        <f>IF(OR($C924="",$D924="Доход",$I924="Оплачено",$I924="Отменено",$H924&lt;&gt;"",$C924&lt;TODAY()),"",$C924)</f>
        <v/>
      </c>
      <c r="U924">
        <f>IF(AND($D924&lt;&gt;"Доход",COUNTIFS(Счета!$B$10:$B$21,$J924,Счета!$C$10:$C$21,"Кредитная")&gt;0),1,0)</f>
        <v/>
      </c>
    </row>
    <row r="925" ht="19" customHeight="1">
      <c r="B925" s="53">
        <f>IF(AND($C925="",$F925=""),"",ROW()-9)</f>
        <v/>
      </c>
      <c r="C925" s="213" t="n"/>
      <c r="D925" s="55" t="n"/>
      <c r="E925" s="55" t="n"/>
      <c r="F925" s="56" t="n"/>
      <c r="G925" s="196" t="n"/>
      <c r="H925" s="196" t="n"/>
      <c r="I925" s="55" t="n"/>
      <c r="J925" s="55" t="n"/>
      <c r="K925" s="55" t="n"/>
      <c r="L925" s="100">
        <f>IF(OR($C925="",$I925="Оплачено",$I925="Отменено",$H925&lt;&gt;""),"",$C925-TODAY())</f>
        <v/>
      </c>
      <c r="M925" s="101">
        <f>IF($C925="","",INDEX(Настройки!$V$6:$V$17,MONTH($C925))&amp;" "&amp;YEAR($C925))</f>
        <v/>
      </c>
      <c r="N925" s="57">
        <f>IF($F925="","",IF(COUNTIF(Постоянные!$C$8:$C$37,$F925)&gt;0,"есть в Постоянных",IF(COUNTIF(Покупки!$C$7:$C$18,$F925)&gt;0,"есть в Покупках","")))</f>
        <v/>
      </c>
      <c r="P925">
        <f>IF($H925&lt;&gt;"",$H925,IF($I925="Оплачено",N($G925),0))</f>
        <v/>
      </c>
      <c r="Q925">
        <f>IF($I925="Отменено",0,IF($G925&lt;&gt;"",$G925,N($H925)))</f>
        <v/>
      </c>
      <c r="R925">
        <f>IF($C925="","",IFERROR(DATE(Настройки!$C$8,Настройки!$D$9+MATCH($M925,Настройки!$X$6:$X$17,0)-1,1),DATE(YEAR($C925),MONTH($C925),1)))</f>
        <v/>
      </c>
      <c r="S925">
        <f>IF(OR($I925="Оплачено",$H925&lt;&gt;""),$P925,$Q925)</f>
        <v/>
      </c>
      <c r="T925">
        <f>IF(OR($C925="",$D925="Доход",$I925="Оплачено",$I925="Отменено",$H925&lt;&gt;"",$C925&lt;TODAY()),"",$C925)</f>
        <v/>
      </c>
      <c r="U925">
        <f>IF(AND($D925&lt;&gt;"Доход",COUNTIFS(Счета!$B$10:$B$21,$J925,Счета!$C$10:$C$21,"Кредитная")&gt;0),1,0)</f>
        <v/>
      </c>
    </row>
    <row r="926" ht="19" customHeight="1">
      <c r="B926" s="53">
        <f>IF(AND($C926="",$F926=""),"",ROW()-9)</f>
        <v/>
      </c>
      <c r="C926" s="213" t="n"/>
      <c r="D926" s="55" t="n"/>
      <c r="E926" s="55" t="n"/>
      <c r="F926" s="56" t="n"/>
      <c r="G926" s="196" t="n"/>
      <c r="H926" s="196" t="n"/>
      <c r="I926" s="55" t="n"/>
      <c r="J926" s="55" t="n"/>
      <c r="K926" s="55" t="n"/>
      <c r="L926" s="100">
        <f>IF(OR($C926="",$I926="Оплачено",$I926="Отменено",$H926&lt;&gt;""),"",$C926-TODAY())</f>
        <v/>
      </c>
      <c r="M926" s="101">
        <f>IF($C926="","",INDEX(Настройки!$V$6:$V$17,MONTH($C926))&amp;" "&amp;YEAR($C926))</f>
        <v/>
      </c>
      <c r="N926" s="57">
        <f>IF($F926="","",IF(COUNTIF(Постоянные!$C$8:$C$37,$F926)&gt;0,"есть в Постоянных",IF(COUNTIF(Покупки!$C$7:$C$18,$F926)&gt;0,"есть в Покупках","")))</f>
        <v/>
      </c>
      <c r="P926">
        <f>IF($H926&lt;&gt;"",$H926,IF($I926="Оплачено",N($G926),0))</f>
        <v/>
      </c>
      <c r="Q926">
        <f>IF($I926="Отменено",0,IF($G926&lt;&gt;"",$G926,N($H926)))</f>
        <v/>
      </c>
      <c r="R926">
        <f>IF($C926="","",IFERROR(DATE(Настройки!$C$8,Настройки!$D$9+MATCH($M926,Настройки!$X$6:$X$17,0)-1,1),DATE(YEAR($C926),MONTH($C926),1)))</f>
        <v/>
      </c>
      <c r="S926">
        <f>IF(OR($I926="Оплачено",$H926&lt;&gt;""),$P926,$Q926)</f>
        <v/>
      </c>
      <c r="T926">
        <f>IF(OR($C926="",$D926="Доход",$I926="Оплачено",$I926="Отменено",$H926&lt;&gt;"",$C926&lt;TODAY()),"",$C926)</f>
        <v/>
      </c>
      <c r="U926">
        <f>IF(AND($D926&lt;&gt;"Доход",COUNTIFS(Счета!$B$10:$B$21,$J926,Счета!$C$10:$C$21,"Кредитная")&gt;0),1,0)</f>
        <v/>
      </c>
    </row>
    <row r="927" ht="19" customHeight="1">
      <c r="B927" s="53">
        <f>IF(AND($C927="",$F927=""),"",ROW()-9)</f>
        <v/>
      </c>
      <c r="C927" s="213" t="n"/>
      <c r="D927" s="55" t="n"/>
      <c r="E927" s="55" t="n"/>
      <c r="F927" s="56" t="n"/>
      <c r="G927" s="196" t="n"/>
      <c r="H927" s="196" t="n"/>
      <c r="I927" s="55" t="n"/>
      <c r="J927" s="55" t="n"/>
      <c r="K927" s="55" t="n"/>
      <c r="L927" s="100">
        <f>IF(OR($C927="",$I927="Оплачено",$I927="Отменено",$H927&lt;&gt;""),"",$C927-TODAY())</f>
        <v/>
      </c>
      <c r="M927" s="101">
        <f>IF($C927="","",INDEX(Настройки!$V$6:$V$17,MONTH($C927))&amp;" "&amp;YEAR($C927))</f>
        <v/>
      </c>
      <c r="N927" s="57">
        <f>IF($F927="","",IF(COUNTIF(Постоянные!$C$8:$C$37,$F927)&gt;0,"есть в Постоянных",IF(COUNTIF(Покупки!$C$7:$C$18,$F927)&gt;0,"есть в Покупках","")))</f>
        <v/>
      </c>
      <c r="P927">
        <f>IF($H927&lt;&gt;"",$H927,IF($I927="Оплачено",N($G927),0))</f>
        <v/>
      </c>
      <c r="Q927">
        <f>IF($I927="Отменено",0,IF($G927&lt;&gt;"",$G927,N($H927)))</f>
        <v/>
      </c>
      <c r="R927">
        <f>IF($C927="","",IFERROR(DATE(Настройки!$C$8,Настройки!$D$9+MATCH($M927,Настройки!$X$6:$X$17,0)-1,1),DATE(YEAR($C927),MONTH($C927),1)))</f>
        <v/>
      </c>
      <c r="S927">
        <f>IF(OR($I927="Оплачено",$H927&lt;&gt;""),$P927,$Q927)</f>
        <v/>
      </c>
      <c r="T927">
        <f>IF(OR($C927="",$D927="Доход",$I927="Оплачено",$I927="Отменено",$H927&lt;&gt;"",$C927&lt;TODAY()),"",$C927)</f>
        <v/>
      </c>
      <c r="U927">
        <f>IF(AND($D927&lt;&gt;"Доход",COUNTIFS(Счета!$B$10:$B$21,$J927,Счета!$C$10:$C$21,"Кредитная")&gt;0),1,0)</f>
        <v/>
      </c>
    </row>
    <row r="928" ht="19" customHeight="1">
      <c r="B928" s="53">
        <f>IF(AND($C928="",$F928=""),"",ROW()-9)</f>
        <v/>
      </c>
      <c r="C928" s="213" t="n"/>
      <c r="D928" s="55" t="n"/>
      <c r="E928" s="55" t="n"/>
      <c r="F928" s="56" t="n"/>
      <c r="G928" s="196" t="n"/>
      <c r="H928" s="196" t="n"/>
      <c r="I928" s="55" t="n"/>
      <c r="J928" s="55" t="n"/>
      <c r="K928" s="55" t="n"/>
      <c r="L928" s="100">
        <f>IF(OR($C928="",$I928="Оплачено",$I928="Отменено",$H928&lt;&gt;""),"",$C928-TODAY())</f>
        <v/>
      </c>
      <c r="M928" s="101">
        <f>IF($C928="","",INDEX(Настройки!$V$6:$V$17,MONTH($C928))&amp;" "&amp;YEAR($C928))</f>
        <v/>
      </c>
      <c r="N928" s="57">
        <f>IF($F928="","",IF(COUNTIF(Постоянные!$C$8:$C$37,$F928)&gt;0,"есть в Постоянных",IF(COUNTIF(Покупки!$C$7:$C$18,$F928)&gt;0,"есть в Покупках","")))</f>
        <v/>
      </c>
      <c r="P928">
        <f>IF($H928&lt;&gt;"",$H928,IF($I928="Оплачено",N($G928),0))</f>
        <v/>
      </c>
      <c r="Q928">
        <f>IF($I928="Отменено",0,IF($G928&lt;&gt;"",$G928,N($H928)))</f>
        <v/>
      </c>
      <c r="R928">
        <f>IF($C928="","",IFERROR(DATE(Настройки!$C$8,Настройки!$D$9+MATCH($M928,Настройки!$X$6:$X$17,0)-1,1),DATE(YEAR($C928),MONTH($C928),1)))</f>
        <v/>
      </c>
      <c r="S928">
        <f>IF(OR($I928="Оплачено",$H928&lt;&gt;""),$P928,$Q928)</f>
        <v/>
      </c>
      <c r="T928">
        <f>IF(OR($C928="",$D928="Доход",$I928="Оплачено",$I928="Отменено",$H928&lt;&gt;"",$C928&lt;TODAY()),"",$C928)</f>
        <v/>
      </c>
      <c r="U928">
        <f>IF(AND($D928&lt;&gt;"Доход",COUNTIFS(Счета!$B$10:$B$21,$J928,Счета!$C$10:$C$21,"Кредитная")&gt;0),1,0)</f>
        <v/>
      </c>
    </row>
    <row r="929" ht="19" customHeight="1">
      <c r="B929" s="53">
        <f>IF(AND($C929="",$F929=""),"",ROW()-9)</f>
        <v/>
      </c>
      <c r="C929" s="213" t="n"/>
      <c r="D929" s="55" t="n"/>
      <c r="E929" s="55" t="n"/>
      <c r="F929" s="56" t="n"/>
      <c r="G929" s="196" t="n"/>
      <c r="H929" s="196" t="n"/>
      <c r="I929" s="55" t="n"/>
      <c r="J929" s="55" t="n"/>
      <c r="K929" s="55" t="n"/>
      <c r="L929" s="100">
        <f>IF(OR($C929="",$I929="Оплачено",$I929="Отменено",$H929&lt;&gt;""),"",$C929-TODAY())</f>
        <v/>
      </c>
      <c r="M929" s="101">
        <f>IF($C929="","",INDEX(Настройки!$V$6:$V$17,MONTH($C929))&amp;" "&amp;YEAR($C929))</f>
        <v/>
      </c>
      <c r="N929" s="57">
        <f>IF($F929="","",IF(COUNTIF(Постоянные!$C$8:$C$37,$F929)&gt;0,"есть в Постоянных",IF(COUNTIF(Покупки!$C$7:$C$18,$F929)&gt;0,"есть в Покупках","")))</f>
        <v/>
      </c>
      <c r="P929">
        <f>IF($H929&lt;&gt;"",$H929,IF($I929="Оплачено",N($G929),0))</f>
        <v/>
      </c>
      <c r="Q929">
        <f>IF($I929="Отменено",0,IF($G929&lt;&gt;"",$G929,N($H929)))</f>
        <v/>
      </c>
      <c r="R929">
        <f>IF($C929="","",IFERROR(DATE(Настройки!$C$8,Настройки!$D$9+MATCH($M929,Настройки!$X$6:$X$17,0)-1,1),DATE(YEAR($C929),MONTH($C929),1)))</f>
        <v/>
      </c>
      <c r="S929">
        <f>IF(OR($I929="Оплачено",$H929&lt;&gt;""),$P929,$Q929)</f>
        <v/>
      </c>
      <c r="T929">
        <f>IF(OR($C929="",$D929="Доход",$I929="Оплачено",$I929="Отменено",$H929&lt;&gt;"",$C929&lt;TODAY()),"",$C929)</f>
        <v/>
      </c>
      <c r="U929">
        <f>IF(AND($D929&lt;&gt;"Доход",COUNTIFS(Счета!$B$10:$B$21,$J929,Счета!$C$10:$C$21,"Кредитная")&gt;0),1,0)</f>
        <v/>
      </c>
    </row>
    <row r="930" ht="19" customHeight="1">
      <c r="B930" s="53">
        <f>IF(AND($C930="",$F930=""),"",ROW()-9)</f>
        <v/>
      </c>
      <c r="C930" s="213" t="n"/>
      <c r="D930" s="55" t="n"/>
      <c r="E930" s="55" t="n"/>
      <c r="F930" s="56" t="n"/>
      <c r="G930" s="196" t="n"/>
      <c r="H930" s="196" t="n"/>
      <c r="I930" s="55" t="n"/>
      <c r="J930" s="55" t="n"/>
      <c r="K930" s="55" t="n"/>
      <c r="L930" s="100">
        <f>IF(OR($C930="",$I930="Оплачено",$I930="Отменено",$H930&lt;&gt;""),"",$C930-TODAY())</f>
        <v/>
      </c>
      <c r="M930" s="101">
        <f>IF($C930="","",INDEX(Настройки!$V$6:$V$17,MONTH($C930))&amp;" "&amp;YEAR($C930))</f>
        <v/>
      </c>
      <c r="N930" s="57">
        <f>IF($F930="","",IF(COUNTIF(Постоянные!$C$8:$C$37,$F930)&gt;0,"есть в Постоянных",IF(COUNTIF(Покупки!$C$7:$C$18,$F930)&gt;0,"есть в Покупках","")))</f>
        <v/>
      </c>
      <c r="P930">
        <f>IF($H930&lt;&gt;"",$H930,IF($I930="Оплачено",N($G930),0))</f>
        <v/>
      </c>
      <c r="Q930">
        <f>IF($I930="Отменено",0,IF($G930&lt;&gt;"",$G930,N($H930)))</f>
        <v/>
      </c>
      <c r="R930">
        <f>IF($C930="","",IFERROR(DATE(Настройки!$C$8,Настройки!$D$9+MATCH($M930,Настройки!$X$6:$X$17,0)-1,1),DATE(YEAR($C930),MONTH($C930),1)))</f>
        <v/>
      </c>
      <c r="S930">
        <f>IF(OR($I930="Оплачено",$H930&lt;&gt;""),$P930,$Q930)</f>
        <v/>
      </c>
      <c r="T930">
        <f>IF(OR($C930="",$D930="Доход",$I930="Оплачено",$I930="Отменено",$H930&lt;&gt;"",$C930&lt;TODAY()),"",$C930)</f>
        <v/>
      </c>
      <c r="U930">
        <f>IF(AND($D930&lt;&gt;"Доход",COUNTIFS(Счета!$B$10:$B$21,$J930,Счета!$C$10:$C$21,"Кредитная")&gt;0),1,0)</f>
        <v/>
      </c>
    </row>
    <row r="931" ht="19" customHeight="1">
      <c r="B931" s="53">
        <f>IF(AND($C931="",$F931=""),"",ROW()-9)</f>
        <v/>
      </c>
      <c r="C931" s="213" t="n"/>
      <c r="D931" s="55" t="n"/>
      <c r="E931" s="55" t="n"/>
      <c r="F931" s="56" t="n"/>
      <c r="G931" s="196" t="n"/>
      <c r="H931" s="196" t="n"/>
      <c r="I931" s="55" t="n"/>
      <c r="J931" s="55" t="n"/>
      <c r="K931" s="55" t="n"/>
      <c r="L931" s="100">
        <f>IF(OR($C931="",$I931="Оплачено",$I931="Отменено",$H931&lt;&gt;""),"",$C931-TODAY())</f>
        <v/>
      </c>
      <c r="M931" s="101">
        <f>IF($C931="","",INDEX(Настройки!$V$6:$V$17,MONTH($C931))&amp;" "&amp;YEAR($C931))</f>
        <v/>
      </c>
      <c r="N931" s="57">
        <f>IF($F931="","",IF(COUNTIF(Постоянные!$C$8:$C$37,$F931)&gt;0,"есть в Постоянных",IF(COUNTIF(Покупки!$C$7:$C$18,$F931)&gt;0,"есть в Покупках","")))</f>
        <v/>
      </c>
      <c r="P931">
        <f>IF($H931&lt;&gt;"",$H931,IF($I931="Оплачено",N($G931),0))</f>
        <v/>
      </c>
      <c r="Q931">
        <f>IF($I931="Отменено",0,IF($G931&lt;&gt;"",$G931,N($H931)))</f>
        <v/>
      </c>
      <c r="R931">
        <f>IF($C931="","",IFERROR(DATE(Настройки!$C$8,Настройки!$D$9+MATCH($M931,Настройки!$X$6:$X$17,0)-1,1),DATE(YEAR($C931),MONTH($C931),1)))</f>
        <v/>
      </c>
      <c r="S931">
        <f>IF(OR($I931="Оплачено",$H931&lt;&gt;""),$P931,$Q931)</f>
        <v/>
      </c>
      <c r="T931">
        <f>IF(OR($C931="",$D931="Доход",$I931="Оплачено",$I931="Отменено",$H931&lt;&gt;"",$C931&lt;TODAY()),"",$C931)</f>
        <v/>
      </c>
      <c r="U931">
        <f>IF(AND($D931&lt;&gt;"Доход",COUNTIFS(Счета!$B$10:$B$21,$J931,Счета!$C$10:$C$21,"Кредитная")&gt;0),1,0)</f>
        <v/>
      </c>
    </row>
    <row r="932" ht="19" customHeight="1">
      <c r="B932" s="53">
        <f>IF(AND($C932="",$F932=""),"",ROW()-9)</f>
        <v/>
      </c>
      <c r="C932" s="213" t="n"/>
      <c r="D932" s="55" t="n"/>
      <c r="E932" s="55" t="n"/>
      <c r="F932" s="56" t="n"/>
      <c r="G932" s="196" t="n"/>
      <c r="H932" s="196" t="n"/>
      <c r="I932" s="55" t="n"/>
      <c r="J932" s="55" t="n"/>
      <c r="K932" s="55" t="n"/>
      <c r="L932" s="100">
        <f>IF(OR($C932="",$I932="Оплачено",$I932="Отменено",$H932&lt;&gt;""),"",$C932-TODAY())</f>
        <v/>
      </c>
      <c r="M932" s="101">
        <f>IF($C932="","",INDEX(Настройки!$V$6:$V$17,MONTH($C932))&amp;" "&amp;YEAR($C932))</f>
        <v/>
      </c>
      <c r="N932" s="57">
        <f>IF($F932="","",IF(COUNTIF(Постоянные!$C$8:$C$37,$F932)&gt;0,"есть в Постоянных",IF(COUNTIF(Покупки!$C$7:$C$18,$F932)&gt;0,"есть в Покупках","")))</f>
        <v/>
      </c>
      <c r="P932">
        <f>IF($H932&lt;&gt;"",$H932,IF($I932="Оплачено",N($G932),0))</f>
        <v/>
      </c>
      <c r="Q932">
        <f>IF($I932="Отменено",0,IF($G932&lt;&gt;"",$G932,N($H932)))</f>
        <v/>
      </c>
      <c r="R932">
        <f>IF($C932="","",IFERROR(DATE(Настройки!$C$8,Настройки!$D$9+MATCH($M932,Настройки!$X$6:$X$17,0)-1,1),DATE(YEAR($C932),MONTH($C932),1)))</f>
        <v/>
      </c>
      <c r="S932">
        <f>IF(OR($I932="Оплачено",$H932&lt;&gt;""),$P932,$Q932)</f>
        <v/>
      </c>
      <c r="T932">
        <f>IF(OR($C932="",$D932="Доход",$I932="Оплачено",$I932="Отменено",$H932&lt;&gt;"",$C932&lt;TODAY()),"",$C932)</f>
        <v/>
      </c>
      <c r="U932">
        <f>IF(AND($D932&lt;&gt;"Доход",COUNTIFS(Счета!$B$10:$B$21,$J932,Счета!$C$10:$C$21,"Кредитная")&gt;0),1,0)</f>
        <v/>
      </c>
    </row>
    <row r="933" ht="19" customHeight="1">
      <c r="B933" s="53">
        <f>IF(AND($C933="",$F933=""),"",ROW()-9)</f>
        <v/>
      </c>
      <c r="C933" s="213" t="n"/>
      <c r="D933" s="55" t="n"/>
      <c r="E933" s="55" t="n"/>
      <c r="F933" s="56" t="n"/>
      <c r="G933" s="196" t="n"/>
      <c r="H933" s="196" t="n"/>
      <c r="I933" s="55" t="n"/>
      <c r="J933" s="55" t="n"/>
      <c r="K933" s="55" t="n"/>
      <c r="L933" s="100">
        <f>IF(OR($C933="",$I933="Оплачено",$I933="Отменено",$H933&lt;&gt;""),"",$C933-TODAY())</f>
        <v/>
      </c>
      <c r="M933" s="101">
        <f>IF($C933="","",INDEX(Настройки!$V$6:$V$17,MONTH($C933))&amp;" "&amp;YEAR($C933))</f>
        <v/>
      </c>
      <c r="N933" s="57">
        <f>IF($F933="","",IF(COUNTIF(Постоянные!$C$8:$C$37,$F933)&gt;0,"есть в Постоянных",IF(COUNTIF(Покупки!$C$7:$C$18,$F933)&gt;0,"есть в Покупках","")))</f>
        <v/>
      </c>
      <c r="P933">
        <f>IF($H933&lt;&gt;"",$H933,IF($I933="Оплачено",N($G933),0))</f>
        <v/>
      </c>
      <c r="Q933">
        <f>IF($I933="Отменено",0,IF($G933&lt;&gt;"",$G933,N($H933)))</f>
        <v/>
      </c>
      <c r="R933">
        <f>IF($C933="","",IFERROR(DATE(Настройки!$C$8,Настройки!$D$9+MATCH($M933,Настройки!$X$6:$X$17,0)-1,1),DATE(YEAR($C933),MONTH($C933),1)))</f>
        <v/>
      </c>
      <c r="S933">
        <f>IF(OR($I933="Оплачено",$H933&lt;&gt;""),$P933,$Q933)</f>
        <v/>
      </c>
      <c r="T933">
        <f>IF(OR($C933="",$D933="Доход",$I933="Оплачено",$I933="Отменено",$H933&lt;&gt;"",$C933&lt;TODAY()),"",$C933)</f>
        <v/>
      </c>
      <c r="U933">
        <f>IF(AND($D933&lt;&gt;"Доход",COUNTIFS(Счета!$B$10:$B$21,$J933,Счета!$C$10:$C$21,"Кредитная")&gt;0),1,0)</f>
        <v/>
      </c>
    </row>
    <row r="934" ht="19" customHeight="1">
      <c r="B934" s="53">
        <f>IF(AND($C934="",$F934=""),"",ROW()-9)</f>
        <v/>
      </c>
      <c r="C934" s="213" t="n"/>
      <c r="D934" s="55" t="n"/>
      <c r="E934" s="55" t="n"/>
      <c r="F934" s="56" t="n"/>
      <c r="G934" s="196" t="n"/>
      <c r="H934" s="196" t="n"/>
      <c r="I934" s="55" t="n"/>
      <c r="J934" s="55" t="n"/>
      <c r="K934" s="55" t="n"/>
      <c r="L934" s="100">
        <f>IF(OR($C934="",$I934="Оплачено",$I934="Отменено",$H934&lt;&gt;""),"",$C934-TODAY())</f>
        <v/>
      </c>
      <c r="M934" s="101">
        <f>IF($C934="","",INDEX(Настройки!$V$6:$V$17,MONTH($C934))&amp;" "&amp;YEAR($C934))</f>
        <v/>
      </c>
      <c r="N934" s="57">
        <f>IF($F934="","",IF(COUNTIF(Постоянные!$C$8:$C$37,$F934)&gt;0,"есть в Постоянных",IF(COUNTIF(Покупки!$C$7:$C$18,$F934)&gt;0,"есть в Покупках","")))</f>
        <v/>
      </c>
      <c r="P934">
        <f>IF($H934&lt;&gt;"",$H934,IF($I934="Оплачено",N($G934),0))</f>
        <v/>
      </c>
      <c r="Q934">
        <f>IF($I934="Отменено",0,IF($G934&lt;&gt;"",$G934,N($H934)))</f>
        <v/>
      </c>
      <c r="R934">
        <f>IF($C934="","",IFERROR(DATE(Настройки!$C$8,Настройки!$D$9+MATCH($M934,Настройки!$X$6:$X$17,0)-1,1),DATE(YEAR($C934),MONTH($C934),1)))</f>
        <v/>
      </c>
      <c r="S934">
        <f>IF(OR($I934="Оплачено",$H934&lt;&gt;""),$P934,$Q934)</f>
        <v/>
      </c>
      <c r="T934">
        <f>IF(OR($C934="",$D934="Доход",$I934="Оплачено",$I934="Отменено",$H934&lt;&gt;"",$C934&lt;TODAY()),"",$C934)</f>
        <v/>
      </c>
      <c r="U934">
        <f>IF(AND($D934&lt;&gt;"Доход",COUNTIFS(Счета!$B$10:$B$21,$J934,Счета!$C$10:$C$21,"Кредитная")&gt;0),1,0)</f>
        <v/>
      </c>
    </row>
    <row r="935" ht="19" customHeight="1">
      <c r="B935" s="53">
        <f>IF(AND($C935="",$F935=""),"",ROW()-9)</f>
        <v/>
      </c>
      <c r="C935" s="213" t="n"/>
      <c r="D935" s="55" t="n"/>
      <c r="E935" s="55" t="n"/>
      <c r="F935" s="56" t="n"/>
      <c r="G935" s="196" t="n"/>
      <c r="H935" s="196" t="n"/>
      <c r="I935" s="55" t="n"/>
      <c r="J935" s="55" t="n"/>
      <c r="K935" s="55" t="n"/>
      <c r="L935" s="100">
        <f>IF(OR($C935="",$I935="Оплачено",$I935="Отменено",$H935&lt;&gt;""),"",$C935-TODAY())</f>
        <v/>
      </c>
      <c r="M935" s="101">
        <f>IF($C935="","",INDEX(Настройки!$V$6:$V$17,MONTH($C935))&amp;" "&amp;YEAR($C935))</f>
        <v/>
      </c>
      <c r="N935" s="57">
        <f>IF($F935="","",IF(COUNTIF(Постоянные!$C$8:$C$37,$F935)&gt;0,"есть в Постоянных",IF(COUNTIF(Покупки!$C$7:$C$18,$F935)&gt;0,"есть в Покупках","")))</f>
        <v/>
      </c>
      <c r="P935">
        <f>IF($H935&lt;&gt;"",$H935,IF($I935="Оплачено",N($G935),0))</f>
        <v/>
      </c>
      <c r="Q935">
        <f>IF($I935="Отменено",0,IF($G935&lt;&gt;"",$G935,N($H935)))</f>
        <v/>
      </c>
      <c r="R935">
        <f>IF($C935="","",IFERROR(DATE(Настройки!$C$8,Настройки!$D$9+MATCH($M935,Настройки!$X$6:$X$17,0)-1,1),DATE(YEAR($C935),MONTH($C935),1)))</f>
        <v/>
      </c>
      <c r="S935">
        <f>IF(OR($I935="Оплачено",$H935&lt;&gt;""),$P935,$Q935)</f>
        <v/>
      </c>
      <c r="T935">
        <f>IF(OR($C935="",$D935="Доход",$I935="Оплачено",$I935="Отменено",$H935&lt;&gt;"",$C935&lt;TODAY()),"",$C935)</f>
        <v/>
      </c>
      <c r="U935">
        <f>IF(AND($D935&lt;&gt;"Доход",COUNTIFS(Счета!$B$10:$B$21,$J935,Счета!$C$10:$C$21,"Кредитная")&gt;0),1,0)</f>
        <v/>
      </c>
    </row>
    <row r="936" ht="19" customHeight="1">
      <c r="B936" s="53">
        <f>IF(AND($C936="",$F936=""),"",ROW()-9)</f>
        <v/>
      </c>
      <c r="C936" s="213" t="n"/>
      <c r="D936" s="55" t="n"/>
      <c r="E936" s="55" t="n"/>
      <c r="F936" s="56" t="n"/>
      <c r="G936" s="196" t="n"/>
      <c r="H936" s="196" t="n"/>
      <c r="I936" s="55" t="n"/>
      <c r="J936" s="55" t="n"/>
      <c r="K936" s="55" t="n"/>
      <c r="L936" s="100">
        <f>IF(OR($C936="",$I936="Оплачено",$I936="Отменено",$H936&lt;&gt;""),"",$C936-TODAY())</f>
        <v/>
      </c>
      <c r="M936" s="101">
        <f>IF($C936="","",INDEX(Настройки!$V$6:$V$17,MONTH($C936))&amp;" "&amp;YEAR($C936))</f>
        <v/>
      </c>
      <c r="N936" s="57">
        <f>IF($F936="","",IF(COUNTIF(Постоянные!$C$8:$C$37,$F936)&gt;0,"есть в Постоянных",IF(COUNTIF(Покупки!$C$7:$C$18,$F936)&gt;0,"есть в Покупках","")))</f>
        <v/>
      </c>
      <c r="P936">
        <f>IF($H936&lt;&gt;"",$H936,IF($I936="Оплачено",N($G936),0))</f>
        <v/>
      </c>
      <c r="Q936">
        <f>IF($I936="Отменено",0,IF($G936&lt;&gt;"",$G936,N($H936)))</f>
        <v/>
      </c>
      <c r="R936">
        <f>IF($C936="","",IFERROR(DATE(Настройки!$C$8,Настройки!$D$9+MATCH($M936,Настройки!$X$6:$X$17,0)-1,1),DATE(YEAR($C936),MONTH($C936),1)))</f>
        <v/>
      </c>
      <c r="S936">
        <f>IF(OR($I936="Оплачено",$H936&lt;&gt;""),$P936,$Q936)</f>
        <v/>
      </c>
      <c r="T936">
        <f>IF(OR($C936="",$D936="Доход",$I936="Оплачено",$I936="Отменено",$H936&lt;&gt;"",$C936&lt;TODAY()),"",$C936)</f>
        <v/>
      </c>
      <c r="U936">
        <f>IF(AND($D936&lt;&gt;"Доход",COUNTIFS(Счета!$B$10:$B$21,$J936,Счета!$C$10:$C$21,"Кредитная")&gt;0),1,0)</f>
        <v/>
      </c>
    </row>
    <row r="937" ht="19" customHeight="1">
      <c r="B937" s="53">
        <f>IF(AND($C937="",$F937=""),"",ROW()-9)</f>
        <v/>
      </c>
      <c r="C937" s="213" t="n"/>
      <c r="D937" s="55" t="n"/>
      <c r="E937" s="55" t="n"/>
      <c r="F937" s="56" t="n"/>
      <c r="G937" s="196" t="n"/>
      <c r="H937" s="196" t="n"/>
      <c r="I937" s="55" t="n"/>
      <c r="J937" s="55" t="n"/>
      <c r="K937" s="55" t="n"/>
      <c r="L937" s="100">
        <f>IF(OR($C937="",$I937="Оплачено",$I937="Отменено",$H937&lt;&gt;""),"",$C937-TODAY())</f>
        <v/>
      </c>
      <c r="M937" s="101">
        <f>IF($C937="","",INDEX(Настройки!$V$6:$V$17,MONTH($C937))&amp;" "&amp;YEAR($C937))</f>
        <v/>
      </c>
      <c r="N937" s="57">
        <f>IF($F937="","",IF(COUNTIF(Постоянные!$C$8:$C$37,$F937)&gt;0,"есть в Постоянных",IF(COUNTIF(Покупки!$C$7:$C$18,$F937)&gt;0,"есть в Покупках","")))</f>
        <v/>
      </c>
      <c r="P937">
        <f>IF($H937&lt;&gt;"",$H937,IF($I937="Оплачено",N($G937),0))</f>
        <v/>
      </c>
      <c r="Q937">
        <f>IF($I937="Отменено",0,IF($G937&lt;&gt;"",$G937,N($H937)))</f>
        <v/>
      </c>
      <c r="R937">
        <f>IF($C937="","",IFERROR(DATE(Настройки!$C$8,Настройки!$D$9+MATCH($M937,Настройки!$X$6:$X$17,0)-1,1),DATE(YEAR($C937),MONTH($C937),1)))</f>
        <v/>
      </c>
      <c r="S937">
        <f>IF(OR($I937="Оплачено",$H937&lt;&gt;""),$P937,$Q937)</f>
        <v/>
      </c>
      <c r="T937">
        <f>IF(OR($C937="",$D937="Доход",$I937="Оплачено",$I937="Отменено",$H937&lt;&gt;"",$C937&lt;TODAY()),"",$C937)</f>
        <v/>
      </c>
      <c r="U937">
        <f>IF(AND($D937&lt;&gt;"Доход",COUNTIFS(Счета!$B$10:$B$21,$J937,Счета!$C$10:$C$21,"Кредитная")&gt;0),1,0)</f>
        <v/>
      </c>
    </row>
    <row r="938" ht="19" customHeight="1">
      <c r="B938" s="53">
        <f>IF(AND($C938="",$F938=""),"",ROW()-9)</f>
        <v/>
      </c>
      <c r="C938" s="213" t="n"/>
      <c r="D938" s="55" t="n"/>
      <c r="E938" s="55" t="n"/>
      <c r="F938" s="56" t="n"/>
      <c r="G938" s="196" t="n"/>
      <c r="H938" s="196" t="n"/>
      <c r="I938" s="55" t="n"/>
      <c r="J938" s="55" t="n"/>
      <c r="K938" s="55" t="n"/>
      <c r="L938" s="100">
        <f>IF(OR($C938="",$I938="Оплачено",$I938="Отменено",$H938&lt;&gt;""),"",$C938-TODAY())</f>
        <v/>
      </c>
      <c r="M938" s="101">
        <f>IF($C938="","",INDEX(Настройки!$V$6:$V$17,MONTH($C938))&amp;" "&amp;YEAR($C938))</f>
        <v/>
      </c>
      <c r="N938" s="57">
        <f>IF($F938="","",IF(COUNTIF(Постоянные!$C$8:$C$37,$F938)&gt;0,"есть в Постоянных",IF(COUNTIF(Покупки!$C$7:$C$18,$F938)&gt;0,"есть в Покупках","")))</f>
        <v/>
      </c>
      <c r="P938">
        <f>IF($H938&lt;&gt;"",$H938,IF($I938="Оплачено",N($G938),0))</f>
        <v/>
      </c>
      <c r="Q938">
        <f>IF($I938="Отменено",0,IF($G938&lt;&gt;"",$G938,N($H938)))</f>
        <v/>
      </c>
      <c r="R938">
        <f>IF($C938="","",IFERROR(DATE(Настройки!$C$8,Настройки!$D$9+MATCH($M938,Настройки!$X$6:$X$17,0)-1,1),DATE(YEAR($C938),MONTH($C938),1)))</f>
        <v/>
      </c>
      <c r="S938">
        <f>IF(OR($I938="Оплачено",$H938&lt;&gt;""),$P938,$Q938)</f>
        <v/>
      </c>
      <c r="T938">
        <f>IF(OR($C938="",$D938="Доход",$I938="Оплачено",$I938="Отменено",$H938&lt;&gt;"",$C938&lt;TODAY()),"",$C938)</f>
        <v/>
      </c>
      <c r="U938">
        <f>IF(AND($D938&lt;&gt;"Доход",COUNTIFS(Счета!$B$10:$B$21,$J938,Счета!$C$10:$C$21,"Кредитная")&gt;0),1,0)</f>
        <v/>
      </c>
    </row>
    <row r="939" ht="19" customHeight="1">
      <c r="B939" s="53">
        <f>IF(AND($C939="",$F939=""),"",ROW()-9)</f>
        <v/>
      </c>
      <c r="C939" s="213" t="n"/>
      <c r="D939" s="55" t="n"/>
      <c r="E939" s="55" t="n"/>
      <c r="F939" s="56" t="n"/>
      <c r="G939" s="196" t="n"/>
      <c r="H939" s="196" t="n"/>
      <c r="I939" s="55" t="n"/>
      <c r="J939" s="55" t="n"/>
      <c r="K939" s="55" t="n"/>
      <c r="L939" s="100">
        <f>IF(OR($C939="",$I939="Оплачено",$I939="Отменено",$H939&lt;&gt;""),"",$C939-TODAY())</f>
        <v/>
      </c>
      <c r="M939" s="101">
        <f>IF($C939="","",INDEX(Настройки!$V$6:$V$17,MONTH($C939))&amp;" "&amp;YEAR($C939))</f>
        <v/>
      </c>
      <c r="N939" s="57">
        <f>IF($F939="","",IF(COUNTIF(Постоянные!$C$8:$C$37,$F939)&gt;0,"есть в Постоянных",IF(COUNTIF(Покупки!$C$7:$C$18,$F939)&gt;0,"есть в Покупках","")))</f>
        <v/>
      </c>
      <c r="P939">
        <f>IF($H939&lt;&gt;"",$H939,IF($I939="Оплачено",N($G939),0))</f>
        <v/>
      </c>
      <c r="Q939">
        <f>IF($I939="Отменено",0,IF($G939&lt;&gt;"",$G939,N($H939)))</f>
        <v/>
      </c>
      <c r="R939">
        <f>IF($C939="","",IFERROR(DATE(Настройки!$C$8,Настройки!$D$9+MATCH($M939,Настройки!$X$6:$X$17,0)-1,1),DATE(YEAR($C939),MONTH($C939),1)))</f>
        <v/>
      </c>
      <c r="S939">
        <f>IF(OR($I939="Оплачено",$H939&lt;&gt;""),$P939,$Q939)</f>
        <v/>
      </c>
      <c r="T939">
        <f>IF(OR($C939="",$D939="Доход",$I939="Оплачено",$I939="Отменено",$H939&lt;&gt;"",$C939&lt;TODAY()),"",$C939)</f>
        <v/>
      </c>
      <c r="U939">
        <f>IF(AND($D939&lt;&gt;"Доход",COUNTIFS(Счета!$B$10:$B$21,$J939,Счета!$C$10:$C$21,"Кредитная")&gt;0),1,0)</f>
        <v/>
      </c>
    </row>
    <row r="940" ht="19" customHeight="1">
      <c r="B940" s="53">
        <f>IF(AND($C940="",$F940=""),"",ROW()-9)</f>
        <v/>
      </c>
      <c r="C940" s="213" t="n"/>
      <c r="D940" s="55" t="n"/>
      <c r="E940" s="55" t="n"/>
      <c r="F940" s="56" t="n"/>
      <c r="G940" s="196" t="n"/>
      <c r="H940" s="196" t="n"/>
      <c r="I940" s="55" t="n"/>
      <c r="J940" s="55" t="n"/>
      <c r="K940" s="55" t="n"/>
      <c r="L940" s="100">
        <f>IF(OR($C940="",$I940="Оплачено",$I940="Отменено",$H940&lt;&gt;""),"",$C940-TODAY())</f>
        <v/>
      </c>
      <c r="M940" s="101">
        <f>IF($C940="","",INDEX(Настройки!$V$6:$V$17,MONTH($C940))&amp;" "&amp;YEAR($C940))</f>
        <v/>
      </c>
      <c r="N940" s="57">
        <f>IF($F940="","",IF(COUNTIF(Постоянные!$C$8:$C$37,$F940)&gt;0,"есть в Постоянных",IF(COUNTIF(Покупки!$C$7:$C$18,$F940)&gt;0,"есть в Покупках","")))</f>
        <v/>
      </c>
      <c r="P940">
        <f>IF($H940&lt;&gt;"",$H940,IF($I940="Оплачено",N($G940),0))</f>
        <v/>
      </c>
      <c r="Q940">
        <f>IF($I940="Отменено",0,IF($G940&lt;&gt;"",$G940,N($H940)))</f>
        <v/>
      </c>
      <c r="R940">
        <f>IF($C940="","",IFERROR(DATE(Настройки!$C$8,Настройки!$D$9+MATCH($M940,Настройки!$X$6:$X$17,0)-1,1),DATE(YEAR($C940),MONTH($C940),1)))</f>
        <v/>
      </c>
      <c r="S940">
        <f>IF(OR($I940="Оплачено",$H940&lt;&gt;""),$P940,$Q940)</f>
        <v/>
      </c>
      <c r="T940">
        <f>IF(OR($C940="",$D940="Доход",$I940="Оплачено",$I940="Отменено",$H940&lt;&gt;"",$C940&lt;TODAY()),"",$C940)</f>
        <v/>
      </c>
      <c r="U940">
        <f>IF(AND($D940&lt;&gt;"Доход",COUNTIFS(Счета!$B$10:$B$21,$J940,Счета!$C$10:$C$21,"Кредитная")&gt;0),1,0)</f>
        <v/>
      </c>
    </row>
    <row r="941" ht="19" customHeight="1">
      <c r="B941" s="53">
        <f>IF(AND($C941="",$F941=""),"",ROW()-9)</f>
        <v/>
      </c>
      <c r="C941" s="213" t="n"/>
      <c r="D941" s="55" t="n"/>
      <c r="E941" s="55" t="n"/>
      <c r="F941" s="56" t="n"/>
      <c r="G941" s="196" t="n"/>
      <c r="H941" s="196" t="n"/>
      <c r="I941" s="55" t="n"/>
      <c r="J941" s="55" t="n"/>
      <c r="K941" s="55" t="n"/>
      <c r="L941" s="100">
        <f>IF(OR($C941="",$I941="Оплачено",$I941="Отменено",$H941&lt;&gt;""),"",$C941-TODAY())</f>
        <v/>
      </c>
      <c r="M941" s="101">
        <f>IF($C941="","",INDEX(Настройки!$V$6:$V$17,MONTH($C941))&amp;" "&amp;YEAR($C941))</f>
        <v/>
      </c>
      <c r="N941" s="57">
        <f>IF($F941="","",IF(COUNTIF(Постоянные!$C$8:$C$37,$F941)&gt;0,"есть в Постоянных",IF(COUNTIF(Покупки!$C$7:$C$18,$F941)&gt;0,"есть в Покупках","")))</f>
        <v/>
      </c>
      <c r="P941">
        <f>IF($H941&lt;&gt;"",$H941,IF($I941="Оплачено",N($G941),0))</f>
        <v/>
      </c>
      <c r="Q941">
        <f>IF($I941="Отменено",0,IF($G941&lt;&gt;"",$G941,N($H941)))</f>
        <v/>
      </c>
      <c r="R941">
        <f>IF($C941="","",IFERROR(DATE(Настройки!$C$8,Настройки!$D$9+MATCH($M941,Настройки!$X$6:$X$17,0)-1,1),DATE(YEAR($C941),MONTH($C941),1)))</f>
        <v/>
      </c>
      <c r="S941">
        <f>IF(OR($I941="Оплачено",$H941&lt;&gt;""),$P941,$Q941)</f>
        <v/>
      </c>
      <c r="T941">
        <f>IF(OR($C941="",$D941="Доход",$I941="Оплачено",$I941="Отменено",$H941&lt;&gt;"",$C941&lt;TODAY()),"",$C941)</f>
        <v/>
      </c>
      <c r="U941">
        <f>IF(AND($D941&lt;&gt;"Доход",COUNTIFS(Счета!$B$10:$B$21,$J941,Счета!$C$10:$C$21,"Кредитная")&gt;0),1,0)</f>
        <v/>
      </c>
    </row>
    <row r="942" ht="19" customHeight="1">
      <c r="B942" s="53">
        <f>IF(AND($C942="",$F942=""),"",ROW()-9)</f>
        <v/>
      </c>
      <c r="C942" s="213" t="n"/>
      <c r="D942" s="55" t="n"/>
      <c r="E942" s="55" t="n"/>
      <c r="F942" s="56" t="n"/>
      <c r="G942" s="196" t="n"/>
      <c r="H942" s="196" t="n"/>
      <c r="I942" s="55" t="n"/>
      <c r="J942" s="55" t="n"/>
      <c r="K942" s="55" t="n"/>
      <c r="L942" s="100">
        <f>IF(OR($C942="",$I942="Оплачено",$I942="Отменено",$H942&lt;&gt;""),"",$C942-TODAY())</f>
        <v/>
      </c>
      <c r="M942" s="101">
        <f>IF($C942="","",INDEX(Настройки!$V$6:$V$17,MONTH($C942))&amp;" "&amp;YEAR($C942))</f>
        <v/>
      </c>
      <c r="N942" s="57">
        <f>IF($F942="","",IF(COUNTIF(Постоянные!$C$8:$C$37,$F942)&gt;0,"есть в Постоянных",IF(COUNTIF(Покупки!$C$7:$C$18,$F942)&gt;0,"есть в Покупках","")))</f>
        <v/>
      </c>
      <c r="P942">
        <f>IF($H942&lt;&gt;"",$H942,IF($I942="Оплачено",N($G942),0))</f>
        <v/>
      </c>
      <c r="Q942">
        <f>IF($I942="Отменено",0,IF($G942&lt;&gt;"",$G942,N($H942)))</f>
        <v/>
      </c>
      <c r="R942">
        <f>IF($C942="","",IFERROR(DATE(Настройки!$C$8,Настройки!$D$9+MATCH($M942,Настройки!$X$6:$X$17,0)-1,1),DATE(YEAR($C942),MONTH($C942),1)))</f>
        <v/>
      </c>
      <c r="S942">
        <f>IF(OR($I942="Оплачено",$H942&lt;&gt;""),$P942,$Q942)</f>
        <v/>
      </c>
      <c r="T942">
        <f>IF(OR($C942="",$D942="Доход",$I942="Оплачено",$I942="Отменено",$H942&lt;&gt;"",$C942&lt;TODAY()),"",$C942)</f>
        <v/>
      </c>
      <c r="U942">
        <f>IF(AND($D942&lt;&gt;"Доход",COUNTIFS(Счета!$B$10:$B$21,$J942,Счета!$C$10:$C$21,"Кредитная")&gt;0),1,0)</f>
        <v/>
      </c>
    </row>
    <row r="943" ht="19" customHeight="1">
      <c r="B943" s="53">
        <f>IF(AND($C943="",$F943=""),"",ROW()-9)</f>
        <v/>
      </c>
      <c r="C943" s="213" t="n"/>
      <c r="D943" s="55" t="n"/>
      <c r="E943" s="55" t="n"/>
      <c r="F943" s="56" t="n"/>
      <c r="G943" s="196" t="n"/>
      <c r="H943" s="196" t="n"/>
      <c r="I943" s="55" t="n"/>
      <c r="J943" s="55" t="n"/>
      <c r="K943" s="55" t="n"/>
      <c r="L943" s="100">
        <f>IF(OR($C943="",$I943="Оплачено",$I943="Отменено",$H943&lt;&gt;""),"",$C943-TODAY())</f>
        <v/>
      </c>
      <c r="M943" s="101">
        <f>IF($C943="","",INDEX(Настройки!$V$6:$V$17,MONTH($C943))&amp;" "&amp;YEAR($C943))</f>
        <v/>
      </c>
      <c r="N943" s="57">
        <f>IF($F943="","",IF(COUNTIF(Постоянные!$C$8:$C$37,$F943)&gt;0,"есть в Постоянных",IF(COUNTIF(Покупки!$C$7:$C$18,$F943)&gt;0,"есть в Покупках","")))</f>
        <v/>
      </c>
      <c r="P943">
        <f>IF($H943&lt;&gt;"",$H943,IF($I943="Оплачено",N($G943),0))</f>
        <v/>
      </c>
      <c r="Q943">
        <f>IF($I943="Отменено",0,IF($G943&lt;&gt;"",$G943,N($H943)))</f>
        <v/>
      </c>
      <c r="R943">
        <f>IF($C943="","",IFERROR(DATE(Настройки!$C$8,Настройки!$D$9+MATCH($M943,Настройки!$X$6:$X$17,0)-1,1),DATE(YEAR($C943),MONTH($C943),1)))</f>
        <v/>
      </c>
      <c r="S943">
        <f>IF(OR($I943="Оплачено",$H943&lt;&gt;""),$P943,$Q943)</f>
        <v/>
      </c>
      <c r="T943">
        <f>IF(OR($C943="",$D943="Доход",$I943="Оплачено",$I943="Отменено",$H943&lt;&gt;"",$C943&lt;TODAY()),"",$C943)</f>
        <v/>
      </c>
      <c r="U943">
        <f>IF(AND($D943&lt;&gt;"Доход",COUNTIFS(Счета!$B$10:$B$21,$J943,Счета!$C$10:$C$21,"Кредитная")&gt;0),1,0)</f>
        <v/>
      </c>
    </row>
    <row r="944" ht="19" customHeight="1">
      <c r="B944" s="53">
        <f>IF(AND($C944="",$F944=""),"",ROW()-9)</f>
        <v/>
      </c>
      <c r="C944" s="213" t="n"/>
      <c r="D944" s="55" t="n"/>
      <c r="E944" s="55" t="n"/>
      <c r="F944" s="56" t="n"/>
      <c r="G944" s="196" t="n"/>
      <c r="H944" s="196" t="n"/>
      <c r="I944" s="55" t="n"/>
      <c r="J944" s="55" t="n"/>
      <c r="K944" s="55" t="n"/>
      <c r="L944" s="100">
        <f>IF(OR($C944="",$I944="Оплачено",$I944="Отменено",$H944&lt;&gt;""),"",$C944-TODAY())</f>
        <v/>
      </c>
      <c r="M944" s="101">
        <f>IF($C944="","",INDEX(Настройки!$V$6:$V$17,MONTH($C944))&amp;" "&amp;YEAR($C944))</f>
        <v/>
      </c>
      <c r="N944" s="57">
        <f>IF($F944="","",IF(COUNTIF(Постоянные!$C$8:$C$37,$F944)&gt;0,"есть в Постоянных",IF(COUNTIF(Покупки!$C$7:$C$18,$F944)&gt;0,"есть в Покупках","")))</f>
        <v/>
      </c>
      <c r="P944">
        <f>IF($H944&lt;&gt;"",$H944,IF($I944="Оплачено",N($G944),0))</f>
        <v/>
      </c>
      <c r="Q944">
        <f>IF($I944="Отменено",0,IF($G944&lt;&gt;"",$G944,N($H944)))</f>
        <v/>
      </c>
      <c r="R944">
        <f>IF($C944="","",IFERROR(DATE(Настройки!$C$8,Настройки!$D$9+MATCH($M944,Настройки!$X$6:$X$17,0)-1,1),DATE(YEAR($C944),MONTH($C944),1)))</f>
        <v/>
      </c>
      <c r="S944">
        <f>IF(OR($I944="Оплачено",$H944&lt;&gt;""),$P944,$Q944)</f>
        <v/>
      </c>
      <c r="T944">
        <f>IF(OR($C944="",$D944="Доход",$I944="Оплачено",$I944="Отменено",$H944&lt;&gt;"",$C944&lt;TODAY()),"",$C944)</f>
        <v/>
      </c>
      <c r="U944">
        <f>IF(AND($D944&lt;&gt;"Доход",COUNTIFS(Счета!$B$10:$B$21,$J944,Счета!$C$10:$C$21,"Кредитная")&gt;0),1,0)</f>
        <v/>
      </c>
    </row>
    <row r="945" ht="19" customHeight="1">
      <c r="B945" s="53">
        <f>IF(AND($C945="",$F945=""),"",ROW()-9)</f>
        <v/>
      </c>
      <c r="C945" s="213" t="n"/>
      <c r="D945" s="55" t="n"/>
      <c r="E945" s="55" t="n"/>
      <c r="F945" s="56" t="n"/>
      <c r="G945" s="196" t="n"/>
      <c r="H945" s="196" t="n"/>
      <c r="I945" s="55" t="n"/>
      <c r="J945" s="55" t="n"/>
      <c r="K945" s="55" t="n"/>
      <c r="L945" s="100">
        <f>IF(OR($C945="",$I945="Оплачено",$I945="Отменено",$H945&lt;&gt;""),"",$C945-TODAY())</f>
        <v/>
      </c>
      <c r="M945" s="101">
        <f>IF($C945="","",INDEX(Настройки!$V$6:$V$17,MONTH($C945))&amp;" "&amp;YEAR($C945))</f>
        <v/>
      </c>
      <c r="N945" s="57">
        <f>IF($F945="","",IF(COUNTIF(Постоянные!$C$8:$C$37,$F945)&gt;0,"есть в Постоянных",IF(COUNTIF(Покупки!$C$7:$C$18,$F945)&gt;0,"есть в Покупках","")))</f>
        <v/>
      </c>
      <c r="P945">
        <f>IF($H945&lt;&gt;"",$H945,IF($I945="Оплачено",N($G945),0))</f>
        <v/>
      </c>
      <c r="Q945">
        <f>IF($I945="Отменено",0,IF($G945&lt;&gt;"",$G945,N($H945)))</f>
        <v/>
      </c>
      <c r="R945">
        <f>IF($C945="","",IFERROR(DATE(Настройки!$C$8,Настройки!$D$9+MATCH($M945,Настройки!$X$6:$X$17,0)-1,1),DATE(YEAR($C945),MONTH($C945),1)))</f>
        <v/>
      </c>
      <c r="S945">
        <f>IF(OR($I945="Оплачено",$H945&lt;&gt;""),$P945,$Q945)</f>
        <v/>
      </c>
      <c r="T945">
        <f>IF(OR($C945="",$D945="Доход",$I945="Оплачено",$I945="Отменено",$H945&lt;&gt;"",$C945&lt;TODAY()),"",$C945)</f>
        <v/>
      </c>
      <c r="U945">
        <f>IF(AND($D945&lt;&gt;"Доход",COUNTIFS(Счета!$B$10:$B$21,$J945,Счета!$C$10:$C$21,"Кредитная")&gt;0),1,0)</f>
        <v/>
      </c>
    </row>
    <row r="946" ht="19" customHeight="1">
      <c r="B946" s="53">
        <f>IF(AND($C946="",$F946=""),"",ROW()-9)</f>
        <v/>
      </c>
      <c r="C946" s="213" t="n"/>
      <c r="D946" s="55" t="n"/>
      <c r="E946" s="55" t="n"/>
      <c r="F946" s="56" t="n"/>
      <c r="G946" s="196" t="n"/>
      <c r="H946" s="196" t="n"/>
      <c r="I946" s="55" t="n"/>
      <c r="J946" s="55" t="n"/>
      <c r="K946" s="55" t="n"/>
      <c r="L946" s="100">
        <f>IF(OR($C946="",$I946="Оплачено",$I946="Отменено",$H946&lt;&gt;""),"",$C946-TODAY())</f>
        <v/>
      </c>
      <c r="M946" s="101">
        <f>IF($C946="","",INDEX(Настройки!$V$6:$V$17,MONTH($C946))&amp;" "&amp;YEAR($C946))</f>
        <v/>
      </c>
      <c r="N946" s="57">
        <f>IF($F946="","",IF(COUNTIF(Постоянные!$C$8:$C$37,$F946)&gt;0,"есть в Постоянных",IF(COUNTIF(Покупки!$C$7:$C$18,$F946)&gt;0,"есть в Покупках","")))</f>
        <v/>
      </c>
      <c r="P946">
        <f>IF($H946&lt;&gt;"",$H946,IF($I946="Оплачено",N($G946),0))</f>
        <v/>
      </c>
      <c r="Q946">
        <f>IF($I946="Отменено",0,IF($G946&lt;&gt;"",$G946,N($H946)))</f>
        <v/>
      </c>
      <c r="R946">
        <f>IF($C946="","",IFERROR(DATE(Настройки!$C$8,Настройки!$D$9+MATCH($M946,Настройки!$X$6:$X$17,0)-1,1),DATE(YEAR($C946),MONTH($C946),1)))</f>
        <v/>
      </c>
      <c r="S946">
        <f>IF(OR($I946="Оплачено",$H946&lt;&gt;""),$P946,$Q946)</f>
        <v/>
      </c>
      <c r="T946">
        <f>IF(OR($C946="",$D946="Доход",$I946="Оплачено",$I946="Отменено",$H946&lt;&gt;"",$C946&lt;TODAY()),"",$C946)</f>
        <v/>
      </c>
      <c r="U946">
        <f>IF(AND($D946&lt;&gt;"Доход",COUNTIFS(Счета!$B$10:$B$21,$J946,Счета!$C$10:$C$21,"Кредитная")&gt;0),1,0)</f>
        <v/>
      </c>
    </row>
    <row r="947" ht="19" customHeight="1">
      <c r="B947" s="53">
        <f>IF(AND($C947="",$F947=""),"",ROW()-9)</f>
        <v/>
      </c>
      <c r="C947" s="213" t="n"/>
      <c r="D947" s="55" t="n"/>
      <c r="E947" s="55" t="n"/>
      <c r="F947" s="56" t="n"/>
      <c r="G947" s="196" t="n"/>
      <c r="H947" s="196" t="n"/>
      <c r="I947" s="55" t="n"/>
      <c r="J947" s="55" t="n"/>
      <c r="K947" s="55" t="n"/>
      <c r="L947" s="100">
        <f>IF(OR($C947="",$I947="Оплачено",$I947="Отменено",$H947&lt;&gt;""),"",$C947-TODAY())</f>
        <v/>
      </c>
      <c r="M947" s="101">
        <f>IF($C947="","",INDEX(Настройки!$V$6:$V$17,MONTH($C947))&amp;" "&amp;YEAR($C947))</f>
        <v/>
      </c>
      <c r="N947" s="57">
        <f>IF($F947="","",IF(COUNTIF(Постоянные!$C$8:$C$37,$F947)&gt;0,"есть в Постоянных",IF(COUNTIF(Покупки!$C$7:$C$18,$F947)&gt;0,"есть в Покупках","")))</f>
        <v/>
      </c>
      <c r="P947">
        <f>IF($H947&lt;&gt;"",$H947,IF($I947="Оплачено",N($G947),0))</f>
        <v/>
      </c>
      <c r="Q947">
        <f>IF($I947="Отменено",0,IF($G947&lt;&gt;"",$G947,N($H947)))</f>
        <v/>
      </c>
      <c r="R947">
        <f>IF($C947="","",IFERROR(DATE(Настройки!$C$8,Настройки!$D$9+MATCH($M947,Настройки!$X$6:$X$17,0)-1,1),DATE(YEAR($C947),MONTH($C947),1)))</f>
        <v/>
      </c>
      <c r="S947">
        <f>IF(OR($I947="Оплачено",$H947&lt;&gt;""),$P947,$Q947)</f>
        <v/>
      </c>
      <c r="T947">
        <f>IF(OR($C947="",$D947="Доход",$I947="Оплачено",$I947="Отменено",$H947&lt;&gt;"",$C947&lt;TODAY()),"",$C947)</f>
        <v/>
      </c>
      <c r="U947">
        <f>IF(AND($D947&lt;&gt;"Доход",COUNTIFS(Счета!$B$10:$B$21,$J947,Счета!$C$10:$C$21,"Кредитная")&gt;0),1,0)</f>
        <v/>
      </c>
    </row>
    <row r="948" ht="19" customHeight="1">
      <c r="B948" s="53">
        <f>IF(AND($C948="",$F948=""),"",ROW()-9)</f>
        <v/>
      </c>
      <c r="C948" s="213" t="n"/>
      <c r="D948" s="55" t="n"/>
      <c r="E948" s="55" t="n"/>
      <c r="F948" s="56" t="n"/>
      <c r="G948" s="196" t="n"/>
      <c r="H948" s="196" t="n"/>
      <c r="I948" s="55" t="n"/>
      <c r="J948" s="55" t="n"/>
      <c r="K948" s="55" t="n"/>
      <c r="L948" s="100">
        <f>IF(OR($C948="",$I948="Оплачено",$I948="Отменено",$H948&lt;&gt;""),"",$C948-TODAY())</f>
        <v/>
      </c>
      <c r="M948" s="101">
        <f>IF($C948="","",INDEX(Настройки!$V$6:$V$17,MONTH($C948))&amp;" "&amp;YEAR($C948))</f>
        <v/>
      </c>
      <c r="N948" s="57">
        <f>IF($F948="","",IF(COUNTIF(Постоянные!$C$8:$C$37,$F948)&gt;0,"есть в Постоянных",IF(COUNTIF(Покупки!$C$7:$C$18,$F948)&gt;0,"есть в Покупках","")))</f>
        <v/>
      </c>
      <c r="P948">
        <f>IF($H948&lt;&gt;"",$H948,IF($I948="Оплачено",N($G948),0))</f>
        <v/>
      </c>
      <c r="Q948">
        <f>IF($I948="Отменено",0,IF($G948&lt;&gt;"",$G948,N($H948)))</f>
        <v/>
      </c>
      <c r="R948">
        <f>IF($C948="","",IFERROR(DATE(Настройки!$C$8,Настройки!$D$9+MATCH($M948,Настройки!$X$6:$X$17,0)-1,1),DATE(YEAR($C948),MONTH($C948),1)))</f>
        <v/>
      </c>
      <c r="S948">
        <f>IF(OR($I948="Оплачено",$H948&lt;&gt;""),$P948,$Q948)</f>
        <v/>
      </c>
      <c r="T948">
        <f>IF(OR($C948="",$D948="Доход",$I948="Оплачено",$I948="Отменено",$H948&lt;&gt;"",$C948&lt;TODAY()),"",$C948)</f>
        <v/>
      </c>
      <c r="U948">
        <f>IF(AND($D948&lt;&gt;"Доход",COUNTIFS(Счета!$B$10:$B$21,$J948,Счета!$C$10:$C$21,"Кредитная")&gt;0),1,0)</f>
        <v/>
      </c>
    </row>
    <row r="949" ht="19" customHeight="1">
      <c r="B949" s="53">
        <f>IF(AND($C949="",$F949=""),"",ROW()-9)</f>
        <v/>
      </c>
      <c r="C949" s="213" t="n"/>
      <c r="D949" s="55" t="n"/>
      <c r="E949" s="55" t="n"/>
      <c r="F949" s="56" t="n"/>
      <c r="G949" s="196" t="n"/>
      <c r="H949" s="196" t="n"/>
      <c r="I949" s="55" t="n"/>
      <c r="J949" s="55" t="n"/>
      <c r="K949" s="55" t="n"/>
      <c r="L949" s="100">
        <f>IF(OR($C949="",$I949="Оплачено",$I949="Отменено",$H949&lt;&gt;""),"",$C949-TODAY())</f>
        <v/>
      </c>
      <c r="M949" s="101">
        <f>IF($C949="","",INDEX(Настройки!$V$6:$V$17,MONTH($C949))&amp;" "&amp;YEAR($C949))</f>
        <v/>
      </c>
      <c r="N949" s="57">
        <f>IF($F949="","",IF(COUNTIF(Постоянные!$C$8:$C$37,$F949)&gt;0,"есть в Постоянных",IF(COUNTIF(Покупки!$C$7:$C$18,$F949)&gt;0,"есть в Покупках","")))</f>
        <v/>
      </c>
      <c r="P949">
        <f>IF($H949&lt;&gt;"",$H949,IF($I949="Оплачено",N($G949),0))</f>
        <v/>
      </c>
      <c r="Q949">
        <f>IF($I949="Отменено",0,IF($G949&lt;&gt;"",$G949,N($H949)))</f>
        <v/>
      </c>
      <c r="R949">
        <f>IF($C949="","",IFERROR(DATE(Настройки!$C$8,Настройки!$D$9+MATCH($M949,Настройки!$X$6:$X$17,0)-1,1),DATE(YEAR($C949),MONTH($C949),1)))</f>
        <v/>
      </c>
      <c r="S949">
        <f>IF(OR($I949="Оплачено",$H949&lt;&gt;""),$P949,$Q949)</f>
        <v/>
      </c>
      <c r="T949">
        <f>IF(OR($C949="",$D949="Доход",$I949="Оплачено",$I949="Отменено",$H949&lt;&gt;"",$C949&lt;TODAY()),"",$C949)</f>
        <v/>
      </c>
      <c r="U949">
        <f>IF(AND($D949&lt;&gt;"Доход",COUNTIFS(Счета!$B$10:$B$21,$J949,Счета!$C$10:$C$21,"Кредитная")&gt;0),1,0)</f>
        <v/>
      </c>
    </row>
    <row r="950" ht="19" customHeight="1">
      <c r="B950" s="53">
        <f>IF(AND($C950="",$F950=""),"",ROW()-9)</f>
        <v/>
      </c>
      <c r="C950" s="213" t="n"/>
      <c r="D950" s="55" t="n"/>
      <c r="E950" s="55" t="n"/>
      <c r="F950" s="56" t="n"/>
      <c r="G950" s="196" t="n"/>
      <c r="H950" s="196" t="n"/>
      <c r="I950" s="55" t="n"/>
      <c r="J950" s="55" t="n"/>
      <c r="K950" s="55" t="n"/>
      <c r="L950" s="100">
        <f>IF(OR($C950="",$I950="Оплачено",$I950="Отменено",$H950&lt;&gt;""),"",$C950-TODAY())</f>
        <v/>
      </c>
      <c r="M950" s="101">
        <f>IF($C950="","",INDEX(Настройки!$V$6:$V$17,MONTH($C950))&amp;" "&amp;YEAR($C950))</f>
        <v/>
      </c>
      <c r="N950" s="57">
        <f>IF($F950="","",IF(COUNTIF(Постоянные!$C$8:$C$37,$F950)&gt;0,"есть в Постоянных",IF(COUNTIF(Покупки!$C$7:$C$18,$F950)&gt;0,"есть в Покупках","")))</f>
        <v/>
      </c>
      <c r="P950">
        <f>IF($H950&lt;&gt;"",$H950,IF($I950="Оплачено",N($G950),0))</f>
        <v/>
      </c>
      <c r="Q950">
        <f>IF($I950="Отменено",0,IF($G950&lt;&gt;"",$G950,N($H950)))</f>
        <v/>
      </c>
      <c r="R950">
        <f>IF($C950="","",IFERROR(DATE(Настройки!$C$8,Настройки!$D$9+MATCH($M950,Настройки!$X$6:$X$17,0)-1,1),DATE(YEAR($C950),MONTH($C950),1)))</f>
        <v/>
      </c>
      <c r="S950">
        <f>IF(OR($I950="Оплачено",$H950&lt;&gt;""),$P950,$Q950)</f>
        <v/>
      </c>
      <c r="T950">
        <f>IF(OR($C950="",$D950="Доход",$I950="Оплачено",$I950="Отменено",$H950&lt;&gt;"",$C950&lt;TODAY()),"",$C950)</f>
        <v/>
      </c>
      <c r="U950">
        <f>IF(AND($D950&lt;&gt;"Доход",COUNTIFS(Счета!$B$10:$B$21,$J950,Счета!$C$10:$C$21,"Кредитная")&gt;0),1,0)</f>
        <v/>
      </c>
    </row>
    <row r="951" ht="19" customHeight="1">
      <c r="B951" s="53">
        <f>IF(AND($C951="",$F951=""),"",ROW()-9)</f>
        <v/>
      </c>
      <c r="C951" s="213" t="n"/>
      <c r="D951" s="55" t="n"/>
      <c r="E951" s="55" t="n"/>
      <c r="F951" s="56" t="n"/>
      <c r="G951" s="196" t="n"/>
      <c r="H951" s="196" t="n"/>
      <c r="I951" s="55" t="n"/>
      <c r="J951" s="55" t="n"/>
      <c r="K951" s="55" t="n"/>
      <c r="L951" s="100">
        <f>IF(OR($C951="",$I951="Оплачено",$I951="Отменено",$H951&lt;&gt;""),"",$C951-TODAY())</f>
        <v/>
      </c>
      <c r="M951" s="101">
        <f>IF($C951="","",INDEX(Настройки!$V$6:$V$17,MONTH($C951))&amp;" "&amp;YEAR($C951))</f>
        <v/>
      </c>
      <c r="N951" s="57">
        <f>IF($F951="","",IF(COUNTIF(Постоянные!$C$8:$C$37,$F951)&gt;0,"есть в Постоянных",IF(COUNTIF(Покупки!$C$7:$C$18,$F951)&gt;0,"есть в Покупках","")))</f>
        <v/>
      </c>
      <c r="P951">
        <f>IF($H951&lt;&gt;"",$H951,IF($I951="Оплачено",N($G951),0))</f>
        <v/>
      </c>
      <c r="Q951">
        <f>IF($I951="Отменено",0,IF($G951&lt;&gt;"",$G951,N($H951)))</f>
        <v/>
      </c>
      <c r="R951">
        <f>IF($C951="","",IFERROR(DATE(Настройки!$C$8,Настройки!$D$9+MATCH($M951,Настройки!$X$6:$X$17,0)-1,1),DATE(YEAR($C951),MONTH($C951),1)))</f>
        <v/>
      </c>
      <c r="S951">
        <f>IF(OR($I951="Оплачено",$H951&lt;&gt;""),$P951,$Q951)</f>
        <v/>
      </c>
      <c r="T951">
        <f>IF(OR($C951="",$D951="Доход",$I951="Оплачено",$I951="Отменено",$H951&lt;&gt;"",$C951&lt;TODAY()),"",$C951)</f>
        <v/>
      </c>
      <c r="U951">
        <f>IF(AND($D951&lt;&gt;"Доход",COUNTIFS(Счета!$B$10:$B$21,$J951,Счета!$C$10:$C$21,"Кредитная")&gt;0),1,0)</f>
        <v/>
      </c>
    </row>
    <row r="952" ht="19" customHeight="1">
      <c r="B952" s="53">
        <f>IF(AND($C952="",$F952=""),"",ROW()-9)</f>
        <v/>
      </c>
      <c r="C952" s="213" t="n"/>
      <c r="D952" s="55" t="n"/>
      <c r="E952" s="55" t="n"/>
      <c r="F952" s="56" t="n"/>
      <c r="G952" s="196" t="n"/>
      <c r="H952" s="196" t="n"/>
      <c r="I952" s="55" t="n"/>
      <c r="J952" s="55" t="n"/>
      <c r="K952" s="55" t="n"/>
      <c r="L952" s="100">
        <f>IF(OR($C952="",$I952="Оплачено",$I952="Отменено",$H952&lt;&gt;""),"",$C952-TODAY())</f>
        <v/>
      </c>
      <c r="M952" s="101">
        <f>IF($C952="","",INDEX(Настройки!$V$6:$V$17,MONTH($C952))&amp;" "&amp;YEAR($C952))</f>
        <v/>
      </c>
      <c r="N952" s="57">
        <f>IF($F952="","",IF(COUNTIF(Постоянные!$C$8:$C$37,$F952)&gt;0,"есть в Постоянных",IF(COUNTIF(Покупки!$C$7:$C$18,$F952)&gt;0,"есть в Покупках","")))</f>
        <v/>
      </c>
      <c r="P952">
        <f>IF($H952&lt;&gt;"",$H952,IF($I952="Оплачено",N($G952),0))</f>
        <v/>
      </c>
      <c r="Q952">
        <f>IF($I952="Отменено",0,IF($G952&lt;&gt;"",$G952,N($H952)))</f>
        <v/>
      </c>
      <c r="R952">
        <f>IF($C952="","",IFERROR(DATE(Настройки!$C$8,Настройки!$D$9+MATCH($M952,Настройки!$X$6:$X$17,0)-1,1),DATE(YEAR($C952),MONTH($C952),1)))</f>
        <v/>
      </c>
      <c r="S952">
        <f>IF(OR($I952="Оплачено",$H952&lt;&gt;""),$P952,$Q952)</f>
        <v/>
      </c>
      <c r="T952">
        <f>IF(OR($C952="",$D952="Доход",$I952="Оплачено",$I952="Отменено",$H952&lt;&gt;"",$C952&lt;TODAY()),"",$C952)</f>
        <v/>
      </c>
      <c r="U952">
        <f>IF(AND($D952&lt;&gt;"Доход",COUNTIFS(Счета!$B$10:$B$21,$J952,Счета!$C$10:$C$21,"Кредитная")&gt;0),1,0)</f>
        <v/>
      </c>
    </row>
    <row r="953" ht="19" customHeight="1">
      <c r="B953" s="53">
        <f>IF(AND($C953="",$F953=""),"",ROW()-9)</f>
        <v/>
      </c>
      <c r="C953" s="213" t="n"/>
      <c r="D953" s="55" t="n"/>
      <c r="E953" s="55" t="n"/>
      <c r="F953" s="56" t="n"/>
      <c r="G953" s="196" t="n"/>
      <c r="H953" s="196" t="n"/>
      <c r="I953" s="55" t="n"/>
      <c r="J953" s="55" t="n"/>
      <c r="K953" s="55" t="n"/>
      <c r="L953" s="100">
        <f>IF(OR($C953="",$I953="Оплачено",$I953="Отменено",$H953&lt;&gt;""),"",$C953-TODAY())</f>
        <v/>
      </c>
      <c r="M953" s="101">
        <f>IF($C953="","",INDEX(Настройки!$V$6:$V$17,MONTH($C953))&amp;" "&amp;YEAR($C953))</f>
        <v/>
      </c>
      <c r="N953" s="57">
        <f>IF($F953="","",IF(COUNTIF(Постоянные!$C$8:$C$37,$F953)&gt;0,"есть в Постоянных",IF(COUNTIF(Покупки!$C$7:$C$18,$F953)&gt;0,"есть в Покупках","")))</f>
        <v/>
      </c>
      <c r="P953">
        <f>IF($H953&lt;&gt;"",$H953,IF($I953="Оплачено",N($G953),0))</f>
        <v/>
      </c>
      <c r="Q953">
        <f>IF($I953="Отменено",0,IF($G953&lt;&gt;"",$G953,N($H953)))</f>
        <v/>
      </c>
      <c r="R953">
        <f>IF($C953="","",IFERROR(DATE(Настройки!$C$8,Настройки!$D$9+MATCH($M953,Настройки!$X$6:$X$17,0)-1,1),DATE(YEAR($C953),MONTH($C953),1)))</f>
        <v/>
      </c>
      <c r="S953">
        <f>IF(OR($I953="Оплачено",$H953&lt;&gt;""),$P953,$Q953)</f>
        <v/>
      </c>
      <c r="T953">
        <f>IF(OR($C953="",$D953="Доход",$I953="Оплачено",$I953="Отменено",$H953&lt;&gt;"",$C953&lt;TODAY()),"",$C953)</f>
        <v/>
      </c>
      <c r="U953">
        <f>IF(AND($D953&lt;&gt;"Доход",COUNTIFS(Счета!$B$10:$B$21,$J953,Счета!$C$10:$C$21,"Кредитная")&gt;0),1,0)</f>
        <v/>
      </c>
    </row>
    <row r="954" ht="19" customHeight="1">
      <c r="B954" s="53">
        <f>IF(AND($C954="",$F954=""),"",ROW()-9)</f>
        <v/>
      </c>
      <c r="C954" s="213" t="n"/>
      <c r="D954" s="55" t="n"/>
      <c r="E954" s="55" t="n"/>
      <c r="F954" s="56" t="n"/>
      <c r="G954" s="196" t="n"/>
      <c r="H954" s="196" t="n"/>
      <c r="I954" s="55" t="n"/>
      <c r="J954" s="55" t="n"/>
      <c r="K954" s="55" t="n"/>
      <c r="L954" s="100">
        <f>IF(OR($C954="",$I954="Оплачено",$I954="Отменено",$H954&lt;&gt;""),"",$C954-TODAY())</f>
        <v/>
      </c>
      <c r="M954" s="101">
        <f>IF($C954="","",INDEX(Настройки!$V$6:$V$17,MONTH($C954))&amp;" "&amp;YEAR($C954))</f>
        <v/>
      </c>
      <c r="N954" s="57">
        <f>IF($F954="","",IF(COUNTIF(Постоянные!$C$8:$C$37,$F954)&gt;0,"есть в Постоянных",IF(COUNTIF(Покупки!$C$7:$C$18,$F954)&gt;0,"есть в Покупках","")))</f>
        <v/>
      </c>
      <c r="P954">
        <f>IF($H954&lt;&gt;"",$H954,IF($I954="Оплачено",N($G954),0))</f>
        <v/>
      </c>
      <c r="Q954">
        <f>IF($I954="Отменено",0,IF($G954&lt;&gt;"",$G954,N($H954)))</f>
        <v/>
      </c>
      <c r="R954">
        <f>IF($C954="","",IFERROR(DATE(Настройки!$C$8,Настройки!$D$9+MATCH($M954,Настройки!$X$6:$X$17,0)-1,1),DATE(YEAR($C954),MONTH($C954),1)))</f>
        <v/>
      </c>
      <c r="S954">
        <f>IF(OR($I954="Оплачено",$H954&lt;&gt;""),$P954,$Q954)</f>
        <v/>
      </c>
      <c r="T954">
        <f>IF(OR($C954="",$D954="Доход",$I954="Оплачено",$I954="Отменено",$H954&lt;&gt;"",$C954&lt;TODAY()),"",$C954)</f>
        <v/>
      </c>
      <c r="U954">
        <f>IF(AND($D954&lt;&gt;"Доход",COUNTIFS(Счета!$B$10:$B$21,$J954,Счета!$C$10:$C$21,"Кредитная")&gt;0),1,0)</f>
        <v/>
      </c>
    </row>
    <row r="955" ht="19" customHeight="1">
      <c r="B955" s="53">
        <f>IF(AND($C955="",$F955=""),"",ROW()-9)</f>
        <v/>
      </c>
      <c r="C955" s="213" t="n"/>
      <c r="D955" s="55" t="n"/>
      <c r="E955" s="55" t="n"/>
      <c r="F955" s="56" t="n"/>
      <c r="G955" s="196" t="n"/>
      <c r="H955" s="196" t="n"/>
      <c r="I955" s="55" t="n"/>
      <c r="J955" s="55" t="n"/>
      <c r="K955" s="55" t="n"/>
      <c r="L955" s="100">
        <f>IF(OR($C955="",$I955="Оплачено",$I955="Отменено",$H955&lt;&gt;""),"",$C955-TODAY())</f>
        <v/>
      </c>
      <c r="M955" s="101">
        <f>IF($C955="","",INDEX(Настройки!$V$6:$V$17,MONTH($C955))&amp;" "&amp;YEAR($C955))</f>
        <v/>
      </c>
      <c r="N955" s="57">
        <f>IF($F955="","",IF(COUNTIF(Постоянные!$C$8:$C$37,$F955)&gt;0,"есть в Постоянных",IF(COUNTIF(Покупки!$C$7:$C$18,$F955)&gt;0,"есть в Покупках","")))</f>
        <v/>
      </c>
      <c r="P955">
        <f>IF($H955&lt;&gt;"",$H955,IF($I955="Оплачено",N($G955),0))</f>
        <v/>
      </c>
      <c r="Q955">
        <f>IF($I955="Отменено",0,IF($G955&lt;&gt;"",$G955,N($H955)))</f>
        <v/>
      </c>
      <c r="R955">
        <f>IF($C955="","",IFERROR(DATE(Настройки!$C$8,Настройки!$D$9+MATCH($M955,Настройки!$X$6:$X$17,0)-1,1),DATE(YEAR($C955),MONTH($C955),1)))</f>
        <v/>
      </c>
      <c r="S955">
        <f>IF(OR($I955="Оплачено",$H955&lt;&gt;""),$P955,$Q955)</f>
        <v/>
      </c>
      <c r="T955">
        <f>IF(OR($C955="",$D955="Доход",$I955="Оплачено",$I955="Отменено",$H955&lt;&gt;"",$C955&lt;TODAY()),"",$C955)</f>
        <v/>
      </c>
      <c r="U955">
        <f>IF(AND($D955&lt;&gt;"Доход",COUNTIFS(Счета!$B$10:$B$21,$J955,Счета!$C$10:$C$21,"Кредитная")&gt;0),1,0)</f>
        <v/>
      </c>
    </row>
    <row r="956" ht="19" customHeight="1">
      <c r="B956" s="53">
        <f>IF(AND($C956="",$F956=""),"",ROW()-9)</f>
        <v/>
      </c>
      <c r="C956" s="213" t="n"/>
      <c r="D956" s="55" t="n"/>
      <c r="E956" s="55" t="n"/>
      <c r="F956" s="56" t="n"/>
      <c r="G956" s="196" t="n"/>
      <c r="H956" s="196" t="n"/>
      <c r="I956" s="55" t="n"/>
      <c r="J956" s="55" t="n"/>
      <c r="K956" s="55" t="n"/>
      <c r="L956" s="100">
        <f>IF(OR($C956="",$I956="Оплачено",$I956="Отменено",$H956&lt;&gt;""),"",$C956-TODAY())</f>
        <v/>
      </c>
      <c r="M956" s="101">
        <f>IF($C956="","",INDEX(Настройки!$V$6:$V$17,MONTH($C956))&amp;" "&amp;YEAR($C956))</f>
        <v/>
      </c>
      <c r="N956" s="57">
        <f>IF($F956="","",IF(COUNTIF(Постоянные!$C$8:$C$37,$F956)&gt;0,"есть в Постоянных",IF(COUNTIF(Покупки!$C$7:$C$18,$F956)&gt;0,"есть в Покупках","")))</f>
        <v/>
      </c>
      <c r="P956">
        <f>IF($H956&lt;&gt;"",$H956,IF($I956="Оплачено",N($G956),0))</f>
        <v/>
      </c>
      <c r="Q956">
        <f>IF($I956="Отменено",0,IF($G956&lt;&gt;"",$G956,N($H956)))</f>
        <v/>
      </c>
      <c r="R956">
        <f>IF($C956="","",IFERROR(DATE(Настройки!$C$8,Настройки!$D$9+MATCH($M956,Настройки!$X$6:$X$17,0)-1,1),DATE(YEAR($C956),MONTH($C956),1)))</f>
        <v/>
      </c>
      <c r="S956">
        <f>IF(OR($I956="Оплачено",$H956&lt;&gt;""),$P956,$Q956)</f>
        <v/>
      </c>
      <c r="T956">
        <f>IF(OR($C956="",$D956="Доход",$I956="Оплачено",$I956="Отменено",$H956&lt;&gt;"",$C956&lt;TODAY()),"",$C956)</f>
        <v/>
      </c>
      <c r="U956">
        <f>IF(AND($D956&lt;&gt;"Доход",COUNTIFS(Счета!$B$10:$B$21,$J956,Счета!$C$10:$C$21,"Кредитная")&gt;0),1,0)</f>
        <v/>
      </c>
    </row>
    <row r="957" ht="19" customHeight="1">
      <c r="B957" s="53">
        <f>IF(AND($C957="",$F957=""),"",ROW()-9)</f>
        <v/>
      </c>
      <c r="C957" s="213" t="n"/>
      <c r="D957" s="55" t="n"/>
      <c r="E957" s="55" t="n"/>
      <c r="F957" s="56" t="n"/>
      <c r="G957" s="196" t="n"/>
      <c r="H957" s="196" t="n"/>
      <c r="I957" s="55" t="n"/>
      <c r="J957" s="55" t="n"/>
      <c r="K957" s="55" t="n"/>
      <c r="L957" s="100">
        <f>IF(OR($C957="",$I957="Оплачено",$I957="Отменено",$H957&lt;&gt;""),"",$C957-TODAY())</f>
        <v/>
      </c>
      <c r="M957" s="101">
        <f>IF($C957="","",INDEX(Настройки!$V$6:$V$17,MONTH($C957))&amp;" "&amp;YEAR($C957))</f>
        <v/>
      </c>
      <c r="N957" s="57">
        <f>IF($F957="","",IF(COUNTIF(Постоянные!$C$8:$C$37,$F957)&gt;0,"есть в Постоянных",IF(COUNTIF(Покупки!$C$7:$C$18,$F957)&gt;0,"есть в Покупках","")))</f>
        <v/>
      </c>
      <c r="P957">
        <f>IF($H957&lt;&gt;"",$H957,IF($I957="Оплачено",N($G957),0))</f>
        <v/>
      </c>
      <c r="Q957">
        <f>IF($I957="Отменено",0,IF($G957&lt;&gt;"",$G957,N($H957)))</f>
        <v/>
      </c>
      <c r="R957">
        <f>IF($C957="","",IFERROR(DATE(Настройки!$C$8,Настройки!$D$9+MATCH($M957,Настройки!$X$6:$X$17,0)-1,1),DATE(YEAR($C957),MONTH($C957),1)))</f>
        <v/>
      </c>
      <c r="S957">
        <f>IF(OR($I957="Оплачено",$H957&lt;&gt;""),$P957,$Q957)</f>
        <v/>
      </c>
      <c r="T957">
        <f>IF(OR($C957="",$D957="Доход",$I957="Оплачено",$I957="Отменено",$H957&lt;&gt;"",$C957&lt;TODAY()),"",$C957)</f>
        <v/>
      </c>
      <c r="U957">
        <f>IF(AND($D957&lt;&gt;"Доход",COUNTIFS(Счета!$B$10:$B$21,$J957,Счета!$C$10:$C$21,"Кредитная")&gt;0),1,0)</f>
        <v/>
      </c>
    </row>
    <row r="958" ht="19" customHeight="1">
      <c r="B958" s="53">
        <f>IF(AND($C958="",$F958=""),"",ROW()-9)</f>
        <v/>
      </c>
      <c r="C958" s="213" t="n"/>
      <c r="D958" s="55" t="n"/>
      <c r="E958" s="55" t="n"/>
      <c r="F958" s="56" t="n"/>
      <c r="G958" s="196" t="n"/>
      <c r="H958" s="196" t="n"/>
      <c r="I958" s="55" t="n"/>
      <c r="J958" s="55" t="n"/>
      <c r="K958" s="55" t="n"/>
      <c r="L958" s="100">
        <f>IF(OR($C958="",$I958="Оплачено",$I958="Отменено",$H958&lt;&gt;""),"",$C958-TODAY())</f>
        <v/>
      </c>
      <c r="M958" s="101">
        <f>IF($C958="","",INDEX(Настройки!$V$6:$V$17,MONTH($C958))&amp;" "&amp;YEAR($C958))</f>
        <v/>
      </c>
      <c r="N958" s="57">
        <f>IF($F958="","",IF(COUNTIF(Постоянные!$C$8:$C$37,$F958)&gt;0,"есть в Постоянных",IF(COUNTIF(Покупки!$C$7:$C$18,$F958)&gt;0,"есть в Покупках","")))</f>
        <v/>
      </c>
      <c r="P958">
        <f>IF($H958&lt;&gt;"",$H958,IF($I958="Оплачено",N($G958),0))</f>
        <v/>
      </c>
      <c r="Q958">
        <f>IF($I958="Отменено",0,IF($G958&lt;&gt;"",$G958,N($H958)))</f>
        <v/>
      </c>
      <c r="R958">
        <f>IF($C958="","",IFERROR(DATE(Настройки!$C$8,Настройки!$D$9+MATCH($M958,Настройки!$X$6:$X$17,0)-1,1),DATE(YEAR($C958),MONTH($C958),1)))</f>
        <v/>
      </c>
      <c r="S958">
        <f>IF(OR($I958="Оплачено",$H958&lt;&gt;""),$P958,$Q958)</f>
        <v/>
      </c>
      <c r="T958">
        <f>IF(OR($C958="",$D958="Доход",$I958="Оплачено",$I958="Отменено",$H958&lt;&gt;"",$C958&lt;TODAY()),"",$C958)</f>
        <v/>
      </c>
      <c r="U958">
        <f>IF(AND($D958&lt;&gt;"Доход",COUNTIFS(Счета!$B$10:$B$21,$J958,Счета!$C$10:$C$21,"Кредитная")&gt;0),1,0)</f>
        <v/>
      </c>
    </row>
    <row r="959" ht="19" customHeight="1">
      <c r="B959" s="53">
        <f>IF(AND($C959="",$F959=""),"",ROW()-9)</f>
        <v/>
      </c>
      <c r="C959" s="213" t="n"/>
      <c r="D959" s="55" t="n"/>
      <c r="E959" s="55" t="n"/>
      <c r="F959" s="56" t="n"/>
      <c r="G959" s="196" t="n"/>
      <c r="H959" s="196" t="n"/>
      <c r="I959" s="55" t="n"/>
      <c r="J959" s="55" t="n"/>
      <c r="K959" s="55" t="n"/>
      <c r="L959" s="100">
        <f>IF(OR($C959="",$I959="Оплачено",$I959="Отменено",$H959&lt;&gt;""),"",$C959-TODAY())</f>
        <v/>
      </c>
      <c r="M959" s="101">
        <f>IF($C959="","",INDEX(Настройки!$V$6:$V$17,MONTH($C959))&amp;" "&amp;YEAR($C959))</f>
        <v/>
      </c>
      <c r="N959" s="57">
        <f>IF($F959="","",IF(COUNTIF(Постоянные!$C$8:$C$37,$F959)&gt;0,"есть в Постоянных",IF(COUNTIF(Покупки!$C$7:$C$18,$F959)&gt;0,"есть в Покупках","")))</f>
        <v/>
      </c>
      <c r="P959">
        <f>IF($H959&lt;&gt;"",$H959,IF($I959="Оплачено",N($G959),0))</f>
        <v/>
      </c>
      <c r="Q959">
        <f>IF($I959="Отменено",0,IF($G959&lt;&gt;"",$G959,N($H959)))</f>
        <v/>
      </c>
      <c r="R959">
        <f>IF($C959="","",IFERROR(DATE(Настройки!$C$8,Настройки!$D$9+MATCH($M959,Настройки!$X$6:$X$17,0)-1,1),DATE(YEAR($C959),MONTH($C959),1)))</f>
        <v/>
      </c>
      <c r="S959">
        <f>IF(OR($I959="Оплачено",$H959&lt;&gt;""),$P959,$Q959)</f>
        <v/>
      </c>
      <c r="T959">
        <f>IF(OR($C959="",$D959="Доход",$I959="Оплачено",$I959="Отменено",$H959&lt;&gt;"",$C959&lt;TODAY()),"",$C959)</f>
        <v/>
      </c>
      <c r="U959">
        <f>IF(AND($D959&lt;&gt;"Доход",COUNTIFS(Счета!$B$10:$B$21,$J959,Счета!$C$10:$C$21,"Кредитная")&gt;0),1,0)</f>
        <v/>
      </c>
    </row>
    <row r="960" ht="19" customHeight="1">
      <c r="B960" s="53">
        <f>IF(AND($C960="",$F960=""),"",ROW()-9)</f>
        <v/>
      </c>
      <c r="C960" s="213" t="n"/>
      <c r="D960" s="55" t="n"/>
      <c r="E960" s="55" t="n"/>
      <c r="F960" s="56" t="n"/>
      <c r="G960" s="196" t="n"/>
      <c r="H960" s="196" t="n"/>
      <c r="I960" s="55" t="n"/>
      <c r="J960" s="55" t="n"/>
      <c r="K960" s="55" t="n"/>
      <c r="L960" s="100">
        <f>IF(OR($C960="",$I960="Оплачено",$I960="Отменено",$H960&lt;&gt;""),"",$C960-TODAY())</f>
        <v/>
      </c>
      <c r="M960" s="101">
        <f>IF($C960="","",INDEX(Настройки!$V$6:$V$17,MONTH($C960))&amp;" "&amp;YEAR($C960))</f>
        <v/>
      </c>
      <c r="N960" s="57">
        <f>IF($F960="","",IF(COUNTIF(Постоянные!$C$8:$C$37,$F960)&gt;0,"есть в Постоянных",IF(COUNTIF(Покупки!$C$7:$C$18,$F960)&gt;0,"есть в Покупках","")))</f>
        <v/>
      </c>
      <c r="P960">
        <f>IF($H960&lt;&gt;"",$H960,IF($I960="Оплачено",N($G960),0))</f>
        <v/>
      </c>
      <c r="Q960">
        <f>IF($I960="Отменено",0,IF($G960&lt;&gt;"",$G960,N($H960)))</f>
        <v/>
      </c>
      <c r="R960">
        <f>IF($C960="","",IFERROR(DATE(Настройки!$C$8,Настройки!$D$9+MATCH($M960,Настройки!$X$6:$X$17,0)-1,1),DATE(YEAR($C960),MONTH($C960),1)))</f>
        <v/>
      </c>
      <c r="S960">
        <f>IF(OR($I960="Оплачено",$H960&lt;&gt;""),$P960,$Q960)</f>
        <v/>
      </c>
      <c r="T960">
        <f>IF(OR($C960="",$D960="Доход",$I960="Оплачено",$I960="Отменено",$H960&lt;&gt;"",$C960&lt;TODAY()),"",$C960)</f>
        <v/>
      </c>
      <c r="U960">
        <f>IF(AND($D960&lt;&gt;"Доход",COUNTIFS(Счета!$B$10:$B$21,$J960,Счета!$C$10:$C$21,"Кредитная")&gt;0),1,0)</f>
        <v/>
      </c>
    </row>
    <row r="961" ht="19" customHeight="1">
      <c r="B961" s="53">
        <f>IF(AND($C961="",$F961=""),"",ROW()-9)</f>
        <v/>
      </c>
      <c r="C961" s="213" t="n"/>
      <c r="D961" s="55" t="n"/>
      <c r="E961" s="55" t="n"/>
      <c r="F961" s="56" t="n"/>
      <c r="G961" s="196" t="n"/>
      <c r="H961" s="196" t="n"/>
      <c r="I961" s="55" t="n"/>
      <c r="J961" s="55" t="n"/>
      <c r="K961" s="55" t="n"/>
      <c r="L961" s="100">
        <f>IF(OR($C961="",$I961="Оплачено",$I961="Отменено",$H961&lt;&gt;""),"",$C961-TODAY())</f>
        <v/>
      </c>
      <c r="M961" s="101">
        <f>IF($C961="","",INDEX(Настройки!$V$6:$V$17,MONTH($C961))&amp;" "&amp;YEAR($C961))</f>
        <v/>
      </c>
      <c r="N961" s="57">
        <f>IF($F961="","",IF(COUNTIF(Постоянные!$C$8:$C$37,$F961)&gt;0,"есть в Постоянных",IF(COUNTIF(Покупки!$C$7:$C$18,$F961)&gt;0,"есть в Покупках","")))</f>
        <v/>
      </c>
      <c r="P961">
        <f>IF($H961&lt;&gt;"",$H961,IF($I961="Оплачено",N($G961),0))</f>
        <v/>
      </c>
      <c r="Q961">
        <f>IF($I961="Отменено",0,IF($G961&lt;&gt;"",$G961,N($H961)))</f>
        <v/>
      </c>
      <c r="R961">
        <f>IF($C961="","",IFERROR(DATE(Настройки!$C$8,Настройки!$D$9+MATCH($M961,Настройки!$X$6:$X$17,0)-1,1),DATE(YEAR($C961),MONTH($C961),1)))</f>
        <v/>
      </c>
      <c r="S961">
        <f>IF(OR($I961="Оплачено",$H961&lt;&gt;""),$P961,$Q961)</f>
        <v/>
      </c>
      <c r="T961">
        <f>IF(OR($C961="",$D961="Доход",$I961="Оплачено",$I961="Отменено",$H961&lt;&gt;"",$C961&lt;TODAY()),"",$C961)</f>
        <v/>
      </c>
      <c r="U961">
        <f>IF(AND($D961&lt;&gt;"Доход",COUNTIFS(Счета!$B$10:$B$21,$J961,Счета!$C$10:$C$21,"Кредитная")&gt;0),1,0)</f>
        <v/>
      </c>
    </row>
    <row r="962" ht="19" customHeight="1">
      <c r="B962" s="53">
        <f>IF(AND($C962="",$F962=""),"",ROW()-9)</f>
        <v/>
      </c>
      <c r="C962" s="213" t="n"/>
      <c r="D962" s="55" t="n"/>
      <c r="E962" s="55" t="n"/>
      <c r="F962" s="56" t="n"/>
      <c r="G962" s="196" t="n"/>
      <c r="H962" s="196" t="n"/>
      <c r="I962" s="55" t="n"/>
      <c r="J962" s="55" t="n"/>
      <c r="K962" s="55" t="n"/>
      <c r="L962" s="100">
        <f>IF(OR($C962="",$I962="Оплачено",$I962="Отменено",$H962&lt;&gt;""),"",$C962-TODAY())</f>
        <v/>
      </c>
      <c r="M962" s="101">
        <f>IF($C962="","",INDEX(Настройки!$V$6:$V$17,MONTH($C962))&amp;" "&amp;YEAR($C962))</f>
        <v/>
      </c>
      <c r="N962" s="57">
        <f>IF($F962="","",IF(COUNTIF(Постоянные!$C$8:$C$37,$F962)&gt;0,"есть в Постоянных",IF(COUNTIF(Покупки!$C$7:$C$18,$F962)&gt;0,"есть в Покупках","")))</f>
        <v/>
      </c>
      <c r="P962">
        <f>IF($H962&lt;&gt;"",$H962,IF($I962="Оплачено",N($G962),0))</f>
        <v/>
      </c>
      <c r="Q962">
        <f>IF($I962="Отменено",0,IF($G962&lt;&gt;"",$G962,N($H962)))</f>
        <v/>
      </c>
      <c r="R962">
        <f>IF($C962="","",IFERROR(DATE(Настройки!$C$8,Настройки!$D$9+MATCH($M962,Настройки!$X$6:$X$17,0)-1,1),DATE(YEAR($C962),MONTH($C962),1)))</f>
        <v/>
      </c>
      <c r="S962">
        <f>IF(OR($I962="Оплачено",$H962&lt;&gt;""),$P962,$Q962)</f>
        <v/>
      </c>
      <c r="T962">
        <f>IF(OR($C962="",$D962="Доход",$I962="Оплачено",$I962="Отменено",$H962&lt;&gt;"",$C962&lt;TODAY()),"",$C962)</f>
        <v/>
      </c>
      <c r="U962">
        <f>IF(AND($D962&lt;&gt;"Доход",COUNTIFS(Счета!$B$10:$B$21,$J962,Счета!$C$10:$C$21,"Кредитная")&gt;0),1,0)</f>
        <v/>
      </c>
    </row>
    <row r="963" ht="19" customHeight="1">
      <c r="B963" s="53">
        <f>IF(AND($C963="",$F963=""),"",ROW()-9)</f>
        <v/>
      </c>
      <c r="C963" s="213" t="n"/>
      <c r="D963" s="55" t="n"/>
      <c r="E963" s="55" t="n"/>
      <c r="F963" s="56" t="n"/>
      <c r="G963" s="196" t="n"/>
      <c r="H963" s="196" t="n"/>
      <c r="I963" s="55" t="n"/>
      <c r="J963" s="55" t="n"/>
      <c r="K963" s="55" t="n"/>
      <c r="L963" s="100">
        <f>IF(OR($C963="",$I963="Оплачено",$I963="Отменено",$H963&lt;&gt;""),"",$C963-TODAY())</f>
        <v/>
      </c>
      <c r="M963" s="101">
        <f>IF($C963="","",INDEX(Настройки!$V$6:$V$17,MONTH($C963))&amp;" "&amp;YEAR($C963))</f>
        <v/>
      </c>
      <c r="N963" s="57">
        <f>IF($F963="","",IF(COUNTIF(Постоянные!$C$8:$C$37,$F963)&gt;0,"есть в Постоянных",IF(COUNTIF(Покупки!$C$7:$C$18,$F963)&gt;0,"есть в Покупках","")))</f>
        <v/>
      </c>
      <c r="P963">
        <f>IF($H963&lt;&gt;"",$H963,IF($I963="Оплачено",N($G963),0))</f>
        <v/>
      </c>
      <c r="Q963">
        <f>IF($I963="Отменено",0,IF($G963&lt;&gt;"",$G963,N($H963)))</f>
        <v/>
      </c>
      <c r="R963">
        <f>IF($C963="","",IFERROR(DATE(Настройки!$C$8,Настройки!$D$9+MATCH($M963,Настройки!$X$6:$X$17,0)-1,1),DATE(YEAR($C963),MONTH($C963),1)))</f>
        <v/>
      </c>
      <c r="S963">
        <f>IF(OR($I963="Оплачено",$H963&lt;&gt;""),$P963,$Q963)</f>
        <v/>
      </c>
      <c r="T963">
        <f>IF(OR($C963="",$D963="Доход",$I963="Оплачено",$I963="Отменено",$H963&lt;&gt;"",$C963&lt;TODAY()),"",$C963)</f>
        <v/>
      </c>
      <c r="U963">
        <f>IF(AND($D963&lt;&gt;"Доход",COUNTIFS(Счета!$B$10:$B$21,$J963,Счета!$C$10:$C$21,"Кредитная")&gt;0),1,0)</f>
        <v/>
      </c>
    </row>
    <row r="964" ht="19" customHeight="1">
      <c r="B964" s="53">
        <f>IF(AND($C964="",$F964=""),"",ROW()-9)</f>
        <v/>
      </c>
      <c r="C964" s="213" t="n"/>
      <c r="D964" s="55" t="n"/>
      <c r="E964" s="55" t="n"/>
      <c r="F964" s="56" t="n"/>
      <c r="G964" s="196" t="n"/>
      <c r="H964" s="196" t="n"/>
      <c r="I964" s="55" t="n"/>
      <c r="J964" s="55" t="n"/>
      <c r="K964" s="55" t="n"/>
      <c r="L964" s="100">
        <f>IF(OR($C964="",$I964="Оплачено",$I964="Отменено",$H964&lt;&gt;""),"",$C964-TODAY())</f>
        <v/>
      </c>
      <c r="M964" s="101">
        <f>IF($C964="","",INDEX(Настройки!$V$6:$V$17,MONTH($C964))&amp;" "&amp;YEAR($C964))</f>
        <v/>
      </c>
      <c r="N964" s="57">
        <f>IF($F964="","",IF(COUNTIF(Постоянные!$C$8:$C$37,$F964)&gt;0,"есть в Постоянных",IF(COUNTIF(Покупки!$C$7:$C$18,$F964)&gt;0,"есть в Покупках","")))</f>
        <v/>
      </c>
      <c r="P964">
        <f>IF($H964&lt;&gt;"",$H964,IF($I964="Оплачено",N($G964),0))</f>
        <v/>
      </c>
      <c r="Q964">
        <f>IF($I964="Отменено",0,IF($G964&lt;&gt;"",$G964,N($H964)))</f>
        <v/>
      </c>
      <c r="R964">
        <f>IF($C964="","",IFERROR(DATE(Настройки!$C$8,Настройки!$D$9+MATCH($M964,Настройки!$X$6:$X$17,0)-1,1),DATE(YEAR($C964),MONTH($C964),1)))</f>
        <v/>
      </c>
      <c r="S964">
        <f>IF(OR($I964="Оплачено",$H964&lt;&gt;""),$P964,$Q964)</f>
        <v/>
      </c>
      <c r="T964">
        <f>IF(OR($C964="",$D964="Доход",$I964="Оплачено",$I964="Отменено",$H964&lt;&gt;"",$C964&lt;TODAY()),"",$C964)</f>
        <v/>
      </c>
      <c r="U964">
        <f>IF(AND($D964&lt;&gt;"Доход",COUNTIFS(Счета!$B$10:$B$21,$J964,Счета!$C$10:$C$21,"Кредитная")&gt;0),1,0)</f>
        <v/>
      </c>
    </row>
    <row r="965" ht="19" customHeight="1">
      <c r="B965" s="53">
        <f>IF(AND($C965="",$F965=""),"",ROW()-9)</f>
        <v/>
      </c>
      <c r="C965" s="213" t="n"/>
      <c r="D965" s="55" t="n"/>
      <c r="E965" s="55" t="n"/>
      <c r="F965" s="56" t="n"/>
      <c r="G965" s="196" t="n"/>
      <c r="H965" s="196" t="n"/>
      <c r="I965" s="55" t="n"/>
      <c r="J965" s="55" t="n"/>
      <c r="K965" s="55" t="n"/>
      <c r="L965" s="100">
        <f>IF(OR($C965="",$I965="Оплачено",$I965="Отменено",$H965&lt;&gt;""),"",$C965-TODAY())</f>
        <v/>
      </c>
      <c r="M965" s="101">
        <f>IF($C965="","",INDEX(Настройки!$V$6:$V$17,MONTH($C965))&amp;" "&amp;YEAR($C965))</f>
        <v/>
      </c>
      <c r="N965" s="57">
        <f>IF($F965="","",IF(COUNTIF(Постоянные!$C$8:$C$37,$F965)&gt;0,"есть в Постоянных",IF(COUNTIF(Покупки!$C$7:$C$18,$F965)&gt;0,"есть в Покупках","")))</f>
        <v/>
      </c>
      <c r="P965">
        <f>IF($H965&lt;&gt;"",$H965,IF($I965="Оплачено",N($G965),0))</f>
        <v/>
      </c>
      <c r="Q965">
        <f>IF($I965="Отменено",0,IF($G965&lt;&gt;"",$G965,N($H965)))</f>
        <v/>
      </c>
      <c r="R965">
        <f>IF($C965="","",IFERROR(DATE(Настройки!$C$8,Настройки!$D$9+MATCH($M965,Настройки!$X$6:$X$17,0)-1,1),DATE(YEAR($C965),MONTH($C965),1)))</f>
        <v/>
      </c>
      <c r="S965">
        <f>IF(OR($I965="Оплачено",$H965&lt;&gt;""),$P965,$Q965)</f>
        <v/>
      </c>
      <c r="T965">
        <f>IF(OR($C965="",$D965="Доход",$I965="Оплачено",$I965="Отменено",$H965&lt;&gt;"",$C965&lt;TODAY()),"",$C965)</f>
        <v/>
      </c>
      <c r="U965">
        <f>IF(AND($D965&lt;&gt;"Доход",COUNTIFS(Счета!$B$10:$B$21,$J965,Счета!$C$10:$C$21,"Кредитная")&gt;0),1,0)</f>
        <v/>
      </c>
    </row>
    <row r="966" ht="19" customHeight="1">
      <c r="B966" s="53">
        <f>IF(AND($C966="",$F966=""),"",ROW()-9)</f>
        <v/>
      </c>
      <c r="C966" s="213" t="n"/>
      <c r="D966" s="55" t="n"/>
      <c r="E966" s="55" t="n"/>
      <c r="F966" s="56" t="n"/>
      <c r="G966" s="196" t="n"/>
      <c r="H966" s="196" t="n"/>
      <c r="I966" s="55" t="n"/>
      <c r="J966" s="55" t="n"/>
      <c r="K966" s="55" t="n"/>
      <c r="L966" s="100">
        <f>IF(OR($C966="",$I966="Оплачено",$I966="Отменено",$H966&lt;&gt;""),"",$C966-TODAY())</f>
        <v/>
      </c>
      <c r="M966" s="101">
        <f>IF($C966="","",INDEX(Настройки!$V$6:$V$17,MONTH($C966))&amp;" "&amp;YEAR($C966))</f>
        <v/>
      </c>
      <c r="N966" s="57">
        <f>IF($F966="","",IF(COUNTIF(Постоянные!$C$8:$C$37,$F966)&gt;0,"есть в Постоянных",IF(COUNTIF(Покупки!$C$7:$C$18,$F966)&gt;0,"есть в Покупках","")))</f>
        <v/>
      </c>
      <c r="P966">
        <f>IF($H966&lt;&gt;"",$H966,IF($I966="Оплачено",N($G966),0))</f>
        <v/>
      </c>
      <c r="Q966">
        <f>IF($I966="Отменено",0,IF($G966&lt;&gt;"",$G966,N($H966)))</f>
        <v/>
      </c>
      <c r="R966">
        <f>IF($C966="","",IFERROR(DATE(Настройки!$C$8,Настройки!$D$9+MATCH($M966,Настройки!$X$6:$X$17,0)-1,1),DATE(YEAR($C966),MONTH($C966),1)))</f>
        <v/>
      </c>
      <c r="S966">
        <f>IF(OR($I966="Оплачено",$H966&lt;&gt;""),$P966,$Q966)</f>
        <v/>
      </c>
      <c r="T966">
        <f>IF(OR($C966="",$D966="Доход",$I966="Оплачено",$I966="Отменено",$H966&lt;&gt;"",$C966&lt;TODAY()),"",$C966)</f>
        <v/>
      </c>
      <c r="U966">
        <f>IF(AND($D966&lt;&gt;"Доход",COUNTIFS(Счета!$B$10:$B$21,$J966,Счета!$C$10:$C$21,"Кредитная")&gt;0),1,0)</f>
        <v/>
      </c>
    </row>
    <row r="967" ht="19" customHeight="1">
      <c r="B967" s="53">
        <f>IF(AND($C967="",$F967=""),"",ROW()-9)</f>
        <v/>
      </c>
      <c r="C967" s="213" t="n"/>
      <c r="D967" s="55" t="n"/>
      <c r="E967" s="55" t="n"/>
      <c r="F967" s="56" t="n"/>
      <c r="G967" s="196" t="n"/>
      <c r="H967" s="196" t="n"/>
      <c r="I967" s="55" t="n"/>
      <c r="J967" s="55" t="n"/>
      <c r="K967" s="55" t="n"/>
      <c r="L967" s="100">
        <f>IF(OR($C967="",$I967="Оплачено",$I967="Отменено",$H967&lt;&gt;""),"",$C967-TODAY())</f>
        <v/>
      </c>
      <c r="M967" s="101">
        <f>IF($C967="","",INDEX(Настройки!$V$6:$V$17,MONTH($C967))&amp;" "&amp;YEAR($C967))</f>
        <v/>
      </c>
      <c r="N967" s="57">
        <f>IF($F967="","",IF(COUNTIF(Постоянные!$C$8:$C$37,$F967)&gt;0,"есть в Постоянных",IF(COUNTIF(Покупки!$C$7:$C$18,$F967)&gt;0,"есть в Покупках","")))</f>
        <v/>
      </c>
      <c r="P967">
        <f>IF($H967&lt;&gt;"",$H967,IF($I967="Оплачено",N($G967),0))</f>
        <v/>
      </c>
      <c r="Q967">
        <f>IF($I967="Отменено",0,IF($G967&lt;&gt;"",$G967,N($H967)))</f>
        <v/>
      </c>
      <c r="R967">
        <f>IF($C967="","",IFERROR(DATE(Настройки!$C$8,Настройки!$D$9+MATCH($M967,Настройки!$X$6:$X$17,0)-1,1),DATE(YEAR($C967),MONTH($C967),1)))</f>
        <v/>
      </c>
      <c r="S967">
        <f>IF(OR($I967="Оплачено",$H967&lt;&gt;""),$P967,$Q967)</f>
        <v/>
      </c>
      <c r="T967">
        <f>IF(OR($C967="",$D967="Доход",$I967="Оплачено",$I967="Отменено",$H967&lt;&gt;"",$C967&lt;TODAY()),"",$C967)</f>
        <v/>
      </c>
      <c r="U967">
        <f>IF(AND($D967&lt;&gt;"Доход",COUNTIFS(Счета!$B$10:$B$21,$J967,Счета!$C$10:$C$21,"Кредитная")&gt;0),1,0)</f>
        <v/>
      </c>
    </row>
    <row r="968" ht="19" customHeight="1">
      <c r="B968" s="53">
        <f>IF(AND($C968="",$F968=""),"",ROW()-9)</f>
        <v/>
      </c>
      <c r="C968" s="213" t="n"/>
      <c r="D968" s="55" t="n"/>
      <c r="E968" s="55" t="n"/>
      <c r="F968" s="56" t="n"/>
      <c r="G968" s="196" t="n"/>
      <c r="H968" s="196" t="n"/>
      <c r="I968" s="55" t="n"/>
      <c r="J968" s="55" t="n"/>
      <c r="K968" s="55" t="n"/>
      <c r="L968" s="100">
        <f>IF(OR($C968="",$I968="Оплачено",$I968="Отменено",$H968&lt;&gt;""),"",$C968-TODAY())</f>
        <v/>
      </c>
      <c r="M968" s="101">
        <f>IF($C968="","",INDEX(Настройки!$V$6:$V$17,MONTH($C968))&amp;" "&amp;YEAR($C968))</f>
        <v/>
      </c>
      <c r="N968" s="57">
        <f>IF($F968="","",IF(COUNTIF(Постоянные!$C$8:$C$37,$F968)&gt;0,"есть в Постоянных",IF(COUNTIF(Покупки!$C$7:$C$18,$F968)&gt;0,"есть в Покупках","")))</f>
        <v/>
      </c>
      <c r="P968">
        <f>IF($H968&lt;&gt;"",$H968,IF($I968="Оплачено",N($G968),0))</f>
        <v/>
      </c>
      <c r="Q968">
        <f>IF($I968="Отменено",0,IF($G968&lt;&gt;"",$G968,N($H968)))</f>
        <v/>
      </c>
      <c r="R968">
        <f>IF($C968="","",IFERROR(DATE(Настройки!$C$8,Настройки!$D$9+MATCH($M968,Настройки!$X$6:$X$17,0)-1,1),DATE(YEAR($C968),MONTH($C968),1)))</f>
        <v/>
      </c>
      <c r="S968">
        <f>IF(OR($I968="Оплачено",$H968&lt;&gt;""),$P968,$Q968)</f>
        <v/>
      </c>
      <c r="T968">
        <f>IF(OR($C968="",$D968="Доход",$I968="Оплачено",$I968="Отменено",$H968&lt;&gt;"",$C968&lt;TODAY()),"",$C968)</f>
        <v/>
      </c>
      <c r="U968">
        <f>IF(AND($D968&lt;&gt;"Доход",COUNTIFS(Счета!$B$10:$B$21,$J968,Счета!$C$10:$C$21,"Кредитная")&gt;0),1,0)</f>
        <v/>
      </c>
    </row>
    <row r="969" ht="19" customHeight="1">
      <c r="B969" s="53">
        <f>IF(AND($C969="",$F969=""),"",ROW()-9)</f>
        <v/>
      </c>
      <c r="C969" s="213" t="n"/>
      <c r="D969" s="55" t="n"/>
      <c r="E969" s="55" t="n"/>
      <c r="F969" s="56" t="n"/>
      <c r="G969" s="196" t="n"/>
      <c r="H969" s="196" t="n"/>
      <c r="I969" s="55" t="n"/>
      <c r="J969" s="55" t="n"/>
      <c r="K969" s="55" t="n"/>
      <c r="L969" s="100">
        <f>IF(OR($C969="",$I969="Оплачено",$I969="Отменено",$H969&lt;&gt;""),"",$C969-TODAY())</f>
        <v/>
      </c>
      <c r="M969" s="101">
        <f>IF($C969="","",INDEX(Настройки!$V$6:$V$17,MONTH($C969))&amp;" "&amp;YEAR($C969))</f>
        <v/>
      </c>
      <c r="N969" s="57">
        <f>IF($F969="","",IF(COUNTIF(Постоянные!$C$8:$C$37,$F969)&gt;0,"есть в Постоянных",IF(COUNTIF(Покупки!$C$7:$C$18,$F969)&gt;0,"есть в Покупках","")))</f>
        <v/>
      </c>
      <c r="P969">
        <f>IF($H969&lt;&gt;"",$H969,IF($I969="Оплачено",N($G969),0))</f>
        <v/>
      </c>
      <c r="Q969">
        <f>IF($I969="Отменено",0,IF($G969&lt;&gt;"",$G969,N($H969)))</f>
        <v/>
      </c>
      <c r="R969">
        <f>IF($C969="","",IFERROR(DATE(Настройки!$C$8,Настройки!$D$9+MATCH($M969,Настройки!$X$6:$X$17,0)-1,1),DATE(YEAR($C969),MONTH($C969),1)))</f>
        <v/>
      </c>
      <c r="S969">
        <f>IF(OR($I969="Оплачено",$H969&lt;&gt;""),$P969,$Q969)</f>
        <v/>
      </c>
      <c r="T969">
        <f>IF(OR($C969="",$D969="Доход",$I969="Оплачено",$I969="Отменено",$H969&lt;&gt;"",$C969&lt;TODAY()),"",$C969)</f>
        <v/>
      </c>
      <c r="U969">
        <f>IF(AND($D969&lt;&gt;"Доход",COUNTIFS(Счета!$B$10:$B$21,$J969,Счета!$C$10:$C$21,"Кредитная")&gt;0),1,0)</f>
        <v/>
      </c>
    </row>
    <row r="970" ht="19" customHeight="1">
      <c r="B970" s="53">
        <f>IF(AND($C970="",$F970=""),"",ROW()-9)</f>
        <v/>
      </c>
      <c r="C970" s="213" t="n"/>
      <c r="D970" s="55" t="n"/>
      <c r="E970" s="55" t="n"/>
      <c r="F970" s="56" t="n"/>
      <c r="G970" s="196" t="n"/>
      <c r="H970" s="196" t="n"/>
      <c r="I970" s="55" t="n"/>
      <c r="J970" s="55" t="n"/>
      <c r="K970" s="55" t="n"/>
      <c r="L970" s="100">
        <f>IF(OR($C970="",$I970="Оплачено",$I970="Отменено",$H970&lt;&gt;""),"",$C970-TODAY())</f>
        <v/>
      </c>
      <c r="M970" s="101">
        <f>IF($C970="","",INDEX(Настройки!$V$6:$V$17,MONTH($C970))&amp;" "&amp;YEAR($C970))</f>
        <v/>
      </c>
      <c r="N970" s="57">
        <f>IF($F970="","",IF(COUNTIF(Постоянные!$C$8:$C$37,$F970)&gt;0,"есть в Постоянных",IF(COUNTIF(Покупки!$C$7:$C$18,$F970)&gt;0,"есть в Покупках","")))</f>
        <v/>
      </c>
      <c r="P970">
        <f>IF($H970&lt;&gt;"",$H970,IF($I970="Оплачено",N($G970),0))</f>
        <v/>
      </c>
      <c r="Q970">
        <f>IF($I970="Отменено",0,IF($G970&lt;&gt;"",$G970,N($H970)))</f>
        <v/>
      </c>
      <c r="R970">
        <f>IF($C970="","",IFERROR(DATE(Настройки!$C$8,Настройки!$D$9+MATCH($M970,Настройки!$X$6:$X$17,0)-1,1),DATE(YEAR($C970),MONTH($C970),1)))</f>
        <v/>
      </c>
      <c r="S970">
        <f>IF(OR($I970="Оплачено",$H970&lt;&gt;""),$P970,$Q970)</f>
        <v/>
      </c>
      <c r="T970">
        <f>IF(OR($C970="",$D970="Доход",$I970="Оплачено",$I970="Отменено",$H970&lt;&gt;"",$C970&lt;TODAY()),"",$C970)</f>
        <v/>
      </c>
      <c r="U970">
        <f>IF(AND($D970&lt;&gt;"Доход",COUNTIFS(Счета!$B$10:$B$21,$J970,Счета!$C$10:$C$21,"Кредитная")&gt;0),1,0)</f>
        <v/>
      </c>
    </row>
    <row r="971" ht="19" customHeight="1">
      <c r="B971" s="53">
        <f>IF(AND($C971="",$F971=""),"",ROW()-9)</f>
        <v/>
      </c>
      <c r="C971" s="213" t="n"/>
      <c r="D971" s="55" t="n"/>
      <c r="E971" s="55" t="n"/>
      <c r="F971" s="56" t="n"/>
      <c r="G971" s="196" t="n"/>
      <c r="H971" s="196" t="n"/>
      <c r="I971" s="55" t="n"/>
      <c r="J971" s="55" t="n"/>
      <c r="K971" s="55" t="n"/>
      <c r="L971" s="100">
        <f>IF(OR($C971="",$I971="Оплачено",$I971="Отменено",$H971&lt;&gt;""),"",$C971-TODAY())</f>
        <v/>
      </c>
      <c r="M971" s="101">
        <f>IF($C971="","",INDEX(Настройки!$V$6:$V$17,MONTH($C971))&amp;" "&amp;YEAR($C971))</f>
        <v/>
      </c>
      <c r="N971" s="57">
        <f>IF($F971="","",IF(COUNTIF(Постоянные!$C$8:$C$37,$F971)&gt;0,"есть в Постоянных",IF(COUNTIF(Покупки!$C$7:$C$18,$F971)&gt;0,"есть в Покупках","")))</f>
        <v/>
      </c>
      <c r="P971">
        <f>IF($H971&lt;&gt;"",$H971,IF($I971="Оплачено",N($G971),0))</f>
        <v/>
      </c>
      <c r="Q971">
        <f>IF($I971="Отменено",0,IF($G971&lt;&gt;"",$G971,N($H971)))</f>
        <v/>
      </c>
      <c r="R971">
        <f>IF($C971="","",IFERROR(DATE(Настройки!$C$8,Настройки!$D$9+MATCH($M971,Настройки!$X$6:$X$17,0)-1,1),DATE(YEAR($C971),MONTH($C971),1)))</f>
        <v/>
      </c>
      <c r="S971">
        <f>IF(OR($I971="Оплачено",$H971&lt;&gt;""),$P971,$Q971)</f>
        <v/>
      </c>
      <c r="T971">
        <f>IF(OR($C971="",$D971="Доход",$I971="Оплачено",$I971="Отменено",$H971&lt;&gt;"",$C971&lt;TODAY()),"",$C971)</f>
        <v/>
      </c>
      <c r="U971">
        <f>IF(AND($D971&lt;&gt;"Доход",COUNTIFS(Счета!$B$10:$B$21,$J971,Счета!$C$10:$C$21,"Кредитная")&gt;0),1,0)</f>
        <v/>
      </c>
    </row>
    <row r="972" ht="19" customHeight="1">
      <c r="B972" s="53">
        <f>IF(AND($C972="",$F972=""),"",ROW()-9)</f>
        <v/>
      </c>
      <c r="C972" s="213" t="n"/>
      <c r="D972" s="55" t="n"/>
      <c r="E972" s="55" t="n"/>
      <c r="F972" s="56" t="n"/>
      <c r="G972" s="196" t="n"/>
      <c r="H972" s="196" t="n"/>
      <c r="I972" s="55" t="n"/>
      <c r="J972" s="55" t="n"/>
      <c r="K972" s="55" t="n"/>
      <c r="L972" s="100">
        <f>IF(OR($C972="",$I972="Оплачено",$I972="Отменено",$H972&lt;&gt;""),"",$C972-TODAY())</f>
        <v/>
      </c>
      <c r="M972" s="101">
        <f>IF($C972="","",INDEX(Настройки!$V$6:$V$17,MONTH($C972))&amp;" "&amp;YEAR($C972))</f>
        <v/>
      </c>
      <c r="N972" s="57">
        <f>IF($F972="","",IF(COUNTIF(Постоянные!$C$8:$C$37,$F972)&gt;0,"есть в Постоянных",IF(COUNTIF(Покупки!$C$7:$C$18,$F972)&gt;0,"есть в Покупках","")))</f>
        <v/>
      </c>
      <c r="P972">
        <f>IF($H972&lt;&gt;"",$H972,IF($I972="Оплачено",N($G972),0))</f>
        <v/>
      </c>
      <c r="Q972">
        <f>IF($I972="Отменено",0,IF($G972&lt;&gt;"",$G972,N($H972)))</f>
        <v/>
      </c>
      <c r="R972">
        <f>IF($C972="","",IFERROR(DATE(Настройки!$C$8,Настройки!$D$9+MATCH($M972,Настройки!$X$6:$X$17,0)-1,1),DATE(YEAR($C972),MONTH($C972),1)))</f>
        <v/>
      </c>
      <c r="S972">
        <f>IF(OR($I972="Оплачено",$H972&lt;&gt;""),$P972,$Q972)</f>
        <v/>
      </c>
      <c r="T972">
        <f>IF(OR($C972="",$D972="Доход",$I972="Оплачено",$I972="Отменено",$H972&lt;&gt;"",$C972&lt;TODAY()),"",$C972)</f>
        <v/>
      </c>
      <c r="U972">
        <f>IF(AND($D972&lt;&gt;"Доход",COUNTIFS(Счета!$B$10:$B$21,$J972,Счета!$C$10:$C$21,"Кредитная")&gt;0),1,0)</f>
        <v/>
      </c>
    </row>
    <row r="973" ht="19" customHeight="1">
      <c r="B973" s="53">
        <f>IF(AND($C973="",$F973=""),"",ROW()-9)</f>
        <v/>
      </c>
      <c r="C973" s="213" t="n"/>
      <c r="D973" s="55" t="n"/>
      <c r="E973" s="55" t="n"/>
      <c r="F973" s="56" t="n"/>
      <c r="G973" s="196" t="n"/>
      <c r="H973" s="196" t="n"/>
      <c r="I973" s="55" t="n"/>
      <c r="J973" s="55" t="n"/>
      <c r="K973" s="55" t="n"/>
      <c r="L973" s="100">
        <f>IF(OR($C973="",$I973="Оплачено",$I973="Отменено",$H973&lt;&gt;""),"",$C973-TODAY())</f>
        <v/>
      </c>
      <c r="M973" s="101">
        <f>IF($C973="","",INDEX(Настройки!$V$6:$V$17,MONTH($C973))&amp;" "&amp;YEAR($C973))</f>
        <v/>
      </c>
      <c r="N973" s="57">
        <f>IF($F973="","",IF(COUNTIF(Постоянные!$C$8:$C$37,$F973)&gt;0,"есть в Постоянных",IF(COUNTIF(Покупки!$C$7:$C$18,$F973)&gt;0,"есть в Покупках","")))</f>
        <v/>
      </c>
      <c r="P973">
        <f>IF($H973&lt;&gt;"",$H973,IF($I973="Оплачено",N($G973),0))</f>
        <v/>
      </c>
      <c r="Q973">
        <f>IF($I973="Отменено",0,IF($G973&lt;&gt;"",$G973,N($H973)))</f>
        <v/>
      </c>
      <c r="R973">
        <f>IF($C973="","",IFERROR(DATE(Настройки!$C$8,Настройки!$D$9+MATCH($M973,Настройки!$X$6:$X$17,0)-1,1),DATE(YEAR($C973),MONTH($C973),1)))</f>
        <v/>
      </c>
      <c r="S973">
        <f>IF(OR($I973="Оплачено",$H973&lt;&gt;""),$P973,$Q973)</f>
        <v/>
      </c>
      <c r="T973">
        <f>IF(OR($C973="",$D973="Доход",$I973="Оплачено",$I973="Отменено",$H973&lt;&gt;"",$C973&lt;TODAY()),"",$C973)</f>
        <v/>
      </c>
      <c r="U973">
        <f>IF(AND($D973&lt;&gt;"Доход",COUNTIFS(Счета!$B$10:$B$21,$J973,Счета!$C$10:$C$21,"Кредитная")&gt;0),1,0)</f>
        <v/>
      </c>
    </row>
    <row r="974" ht="19" customHeight="1">
      <c r="B974" s="53">
        <f>IF(AND($C974="",$F974=""),"",ROW()-9)</f>
        <v/>
      </c>
      <c r="C974" s="213" t="n"/>
      <c r="D974" s="55" t="n"/>
      <c r="E974" s="55" t="n"/>
      <c r="F974" s="56" t="n"/>
      <c r="G974" s="196" t="n"/>
      <c r="H974" s="196" t="n"/>
      <c r="I974" s="55" t="n"/>
      <c r="J974" s="55" t="n"/>
      <c r="K974" s="55" t="n"/>
      <c r="L974" s="100">
        <f>IF(OR($C974="",$I974="Оплачено",$I974="Отменено",$H974&lt;&gt;""),"",$C974-TODAY())</f>
        <v/>
      </c>
      <c r="M974" s="101">
        <f>IF($C974="","",INDEX(Настройки!$V$6:$V$17,MONTH($C974))&amp;" "&amp;YEAR($C974))</f>
        <v/>
      </c>
      <c r="N974" s="57">
        <f>IF($F974="","",IF(COUNTIF(Постоянные!$C$8:$C$37,$F974)&gt;0,"есть в Постоянных",IF(COUNTIF(Покупки!$C$7:$C$18,$F974)&gt;0,"есть в Покупках","")))</f>
        <v/>
      </c>
      <c r="P974">
        <f>IF($H974&lt;&gt;"",$H974,IF($I974="Оплачено",N($G974),0))</f>
        <v/>
      </c>
      <c r="Q974">
        <f>IF($I974="Отменено",0,IF($G974&lt;&gt;"",$G974,N($H974)))</f>
        <v/>
      </c>
      <c r="R974">
        <f>IF($C974="","",IFERROR(DATE(Настройки!$C$8,Настройки!$D$9+MATCH($M974,Настройки!$X$6:$X$17,0)-1,1),DATE(YEAR($C974),MONTH($C974),1)))</f>
        <v/>
      </c>
      <c r="S974">
        <f>IF(OR($I974="Оплачено",$H974&lt;&gt;""),$P974,$Q974)</f>
        <v/>
      </c>
      <c r="T974">
        <f>IF(OR($C974="",$D974="Доход",$I974="Оплачено",$I974="Отменено",$H974&lt;&gt;"",$C974&lt;TODAY()),"",$C974)</f>
        <v/>
      </c>
      <c r="U974">
        <f>IF(AND($D974&lt;&gt;"Доход",COUNTIFS(Счета!$B$10:$B$21,$J974,Счета!$C$10:$C$21,"Кредитная")&gt;0),1,0)</f>
        <v/>
      </c>
    </row>
    <row r="975" ht="19" customHeight="1">
      <c r="B975" s="53">
        <f>IF(AND($C975="",$F975=""),"",ROW()-9)</f>
        <v/>
      </c>
      <c r="C975" s="213" t="n"/>
      <c r="D975" s="55" t="n"/>
      <c r="E975" s="55" t="n"/>
      <c r="F975" s="56" t="n"/>
      <c r="G975" s="196" t="n"/>
      <c r="H975" s="196" t="n"/>
      <c r="I975" s="55" t="n"/>
      <c r="J975" s="55" t="n"/>
      <c r="K975" s="55" t="n"/>
      <c r="L975" s="100">
        <f>IF(OR($C975="",$I975="Оплачено",$I975="Отменено",$H975&lt;&gt;""),"",$C975-TODAY())</f>
        <v/>
      </c>
      <c r="M975" s="101">
        <f>IF($C975="","",INDEX(Настройки!$V$6:$V$17,MONTH($C975))&amp;" "&amp;YEAR($C975))</f>
        <v/>
      </c>
      <c r="N975" s="57">
        <f>IF($F975="","",IF(COUNTIF(Постоянные!$C$8:$C$37,$F975)&gt;0,"есть в Постоянных",IF(COUNTIF(Покупки!$C$7:$C$18,$F975)&gt;0,"есть в Покупках","")))</f>
        <v/>
      </c>
      <c r="P975">
        <f>IF($H975&lt;&gt;"",$H975,IF($I975="Оплачено",N($G975),0))</f>
        <v/>
      </c>
      <c r="Q975">
        <f>IF($I975="Отменено",0,IF($G975&lt;&gt;"",$G975,N($H975)))</f>
        <v/>
      </c>
      <c r="R975">
        <f>IF($C975="","",IFERROR(DATE(Настройки!$C$8,Настройки!$D$9+MATCH($M975,Настройки!$X$6:$X$17,0)-1,1),DATE(YEAR($C975),MONTH($C975),1)))</f>
        <v/>
      </c>
      <c r="S975">
        <f>IF(OR($I975="Оплачено",$H975&lt;&gt;""),$P975,$Q975)</f>
        <v/>
      </c>
      <c r="T975">
        <f>IF(OR($C975="",$D975="Доход",$I975="Оплачено",$I975="Отменено",$H975&lt;&gt;"",$C975&lt;TODAY()),"",$C975)</f>
        <v/>
      </c>
      <c r="U975">
        <f>IF(AND($D975&lt;&gt;"Доход",COUNTIFS(Счета!$B$10:$B$21,$J975,Счета!$C$10:$C$21,"Кредитная")&gt;0),1,0)</f>
        <v/>
      </c>
    </row>
    <row r="976" ht="19" customHeight="1">
      <c r="B976" s="53">
        <f>IF(AND($C976="",$F976=""),"",ROW()-9)</f>
        <v/>
      </c>
      <c r="C976" s="213" t="n"/>
      <c r="D976" s="55" t="n"/>
      <c r="E976" s="55" t="n"/>
      <c r="F976" s="56" t="n"/>
      <c r="G976" s="196" t="n"/>
      <c r="H976" s="196" t="n"/>
      <c r="I976" s="55" t="n"/>
      <c r="J976" s="55" t="n"/>
      <c r="K976" s="55" t="n"/>
      <c r="L976" s="100">
        <f>IF(OR($C976="",$I976="Оплачено",$I976="Отменено",$H976&lt;&gt;""),"",$C976-TODAY())</f>
        <v/>
      </c>
      <c r="M976" s="101">
        <f>IF($C976="","",INDEX(Настройки!$V$6:$V$17,MONTH($C976))&amp;" "&amp;YEAR($C976))</f>
        <v/>
      </c>
      <c r="N976" s="57">
        <f>IF($F976="","",IF(COUNTIF(Постоянные!$C$8:$C$37,$F976)&gt;0,"есть в Постоянных",IF(COUNTIF(Покупки!$C$7:$C$18,$F976)&gt;0,"есть в Покупках","")))</f>
        <v/>
      </c>
      <c r="P976">
        <f>IF($H976&lt;&gt;"",$H976,IF($I976="Оплачено",N($G976),0))</f>
        <v/>
      </c>
      <c r="Q976">
        <f>IF($I976="Отменено",0,IF($G976&lt;&gt;"",$G976,N($H976)))</f>
        <v/>
      </c>
      <c r="R976">
        <f>IF($C976="","",IFERROR(DATE(Настройки!$C$8,Настройки!$D$9+MATCH($M976,Настройки!$X$6:$X$17,0)-1,1),DATE(YEAR($C976),MONTH($C976),1)))</f>
        <v/>
      </c>
      <c r="S976">
        <f>IF(OR($I976="Оплачено",$H976&lt;&gt;""),$P976,$Q976)</f>
        <v/>
      </c>
      <c r="T976">
        <f>IF(OR($C976="",$D976="Доход",$I976="Оплачено",$I976="Отменено",$H976&lt;&gt;"",$C976&lt;TODAY()),"",$C976)</f>
        <v/>
      </c>
      <c r="U976">
        <f>IF(AND($D976&lt;&gt;"Доход",COUNTIFS(Счета!$B$10:$B$21,$J976,Счета!$C$10:$C$21,"Кредитная")&gt;0),1,0)</f>
        <v/>
      </c>
    </row>
    <row r="977" ht="19" customHeight="1">
      <c r="B977" s="53">
        <f>IF(AND($C977="",$F977=""),"",ROW()-9)</f>
        <v/>
      </c>
      <c r="C977" s="213" t="n"/>
      <c r="D977" s="55" t="n"/>
      <c r="E977" s="55" t="n"/>
      <c r="F977" s="56" t="n"/>
      <c r="G977" s="196" t="n"/>
      <c r="H977" s="196" t="n"/>
      <c r="I977" s="55" t="n"/>
      <c r="J977" s="55" t="n"/>
      <c r="K977" s="55" t="n"/>
      <c r="L977" s="100">
        <f>IF(OR($C977="",$I977="Оплачено",$I977="Отменено",$H977&lt;&gt;""),"",$C977-TODAY())</f>
        <v/>
      </c>
      <c r="M977" s="101">
        <f>IF($C977="","",INDEX(Настройки!$V$6:$V$17,MONTH($C977))&amp;" "&amp;YEAR($C977))</f>
        <v/>
      </c>
      <c r="N977" s="57">
        <f>IF($F977="","",IF(COUNTIF(Постоянные!$C$8:$C$37,$F977)&gt;0,"есть в Постоянных",IF(COUNTIF(Покупки!$C$7:$C$18,$F977)&gt;0,"есть в Покупках","")))</f>
        <v/>
      </c>
      <c r="P977">
        <f>IF($H977&lt;&gt;"",$H977,IF($I977="Оплачено",N($G977),0))</f>
        <v/>
      </c>
      <c r="Q977">
        <f>IF($I977="Отменено",0,IF($G977&lt;&gt;"",$G977,N($H977)))</f>
        <v/>
      </c>
      <c r="R977">
        <f>IF($C977="","",IFERROR(DATE(Настройки!$C$8,Настройки!$D$9+MATCH($M977,Настройки!$X$6:$X$17,0)-1,1),DATE(YEAR($C977),MONTH($C977),1)))</f>
        <v/>
      </c>
      <c r="S977">
        <f>IF(OR($I977="Оплачено",$H977&lt;&gt;""),$P977,$Q977)</f>
        <v/>
      </c>
      <c r="T977">
        <f>IF(OR($C977="",$D977="Доход",$I977="Оплачено",$I977="Отменено",$H977&lt;&gt;"",$C977&lt;TODAY()),"",$C977)</f>
        <v/>
      </c>
      <c r="U977">
        <f>IF(AND($D977&lt;&gt;"Доход",COUNTIFS(Счета!$B$10:$B$21,$J977,Счета!$C$10:$C$21,"Кредитная")&gt;0),1,0)</f>
        <v/>
      </c>
    </row>
    <row r="978" ht="19" customHeight="1">
      <c r="B978" s="53">
        <f>IF(AND($C978="",$F978=""),"",ROW()-9)</f>
        <v/>
      </c>
      <c r="C978" s="213" t="n"/>
      <c r="D978" s="55" t="n"/>
      <c r="E978" s="55" t="n"/>
      <c r="F978" s="56" t="n"/>
      <c r="G978" s="196" t="n"/>
      <c r="H978" s="196" t="n"/>
      <c r="I978" s="55" t="n"/>
      <c r="J978" s="55" t="n"/>
      <c r="K978" s="55" t="n"/>
      <c r="L978" s="100">
        <f>IF(OR($C978="",$I978="Оплачено",$I978="Отменено",$H978&lt;&gt;""),"",$C978-TODAY())</f>
        <v/>
      </c>
      <c r="M978" s="101">
        <f>IF($C978="","",INDEX(Настройки!$V$6:$V$17,MONTH($C978))&amp;" "&amp;YEAR($C978))</f>
        <v/>
      </c>
      <c r="N978" s="57">
        <f>IF($F978="","",IF(COUNTIF(Постоянные!$C$8:$C$37,$F978)&gt;0,"есть в Постоянных",IF(COUNTIF(Покупки!$C$7:$C$18,$F978)&gt;0,"есть в Покупках","")))</f>
        <v/>
      </c>
      <c r="P978">
        <f>IF($H978&lt;&gt;"",$H978,IF($I978="Оплачено",N($G978),0))</f>
        <v/>
      </c>
      <c r="Q978">
        <f>IF($I978="Отменено",0,IF($G978&lt;&gt;"",$G978,N($H978)))</f>
        <v/>
      </c>
      <c r="R978">
        <f>IF($C978="","",IFERROR(DATE(Настройки!$C$8,Настройки!$D$9+MATCH($M978,Настройки!$X$6:$X$17,0)-1,1),DATE(YEAR($C978),MONTH($C978),1)))</f>
        <v/>
      </c>
      <c r="S978">
        <f>IF(OR($I978="Оплачено",$H978&lt;&gt;""),$P978,$Q978)</f>
        <v/>
      </c>
      <c r="T978">
        <f>IF(OR($C978="",$D978="Доход",$I978="Оплачено",$I978="Отменено",$H978&lt;&gt;"",$C978&lt;TODAY()),"",$C978)</f>
        <v/>
      </c>
      <c r="U978">
        <f>IF(AND($D978&lt;&gt;"Доход",COUNTIFS(Счета!$B$10:$B$21,$J978,Счета!$C$10:$C$21,"Кредитная")&gt;0),1,0)</f>
        <v/>
      </c>
    </row>
    <row r="979" ht="19" customHeight="1">
      <c r="B979" s="53">
        <f>IF(AND($C979="",$F979=""),"",ROW()-9)</f>
        <v/>
      </c>
      <c r="C979" s="213" t="n"/>
      <c r="D979" s="55" t="n"/>
      <c r="E979" s="55" t="n"/>
      <c r="F979" s="56" t="n"/>
      <c r="G979" s="196" t="n"/>
      <c r="H979" s="196" t="n"/>
      <c r="I979" s="55" t="n"/>
      <c r="J979" s="55" t="n"/>
      <c r="K979" s="55" t="n"/>
      <c r="L979" s="100">
        <f>IF(OR($C979="",$I979="Оплачено",$I979="Отменено",$H979&lt;&gt;""),"",$C979-TODAY())</f>
        <v/>
      </c>
      <c r="M979" s="101">
        <f>IF($C979="","",INDEX(Настройки!$V$6:$V$17,MONTH($C979))&amp;" "&amp;YEAR($C979))</f>
        <v/>
      </c>
      <c r="N979" s="57">
        <f>IF($F979="","",IF(COUNTIF(Постоянные!$C$8:$C$37,$F979)&gt;0,"есть в Постоянных",IF(COUNTIF(Покупки!$C$7:$C$18,$F979)&gt;0,"есть в Покупках","")))</f>
        <v/>
      </c>
      <c r="P979">
        <f>IF($H979&lt;&gt;"",$H979,IF($I979="Оплачено",N($G979),0))</f>
        <v/>
      </c>
      <c r="Q979">
        <f>IF($I979="Отменено",0,IF($G979&lt;&gt;"",$G979,N($H979)))</f>
        <v/>
      </c>
      <c r="R979">
        <f>IF($C979="","",IFERROR(DATE(Настройки!$C$8,Настройки!$D$9+MATCH($M979,Настройки!$X$6:$X$17,0)-1,1),DATE(YEAR($C979),MONTH($C979),1)))</f>
        <v/>
      </c>
      <c r="S979">
        <f>IF(OR($I979="Оплачено",$H979&lt;&gt;""),$P979,$Q979)</f>
        <v/>
      </c>
      <c r="T979">
        <f>IF(OR($C979="",$D979="Доход",$I979="Оплачено",$I979="Отменено",$H979&lt;&gt;"",$C979&lt;TODAY()),"",$C979)</f>
        <v/>
      </c>
      <c r="U979">
        <f>IF(AND($D979&lt;&gt;"Доход",COUNTIFS(Счета!$B$10:$B$21,$J979,Счета!$C$10:$C$21,"Кредитная")&gt;0),1,0)</f>
        <v/>
      </c>
    </row>
    <row r="980" ht="19" customHeight="1">
      <c r="B980" s="53">
        <f>IF(AND($C980="",$F980=""),"",ROW()-9)</f>
        <v/>
      </c>
      <c r="C980" s="213" t="n"/>
      <c r="D980" s="55" t="n"/>
      <c r="E980" s="55" t="n"/>
      <c r="F980" s="56" t="n"/>
      <c r="G980" s="196" t="n"/>
      <c r="H980" s="196" t="n"/>
      <c r="I980" s="55" t="n"/>
      <c r="J980" s="55" t="n"/>
      <c r="K980" s="55" t="n"/>
      <c r="L980" s="100">
        <f>IF(OR($C980="",$I980="Оплачено",$I980="Отменено",$H980&lt;&gt;""),"",$C980-TODAY())</f>
        <v/>
      </c>
      <c r="M980" s="101">
        <f>IF($C980="","",INDEX(Настройки!$V$6:$V$17,MONTH($C980))&amp;" "&amp;YEAR($C980))</f>
        <v/>
      </c>
      <c r="N980" s="57">
        <f>IF($F980="","",IF(COUNTIF(Постоянные!$C$8:$C$37,$F980)&gt;0,"есть в Постоянных",IF(COUNTIF(Покупки!$C$7:$C$18,$F980)&gt;0,"есть в Покупках","")))</f>
        <v/>
      </c>
      <c r="P980">
        <f>IF($H980&lt;&gt;"",$H980,IF($I980="Оплачено",N($G980),0))</f>
        <v/>
      </c>
      <c r="Q980">
        <f>IF($I980="Отменено",0,IF($G980&lt;&gt;"",$G980,N($H980)))</f>
        <v/>
      </c>
      <c r="R980">
        <f>IF($C980="","",IFERROR(DATE(Настройки!$C$8,Настройки!$D$9+MATCH($M980,Настройки!$X$6:$X$17,0)-1,1),DATE(YEAR($C980),MONTH($C980),1)))</f>
        <v/>
      </c>
      <c r="S980">
        <f>IF(OR($I980="Оплачено",$H980&lt;&gt;""),$P980,$Q980)</f>
        <v/>
      </c>
      <c r="T980">
        <f>IF(OR($C980="",$D980="Доход",$I980="Оплачено",$I980="Отменено",$H980&lt;&gt;"",$C980&lt;TODAY()),"",$C980)</f>
        <v/>
      </c>
      <c r="U980">
        <f>IF(AND($D980&lt;&gt;"Доход",COUNTIFS(Счета!$B$10:$B$21,$J980,Счета!$C$10:$C$21,"Кредитная")&gt;0),1,0)</f>
        <v/>
      </c>
    </row>
    <row r="981" ht="19" customHeight="1">
      <c r="B981" s="53">
        <f>IF(AND($C981="",$F981=""),"",ROW()-9)</f>
        <v/>
      </c>
      <c r="C981" s="213" t="n"/>
      <c r="D981" s="55" t="n"/>
      <c r="E981" s="55" t="n"/>
      <c r="F981" s="56" t="n"/>
      <c r="G981" s="196" t="n"/>
      <c r="H981" s="196" t="n"/>
      <c r="I981" s="55" t="n"/>
      <c r="J981" s="55" t="n"/>
      <c r="K981" s="55" t="n"/>
      <c r="L981" s="100">
        <f>IF(OR($C981="",$I981="Оплачено",$I981="Отменено",$H981&lt;&gt;""),"",$C981-TODAY())</f>
        <v/>
      </c>
      <c r="M981" s="101">
        <f>IF($C981="","",INDEX(Настройки!$V$6:$V$17,MONTH($C981))&amp;" "&amp;YEAR($C981))</f>
        <v/>
      </c>
      <c r="N981" s="57">
        <f>IF($F981="","",IF(COUNTIF(Постоянные!$C$8:$C$37,$F981)&gt;0,"есть в Постоянных",IF(COUNTIF(Покупки!$C$7:$C$18,$F981)&gt;0,"есть в Покупках","")))</f>
        <v/>
      </c>
      <c r="P981">
        <f>IF($H981&lt;&gt;"",$H981,IF($I981="Оплачено",N($G981),0))</f>
        <v/>
      </c>
      <c r="Q981">
        <f>IF($I981="Отменено",0,IF($G981&lt;&gt;"",$G981,N($H981)))</f>
        <v/>
      </c>
      <c r="R981">
        <f>IF($C981="","",IFERROR(DATE(Настройки!$C$8,Настройки!$D$9+MATCH($M981,Настройки!$X$6:$X$17,0)-1,1),DATE(YEAR($C981),MONTH($C981),1)))</f>
        <v/>
      </c>
      <c r="S981">
        <f>IF(OR($I981="Оплачено",$H981&lt;&gt;""),$P981,$Q981)</f>
        <v/>
      </c>
      <c r="T981">
        <f>IF(OR($C981="",$D981="Доход",$I981="Оплачено",$I981="Отменено",$H981&lt;&gt;"",$C981&lt;TODAY()),"",$C981)</f>
        <v/>
      </c>
      <c r="U981">
        <f>IF(AND($D981&lt;&gt;"Доход",COUNTIFS(Счета!$B$10:$B$21,$J981,Счета!$C$10:$C$21,"Кредитная")&gt;0),1,0)</f>
        <v/>
      </c>
    </row>
    <row r="982" ht="19" customHeight="1">
      <c r="B982" s="53">
        <f>IF(AND($C982="",$F982=""),"",ROW()-9)</f>
        <v/>
      </c>
      <c r="C982" s="213" t="n"/>
      <c r="D982" s="55" t="n"/>
      <c r="E982" s="55" t="n"/>
      <c r="F982" s="56" t="n"/>
      <c r="G982" s="196" t="n"/>
      <c r="H982" s="196" t="n"/>
      <c r="I982" s="55" t="n"/>
      <c r="J982" s="55" t="n"/>
      <c r="K982" s="55" t="n"/>
      <c r="L982" s="100">
        <f>IF(OR($C982="",$I982="Оплачено",$I982="Отменено",$H982&lt;&gt;""),"",$C982-TODAY())</f>
        <v/>
      </c>
      <c r="M982" s="101">
        <f>IF($C982="","",INDEX(Настройки!$V$6:$V$17,MONTH($C982))&amp;" "&amp;YEAR($C982))</f>
        <v/>
      </c>
      <c r="N982" s="57">
        <f>IF($F982="","",IF(COUNTIF(Постоянные!$C$8:$C$37,$F982)&gt;0,"есть в Постоянных",IF(COUNTIF(Покупки!$C$7:$C$18,$F982)&gt;0,"есть в Покупках","")))</f>
        <v/>
      </c>
      <c r="P982">
        <f>IF($H982&lt;&gt;"",$H982,IF($I982="Оплачено",N($G982),0))</f>
        <v/>
      </c>
      <c r="Q982">
        <f>IF($I982="Отменено",0,IF($G982&lt;&gt;"",$G982,N($H982)))</f>
        <v/>
      </c>
      <c r="R982">
        <f>IF($C982="","",IFERROR(DATE(Настройки!$C$8,Настройки!$D$9+MATCH($M982,Настройки!$X$6:$X$17,0)-1,1),DATE(YEAR($C982),MONTH($C982),1)))</f>
        <v/>
      </c>
      <c r="S982">
        <f>IF(OR($I982="Оплачено",$H982&lt;&gt;""),$P982,$Q982)</f>
        <v/>
      </c>
      <c r="T982">
        <f>IF(OR($C982="",$D982="Доход",$I982="Оплачено",$I982="Отменено",$H982&lt;&gt;"",$C982&lt;TODAY()),"",$C982)</f>
        <v/>
      </c>
      <c r="U982">
        <f>IF(AND($D982&lt;&gt;"Доход",COUNTIFS(Счета!$B$10:$B$21,$J982,Счета!$C$10:$C$21,"Кредитная")&gt;0),1,0)</f>
        <v/>
      </c>
    </row>
    <row r="983" ht="19" customHeight="1">
      <c r="B983" s="53">
        <f>IF(AND($C983="",$F983=""),"",ROW()-9)</f>
        <v/>
      </c>
      <c r="C983" s="213" t="n"/>
      <c r="D983" s="55" t="n"/>
      <c r="E983" s="55" t="n"/>
      <c r="F983" s="56" t="n"/>
      <c r="G983" s="196" t="n"/>
      <c r="H983" s="196" t="n"/>
      <c r="I983" s="55" t="n"/>
      <c r="J983" s="55" t="n"/>
      <c r="K983" s="55" t="n"/>
      <c r="L983" s="100">
        <f>IF(OR($C983="",$I983="Оплачено",$I983="Отменено",$H983&lt;&gt;""),"",$C983-TODAY())</f>
        <v/>
      </c>
      <c r="M983" s="101">
        <f>IF($C983="","",INDEX(Настройки!$V$6:$V$17,MONTH($C983))&amp;" "&amp;YEAR($C983))</f>
        <v/>
      </c>
      <c r="N983" s="57">
        <f>IF($F983="","",IF(COUNTIF(Постоянные!$C$8:$C$37,$F983)&gt;0,"есть в Постоянных",IF(COUNTIF(Покупки!$C$7:$C$18,$F983)&gt;0,"есть в Покупках","")))</f>
        <v/>
      </c>
      <c r="P983">
        <f>IF($H983&lt;&gt;"",$H983,IF($I983="Оплачено",N($G983),0))</f>
        <v/>
      </c>
      <c r="Q983">
        <f>IF($I983="Отменено",0,IF($G983&lt;&gt;"",$G983,N($H983)))</f>
        <v/>
      </c>
      <c r="R983">
        <f>IF($C983="","",IFERROR(DATE(Настройки!$C$8,Настройки!$D$9+MATCH($M983,Настройки!$X$6:$X$17,0)-1,1),DATE(YEAR($C983),MONTH($C983),1)))</f>
        <v/>
      </c>
      <c r="S983">
        <f>IF(OR($I983="Оплачено",$H983&lt;&gt;""),$P983,$Q983)</f>
        <v/>
      </c>
      <c r="T983">
        <f>IF(OR($C983="",$D983="Доход",$I983="Оплачено",$I983="Отменено",$H983&lt;&gt;"",$C983&lt;TODAY()),"",$C983)</f>
        <v/>
      </c>
      <c r="U983">
        <f>IF(AND($D983&lt;&gt;"Доход",COUNTIFS(Счета!$B$10:$B$21,$J983,Счета!$C$10:$C$21,"Кредитная")&gt;0),1,0)</f>
        <v/>
      </c>
    </row>
    <row r="984" ht="19" customHeight="1">
      <c r="B984" s="53">
        <f>IF(AND($C984="",$F984=""),"",ROW()-9)</f>
        <v/>
      </c>
      <c r="C984" s="213" t="n"/>
      <c r="D984" s="55" t="n"/>
      <c r="E984" s="55" t="n"/>
      <c r="F984" s="56" t="n"/>
      <c r="G984" s="196" t="n"/>
      <c r="H984" s="196" t="n"/>
      <c r="I984" s="55" t="n"/>
      <c r="J984" s="55" t="n"/>
      <c r="K984" s="55" t="n"/>
      <c r="L984" s="100">
        <f>IF(OR($C984="",$I984="Оплачено",$I984="Отменено",$H984&lt;&gt;""),"",$C984-TODAY())</f>
        <v/>
      </c>
      <c r="M984" s="101">
        <f>IF($C984="","",INDEX(Настройки!$V$6:$V$17,MONTH($C984))&amp;" "&amp;YEAR($C984))</f>
        <v/>
      </c>
      <c r="N984" s="57">
        <f>IF($F984="","",IF(COUNTIF(Постоянные!$C$8:$C$37,$F984)&gt;0,"есть в Постоянных",IF(COUNTIF(Покупки!$C$7:$C$18,$F984)&gt;0,"есть в Покупках","")))</f>
        <v/>
      </c>
      <c r="P984">
        <f>IF($H984&lt;&gt;"",$H984,IF($I984="Оплачено",N($G984),0))</f>
        <v/>
      </c>
      <c r="Q984">
        <f>IF($I984="Отменено",0,IF($G984&lt;&gt;"",$G984,N($H984)))</f>
        <v/>
      </c>
      <c r="R984">
        <f>IF($C984="","",IFERROR(DATE(Настройки!$C$8,Настройки!$D$9+MATCH($M984,Настройки!$X$6:$X$17,0)-1,1),DATE(YEAR($C984),MONTH($C984),1)))</f>
        <v/>
      </c>
      <c r="S984">
        <f>IF(OR($I984="Оплачено",$H984&lt;&gt;""),$P984,$Q984)</f>
        <v/>
      </c>
      <c r="T984">
        <f>IF(OR($C984="",$D984="Доход",$I984="Оплачено",$I984="Отменено",$H984&lt;&gt;"",$C984&lt;TODAY()),"",$C984)</f>
        <v/>
      </c>
      <c r="U984">
        <f>IF(AND($D984&lt;&gt;"Доход",COUNTIFS(Счета!$B$10:$B$21,$J984,Счета!$C$10:$C$21,"Кредитная")&gt;0),1,0)</f>
        <v/>
      </c>
    </row>
    <row r="985" ht="19" customHeight="1">
      <c r="B985" s="53">
        <f>IF(AND($C985="",$F985=""),"",ROW()-9)</f>
        <v/>
      </c>
      <c r="C985" s="213" t="n"/>
      <c r="D985" s="55" t="n"/>
      <c r="E985" s="55" t="n"/>
      <c r="F985" s="56" t="n"/>
      <c r="G985" s="196" t="n"/>
      <c r="H985" s="196" t="n"/>
      <c r="I985" s="55" t="n"/>
      <c r="J985" s="55" t="n"/>
      <c r="K985" s="55" t="n"/>
      <c r="L985" s="100">
        <f>IF(OR($C985="",$I985="Оплачено",$I985="Отменено",$H985&lt;&gt;""),"",$C985-TODAY())</f>
        <v/>
      </c>
      <c r="M985" s="101">
        <f>IF($C985="","",INDEX(Настройки!$V$6:$V$17,MONTH($C985))&amp;" "&amp;YEAR($C985))</f>
        <v/>
      </c>
      <c r="N985" s="57">
        <f>IF($F985="","",IF(COUNTIF(Постоянные!$C$8:$C$37,$F985)&gt;0,"есть в Постоянных",IF(COUNTIF(Покупки!$C$7:$C$18,$F985)&gt;0,"есть в Покупках","")))</f>
        <v/>
      </c>
      <c r="P985">
        <f>IF($H985&lt;&gt;"",$H985,IF($I985="Оплачено",N($G985),0))</f>
        <v/>
      </c>
      <c r="Q985">
        <f>IF($I985="Отменено",0,IF($G985&lt;&gt;"",$G985,N($H985)))</f>
        <v/>
      </c>
      <c r="R985">
        <f>IF($C985="","",IFERROR(DATE(Настройки!$C$8,Настройки!$D$9+MATCH($M985,Настройки!$X$6:$X$17,0)-1,1),DATE(YEAR($C985),MONTH($C985),1)))</f>
        <v/>
      </c>
      <c r="S985">
        <f>IF(OR($I985="Оплачено",$H985&lt;&gt;""),$P985,$Q985)</f>
        <v/>
      </c>
      <c r="T985">
        <f>IF(OR($C985="",$D985="Доход",$I985="Оплачено",$I985="Отменено",$H985&lt;&gt;"",$C985&lt;TODAY()),"",$C985)</f>
        <v/>
      </c>
      <c r="U985">
        <f>IF(AND($D985&lt;&gt;"Доход",COUNTIFS(Счета!$B$10:$B$21,$J985,Счета!$C$10:$C$21,"Кредитная")&gt;0),1,0)</f>
        <v/>
      </c>
    </row>
    <row r="986" ht="19" customHeight="1">
      <c r="B986" s="53">
        <f>IF(AND($C986="",$F986=""),"",ROW()-9)</f>
        <v/>
      </c>
      <c r="C986" s="213" t="n"/>
      <c r="D986" s="55" t="n"/>
      <c r="E986" s="55" t="n"/>
      <c r="F986" s="56" t="n"/>
      <c r="G986" s="196" t="n"/>
      <c r="H986" s="196" t="n"/>
      <c r="I986" s="55" t="n"/>
      <c r="J986" s="55" t="n"/>
      <c r="K986" s="55" t="n"/>
      <c r="L986" s="100">
        <f>IF(OR($C986="",$I986="Оплачено",$I986="Отменено",$H986&lt;&gt;""),"",$C986-TODAY())</f>
        <v/>
      </c>
      <c r="M986" s="101">
        <f>IF($C986="","",INDEX(Настройки!$V$6:$V$17,MONTH($C986))&amp;" "&amp;YEAR($C986))</f>
        <v/>
      </c>
      <c r="N986" s="57">
        <f>IF($F986="","",IF(COUNTIF(Постоянные!$C$8:$C$37,$F986)&gt;0,"есть в Постоянных",IF(COUNTIF(Покупки!$C$7:$C$18,$F986)&gt;0,"есть в Покупках","")))</f>
        <v/>
      </c>
      <c r="P986">
        <f>IF($H986&lt;&gt;"",$H986,IF($I986="Оплачено",N($G986),0))</f>
        <v/>
      </c>
      <c r="Q986">
        <f>IF($I986="Отменено",0,IF($G986&lt;&gt;"",$G986,N($H986)))</f>
        <v/>
      </c>
      <c r="R986">
        <f>IF($C986="","",IFERROR(DATE(Настройки!$C$8,Настройки!$D$9+MATCH($M986,Настройки!$X$6:$X$17,0)-1,1),DATE(YEAR($C986),MONTH($C986),1)))</f>
        <v/>
      </c>
      <c r="S986">
        <f>IF(OR($I986="Оплачено",$H986&lt;&gt;""),$P986,$Q986)</f>
        <v/>
      </c>
      <c r="T986">
        <f>IF(OR($C986="",$D986="Доход",$I986="Оплачено",$I986="Отменено",$H986&lt;&gt;"",$C986&lt;TODAY()),"",$C986)</f>
        <v/>
      </c>
      <c r="U986">
        <f>IF(AND($D986&lt;&gt;"Доход",COUNTIFS(Счета!$B$10:$B$21,$J986,Счета!$C$10:$C$21,"Кредитная")&gt;0),1,0)</f>
        <v/>
      </c>
    </row>
    <row r="987" ht="19" customHeight="1">
      <c r="B987" s="53">
        <f>IF(AND($C987="",$F987=""),"",ROW()-9)</f>
        <v/>
      </c>
      <c r="C987" s="213" t="n"/>
      <c r="D987" s="55" t="n"/>
      <c r="E987" s="55" t="n"/>
      <c r="F987" s="56" t="n"/>
      <c r="G987" s="196" t="n"/>
      <c r="H987" s="196" t="n"/>
      <c r="I987" s="55" t="n"/>
      <c r="J987" s="55" t="n"/>
      <c r="K987" s="55" t="n"/>
      <c r="L987" s="100">
        <f>IF(OR($C987="",$I987="Оплачено",$I987="Отменено",$H987&lt;&gt;""),"",$C987-TODAY())</f>
        <v/>
      </c>
      <c r="M987" s="101">
        <f>IF($C987="","",INDEX(Настройки!$V$6:$V$17,MONTH($C987))&amp;" "&amp;YEAR($C987))</f>
        <v/>
      </c>
      <c r="N987" s="57">
        <f>IF($F987="","",IF(COUNTIF(Постоянные!$C$8:$C$37,$F987)&gt;0,"есть в Постоянных",IF(COUNTIF(Покупки!$C$7:$C$18,$F987)&gt;0,"есть в Покупках","")))</f>
        <v/>
      </c>
      <c r="P987">
        <f>IF($H987&lt;&gt;"",$H987,IF($I987="Оплачено",N($G987),0))</f>
        <v/>
      </c>
      <c r="Q987">
        <f>IF($I987="Отменено",0,IF($G987&lt;&gt;"",$G987,N($H987)))</f>
        <v/>
      </c>
      <c r="R987">
        <f>IF($C987="","",IFERROR(DATE(Настройки!$C$8,Настройки!$D$9+MATCH($M987,Настройки!$X$6:$X$17,0)-1,1),DATE(YEAR($C987),MONTH($C987),1)))</f>
        <v/>
      </c>
      <c r="S987">
        <f>IF(OR($I987="Оплачено",$H987&lt;&gt;""),$P987,$Q987)</f>
        <v/>
      </c>
      <c r="T987">
        <f>IF(OR($C987="",$D987="Доход",$I987="Оплачено",$I987="Отменено",$H987&lt;&gt;"",$C987&lt;TODAY()),"",$C987)</f>
        <v/>
      </c>
      <c r="U987">
        <f>IF(AND($D987&lt;&gt;"Доход",COUNTIFS(Счета!$B$10:$B$21,$J987,Счета!$C$10:$C$21,"Кредитная")&gt;0),1,0)</f>
        <v/>
      </c>
    </row>
    <row r="988" ht="19" customHeight="1">
      <c r="B988" s="53">
        <f>IF(AND($C988="",$F988=""),"",ROW()-9)</f>
        <v/>
      </c>
      <c r="C988" s="213" t="n"/>
      <c r="D988" s="55" t="n"/>
      <c r="E988" s="55" t="n"/>
      <c r="F988" s="56" t="n"/>
      <c r="G988" s="196" t="n"/>
      <c r="H988" s="196" t="n"/>
      <c r="I988" s="55" t="n"/>
      <c r="J988" s="55" t="n"/>
      <c r="K988" s="55" t="n"/>
      <c r="L988" s="100">
        <f>IF(OR($C988="",$I988="Оплачено",$I988="Отменено",$H988&lt;&gt;""),"",$C988-TODAY())</f>
        <v/>
      </c>
      <c r="M988" s="101">
        <f>IF($C988="","",INDEX(Настройки!$V$6:$V$17,MONTH($C988))&amp;" "&amp;YEAR($C988))</f>
        <v/>
      </c>
      <c r="N988" s="57">
        <f>IF($F988="","",IF(COUNTIF(Постоянные!$C$8:$C$37,$F988)&gt;0,"есть в Постоянных",IF(COUNTIF(Покупки!$C$7:$C$18,$F988)&gt;0,"есть в Покупках","")))</f>
        <v/>
      </c>
      <c r="P988">
        <f>IF($H988&lt;&gt;"",$H988,IF($I988="Оплачено",N($G988),0))</f>
        <v/>
      </c>
      <c r="Q988">
        <f>IF($I988="Отменено",0,IF($G988&lt;&gt;"",$G988,N($H988)))</f>
        <v/>
      </c>
      <c r="R988">
        <f>IF($C988="","",IFERROR(DATE(Настройки!$C$8,Настройки!$D$9+MATCH($M988,Настройки!$X$6:$X$17,0)-1,1),DATE(YEAR($C988),MONTH($C988),1)))</f>
        <v/>
      </c>
      <c r="S988">
        <f>IF(OR($I988="Оплачено",$H988&lt;&gt;""),$P988,$Q988)</f>
        <v/>
      </c>
      <c r="T988">
        <f>IF(OR($C988="",$D988="Доход",$I988="Оплачено",$I988="Отменено",$H988&lt;&gt;"",$C988&lt;TODAY()),"",$C988)</f>
        <v/>
      </c>
      <c r="U988">
        <f>IF(AND($D988&lt;&gt;"Доход",COUNTIFS(Счета!$B$10:$B$21,$J988,Счета!$C$10:$C$21,"Кредитная")&gt;0),1,0)</f>
        <v/>
      </c>
    </row>
    <row r="989" ht="19" customHeight="1">
      <c r="B989" s="53">
        <f>IF(AND($C989="",$F989=""),"",ROW()-9)</f>
        <v/>
      </c>
      <c r="C989" s="213" t="n"/>
      <c r="D989" s="55" t="n"/>
      <c r="E989" s="55" t="n"/>
      <c r="F989" s="56" t="n"/>
      <c r="G989" s="196" t="n"/>
      <c r="H989" s="196" t="n"/>
      <c r="I989" s="55" t="n"/>
      <c r="J989" s="55" t="n"/>
      <c r="K989" s="55" t="n"/>
      <c r="L989" s="100">
        <f>IF(OR($C989="",$I989="Оплачено",$I989="Отменено",$H989&lt;&gt;""),"",$C989-TODAY())</f>
        <v/>
      </c>
      <c r="M989" s="101">
        <f>IF($C989="","",INDEX(Настройки!$V$6:$V$17,MONTH($C989))&amp;" "&amp;YEAR($C989))</f>
        <v/>
      </c>
      <c r="N989" s="57">
        <f>IF($F989="","",IF(COUNTIF(Постоянные!$C$8:$C$37,$F989)&gt;0,"есть в Постоянных",IF(COUNTIF(Покупки!$C$7:$C$18,$F989)&gt;0,"есть в Покупках","")))</f>
        <v/>
      </c>
      <c r="P989">
        <f>IF($H989&lt;&gt;"",$H989,IF($I989="Оплачено",N($G989),0))</f>
        <v/>
      </c>
      <c r="Q989">
        <f>IF($I989="Отменено",0,IF($G989&lt;&gt;"",$G989,N($H989)))</f>
        <v/>
      </c>
      <c r="R989">
        <f>IF($C989="","",IFERROR(DATE(Настройки!$C$8,Настройки!$D$9+MATCH($M989,Настройки!$X$6:$X$17,0)-1,1),DATE(YEAR($C989),MONTH($C989),1)))</f>
        <v/>
      </c>
      <c r="S989">
        <f>IF(OR($I989="Оплачено",$H989&lt;&gt;""),$P989,$Q989)</f>
        <v/>
      </c>
      <c r="T989">
        <f>IF(OR($C989="",$D989="Доход",$I989="Оплачено",$I989="Отменено",$H989&lt;&gt;"",$C989&lt;TODAY()),"",$C989)</f>
        <v/>
      </c>
      <c r="U989">
        <f>IF(AND($D989&lt;&gt;"Доход",COUNTIFS(Счета!$B$10:$B$21,$J989,Счета!$C$10:$C$21,"Кредитная")&gt;0),1,0)</f>
        <v/>
      </c>
    </row>
    <row r="990" ht="19" customHeight="1">
      <c r="B990" s="53">
        <f>IF(AND($C990="",$F990=""),"",ROW()-9)</f>
        <v/>
      </c>
      <c r="C990" s="213" t="n"/>
      <c r="D990" s="55" t="n"/>
      <c r="E990" s="55" t="n"/>
      <c r="F990" s="56" t="n"/>
      <c r="G990" s="196" t="n"/>
      <c r="H990" s="196" t="n"/>
      <c r="I990" s="55" t="n"/>
      <c r="J990" s="55" t="n"/>
      <c r="K990" s="55" t="n"/>
      <c r="L990" s="100">
        <f>IF(OR($C990="",$I990="Оплачено",$I990="Отменено",$H990&lt;&gt;""),"",$C990-TODAY())</f>
        <v/>
      </c>
      <c r="M990" s="101">
        <f>IF($C990="","",INDEX(Настройки!$V$6:$V$17,MONTH($C990))&amp;" "&amp;YEAR($C990))</f>
        <v/>
      </c>
      <c r="N990" s="57">
        <f>IF($F990="","",IF(COUNTIF(Постоянные!$C$8:$C$37,$F990)&gt;0,"есть в Постоянных",IF(COUNTIF(Покупки!$C$7:$C$18,$F990)&gt;0,"есть в Покупках","")))</f>
        <v/>
      </c>
      <c r="P990">
        <f>IF($H990&lt;&gt;"",$H990,IF($I990="Оплачено",N($G990),0))</f>
        <v/>
      </c>
      <c r="Q990">
        <f>IF($I990="Отменено",0,IF($G990&lt;&gt;"",$G990,N($H990)))</f>
        <v/>
      </c>
      <c r="R990">
        <f>IF($C990="","",IFERROR(DATE(Настройки!$C$8,Настройки!$D$9+MATCH($M990,Настройки!$X$6:$X$17,0)-1,1),DATE(YEAR($C990),MONTH($C990),1)))</f>
        <v/>
      </c>
      <c r="S990">
        <f>IF(OR($I990="Оплачено",$H990&lt;&gt;""),$P990,$Q990)</f>
        <v/>
      </c>
      <c r="T990">
        <f>IF(OR($C990="",$D990="Доход",$I990="Оплачено",$I990="Отменено",$H990&lt;&gt;"",$C990&lt;TODAY()),"",$C990)</f>
        <v/>
      </c>
      <c r="U990">
        <f>IF(AND($D990&lt;&gt;"Доход",COUNTIFS(Счета!$B$10:$B$21,$J990,Счета!$C$10:$C$21,"Кредитная")&gt;0),1,0)</f>
        <v/>
      </c>
    </row>
    <row r="991" ht="19" customHeight="1">
      <c r="B991" s="53">
        <f>IF(AND($C991="",$F991=""),"",ROW()-9)</f>
        <v/>
      </c>
      <c r="C991" s="213" t="n"/>
      <c r="D991" s="55" t="n"/>
      <c r="E991" s="55" t="n"/>
      <c r="F991" s="56" t="n"/>
      <c r="G991" s="196" t="n"/>
      <c r="H991" s="196" t="n"/>
      <c r="I991" s="55" t="n"/>
      <c r="J991" s="55" t="n"/>
      <c r="K991" s="55" t="n"/>
      <c r="L991" s="100">
        <f>IF(OR($C991="",$I991="Оплачено",$I991="Отменено",$H991&lt;&gt;""),"",$C991-TODAY())</f>
        <v/>
      </c>
      <c r="M991" s="101">
        <f>IF($C991="","",INDEX(Настройки!$V$6:$V$17,MONTH($C991))&amp;" "&amp;YEAR($C991))</f>
        <v/>
      </c>
      <c r="N991" s="57">
        <f>IF($F991="","",IF(COUNTIF(Постоянные!$C$8:$C$37,$F991)&gt;0,"есть в Постоянных",IF(COUNTIF(Покупки!$C$7:$C$18,$F991)&gt;0,"есть в Покупках","")))</f>
        <v/>
      </c>
      <c r="P991">
        <f>IF($H991&lt;&gt;"",$H991,IF($I991="Оплачено",N($G991),0))</f>
        <v/>
      </c>
      <c r="Q991">
        <f>IF($I991="Отменено",0,IF($G991&lt;&gt;"",$G991,N($H991)))</f>
        <v/>
      </c>
      <c r="R991">
        <f>IF($C991="","",IFERROR(DATE(Настройки!$C$8,Настройки!$D$9+MATCH($M991,Настройки!$X$6:$X$17,0)-1,1),DATE(YEAR($C991),MONTH($C991),1)))</f>
        <v/>
      </c>
      <c r="S991">
        <f>IF(OR($I991="Оплачено",$H991&lt;&gt;""),$P991,$Q991)</f>
        <v/>
      </c>
      <c r="T991">
        <f>IF(OR($C991="",$D991="Доход",$I991="Оплачено",$I991="Отменено",$H991&lt;&gt;"",$C991&lt;TODAY()),"",$C991)</f>
        <v/>
      </c>
      <c r="U991">
        <f>IF(AND($D991&lt;&gt;"Доход",COUNTIFS(Счета!$B$10:$B$21,$J991,Счета!$C$10:$C$21,"Кредитная")&gt;0),1,0)</f>
        <v/>
      </c>
    </row>
    <row r="992" ht="19" customHeight="1">
      <c r="B992" s="53">
        <f>IF(AND($C992="",$F992=""),"",ROW()-9)</f>
        <v/>
      </c>
      <c r="C992" s="213" t="n"/>
      <c r="D992" s="55" t="n"/>
      <c r="E992" s="55" t="n"/>
      <c r="F992" s="56" t="n"/>
      <c r="G992" s="196" t="n"/>
      <c r="H992" s="196" t="n"/>
      <c r="I992" s="55" t="n"/>
      <c r="J992" s="55" t="n"/>
      <c r="K992" s="55" t="n"/>
      <c r="L992" s="100">
        <f>IF(OR($C992="",$I992="Оплачено",$I992="Отменено",$H992&lt;&gt;""),"",$C992-TODAY())</f>
        <v/>
      </c>
      <c r="M992" s="101">
        <f>IF($C992="","",INDEX(Настройки!$V$6:$V$17,MONTH($C992))&amp;" "&amp;YEAR($C992))</f>
        <v/>
      </c>
      <c r="N992" s="57">
        <f>IF($F992="","",IF(COUNTIF(Постоянные!$C$8:$C$37,$F992)&gt;0,"есть в Постоянных",IF(COUNTIF(Покупки!$C$7:$C$18,$F992)&gt;0,"есть в Покупках","")))</f>
        <v/>
      </c>
      <c r="P992">
        <f>IF($H992&lt;&gt;"",$H992,IF($I992="Оплачено",N($G992),0))</f>
        <v/>
      </c>
      <c r="Q992">
        <f>IF($I992="Отменено",0,IF($G992&lt;&gt;"",$G992,N($H992)))</f>
        <v/>
      </c>
      <c r="R992">
        <f>IF($C992="","",IFERROR(DATE(Настройки!$C$8,Настройки!$D$9+MATCH($M992,Настройки!$X$6:$X$17,0)-1,1),DATE(YEAR($C992),MONTH($C992),1)))</f>
        <v/>
      </c>
      <c r="S992">
        <f>IF(OR($I992="Оплачено",$H992&lt;&gt;""),$P992,$Q992)</f>
        <v/>
      </c>
      <c r="T992">
        <f>IF(OR($C992="",$D992="Доход",$I992="Оплачено",$I992="Отменено",$H992&lt;&gt;"",$C992&lt;TODAY()),"",$C992)</f>
        <v/>
      </c>
      <c r="U992">
        <f>IF(AND($D992&lt;&gt;"Доход",COUNTIFS(Счета!$B$10:$B$21,$J992,Счета!$C$10:$C$21,"Кредитная")&gt;0),1,0)</f>
        <v/>
      </c>
    </row>
    <row r="993" ht="19" customHeight="1">
      <c r="B993" s="53">
        <f>IF(AND($C993="",$F993=""),"",ROW()-9)</f>
        <v/>
      </c>
      <c r="C993" s="213" t="n"/>
      <c r="D993" s="55" t="n"/>
      <c r="E993" s="55" t="n"/>
      <c r="F993" s="56" t="n"/>
      <c r="G993" s="196" t="n"/>
      <c r="H993" s="196" t="n"/>
      <c r="I993" s="55" t="n"/>
      <c r="J993" s="55" t="n"/>
      <c r="K993" s="55" t="n"/>
      <c r="L993" s="100">
        <f>IF(OR($C993="",$I993="Оплачено",$I993="Отменено",$H993&lt;&gt;""),"",$C993-TODAY())</f>
        <v/>
      </c>
      <c r="M993" s="101">
        <f>IF($C993="","",INDEX(Настройки!$V$6:$V$17,MONTH($C993))&amp;" "&amp;YEAR($C993))</f>
        <v/>
      </c>
      <c r="N993" s="57">
        <f>IF($F993="","",IF(COUNTIF(Постоянные!$C$8:$C$37,$F993)&gt;0,"есть в Постоянных",IF(COUNTIF(Покупки!$C$7:$C$18,$F993)&gt;0,"есть в Покупках","")))</f>
        <v/>
      </c>
      <c r="P993">
        <f>IF($H993&lt;&gt;"",$H993,IF($I993="Оплачено",N($G993),0))</f>
        <v/>
      </c>
      <c r="Q993">
        <f>IF($I993="Отменено",0,IF($G993&lt;&gt;"",$G993,N($H993)))</f>
        <v/>
      </c>
      <c r="R993">
        <f>IF($C993="","",IFERROR(DATE(Настройки!$C$8,Настройки!$D$9+MATCH($M993,Настройки!$X$6:$X$17,0)-1,1),DATE(YEAR($C993),MONTH($C993),1)))</f>
        <v/>
      </c>
      <c r="S993">
        <f>IF(OR($I993="Оплачено",$H993&lt;&gt;""),$P993,$Q993)</f>
        <v/>
      </c>
      <c r="T993">
        <f>IF(OR($C993="",$D993="Доход",$I993="Оплачено",$I993="Отменено",$H993&lt;&gt;"",$C993&lt;TODAY()),"",$C993)</f>
        <v/>
      </c>
      <c r="U993">
        <f>IF(AND($D993&lt;&gt;"Доход",COUNTIFS(Счета!$B$10:$B$21,$J993,Счета!$C$10:$C$21,"Кредитная")&gt;0),1,0)</f>
        <v/>
      </c>
    </row>
    <row r="994" ht="19" customHeight="1">
      <c r="B994" s="53">
        <f>IF(AND($C994="",$F994=""),"",ROW()-9)</f>
        <v/>
      </c>
      <c r="C994" s="213" t="n"/>
      <c r="D994" s="55" t="n"/>
      <c r="E994" s="55" t="n"/>
      <c r="F994" s="56" t="n"/>
      <c r="G994" s="196" t="n"/>
      <c r="H994" s="196" t="n"/>
      <c r="I994" s="55" t="n"/>
      <c r="J994" s="55" t="n"/>
      <c r="K994" s="55" t="n"/>
      <c r="L994" s="100">
        <f>IF(OR($C994="",$I994="Оплачено",$I994="Отменено",$H994&lt;&gt;""),"",$C994-TODAY())</f>
        <v/>
      </c>
      <c r="M994" s="101">
        <f>IF($C994="","",INDEX(Настройки!$V$6:$V$17,MONTH($C994))&amp;" "&amp;YEAR($C994))</f>
        <v/>
      </c>
      <c r="N994" s="57">
        <f>IF($F994="","",IF(COUNTIF(Постоянные!$C$8:$C$37,$F994)&gt;0,"есть в Постоянных",IF(COUNTIF(Покупки!$C$7:$C$18,$F994)&gt;0,"есть в Покупках","")))</f>
        <v/>
      </c>
      <c r="P994">
        <f>IF($H994&lt;&gt;"",$H994,IF($I994="Оплачено",N($G994),0))</f>
        <v/>
      </c>
      <c r="Q994">
        <f>IF($I994="Отменено",0,IF($G994&lt;&gt;"",$G994,N($H994)))</f>
        <v/>
      </c>
      <c r="R994">
        <f>IF($C994="","",IFERROR(DATE(Настройки!$C$8,Настройки!$D$9+MATCH($M994,Настройки!$X$6:$X$17,0)-1,1),DATE(YEAR($C994),MONTH($C994),1)))</f>
        <v/>
      </c>
      <c r="S994">
        <f>IF(OR($I994="Оплачено",$H994&lt;&gt;""),$P994,$Q994)</f>
        <v/>
      </c>
      <c r="T994">
        <f>IF(OR($C994="",$D994="Доход",$I994="Оплачено",$I994="Отменено",$H994&lt;&gt;"",$C994&lt;TODAY()),"",$C994)</f>
        <v/>
      </c>
      <c r="U994">
        <f>IF(AND($D994&lt;&gt;"Доход",COUNTIFS(Счета!$B$10:$B$21,$J994,Счета!$C$10:$C$21,"Кредитная")&gt;0),1,0)</f>
        <v/>
      </c>
    </row>
    <row r="995" ht="19" customHeight="1">
      <c r="B995" s="53">
        <f>IF(AND($C995="",$F995=""),"",ROW()-9)</f>
        <v/>
      </c>
      <c r="C995" s="213" t="n"/>
      <c r="D995" s="55" t="n"/>
      <c r="E995" s="55" t="n"/>
      <c r="F995" s="56" t="n"/>
      <c r="G995" s="196" t="n"/>
      <c r="H995" s="196" t="n"/>
      <c r="I995" s="55" t="n"/>
      <c r="J995" s="55" t="n"/>
      <c r="K995" s="55" t="n"/>
      <c r="L995" s="100">
        <f>IF(OR($C995="",$I995="Оплачено",$I995="Отменено",$H995&lt;&gt;""),"",$C995-TODAY())</f>
        <v/>
      </c>
      <c r="M995" s="101">
        <f>IF($C995="","",INDEX(Настройки!$V$6:$V$17,MONTH($C995))&amp;" "&amp;YEAR($C995))</f>
        <v/>
      </c>
      <c r="N995" s="57">
        <f>IF($F995="","",IF(COUNTIF(Постоянные!$C$8:$C$37,$F995)&gt;0,"есть в Постоянных",IF(COUNTIF(Покупки!$C$7:$C$18,$F995)&gt;0,"есть в Покупках","")))</f>
        <v/>
      </c>
      <c r="P995">
        <f>IF($H995&lt;&gt;"",$H995,IF($I995="Оплачено",N($G995),0))</f>
        <v/>
      </c>
      <c r="Q995">
        <f>IF($I995="Отменено",0,IF($G995&lt;&gt;"",$G995,N($H995)))</f>
        <v/>
      </c>
      <c r="R995">
        <f>IF($C995="","",IFERROR(DATE(Настройки!$C$8,Настройки!$D$9+MATCH($M995,Настройки!$X$6:$X$17,0)-1,1),DATE(YEAR($C995),MONTH($C995),1)))</f>
        <v/>
      </c>
      <c r="S995">
        <f>IF(OR($I995="Оплачено",$H995&lt;&gt;""),$P995,$Q995)</f>
        <v/>
      </c>
      <c r="T995">
        <f>IF(OR($C995="",$D995="Доход",$I995="Оплачено",$I995="Отменено",$H995&lt;&gt;"",$C995&lt;TODAY()),"",$C995)</f>
        <v/>
      </c>
      <c r="U995">
        <f>IF(AND($D995&lt;&gt;"Доход",COUNTIFS(Счета!$B$10:$B$21,$J995,Счета!$C$10:$C$21,"Кредитная")&gt;0),1,0)</f>
        <v/>
      </c>
    </row>
    <row r="996" ht="19" customHeight="1">
      <c r="B996" s="53">
        <f>IF(AND($C996="",$F996=""),"",ROW()-9)</f>
        <v/>
      </c>
      <c r="C996" s="213" t="n"/>
      <c r="D996" s="55" t="n"/>
      <c r="E996" s="55" t="n"/>
      <c r="F996" s="56" t="n"/>
      <c r="G996" s="196" t="n"/>
      <c r="H996" s="196" t="n"/>
      <c r="I996" s="55" t="n"/>
      <c r="J996" s="55" t="n"/>
      <c r="K996" s="55" t="n"/>
      <c r="L996" s="100">
        <f>IF(OR($C996="",$I996="Оплачено",$I996="Отменено",$H996&lt;&gt;""),"",$C996-TODAY())</f>
        <v/>
      </c>
      <c r="M996" s="101">
        <f>IF($C996="","",INDEX(Настройки!$V$6:$V$17,MONTH($C996))&amp;" "&amp;YEAR($C996))</f>
        <v/>
      </c>
      <c r="N996" s="57">
        <f>IF($F996="","",IF(COUNTIF(Постоянные!$C$8:$C$37,$F996)&gt;0,"есть в Постоянных",IF(COUNTIF(Покупки!$C$7:$C$18,$F996)&gt;0,"есть в Покупках","")))</f>
        <v/>
      </c>
      <c r="P996">
        <f>IF($H996&lt;&gt;"",$H996,IF($I996="Оплачено",N($G996),0))</f>
        <v/>
      </c>
      <c r="Q996">
        <f>IF($I996="Отменено",0,IF($G996&lt;&gt;"",$G996,N($H996)))</f>
        <v/>
      </c>
      <c r="R996">
        <f>IF($C996="","",IFERROR(DATE(Настройки!$C$8,Настройки!$D$9+MATCH($M996,Настройки!$X$6:$X$17,0)-1,1),DATE(YEAR($C996),MONTH($C996),1)))</f>
        <v/>
      </c>
      <c r="S996">
        <f>IF(OR($I996="Оплачено",$H996&lt;&gt;""),$P996,$Q996)</f>
        <v/>
      </c>
      <c r="T996">
        <f>IF(OR($C996="",$D996="Доход",$I996="Оплачено",$I996="Отменено",$H996&lt;&gt;"",$C996&lt;TODAY()),"",$C996)</f>
        <v/>
      </c>
      <c r="U996">
        <f>IF(AND($D996&lt;&gt;"Доход",COUNTIFS(Счета!$B$10:$B$21,$J996,Счета!$C$10:$C$21,"Кредитная")&gt;0),1,0)</f>
        <v/>
      </c>
    </row>
    <row r="997" ht="19" customHeight="1">
      <c r="B997" s="53">
        <f>IF(AND($C997="",$F997=""),"",ROW()-9)</f>
        <v/>
      </c>
      <c r="C997" s="213" t="n"/>
      <c r="D997" s="55" t="n"/>
      <c r="E997" s="55" t="n"/>
      <c r="F997" s="56" t="n"/>
      <c r="G997" s="196" t="n"/>
      <c r="H997" s="196" t="n"/>
      <c r="I997" s="55" t="n"/>
      <c r="J997" s="55" t="n"/>
      <c r="K997" s="55" t="n"/>
      <c r="L997" s="100">
        <f>IF(OR($C997="",$I997="Оплачено",$I997="Отменено",$H997&lt;&gt;""),"",$C997-TODAY())</f>
        <v/>
      </c>
      <c r="M997" s="101">
        <f>IF($C997="","",INDEX(Настройки!$V$6:$V$17,MONTH($C997))&amp;" "&amp;YEAR($C997))</f>
        <v/>
      </c>
      <c r="N997" s="57">
        <f>IF($F997="","",IF(COUNTIF(Постоянные!$C$8:$C$37,$F997)&gt;0,"есть в Постоянных",IF(COUNTIF(Покупки!$C$7:$C$18,$F997)&gt;0,"есть в Покупках","")))</f>
        <v/>
      </c>
      <c r="P997">
        <f>IF($H997&lt;&gt;"",$H997,IF($I997="Оплачено",N($G997),0))</f>
        <v/>
      </c>
      <c r="Q997">
        <f>IF($I997="Отменено",0,IF($G997&lt;&gt;"",$G997,N($H997)))</f>
        <v/>
      </c>
      <c r="R997">
        <f>IF($C997="","",IFERROR(DATE(Настройки!$C$8,Настройки!$D$9+MATCH($M997,Настройки!$X$6:$X$17,0)-1,1),DATE(YEAR($C997),MONTH($C997),1)))</f>
        <v/>
      </c>
      <c r="S997">
        <f>IF(OR($I997="Оплачено",$H997&lt;&gt;""),$P997,$Q997)</f>
        <v/>
      </c>
      <c r="T997">
        <f>IF(OR($C997="",$D997="Доход",$I997="Оплачено",$I997="Отменено",$H997&lt;&gt;"",$C997&lt;TODAY()),"",$C997)</f>
        <v/>
      </c>
      <c r="U997">
        <f>IF(AND($D997&lt;&gt;"Доход",COUNTIFS(Счета!$B$10:$B$21,$J997,Счета!$C$10:$C$21,"Кредитная")&gt;0),1,0)</f>
        <v/>
      </c>
    </row>
    <row r="998" ht="19" customHeight="1">
      <c r="B998" s="53">
        <f>IF(AND($C998="",$F998=""),"",ROW()-9)</f>
        <v/>
      </c>
      <c r="C998" s="213" t="n"/>
      <c r="D998" s="55" t="n"/>
      <c r="E998" s="55" t="n"/>
      <c r="F998" s="56" t="n"/>
      <c r="G998" s="196" t="n"/>
      <c r="H998" s="196" t="n"/>
      <c r="I998" s="55" t="n"/>
      <c r="J998" s="55" t="n"/>
      <c r="K998" s="55" t="n"/>
      <c r="L998" s="100">
        <f>IF(OR($C998="",$I998="Оплачено",$I998="Отменено",$H998&lt;&gt;""),"",$C998-TODAY())</f>
        <v/>
      </c>
      <c r="M998" s="101">
        <f>IF($C998="","",INDEX(Настройки!$V$6:$V$17,MONTH($C998))&amp;" "&amp;YEAR($C998))</f>
        <v/>
      </c>
      <c r="N998" s="57">
        <f>IF($F998="","",IF(COUNTIF(Постоянные!$C$8:$C$37,$F998)&gt;0,"есть в Постоянных",IF(COUNTIF(Покупки!$C$7:$C$18,$F998)&gt;0,"есть в Покупках","")))</f>
        <v/>
      </c>
      <c r="P998">
        <f>IF($H998&lt;&gt;"",$H998,IF($I998="Оплачено",N($G998),0))</f>
        <v/>
      </c>
      <c r="Q998">
        <f>IF($I998="Отменено",0,IF($G998&lt;&gt;"",$G998,N($H998)))</f>
        <v/>
      </c>
      <c r="R998">
        <f>IF($C998="","",IFERROR(DATE(Настройки!$C$8,Настройки!$D$9+MATCH($M998,Настройки!$X$6:$X$17,0)-1,1),DATE(YEAR($C998),MONTH($C998),1)))</f>
        <v/>
      </c>
      <c r="S998">
        <f>IF(OR($I998="Оплачено",$H998&lt;&gt;""),$P998,$Q998)</f>
        <v/>
      </c>
      <c r="T998">
        <f>IF(OR($C998="",$D998="Доход",$I998="Оплачено",$I998="Отменено",$H998&lt;&gt;"",$C998&lt;TODAY()),"",$C998)</f>
        <v/>
      </c>
      <c r="U998">
        <f>IF(AND($D998&lt;&gt;"Доход",COUNTIFS(Счета!$B$10:$B$21,$J998,Счета!$C$10:$C$21,"Кредитная")&gt;0),1,0)</f>
        <v/>
      </c>
    </row>
    <row r="999" ht="19" customHeight="1">
      <c r="B999" s="53">
        <f>IF(AND($C999="",$F999=""),"",ROW()-9)</f>
        <v/>
      </c>
      <c r="C999" s="213" t="n"/>
      <c r="D999" s="55" t="n"/>
      <c r="E999" s="55" t="n"/>
      <c r="F999" s="56" t="n"/>
      <c r="G999" s="196" t="n"/>
      <c r="H999" s="196" t="n"/>
      <c r="I999" s="55" t="n"/>
      <c r="J999" s="55" t="n"/>
      <c r="K999" s="55" t="n"/>
      <c r="L999" s="100">
        <f>IF(OR($C999="",$I999="Оплачено",$I999="Отменено",$H999&lt;&gt;""),"",$C999-TODAY())</f>
        <v/>
      </c>
      <c r="M999" s="101">
        <f>IF($C999="","",INDEX(Настройки!$V$6:$V$17,MONTH($C999))&amp;" "&amp;YEAR($C999))</f>
        <v/>
      </c>
      <c r="N999" s="57">
        <f>IF($F999="","",IF(COUNTIF(Постоянные!$C$8:$C$37,$F999)&gt;0,"есть в Постоянных",IF(COUNTIF(Покупки!$C$7:$C$18,$F999)&gt;0,"есть в Покупках","")))</f>
        <v/>
      </c>
      <c r="P999">
        <f>IF($H999&lt;&gt;"",$H999,IF($I999="Оплачено",N($G999),0))</f>
        <v/>
      </c>
      <c r="Q999">
        <f>IF($I999="Отменено",0,IF($G999&lt;&gt;"",$G999,N($H999)))</f>
        <v/>
      </c>
      <c r="R999">
        <f>IF($C999="","",IFERROR(DATE(Настройки!$C$8,Настройки!$D$9+MATCH($M999,Настройки!$X$6:$X$17,0)-1,1),DATE(YEAR($C999),MONTH($C999),1)))</f>
        <v/>
      </c>
      <c r="S999">
        <f>IF(OR($I999="Оплачено",$H999&lt;&gt;""),$P999,$Q999)</f>
        <v/>
      </c>
      <c r="T999">
        <f>IF(OR($C999="",$D999="Доход",$I999="Оплачено",$I999="Отменено",$H999&lt;&gt;"",$C999&lt;TODAY()),"",$C999)</f>
        <v/>
      </c>
      <c r="U999">
        <f>IF(AND($D999&lt;&gt;"Доход",COUNTIFS(Счета!$B$10:$B$21,$J999,Счета!$C$10:$C$21,"Кредитная")&gt;0),1,0)</f>
        <v/>
      </c>
    </row>
    <row r="1000" ht="19" customHeight="1">
      <c r="B1000" s="53">
        <f>IF(AND($C1000="",$F1000=""),"",ROW()-9)</f>
        <v/>
      </c>
      <c r="C1000" s="213" t="n"/>
      <c r="D1000" s="55" t="n"/>
      <c r="E1000" s="55" t="n"/>
      <c r="F1000" s="56" t="n"/>
      <c r="G1000" s="196" t="n"/>
      <c r="H1000" s="196" t="n"/>
      <c r="I1000" s="55" t="n"/>
      <c r="J1000" s="55" t="n"/>
      <c r="K1000" s="55" t="n"/>
      <c r="L1000" s="100">
        <f>IF(OR($C1000="",$I1000="Оплачено",$I1000="Отменено",$H1000&lt;&gt;""),"",$C1000-TODAY())</f>
        <v/>
      </c>
      <c r="M1000" s="101">
        <f>IF($C1000="","",INDEX(Настройки!$V$6:$V$17,MONTH($C1000))&amp;" "&amp;YEAR($C1000))</f>
        <v/>
      </c>
      <c r="N1000" s="57">
        <f>IF($F1000="","",IF(COUNTIF(Постоянные!$C$8:$C$37,$F1000)&gt;0,"есть в Постоянных",IF(COUNTIF(Покупки!$C$7:$C$18,$F1000)&gt;0,"есть в Покупках","")))</f>
        <v/>
      </c>
      <c r="P1000">
        <f>IF($H1000&lt;&gt;"",$H1000,IF($I1000="Оплачено",N($G1000),0))</f>
        <v/>
      </c>
      <c r="Q1000">
        <f>IF($I1000="Отменено",0,IF($G1000&lt;&gt;"",$G1000,N($H1000)))</f>
        <v/>
      </c>
      <c r="R1000">
        <f>IF($C1000="","",IFERROR(DATE(Настройки!$C$8,Настройки!$D$9+MATCH($M1000,Настройки!$X$6:$X$17,0)-1,1),DATE(YEAR($C1000),MONTH($C1000),1)))</f>
        <v/>
      </c>
      <c r="S1000">
        <f>IF(OR($I1000="Оплачено",$H1000&lt;&gt;""),$P1000,$Q1000)</f>
        <v/>
      </c>
      <c r="T1000">
        <f>IF(OR($C1000="",$D1000="Доход",$I1000="Оплачено",$I1000="Отменено",$H1000&lt;&gt;"",$C1000&lt;TODAY()),"",$C1000)</f>
        <v/>
      </c>
      <c r="U1000">
        <f>IF(AND($D1000&lt;&gt;"Доход",COUNTIFS(Счета!$B$10:$B$21,$J1000,Счета!$C$10:$C$21,"Кредитная")&gt;0),1,0)</f>
        <v/>
      </c>
    </row>
    <row r="1001" ht="19" customHeight="1">
      <c r="B1001" s="53">
        <f>IF(AND($C1001="",$F1001=""),"",ROW()-9)</f>
        <v/>
      </c>
      <c r="C1001" s="213" t="n"/>
      <c r="D1001" s="55" t="n"/>
      <c r="E1001" s="55" t="n"/>
      <c r="F1001" s="56" t="n"/>
      <c r="G1001" s="196" t="n"/>
      <c r="H1001" s="196" t="n"/>
      <c r="I1001" s="55" t="n"/>
      <c r="J1001" s="55" t="n"/>
      <c r="K1001" s="55" t="n"/>
      <c r="L1001" s="100">
        <f>IF(OR($C1001="",$I1001="Оплачено",$I1001="Отменено",$H1001&lt;&gt;""),"",$C1001-TODAY())</f>
        <v/>
      </c>
      <c r="M1001" s="101">
        <f>IF($C1001="","",INDEX(Настройки!$V$6:$V$17,MONTH($C1001))&amp;" "&amp;YEAR($C1001))</f>
        <v/>
      </c>
      <c r="N1001" s="57">
        <f>IF($F1001="","",IF(COUNTIF(Постоянные!$C$8:$C$37,$F1001)&gt;0,"есть в Постоянных",IF(COUNTIF(Покупки!$C$7:$C$18,$F1001)&gt;0,"есть в Покупках","")))</f>
        <v/>
      </c>
      <c r="P1001">
        <f>IF($H1001&lt;&gt;"",$H1001,IF($I1001="Оплачено",N($G1001),0))</f>
        <v/>
      </c>
      <c r="Q1001">
        <f>IF($I1001="Отменено",0,IF($G1001&lt;&gt;"",$G1001,N($H1001)))</f>
        <v/>
      </c>
      <c r="R1001">
        <f>IF($C1001="","",IFERROR(DATE(Настройки!$C$8,Настройки!$D$9+MATCH($M1001,Настройки!$X$6:$X$17,0)-1,1),DATE(YEAR($C1001),MONTH($C1001),1)))</f>
        <v/>
      </c>
      <c r="S1001">
        <f>IF(OR($I1001="Оплачено",$H1001&lt;&gt;""),$P1001,$Q1001)</f>
        <v/>
      </c>
      <c r="T1001">
        <f>IF(OR($C1001="",$D1001="Доход",$I1001="Оплачено",$I1001="Отменено",$H1001&lt;&gt;"",$C1001&lt;TODAY()),"",$C1001)</f>
        <v/>
      </c>
      <c r="U1001">
        <f>IF(AND($D1001&lt;&gt;"Доход",COUNTIFS(Счета!$B$10:$B$21,$J1001,Счета!$C$10:$C$21,"Кредитная")&gt;0),1,0)</f>
        <v/>
      </c>
    </row>
    <row r="1002" ht="19" customHeight="1">
      <c r="B1002" s="53">
        <f>IF(AND($C1002="",$F1002=""),"",ROW()-9)</f>
        <v/>
      </c>
      <c r="C1002" s="213" t="n"/>
      <c r="D1002" s="55" t="n"/>
      <c r="E1002" s="55" t="n"/>
      <c r="F1002" s="56" t="n"/>
      <c r="G1002" s="196" t="n"/>
      <c r="H1002" s="196" t="n"/>
      <c r="I1002" s="55" t="n"/>
      <c r="J1002" s="55" t="n"/>
      <c r="K1002" s="55" t="n"/>
      <c r="L1002" s="100">
        <f>IF(OR($C1002="",$I1002="Оплачено",$I1002="Отменено",$H1002&lt;&gt;""),"",$C1002-TODAY())</f>
        <v/>
      </c>
      <c r="M1002" s="101">
        <f>IF($C1002="","",INDEX(Настройки!$V$6:$V$17,MONTH($C1002))&amp;" "&amp;YEAR($C1002))</f>
        <v/>
      </c>
      <c r="N1002" s="57">
        <f>IF($F1002="","",IF(COUNTIF(Постоянные!$C$8:$C$37,$F1002)&gt;0,"есть в Постоянных",IF(COUNTIF(Покупки!$C$7:$C$18,$F1002)&gt;0,"есть в Покупках","")))</f>
        <v/>
      </c>
      <c r="P1002">
        <f>IF($H1002&lt;&gt;"",$H1002,IF($I1002="Оплачено",N($G1002),0))</f>
        <v/>
      </c>
      <c r="Q1002">
        <f>IF($I1002="Отменено",0,IF($G1002&lt;&gt;"",$G1002,N($H1002)))</f>
        <v/>
      </c>
      <c r="R1002">
        <f>IF($C1002="","",IFERROR(DATE(Настройки!$C$8,Настройки!$D$9+MATCH($M1002,Настройки!$X$6:$X$17,0)-1,1),DATE(YEAR($C1002),MONTH($C1002),1)))</f>
        <v/>
      </c>
      <c r="S1002">
        <f>IF(OR($I1002="Оплачено",$H1002&lt;&gt;""),$P1002,$Q1002)</f>
        <v/>
      </c>
      <c r="T1002">
        <f>IF(OR($C1002="",$D1002="Доход",$I1002="Оплачено",$I1002="Отменено",$H1002&lt;&gt;"",$C1002&lt;TODAY()),"",$C1002)</f>
        <v/>
      </c>
      <c r="U1002">
        <f>IF(AND($D1002&lt;&gt;"Доход",COUNTIFS(Счета!$B$10:$B$21,$J1002,Счета!$C$10:$C$21,"Кредитная")&gt;0),1,0)</f>
        <v/>
      </c>
    </row>
    <row r="1003" ht="19" customHeight="1">
      <c r="B1003" s="53">
        <f>IF(AND($C1003="",$F1003=""),"",ROW()-9)</f>
        <v/>
      </c>
      <c r="C1003" s="213" t="n"/>
      <c r="D1003" s="55" t="n"/>
      <c r="E1003" s="55" t="n"/>
      <c r="F1003" s="56" t="n"/>
      <c r="G1003" s="196" t="n"/>
      <c r="H1003" s="196" t="n"/>
      <c r="I1003" s="55" t="n"/>
      <c r="J1003" s="55" t="n"/>
      <c r="K1003" s="55" t="n"/>
      <c r="L1003" s="100">
        <f>IF(OR($C1003="",$I1003="Оплачено",$I1003="Отменено",$H1003&lt;&gt;""),"",$C1003-TODAY())</f>
        <v/>
      </c>
      <c r="M1003" s="101">
        <f>IF($C1003="","",INDEX(Настройки!$V$6:$V$17,MONTH($C1003))&amp;" "&amp;YEAR($C1003))</f>
        <v/>
      </c>
      <c r="N1003" s="57">
        <f>IF($F1003="","",IF(COUNTIF(Постоянные!$C$8:$C$37,$F1003)&gt;0,"есть в Постоянных",IF(COUNTIF(Покупки!$C$7:$C$18,$F1003)&gt;0,"есть в Покупках","")))</f>
        <v/>
      </c>
      <c r="P1003">
        <f>IF($H1003&lt;&gt;"",$H1003,IF($I1003="Оплачено",N($G1003),0))</f>
        <v/>
      </c>
      <c r="Q1003">
        <f>IF($I1003="Отменено",0,IF($G1003&lt;&gt;"",$G1003,N($H1003)))</f>
        <v/>
      </c>
      <c r="R1003">
        <f>IF($C1003="","",IFERROR(DATE(Настройки!$C$8,Настройки!$D$9+MATCH($M1003,Настройки!$X$6:$X$17,0)-1,1),DATE(YEAR($C1003),MONTH($C1003),1)))</f>
        <v/>
      </c>
      <c r="S1003">
        <f>IF(OR($I1003="Оплачено",$H1003&lt;&gt;""),$P1003,$Q1003)</f>
        <v/>
      </c>
      <c r="T1003">
        <f>IF(OR($C1003="",$D1003="Доход",$I1003="Оплачено",$I1003="Отменено",$H1003&lt;&gt;"",$C1003&lt;TODAY()),"",$C1003)</f>
        <v/>
      </c>
      <c r="U1003">
        <f>IF(AND($D1003&lt;&gt;"Доход",COUNTIFS(Счета!$B$10:$B$21,$J1003,Счета!$C$10:$C$21,"Кредитная")&gt;0),1,0)</f>
        <v/>
      </c>
    </row>
    <row r="1004" ht="19" customHeight="1">
      <c r="B1004" s="53">
        <f>IF(AND($C1004="",$F1004=""),"",ROW()-9)</f>
        <v/>
      </c>
      <c r="C1004" s="213" t="n"/>
      <c r="D1004" s="55" t="n"/>
      <c r="E1004" s="55" t="n"/>
      <c r="F1004" s="56" t="n"/>
      <c r="G1004" s="196" t="n"/>
      <c r="H1004" s="196" t="n"/>
      <c r="I1004" s="55" t="n"/>
      <c r="J1004" s="55" t="n"/>
      <c r="K1004" s="55" t="n"/>
      <c r="L1004" s="100">
        <f>IF(OR($C1004="",$I1004="Оплачено",$I1004="Отменено",$H1004&lt;&gt;""),"",$C1004-TODAY())</f>
        <v/>
      </c>
      <c r="M1004" s="101">
        <f>IF($C1004="","",INDEX(Настройки!$V$6:$V$17,MONTH($C1004))&amp;" "&amp;YEAR($C1004))</f>
        <v/>
      </c>
      <c r="N1004" s="57">
        <f>IF($F1004="","",IF(COUNTIF(Постоянные!$C$8:$C$37,$F1004)&gt;0,"есть в Постоянных",IF(COUNTIF(Покупки!$C$7:$C$18,$F1004)&gt;0,"есть в Покупках","")))</f>
        <v/>
      </c>
      <c r="P1004">
        <f>IF($H1004&lt;&gt;"",$H1004,IF($I1004="Оплачено",N($G1004),0))</f>
        <v/>
      </c>
      <c r="Q1004">
        <f>IF($I1004="Отменено",0,IF($G1004&lt;&gt;"",$G1004,N($H1004)))</f>
        <v/>
      </c>
      <c r="R1004">
        <f>IF($C1004="","",IFERROR(DATE(Настройки!$C$8,Настройки!$D$9+MATCH($M1004,Настройки!$X$6:$X$17,0)-1,1),DATE(YEAR($C1004),MONTH($C1004),1)))</f>
        <v/>
      </c>
      <c r="S1004">
        <f>IF(OR($I1004="Оплачено",$H1004&lt;&gt;""),$P1004,$Q1004)</f>
        <v/>
      </c>
      <c r="T1004">
        <f>IF(OR($C1004="",$D1004="Доход",$I1004="Оплачено",$I1004="Отменено",$H1004&lt;&gt;"",$C1004&lt;TODAY()),"",$C1004)</f>
        <v/>
      </c>
      <c r="U1004">
        <f>IF(AND($D1004&lt;&gt;"Доход",COUNTIFS(Счета!$B$10:$B$21,$J1004,Счета!$C$10:$C$21,"Кредитная")&gt;0),1,0)</f>
        <v/>
      </c>
    </row>
    <row r="1005" ht="19" customHeight="1">
      <c r="B1005" s="53">
        <f>IF(AND($C1005="",$F1005=""),"",ROW()-9)</f>
        <v/>
      </c>
      <c r="C1005" s="213" t="n"/>
      <c r="D1005" s="55" t="n"/>
      <c r="E1005" s="55" t="n"/>
      <c r="F1005" s="56" t="n"/>
      <c r="G1005" s="196" t="n"/>
      <c r="H1005" s="196" t="n"/>
      <c r="I1005" s="55" t="n"/>
      <c r="J1005" s="55" t="n"/>
      <c r="K1005" s="55" t="n"/>
      <c r="L1005" s="100">
        <f>IF(OR($C1005="",$I1005="Оплачено",$I1005="Отменено",$H1005&lt;&gt;""),"",$C1005-TODAY())</f>
        <v/>
      </c>
      <c r="M1005" s="101">
        <f>IF($C1005="","",INDEX(Настройки!$V$6:$V$17,MONTH($C1005))&amp;" "&amp;YEAR($C1005))</f>
        <v/>
      </c>
      <c r="N1005" s="57">
        <f>IF($F1005="","",IF(COUNTIF(Постоянные!$C$8:$C$37,$F1005)&gt;0,"есть в Постоянных",IF(COUNTIF(Покупки!$C$7:$C$18,$F1005)&gt;0,"есть в Покупках","")))</f>
        <v/>
      </c>
      <c r="P1005">
        <f>IF($H1005&lt;&gt;"",$H1005,IF($I1005="Оплачено",N($G1005),0))</f>
        <v/>
      </c>
      <c r="Q1005">
        <f>IF($I1005="Отменено",0,IF($G1005&lt;&gt;"",$G1005,N($H1005)))</f>
        <v/>
      </c>
      <c r="R1005">
        <f>IF($C1005="","",IFERROR(DATE(Настройки!$C$8,Настройки!$D$9+MATCH($M1005,Настройки!$X$6:$X$17,0)-1,1),DATE(YEAR($C1005),MONTH($C1005),1)))</f>
        <v/>
      </c>
      <c r="S1005">
        <f>IF(OR($I1005="Оплачено",$H1005&lt;&gt;""),$P1005,$Q1005)</f>
        <v/>
      </c>
      <c r="T1005">
        <f>IF(OR($C1005="",$D1005="Доход",$I1005="Оплачено",$I1005="Отменено",$H1005&lt;&gt;"",$C1005&lt;TODAY()),"",$C1005)</f>
        <v/>
      </c>
      <c r="U1005">
        <f>IF(AND($D1005&lt;&gt;"Доход",COUNTIFS(Счета!$B$10:$B$21,$J1005,Счета!$C$10:$C$21,"Кредитная")&gt;0),1,0)</f>
        <v/>
      </c>
    </row>
    <row r="1006" ht="19" customHeight="1">
      <c r="B1006" s="53">
        <f>IF(AND($C1006="",$F1006=""),"",ROW()-9)</f>
        <v/>
      </c>
      <c r="C1006" s="213" t="n"/>
      <c r="D1006" s="55" t="n"/>
      <c r="E1006" s="55" t="n"/>
      <c r="F1006" s="56" t="n"/>
      <c r="G1006" s="196" t="n"/>
      <c r="H1006" s="196" t="n"/>
      <c r="I1006" s="55" t="n"/>
      <c r="J1006" s="55" t="n"/>
      <c r="K1006" s="55" t="n"/>
      <c r="L1006" s="100">
        <f>IF(OR($C1006="",$I1006="Оплачено",$I1006="Отменено",$H1006&lt;&gt;""),"",$C1006-TODAY())</f>
        <v/>
      </c>
      <c r="M1006" s="101">
        <f>IF($C1006="","",INDEX(Настройки!$V$6:$V$17,MONTH($C1006))&amp;" "&amp;YEAR($C1006))</f>
        <v/>
      </c>
      <c r="N1006" s="57">
        <f>IF($F1006="","",IF(COUNTIF(Постоянные!$C$8:$C$37,$F1006)&gt;0,"есть в Постоянных",IF(COUNTIF(Покупки!$C$7:$C$18,$F1006)&gt;0,"есть в Покупках","")))</f>
        <v/>
      </c>
      <c r="P1006">
        <f>IF($H1006&lt;&gt;"",$H1006,IF($I1006="Оплачено",N($G1006),0))</f>
        <v/>
      </c>
      <c r="Q1006">
        <f>IF($I1006="Отменено",0,IF($G1006&lt;&gt;"",$G1006,N($H1006)))</f>
        <v/>
      </c>
      <c r="R1006">
        <f>IF($C1006="","",IFERROR(DATE(Настройки!$C$8,Настройки!$D$9+MATCH($M1006,Настройки!$X$6:$X$17,0)-1,1),DATE(YEAR($C1006),MONTH($C1006),1)))</f>
        <v/>
      </c>
      <c r="S1006">
        <f>IF(OR($I1006="Оплачено",$H1006&lt;&gt;""),$P1006,$Q1006)</f>
        <v/>
      </c>
      <c r="T1006">
        <f>IF(OR($C1006="",$D1006="Доход",$I1006="Оплачено",$I1006="Отменено",$H1006&lt;&gt;"",$C1006&lt;TODAY()),"",$C1006)</f>
        <v/>
      </c>
      <c r="U1006">
        <f>IF(AND($D1006&lt;&gt;"Доход",COUNTIFS(Счета!$B$10:$B$21,$J1006,Счета!$C$10:$C$21,"Кредитная")&gt;0),1,0)</f>
        <v/>
      </c>
    </row>
    <row r="1007" ht="19" customHeight="1">
      <c r="B1007" s="53">
        <f>IF(AND($C1007="",$F1007=""),"",ROW()-9)</f>
        <v/>
      </c>
      <c r="C1007" s="213" t="n"/>
      <c r="D1007" s="55" t="n"/>
      <c r="E1007" s="55" t="n"/>
      <c r="F1007" s="56" t="n"/>
      <c r="G1007" s="196" t="n"/>
      <c r="H1007" s="196" t="n"/>
      <c r="I1007" s="55" t="n"/>
      <c r="J1007" s="55" t="n"/>
      <c r="K1007" s="55" t="n"/>
      <c r="L1007" s="100">
        <f>IF(OR($C1007="",$I1007="Оплачено",$I1007="Отменено",$H1007&lt;&gt;""),"",$C1007-TODAY())</f>
        <v/>
      </c>
      <c r="M1007" s="101">
        <f>IF($C1007="","",INDEX(Настройки!$V$6:$V$17,MONTH($C1007))&amp;" "&amp;YEAR($C1007))</f>
        <v/>
      </c>
      <c r="N1007" s="57">
        <f>IF($F1007="","",IF(COUNTIF(Постоянные!$C$8:$C$37,$F1007)&gt;0,"есть в Постоянных",IF(COUNTIF(Покупки!$C$7:$C$18,$F1007)&gt;0,"есть в Покупках","")))</f>
        <v/>
      </c>
      <c r="P1007">
        <f>IF($H1007&lt;&gt;"",$H1007,IF($I1007="Оплачено",N($G1007),0))</f>
        <v/>
      </c>
      <c r="Q1007">
        <f>IF($I1007="Отменено",0,IF($G1007&lt;&gt;"",$G1007,N($H1007)))</f>
        <v/>
      </c>
      <c r="R1007">
        <f>IF($C1007="","",IFERROR(DATE(Настройки!$C$8,Настройки!$D$9+MATCH($M1007,Настройки!$X$6:$X$17,0)-1,1),DATE(YEAR($C1007),MONTH($C1007),1)))</f>
        <v/>
      </c>
      <c r="S1007">
        <f>IF(OR($I1007="Оплачено",$H1007&lt;&gt;""),$P1007,$Q1007)</f>
        <v/>
      </c>
      <c r="T1007">
        <f>IF(OR($C1007="",$D1007="Доход",$I1007="Оплачено",$I1007="Отменено",$H1007&lt;&gt;"",$C1007&lt;TODAY()),"",$C1007)</f>
        <v/>
      </c>
      <c r="U1007">
        <f>IF(AND($D1007&lt;&gt;"Доход",COUNTIFS(Счета!$B$10:$B$21,$J1007,Счета!$C$10:$C$21,"Кредитная")&gt;0),1,0)</f>
        <v/>
      </c>
    </row>
    <row r="1008" ht="19" customHeight="1">
      <c r="B1008" s="53">
        <f>IF(AND($C1008="",$F1008=""),"",ROW()-9)</f>
        <v/>
      </c>
      <c r="C1008" s="213" t="n"/>
      <c r="D1008" s="55" t="n"/>
      <c r="E1008" s="55" t="n"/>
      <c r="F1008" s="56" t="n"/>
      <c r="G1008" s="196" t="n"/>
      <c r="H1008" s="196" t="n"/>
      <c r="I1008" s="55" t="n"/>
      <c r="J1008" s="55" t="n"/>
      <c r="K1008" s="55" t="n"/>
      <c r="L1008" s="100">
        <f>IF(OR($C1008="",$I1008="Оплачено",$I1008="Отменено",$H1008&lt;&gt;""),"",$C1008-TODAY())</f>
        <v/>
      </c>
      <c r="M1008" s="101">
        <f>IF($C1008="","",INDEX(Настройки!$V$6:$V$17,MONTH($C1008))&amp;" "&amp;YEAR($C1008))</f>
        <v/>
      </c>
      <c r="N1008" s="57">
        <f>IF($F1008="","",IF(COUNTIF(Постоянные!$C$8:$C$37,$F1008)&gt;0,"есть в Постоянных",IF(COUNTIF(Покупки!$C$7:$C$18,$F1008)&gt;0,"есть в Покупках","")))</f>
        <v/>
      </c>
      <c r="P1008">
        <f>IF($H1008&lt;&gt;"",$H1008,IF($I1008="Оплачено",N($G1008),0))</f>
        <v/>
      </c>
      <c r="Q1008">
        <f>IF($I1008="Отменено",0,IF($G1008&lt;&gt;"",$G1008,N($H1008)))</f>
        <v/>
      </c>
      <c r="R1008">
        <f>IF($C1008="","",IFERROR(DATE(Настройки!$C$8,Настройки!$D$9+MATCH($M1008,Настройки!$X$6:$X$17,0)-1,1),DATE(YEAR($C1008),MONTH($C1008),1)))</f>
        <v/>
      </c>
      <c r="S1008">
        <f>IF(OR($I1008="Оплачено",$H1008&lt;&gt;""),$P1008,$Q1008)</f>
        <v/>
      </c>
      <c r="T1008">
        <f>IF(OR($C1008="",$D1008="Доход",$I1008="Оплачено",$I1008="Отменено",$H1008&lt;&gt;"",$C1008&lt;TODAY()),"",$C1008)</f>
        <v/>
      </c>
      <c r="U1008">
        <f>IF(AND($D1008&lt;&gt;"Доход",COUNTIFS(Счета!$B$10:$B$21,$J1008,Счета!$C$10:$C$21,"Кредитная")&gt;0),1,0)</f>
        <v/>
      </c>
    </row>
    <row r="1009" ht="19" customHeight="1">
      <c r="B1009" s="53">
        <f>IF(AND($C1009="",$F1009=""),"",ROW()-9)</f>
        <v/>
      </c>
      <c r="C1009" s="213" t="n"/>
      <c r="D1009" s="55" t="n"/>
      <c r="E1009" s="55" t="n"/>
      <c r="F1009" s="56" t="n"/>
      <c r="G1009" s="196" t="n"/>
      <c r="H1009" s="196" t="n"/>
      <c r="I1009" s="55" t="n"/>
      <c r="J1009" s="55" t="n"/>
      <c r="K1009" s="55" t="n"/>
      <c r="L1009" s="100">
        <f>IF(OR($C1009="",$I1009="Оплачено",$I1009="Отменено",$H1009&lt;&gt;""),"",$C1009-TODAY())</f>
        <v/>
      </c>
      <c r="M1009" s="101">
        <f>IF($C1009="","",INDEX(Настройки!$V$6:$V$17,MONTH($C1009))&amp;" "&amp;YEAR($C1009))</f>
        <v/>
      </c>
      <c r="N1009" s="57">
        <f>IF($F1009="","",IF(COUNTIF(Постоянные!$C$8:$C$37,$F1009)&gt;0,"есть в Постоянных",IF(COUNTIF(Покупки!$C$7:$C$18,$F1009)&gt;0,"есть в Покупках","")))</f>
        <v/>
      </c>
      <c r="P1009">
        <f>IF($H1009&lt;&gt;"",$H1009,IF($I1009="Оплачено",N($G1009),0))</f>
        <v/>
      </c>
      <c r="Q1009">
        <f>IF($I1009="Отменено",0,IF($G1009&lt;&gt;"",$G1009,N($H1009)))</f>
        <v/>
      </c>
      <c r="R1009">
        <f>IF($C1009="","",IFERROR(DATE(Настройки!$C$8,Настройки!$D$9+MATCH($M1009,Настройки!$X$6:$X$17,0)-1,1),DATE(YEAR($C1009),MONTH($C1009),1)))</f>
        <v/>
      </c>
      <c r="S1009">
        <f>IF(OR($I1009="Оплачено",$H1009&lt;&gt;""),$P1009,$Q1009)</f>
        <v/>
      </c>
      <c r="T1009">
        <f>IF(OR($C1009="",$D1009="Доход",$I1009="Оплачено",$I1009="Отменено",$H1009&lt;&gt;"",$C1009&lt;TODAY()),"",$C1009)</f>
        <v/>
      </c>
      <c r="U1009">
        <f>IF(AND($D1009&lt;&gt;"Доход",COUNTIFS(Счета!$B$10:$B$21,$J1009,Счета!$C$10:$C$21,"Кредитная")&gt;0),1,0)</f>
        <v/>
      </c>
    </row>
    <row r="1010" ht="19" customHeight="1">
      <c r="B1010" s="53">
        <f>IF(AND($C1010="",$F1010=""),"",ROW()-9)</f>
        <v/>
      </c>
      <c r="C1010" s="213" t="n"/>
      <c r="D1010" s="55" t="n"/>
      <c r="E1010" s="55" t="n"/>
      <c r="F1010" s="56" t="n"/>
      <c r="G1010" s="196" t="n"/>
      <c r="H1010" s="196" t="n"/>
      <c r="I1010" s="55" t="n"/>
      <c r="J1010" s="55" t="n"/>
      <c r="K1010" s="55" t="n"/>
      <c r="L1010" s="100">
        <f>IF(OR($C1010="",$I1010="Оплачено",$I1010="Отменено",$H1010&lt;&gt;""),"",$C1010-TODAY())</f>
        <v/>
      </c>
      <c r="M1010" s="101">
        <f>IF($C1010="","",INDEX(Настройки!$V$6:$V$17,MONTH($C1010))&amp;" "&amp;YEAR($C1010))</f>
        <v/>
      </c>
      <c r="N1010" s="57">
        <f>IF($F1010="","",IF(COUNTIF(Постоянные!$C$8:$C$37,$F1010)&gt;0,"есть в Постоянных",IF(COUNTIF(Покупки!$C$7:$C$18,$F1010)&gt;0,"есть в Покупках","")))</f>
        <v/>
      </c>
      <c r="P1010">
        <f>IF($H1010&lt;&gt;"",$H1010,IF($I1010="Оплачено",N($G1010),0))</f>
        <v/>
      </c>
      <c r="Q1010">
        <f>IF($I1010="Отменено",0,IF($G1010&lt;&gt;"",$G1010,N($H1010)))</f>
        <v/>
      </c>
      <c r="R1010">
        <f>IF($C1010="","",IFERROR(DATE(Настройки!$C$8,Настройки!$D$9+MATCH($M1010,Настройки!$X$6:$X$17,0)-1,1),DATE(YEAR($C1010),MONTH($C1010),1)))</f>
        <v/>
      </c>
      <c r="S1010">
        <f>IF(OR($I1010="Оплачено",$H1010&lt;&gt;""),$P1010,$Q1010)</f>
        <v/>
      </c>
      <c r="T1010">
        <f>IF(OR($C1010="",$D1010="Доход",$I1010="Оплачено",$I1010="Отменено",$H1010&lt;&gt;"",$C1010&lt;TODAY()),"",$C1010)</f>
        <v/>
      </c>
      <c r="U1010">
        <f>IF(AND($D1010&lt;&gt;"Доход",COUNTIFS(Счета!$B$10:$B$21,$J1010,Счета!$C$10:$C$21,"Кредитная")&gt;0),1,0)</f>
        <v/>
      </c>
    </row>
    <row r="1011" ht="19" customHeight="1">
      <c r="B1011" s="53">
        <f>IF(AND($C1011="",$F1011=""),"",ROW()-9)</f>
        <v/>
      </c>
      <c r="C1011" s="213" t="n"/>
      <c r="D1011" s="55" t="n"/>
      <c r="E1011" s="55" t="n"/>
      <c r="F1011" s="56" t="n"/>
      <c r="G1011" s="196" t="n"/>
      <c r="H1011" s="196" t="n"/>
      <c r="I1011" s="55" t="n"/>
      <c r="J1011" s="55" t="n"/>
      <c r="K1011" s="55" t="n"/>
      <c r="L1011" s="100">
        <f>IF(OR($C1011="",$I1011="Оплачено",$I1011="Отменено",$H1011&lt;&gt;""),"",$C1011-TODAY())</f>
        <v/>
      </c>
      <c r="M1011" s="101">
        <f>IF($C1011="","",INDEX(Настройки!$V$6:$V$17,MONTH($C1011))&amp;" "&amp;YEAR($C1011))</f>
        <v/>
      </c>
      <c r="N1011" s="57">
        <f>IF($F1011="","",IF(COUNTIF(Постоянные!$C$8:$C$37,$F1011)&gt;0,"есть в Постоянных",IF(COUNTIF(Покупки!$C$7:$C$18,$F1011)&gt;0,"есть в Покупках","")))</f>
        <v/>
      </c>
      <c r="P1011">
        <f>IF($H1011&lt;&gt;"",$H1011,IF($I1011="Оплачено",N($G1011),0))</f>
        <v/>
      </c>
      <c r="Q1011">
        <f>IF($I1011="Отменено",0,IF($G1011&lt;&gt;"",$G1011,N($H1011)))</f>
        <v/>
      </c>
      <c r="R1011">
        <f>IF($C1011="","",IFERROR(DATE(Настройки!$C$8,Настройки!$D$9+MATCH($M1011,Настройки!$X$6:$X$17,0)-1,1),DATE(YEAR($C1011),MONTH($C1011),1)))</f>
        <v/>
      </c>
      <c r="S1011">
        <f>IF(OR($I1011="Оплачено",$H1011&lt;&gt;""),$P1011,$Q1011)</f>
        <v/>
      </c>
      <c r="T1011">
        <f>IF(OR($C1011="",$D1011="Доход",$I1011="Оплачено",$I1011="Отменено",$H1011&lt;&gt;"",$C1011&lt;TODAY()),"",$C1011)</f>
        <v/>
      </c>
      <c r="U1011">
        <f>IF(AND($D1011&lt;&gt;"Доход",COUNTIFS(Счета!$B$10:$B$21,$J1011,Счета!$C$10:$C$21,"Кредитная")&gt;0),1,0)</f>
        <v/>
      </c>
    </row>
    <row r="1012" ht="19" customHeight="1">
      <c r="B1012" s="53">
        <f>IF(AND($C1012="",$F1012=""),"",ROW()-9)</f>
        <v/>
      </c>
      <c r="C1012" s="213" t="n"/>
      <c r="D1012" s="55" t="n"/>
      <c r="E1012" s="55" t="n"/>
      <c r="F1012" s="56" t="n"/>
      <c r="G1012" s="196" t="n"/>
      <c r="H1012" s="196" t="n"/>
      <c r="I1012" s="55" t="n"/>
      <c r="J1012" s="55" t="n"/>
      <c r="K1012" s="55" t="n"/>
      <c r="L1012" s="100">
        <f>IF(OR($C1012="",$I1012="Оплачено",$I1012="Отменено",$H1012&lt;&gt;""),"",$C1012-TODAY())</f>
        <v/>
      </c>
      <c r="M1012" s="101">
        <f>IF($C1012="","",INDEX(Настройки!$V$6:$V$17,MONTH($C1012))&amp;" "&amp;YEAR($C1012))</f>
        <v/>
      </c>
      <c r="N1012" s="57">
        <f>IF($F1012="","",IF(COUNTIF(Постоянные!$C$8:$C$37,$F1012)&gt;0,"есть в Постоянных",IF(COUNTIF(Покупки!$C$7:$C$18,$F1012)&gt;0,"есть в Покупках","")))</f>
        <v/>
      </c>
      <c r="P1012">
        <f>IF($H1012&lt;&gt;"",$H1012,IF($I1012="Оплачено",N($G1012),0))</f>
        <v/>
      </c>
      <c r="Q1012">
        <f>IF($I1012="Отменено",0,IF($G1012&lt;&gt;"",$G1012,N($H1012)))</f>
        <v/>
      </c>
      <c r="R1012">
        <f>IF($C1012="","",IFERROR(DATE(Настройки!$C$8,Настройки!$D$9+MATCH($M1012,Настройки!$X$6:$X$17,0)-1,1),DATE(YEAR($C1012),MONTH($C1012),1)))</f>
        <v/>
      </c>
      <c r="S1012">
        <f>IF(OR($I1012="Оплачено",$H1012&lt;&gt;""),$P1012,$Q1012)</f>
        <v/>
      </c>
      <c r="T1012">
        <f>IF(OR($C1012="",$D1012="Доход",$I1012="Оплачено",$I1012="Отменено",$H1012&lt;&gt;"",$C1012&lt;TODAY()),"",$C1012)</f>
        <v/>
      </c>
      <c r="U1012">
        <f>IF(AND($D1012&lt;&gt;"Доход",COUNTIFS(Счета!$B$10:$B$21,$J1012,Счета!$C$10:$C$21,"Кредитная")&gt;0),1,0)</f>
        <v/>
      </c>
    </row>
    <row r="1013" ht="19" customHeight="1">
      <c r="B1013" s="53">
        <f>IF(AND($C1013="",$F1013=""),"",ROW()-9)</f>
        <v/>
      </c>
      <c r="C1013" s="213" t="n"/>
      <c r="D1013" s="55" t="n"/>
      <c r="E1013" s="55" t="n"/>
      <c r="F1013" s="56" t="n"/>
      <c r="G1013" s="196" t="n"/>
      <c r="H1013" s="196" t="n"/>
      <c r="I1013" s="55" t="n"/>
      <c r="J1013" s="55" t="n"/>
      <c r="K1013" s="55" t="n"/>
      <c r="L1013" s="100">
        <f>IF(OR($C1013="",$I1013="Оплачено",$I1013="Отменено",$H1013&lt;&gt;""),"",$C1013-TODAY())</f>
        <v/>
      </c>
      <c r="M1013" s="101">
        <f>IF($C1013="","",INDEX(Настройки!$V$6:$V$17,MONTH($C1013))&amp;" "&amp;YEAR($C1013))</f>
        <v/>
      </c>
      <c r="N1013" s="57">
        <f>IF($F1013="","",IF(COUNTIF(Постоянные!$C$8:$C$37,$F1013)&gt;0,"есть в Постоянных",IF(COUNTIF(Покупки!$C$7:$C$18,$F1013)&gt;0,"есть в Покупках","")))</f>
        <v/>
      </c>
      <c r="P1013">
        <f>IF($H1013&lt;&gt;"",$H1013,IF($I1013="Оплачено",N($G1013),0))</f>
        <v/>
      </c>
      <c r="Q1013">
        <f>IF($I1013="Отменено",0,IF($G1013&lt;&gt;"",$G1013,N($H1013)))</f>
        <v/>
      </c>
      <c r="R1013">
        <f>IF($C1013="","",IFERROR(DATE(Настройки!$C$8,Настройки!$D$9+MATCH($M1013,Настройки!$X$6:$X$17,0)-1,1),DATE(YEAR($C1013),MONTH($C1013),1)))</f>
        <v/>
      </c>
      <c r="S1013">
        <f>IF(OR($I1013="Оплачено",$H1013&lt;&gt;""),$P1013,$Q1013)</f>
        <v/>
      </c>
      <c r="T1013">
        <f>IF(OR($C1013="",$D1013="Доход",$I1013="Оплачено",$I1013="Отменено",$H1013&lt;&gt;"",$C1013&lt;TODAY()),"",$C1013)</f>
        <v/>
      </c>
      <c r="U1013">
        <f>IF(AND($D1013&lt;&gt;"Доход",COUNTIFS(Счета!$B$10:$B$21,$J1013,Счета!$C$10:$C$21,"Кредитная")&gt;0),1,0)</f>
        <v/>
      </c>
    </row>
    <row r="1014" ht="19" customHeight="1">
      <c r="B1014" s="53">
        <f>IF(AND($C1014="",$F1014=""),"",ROW()-9)</f>
        <v/>
      </c>
      <c r="C1014" s="213" t="n"/>
      <c r="D1014" s="55" t="n"/>
      <c r="E1014" s="55" t="n"/>
      <c r="F1014" s="56" t="n"/>
      <c r="G1014" s="196" t="n"/>
      <c r="H1014" s="196" t="n"/>
      <c r="I1014" s="55" t="n"/>
      <c r="J1014" s="55" t="n"/>
      <c r="K1014" s="55" t="n"/>
      <c r="L1014" s="100">
        <f>IF(OR($C1014="",$I1014="Оплачено",$I1014="Отменено",$H1014&lt;&gt;""),"",$C1014-TODAY())</f>
        <v/>
      </c>
      <c r="M1014" s="101">
        <f>IF($C1014="","",INDEX(Настройки!$V$6:$V$17,MONTH($C1014))&amp;" "&amp;YEAR($C1014))</f>
        <v/>
      </c>
      <c r="N1014" s="57">
        <f>IF($F1014="","",IF(COUNTIF(Постоянные!$C$8:$C$37,$F1014)&gt;0,"есть в Постоянных",IF(COUNTIF(Покупки!$C$7:$C$18,$F1014)&gt;0,"есть в Покупках","")))</f>
        <v/>
      </c>
      <c r="P1014">
        <f>IF($H1014&lt;&gt;"",$H1014,IF($I1014="Оплачено",N($G1014),0))</f>
        <v/>
      </c>
      <c r="Q1014">
        <f>IF($I1014="Отменено",0,IF($G1014&lt;&gt;"",$G1014,N($H1014)))</f>
        <v/>
      </c>
      <c r="R1014">
        <f>IF($C1014="","",IFERROR(DATE(Настройки!$C$8,Настройки!$D$9+MATCH($M1014,Настройки!$X$6:$X$17,0)-1,1),DATE(YEAR($C1014),MONTH($C1014),1)))</f>
        <v/>
      </c>
      <c r="S1014">
        <f>IF(OR($I1014="Оплачено",$H1014&lt;&gt;""),$P1014,$Q1014)</f>
        <v/>
      </c>
      <c r="T1014">
        <f>IF(OR($C1014="",$D1014="Доход",$I1014="Оплачено",$I1014="Отменено",$H1014&lt;&gt;"",$C1014&lt;TODAY()),"",$C1014)</f>
        <v/>
      </c>
      <c r="U1014">
        <f>IF(AND($D1014&lt;&gt;"Доход",COUNTIFS(Счета!$B$10:$B$21,$J1014,Счета!$C$10:$C$21,"Кредитная")&gt;0),1,0)</f>
        <v/>
      </c>
    </row>
    <row r="1015" ht="19" customHeight="1">
      <c r="B1015" s="53">
        <f>IF(AND($C1015="",$F1015=""),"",ROW()-9)</f>
        <v/>
      </c>
      <c r="C1015" s="213" t="n"/>
      <c r="D1015" s="55" t="n"/>
      <c r="E1015" s="55" t="n"/>
      <c r="F1015" s="56" t="n"/>
      <c r="G1015" s="196" t="n"/>
      <c r="H1015" s="196" t="n"/>
      <c r="I1015" s="55" t="n"/>
      <c r="J1015" s="55" t="n"/>
      <c r="K1015" s="55" t="n"/>
      <c r="L1015" s="100">
        <f>IF(OR($C1015="",$I1015="Оплачено",$I1015="Отменено",$H1015&lt;&gt;""),"",$C1015-TODAY())</f>
        <v/>
      </c>
      <c r="M1015" s="101">
        <f>IF($C1015="","",INDEX(Настройки!$V$6:$V$17,MONTH($C1015))&amp;" "&amp;YEAR($C1015))</f>
        <v/>
      </c>
      <c r="N1015" s="57">
        <f>IF($F1015="","",IF(COUNTIF(Постоянные!$C$8:$C$37,$F1015)&gt;0,"есть в Постоянных",IF(COUNTIF(Покупки!$C$7:$C$18,$F1015)&gt;0,"есть в Покупках","")))</f>
        <v/>
      </c>
      <c r="P1015">
        <f>IF($H1015&lt;&gt;"",$H1015,IF($I1015="Оплачено",N($G1015),0))</f>
        <v/>
      </c>
      <c r="Q1015">
        <f>IF($I1015="Отменено",0,IF($G1015&lt;&gt;"",$G1015,N($H1015)))</f>
        <v/>
      </c>
      <c r="R1015">
        <f>IF($C1015="","",IFERROR(DATE(Настройки!$C$8,Настройки!$D$9+MATCH($M1015,Настройки!$X$6:$X$17,0)-1,1),DATE(YEAR($C1015),MONTH($C1015),1)))</f>
        <v/>
      </c>
      <c r="S1015">
        <f>IF(OR($I1015="Оплачено",$H1015&lt;&gt;""),$P1015,$Q1015)</f>
        <v/>
      </c>
      <c r="T1015">
        <f>IF(OR($C1015="",$D1015="Доход",$I1015="Оплачено",$I1015="Отменено",$H1015&lt;&gt;"",$C1015&lt;TODAY()),"",$C1015)</f>
        <v/>
      </c>
      <c r="U1015">
        <f>IF(AND($D1015&lt;&gt;"Доход",COUNTIFS(Счета!$B$10:$B$21,$J1015,Счета!$C$10:$C$21,"Кредитная")&gt;0),1,0)</f>
        <v/>
      </c>
    </row>
    <row r="1016" ht="19" customHeight="1">
      <c r="B1016" s="53">
        <f>IF(AND($C1016="",$F1016=""),"",ROW()-9)</f>
        <v/>
      </c>
      <c r="C1016" s="213" t="n"/>
      <c r="D1016" s="55" t="n"/>
      <c r="E1016" s="55" t="n"/>
      <c r="F1016" s="56" t="n"/>
      <c r="G1016" s="196" t="n"/>
      <c r="H1016" s="196" t="n"/>
      <c r="I1016" s="55" t="n"/>
      <c r="J1016" s="55" t="n"/>
      <c r="K1016" s="55" t="n"/>
      <c r="L1016" s="100">
        <f>IF(OR($C1016="",$I1016="Оплачено",$I1016="Отменено",$H1016&lt;&gt;""),"",$C1016-TODAY())</f>
        <v/>
      </c>
      <c r="M1016" s="101">
        <f>IF($C1016="","",INDEX(Настройки!$V$6:$V$17,MONTH($C1016))&amp;" "&amp;YEAR($C1016))</f>
        <v/>
      </c>
      <c r="N1016" s="57">
        <f>IF($F1016="","",IF(COUNTIF(Постоянные!$C$8:$C$37,$F1016)&gt;0,"есть в Постоянных",IF(COUNTIF(Покупки!$C$7:$C$18,$F1016)&gt;0,"есть в Покупках","")))</f>
        <v/>
      </c>
      <c r="P1016">
        <f>IF($H1016&lt;&gt;"",$H1016,IF($I1016="Оплачено",N($G1016),0))</f>
        <v/>
      </c>
      <c r="Q1016">
        <f>IF($I1016="Отменено",0,IF($G1016&lt;&gt;"",$G1016,N($H1016)))</f>
        <v/>
      </c>
      <c r="R1016">
        <f>IF($C1016="","",IFERROR(DATE(Настройки!$C$8,Настройки!$D$9+MATCH($M1016,Настройки!$X$6:$X$17,0)-1,1),DATE(YEAR($C1016),MONTH($C1016),1)))</f>
        <v/>
      </c>
      <c r="S1016">
        <f>IF(OR($I1016="Оплачено",$H1016&lt;&gt;""),$P1016,$Q1016)</f>
        <v/>
      </c>
      <c r="T1016">
        <f>IF(OR($C1016="",$D1016="Доход",$I1016="Оплачено",$I1016="Отменено",$H1016&lt;&gt;"",$C1016&lt;TODAY()),"",$C1016)</f>
        <v/>
      </c>
      <c r="U1016">
        <f>IF(AND($D1016&lt;&gt;"Доход",COUNTIFS(Счета!$B$10:$B$21,$J1016,Счета!$C$10:$C$21,"Кредитная")&gt;0),1,0)</f>
        <v/>
      </c>
    </row>
    <row r="1017" ht="19" customHeight="1">
      <c r="B1017" s="53">
        <f>IF(AND($C1017="",$F1017=""),"",ROW()-9)</f>
        <v/>
      </c>
      <c r="C1017" s="213" t="n"/>
      <c r="D1017" s="55" t="n"/>
      <c r="E1017" s="55" t="n"/>
      <c r="F1017" s="56" t="n"/>
      <c r="G1017" s="196" t="n"/>
      <c r="H1017" s="196" t="n"/>
      <c r="I1017" s="55" t="n"/>
      <c r="J1017" s="55" t="n"/>
      <c r="K1017" s="55" t="n"/>
      <c r="L1017" s="100">
        <f>IF(OR($C1017="",$I1017="Оплачено",$I1017="Отменено",$H1017&lt;&gt;""),"",$C1017-TODAY())</f>
        <v/>
      </c>
      <c r="M1017" s="101">
        <f>IF($C1017="","",INDEX(Настройки!$V$6:$V$17,MONTH($C1017))&amp;" "&amp;YEAR($C1017))</f>
        <v/>
      </c>
      <c r="N1017" s="57">
        <f>IF($F1017="","",IF(COUNTIF(Постоянные!$C$8:$C$37,$F1017)&gt;0,"есть в Постоянных",IF(COUNTIF(Покупки!$C$7:$C$18,$F1017)&gt;0,"есть в Покупках","")))</f>
        <v/>
      </c>
      <c r="P1017">
        <f>IF($H1017&lt;&gt;"",$H1017,IF($I1017="Оплачено",N($G1017),0))</f>
        <v/>
      </c>
      <c r="Q1017">
        <f>IF($I1017="Отменено",0,IF($G1017&lt;&gt;"",$G1017,N($H1017)))</f>
        <v/>
      </c>
      <c r="R1017">
        <f>IF($C1017="","",IFERROR(DATE(Настройки!$C$8,Настройки!$D$9+MATCH($M1017,Настройки!$X$6:$X$17,0)-1,1),DATE(YEAR($C1017),MONTH($C1017),1)))</f>
        <v/>
      </c>
      <c r="S1017">
        <f>IF(OR($I1017="Оплачено",$H1017&lt;&gt;""),$P1017,$Q1017)</f>
        <v/>
      </c>
      <c r="T1017">
        <f>IF(OR($C1017="",$D1017="Доход",$I1017="Оплачено",$I1017="Отменено",$H1017&lt;&gt;"",$C1017&lt;TODAY()),"",$C1017)</f>
        <v/>
      </c>
      <c r="U1017">
        <f>IF(AND($D1017&lt;&gt;"Доход",COUNTIFS(Счета!$B$10:$B$21,$J1017,Счета!$C$10:$C$21,"Кредитная")&gt;0),1,0)</f>
        <v/>
      </c>
    </row>
    <row r="1018" ht="19" customHeight="1">
      <c r="B1018" s="53">
        <f>IF(AND($C1018="",$F1018=""),"",ROW()-9)</f>
        <v/>
      </c>
      <c r="C1018" s="213" t="n"/>
      <c r="D1018" s="55" t="n"/>
      <c r="E1018" s="55" t="n"/>
      <c r="F1018" s="56" t="n"/>
      <c r="G1018" s="196" t="n"/>
      <c r="H1018" s="196" t="n"/>
      <c r="I1018" s="55" t="n"/>
      <c r="J1018" s="55" t="n"/>
      <c r="K1018" s="55" t="n"/>
      <c r="L1018" s="100">
        <f>IF(OR($C1018="",$I1018="Оплачено",$I1018="Отменено",$H1018&lt;&gt;""),"",$C1018-TODAY())</f>
        <v/>
      </c>
      <c r="M1018" s="101">
        <f>IF($C1018="","",INDEX(Настройки!$V$6:$V$17,MONTH($C1018))&amp;" "&amp;YEAR($C1018))</f>
        <v/>
      </c>
      <c r="N1018" s="57">
        <f>IF($F1018="","",IF(COUNTIF(Постоянные!$C$8:$C$37,$F1018)&gt;0,"есть в Постоянных",IF(COUNTIF(Покупки!$C$7:$C$18,$F1018)&gt;0,"есть в Покупках","")))</f>
        <v/>
      </c>
      <c r="P1018">
        <f>IF($H1018&lt;&gt;"",$H1018,IF($I1018="Оплачено",N($G1018),0))</f>
        <v/>
      </c>
      <c r="Q1018">
        <f>IF($I1018="Отменено",0,IF($G1018&lt;&gt;"",$G1018,N($H1018)))</f>
        <v/>
      </c>
      <c r="R1018">
        <f>IF($C1018="","",IFERROR(DATE(Настройки!$C$8,Настройки!$D$9+MATCH($M1018,Настройки!$X$6:$X$17,0)-1,1),DATE(YEAR($C1018),MONTH($C1018),1)))</f>
        <v/>
      </c>
      <c r="S1018">
        <f>IF(OR($I1018="Оплачено",$H1018&lt;&gt;""),$P1018,$Q1018)</f>
        <v/>
      </c>
      <c r="T1018">
        <f>IF(OR($C1018="",$D1018="Доход",$I1018="Оплачено",$I1018="Отменено",$H1018&lt;&gt;"",$C1018&lt;TODAY()),"",$C1018)</f>
        <v/>
      </c>
      <c r="U1018">
        <f>IF(AND($D1018&lt;&gt;"Доход",COUNTIFS(Счета!$B$10:$B$21,$J1018,Счета!$C$10:$C$21,"Кредитная")&gt;0),1,0)</f>
        <v/>
      </c>
    </row>
    <row r="1019" ht="19" customHeight="1">
      <c r="B1019" s="53">
        <f>IF(AND($C1019="",$F1019=""),"",ROW()-9)</f>
        <v/>
      </c>
      <c r="C1019" s="213" t="n"/>
      <c r="D1019" s="55" t="n"/>
      <c r="E1019" s="55" t="n"/>
      <c r="F1019" s="56" t="n"/>
      <c r="G1019" s="196" t="n"/>
      <c r="H1019" s="196" t="n"/>
      <c r="I1019" s="55" t="n"/>
      <c r="J1019" s="55" t="n"/>
      <c r="K1019" s="55" t="n"/>
      <c r="L1019" s="100">
        <f>IF(OR($C1019="",$I1019="Оплачено",$I1019="Отменено",$H1019&lt;&gt;""),"",$C1019-TODAY())</f>
        <v/>
      </c>
      <c r="M1019" s="101">
        <f>IF($C1019="","",INDEX(Настройки!$V$6:$V$17,MONTH($C1019))&amp;" "&amp;YEAR($C1019))</f>
        <v/>
      </c>
      <c r="N1019" s="57">
        <f>IF($F1019="","",IF(COUNTIF(Постоянные!$C$8:$C$37,$F1019)&gt;0,"есть в Постоянных",IF(COUNTIF(Покупки!$C$7:$C$18,$F1019)&gt;0,"есть в Покупках","")))</f>
        <v/>
      </c>
      <c r="P1019">
        <f>IF($H1019&lt;&gt;"",$H1019,IF($I1019="Оплачено",N($G1019),0))</f>
        <v/>
      </c>
      <c r="Q1019">
        <f>IF($I1019="Отменено",0,IF($G1019&lt;&gt;"",$G1019,N($H1019)))</f>
        <v/>
      </c>
      <c r="R1019">
        <f>IF($C1019="","",IFERROR(DATE(Настройки!$C$8,Настройки!$D$9+MATCH($M1019,Настройки!$X$6:$X$17,0)-1,1),DATE(YEAR($C1019),MONTH($C1019),1)))</f>
        <v/>
      </c>
      <c r="S1019">
        <f>IF(OR($I1019="Оплачено",$H1019&lt;&gt;""),$P1019,$Q1019)</f>
        <v/>
      </c>
      <c r="T1019">
        <f>IF(OR($C1019="",$D1019="Доход",$I1019="Оплачено",$I1019="Отменено",$H1019&lt;&gt;"",$C1019&lt;TODAY()),"",$C1019)</f>
        <v/>
      </c>
      <c r="U1019">
        <f>IF(AND($D1019&lt;&gt;"Доход",COUNTIFS(Счета!$B$10:$B$21,$J1019,Счета!$C$10:$C$21,"Кредитная")&gt;0),1,0)</f>
        <v/>
      </c>
    </row>
    <row r="1020" ht="19" customHeight="1">
      <c r="B1020" s="53">
        <f>IF(AND($C1020="",$F1020=""),"",ROW()-9)</f>
        <v/>
      </c>
      <c r="C1020" s="213" t="n"/>
      <c r="D1020" s="55" t="n"/>
      <c r="E1020" s="55" t="n"/>
      <c r="F1020" s="56" t="n"/>
      <c r="G1020" s="196" t="n"/>
      <c r="H1020" s="196" t="n"/>
      <c r="I1020" s="55" t="n"/>
      <c r="J1020" s="55" t="n"/>
      <c r="K1020" s="55" t="n"/>
      <c r="L1020" s="100">
        <f>IF(OR($C1020="",$I1020="Оплачено",$I1020="Отменено",$H1020&lt;&gt;""),"",$C1020-TODAY())</f>
        <v/>
      </c>
      <c r="M1020" s="101">
        <f>IF($C1020="","",INDEX(Настройки!$V$6:$V$17,MONTH($C1020))&amp;" "&amp;YEAR($C1020))</f>
        <v/>
      </c>
      <c r="N1020" s="57">
        <f>IF($F1020="","",IF(COUNTIF(Постоянные!$C$8:$C$37,$F1020)&gt;0,"есть в Постоянных",IF(COUNTIF(Покупки!$C$7:$C$18,$F1020)&gt;0,"есть в Покупках","")))</f>
        <v/>
      </c>
      <c r="P1020">
        <f>IF($H1020&lt;&gt;"",$H1020,IF($I1020="Оплачено",N($G1020),0))</f>
        <v/>
      </c>
      <c r="Q1020">
        <f>IF($I1020="Отменено",0,IF($G1020&lt;&gt;"",$G1020,N($H1020)))</f>
        <v/>
      </c>
      <c r="R1020">
        <f>IF($C1020="","",IFERROR(DATE(Настройки!$C$8,Настройки!$D$9+MATCH($M1020,Настройки!$X$6:$X$17,0)-1,1),DATE(YEAR($C1020),MONTH($C1020),1)))</f>
        <v/>
      </c>
      <c r="S1020">
        <f>IF(OR($I1020="Оплачено",$H1020&lt;&gt;""),$P1020,$Q1020)</f>
        <v/>
      </c>
      <c r="T1020">
        <f>IF(OR($C1020="",$D1020="Доход",$I1020="Оплачено",$I1020="Отменено",$H1020&lt;&gt;"",$C1020&lt;TODAY()),"",$C1020)</f>
        <v/>
      </c>
      <c r="U1020">
        <f>IF(AND($D1020&lt;&gt;"Доход",COUNTIFS(Счета!$B$10:$B$21,$J1020,Счета!$C$10:$C$21,"Кредитная")&gt;0),1,0)</f>
        <v/>
      </c>
    </row>
    <row r="1021" ht="19" customHeight="1">
      <c r="B1021" s="53">
        <f>IF(AND($C1021="",$F1021=""),"",ROW()-9)</f>
        <v/>
      </c>
      <c r="C1021" s="213" t="n"/>
      <c r="D1021" s="55" t="n"/>
      <c r="E1021" s="55" t="n"/>
      <c r="F1021" s="56" t="n"/>
      <c r="G1021" s="196" t="n"/>
      <c r="H1021" s="196" t="n"/>
      <c r="I1021" s="55" t="n"/>
      <c r="J1021" s="55" t="n"/>
      <c r="K1021" s="55" t="n"/>
      <c r="L1021" s="100">
        <f>IF(OR($C1021="",$I1021="Оплачено",$I1021="Отменено",$H1021&lt;&gt;""),"",$C1021-TODAY())</f>
        <v/>
      </c>
      <c r="M1021" s="101">
        <f>IF($C1021="","",INDEX(Настройки!$V$6:$V$17,MONTH($C1021))&amp;" "&amp;YEAR($C1021))</f>
        <v/>
      </c>
      <c r="N1021" s="57">
        <f>IF($F1021="","",IF(COUNTIF(Постоянные!$C$8:$C$37,$F1021)&gt;0,"есть в Постоянных",IF(COUNTIF(Покупки!$C$7:$C$18,$F1021)&gt;0,"есть в Покупках","")))</f>
        <v/>
      </c>
      <c r="P1021">
        <f>IF($H1021&lt;&gt;"",$H1021,IF($I1021="Оплачено",N($G1021),0))</f>
        <v/>
      </c>
      <c r="Q1021">
        <f>IF($I1021="Отменено",0,IF($G1021&lt;&gt;"",$G1021,N($H1021)))</f>
        <v/>
      </c>
      <c r="R1021">
        <f>IF($C1021="","",IFERROR(DATE(Настройки!$C$8,Настройки!$D$9+MATCH($M1021,Настройки!$X$6:$X$17,0)-1,1),DATE(YEAR($C1021),MONTH($C1021),1)))</f>
        <v/>
      </c>
      <c r="S1021">
        <f>IF(OR($I1021="Оплачено",$H1021&lt;&gt;""),$P1021,$Q1021)</f>
        <v/>
      </c>
      <c r="T1021">
        <f>IF(OR($C1021="",$D1021="Доход",$I1021="Оплачено",$I1021="Отменено",$H1021&lt;&gt;"",$C1021&lt;TODAY()),"",$C1021)</f>
        <v/>
      </c>
      <c r="U1021">
        <f>IF(AND($D1021&lt;&gt;"Доход",COUNTIFS(Счета!$B$10:$B$21,$J1021,Счета!$C$10:$C$21,"Кредитная")&gt;0),1,0)</f>
        <v/>
      </c>
    </row>
    <row r="1022" ht="19" customHeight="1">
      <c r="B1022" s="53">
        <f>IF(AND($C1022="",$F1022=""),"",ROW()-9)</f>
        <v/>
      </c>
      <c r="C1022" s="213" t="n"/>
      <c r="D1022" s="55" t="n"/>
      <c r="E1022" s="55" t="n"/>
      <c r="F1022" s="56" t="n"/>
      <c r="G1022" s="196" t="n"/>
      <c r="H1022" s="196" t="n"/>
      <c r="I1022" s="55" t="n"/>
      <c r="J1022" s="55" t="n"/>
      <c r="K1022" s="55" t="n"/>
      <c r="L1022" s="100">
        <f>IF(OR($C1022="",$I1022="Оплачено",$I1022="Отменено",$H1022&lt;&gt;""),"",$C1022-TODAY())</f>
        <v/>
      </c>
      <c r="M1022" s="101">
        <f>IF($C1022="","",INDEX(Настройки!$V$6:$V$17,MONTH($C1022))&amp;" "&amp;YEAR($C1022))</f>
        <v/>
      </c>
      <c r="N1022" s="57">
        <f>IF($F1022="","",IF(COUNTIF(Постоянные!$C$8:$C$37,$F1022)&gt;0,"есть в Постоянных",IF(COUNTIF(Покупки!$C$7:$C$18,$F1022)&gt;0,"есть в Покупках","")))</f>
        <v/>
      </c>
      <c r="P1022">
        <f>IF($H1022&lt;&gt;"",$H1022,IF($I1022="Оплачено",N($G1022),0))</f>
        <v/>
      </c>
      <c r="Q1022">
        <f>IF($I1022="Отменено",0,IF($G1022&lt;&gt;"",$G1022,N($H1022)))</f>
        <v/>
      </c>
      <c r="R1022">
        <f>IF($C1022="","",IFERROR(DATE(Настройки!$C$8,Настройки!$D$9+MATCH($M1022,Настройки!$X$6:$X$17,0)-1,1),DATE(YEAR($C1022),MONTH($C1022),1)))</f>
        <v/>
      </c>
      <c r="S1022">
        <f>IF(OR($I1022="Оплачено",$H1022&lt;&gt;""),$P1022,$Q1022)</f>
        <v/>
      </c>
      <c r="T1022">
        <f>IF(OR($C1022="",$D1022="Доход",$I1022="Оплачено",$I1022="Отменено",$H1022&lt;&gt;"",$C1022&lt;TODAY()),"",$C1022)</f>
        <v/>
      </c>
      <c r="U1022">
        <f>IF(AND($D1022&lt;&gt;"Доход",COUNTIFS(Счета!$B$10:$B$21,$J1022,Счета!$C$10:$C$21,"Кредитная")&gt;0),1,0)</f>
        <v/>
      </c>
    </row>
    <row r="1023" ht="19" customHeight="1">
      <c r="B1023" s="53">
        <f>IF(AND($C1023="",$F1023=""),"",ROW()-9)</f>
        <v/>
      </c>
      <c r="C1023" s="213" t="n"/>
      <c r="D1023" s="55" t="n"/>
      <c r="E1023" s="55" t="n"/>
      <c r="F1023" s="56" t="n"/>
      <c r="G1023" s="196" t="n"/>
      <c r="H1023" s="196" t="n"/>
      <c r="I1023" s="55" t="n"/>
      <c r="J1023" s="55" t="n"/>
      <c r="K1023" s="55" t="n"/>
      <c r="L1023" s="100">
        <f>IF(OR($C1023="",$I1023="Оплачено",$I1023="Отменено",$H1023&lt;&gt;""),"",$C1023-TODAY())</f>
        <v/>
      </c>
      <c r="M1023" s="101">
        <f>IF($C1023="","",INDEX(Настройки!$V$6:$V$17,MONTH($C1023))&amp;" "&amp;YEAR($C1023))</f>
        <v/>
      </c>
      <c r="N1023" s="57">
        <f>IF($F1023="","",IF(COUNTIF(Постоянные!$C$8:$C$37,$F1023)&gt;0,"есть в Постоянных",IF(COUNTIF(Покупки!$C$7:$C$18,$F1023)&gt;0,"есть в Покупках","")))</f>
        <v/>
      </c>
      <c r="P1023">
        <f>IF($H1023&lt;&gt;"",$H1023,IF($I1023="Оплачено",N($G1023),0))</f>
        <v/>
      </c>
      <c r="Q1023">
        <f>IF($I1023="Отменено",0,IF($G1023&lt;&gt;"",$G1023,N($H1023)))</f>
        <v/>
      </c>
      <c r="R1023">
        <f>IF($C1023="","",IFERROR(DATE(Настройки!$C$8,Настройки!$D$9+MATCH($M1023,Настройки!$X$6:$X$17,0)-1,1),DATE(YEAR($C1023),MONTH($C1023),1)))</f>
        <v/>
      </c>
      <c r="S1023">
        <f>IF(OR($I1023="Оплачено",$H1023&lt;&gt;""),$P1023,$Q1023)</f>
        <v/>
      </c>
      <c r="T1023">
        <f>IF(OR($C1023="",$D1023="Доход",$I1023="Оплачено",$I1023="Отменено",$H1023&lt;&gt;"",$C1023&lt;TODAY()),"",$C1023)</f>
        <v/>
      </c>
      <c r="U1023">
        <f>IF(AND($D1023&lt;&gt;"Доход",COUNTIFS(Счета!$B$10:$B$21,$J1023,Счета!$C$10:$C$21,"Кредитная")&gt;0),1,0)</f>
        <v/>
      </c>
    </row>
    <row r="1024" ht="19" customHeight="1">
      <c r="B1024" s="53">
        <f>IF(AND($C1024="",$F1024=""),"",ROW()-9)</f>
        <v/>
      </c>
      <c r="C1024" s="213" t="n"/>
      <c r="D1024" s="55" t="n"/>
      <c r="E1024" s="55" t="n"/>
      <c r="F1024" s="56" t="n"/>
      <c r="G1024" s="196" t="n"/>
      <c r="H1024" s="196" t="n"/>
      <c r="I1024" s="55" t="n"/>
      <c r="J1024" s="55" t="n"/>
      <c r="K1024" s="55" t="n"/>
      <c r="L1024" s="100">
        <f>IF(OR($C1024="",$I1024="Оплачено",$I1024="Отменено",$H1024&lt;&gt;""),"",$C1024-TODAY())</f>
        <v/>
      </c>
      <c r="M1024" s="101">
        <f>IF($C1024="","",INDEX(Настройки!$V$6:$V$17,MONTH($C1024))&amp;" "&amp;YEAR($C1024))</f>
        <v/>
      </c>
      <c r="N1024" s="57">
        <f>IF($F1024="","",IF(COUNTIF(Постоянные!$C$8:$C$37,$F1024)&gt;0,"есть в Постоянных",IF(COUNTIF(Покупки!$C$7:$C$18,$F1024)&gt;0,"есть в Покупках","")))</f>
        <v/>
      </c>
      <c r="P1024">
        <f>IF($H1024&lt;&gt;"",$H1024,IF($I1024="Оплачено",N($G1024),0))</f>
        <v/>
      </c>
      <c r="Q1024">
        <f>IF($I1024="Отменено",0,IF($G1024&lt;&gt;"",$G1024,N($H1024)))</f>
        <v/>
      </c>
      <c r="R1024">
        <f>IF($C1024="","",IFERROR(DATE(Настройки!$C$8,Настройки!$D$9+MATCH($M1024,Настройки!$X$6:$X$17,0)-1,1),DATE(YEAR($C1024),MONTH($C1024),1)))</f>
        <v/>
      </c>
      <c r="S1024">
        <f>IF(OR($I1024="Оплачено",$H1024&lt;&gt;""),$P1024,$Q1024)</f>
        <v/>
      </c>
      <c r="T1024">
        <f>IF(OR($C1024="",$D1024="Доход",$I1024="Оплачено",$I1024="Отменено",$H1024&lt;&gt;"",$C1024&lt;TODAY()),"",$C1024)</f>
        <v/>
      </c>
      <c r="U1024">
        <f>IF(AND($D1024&lt;&gt;"Доход",COUNTIFS(Счета!$B$10:$B$21,$J1024,Счета!$C$10:$C$21,"Кредитная")&gt;0),1,0)</f>
        <v/>
      </c>
    </row>
    <row r="1025" ht="19" customHeight="1">
      <c r="B1025" s="53">
        <f>IF(AND($C1025="",$F1025=""),"",ROW()-9)</f>
        <v/>
      </c>
      <c r="C1025" s="213" t="n"/>
      <c r="D1025" s="55" t="n"/>
      <c r="E1025" s="55" t="n"/>
      <c r="F1025" s="56" t="n"/>
      <c r="G1025" s="196" t="n"/>
      <c r="H1025" s="196" t="n"/>
      <c r="I1025" s="55" t="n"/>
      <c r="J1025" s="55" t="n"/>
      <c r="K1025" s="55" t="n"/>
      <c r="L1025" s="100">
        <f>IF(OR($C1025="",$I1025="Оплачено",$I1025="Отменено",$H1025&lt;&gt;""),"",$C1025-TODAY())</f>
        <v/>
      </c>
      <c r="M1025" s="101">
        <f>IF($C1025="","",INDEX(Настройки!$V$6:$V$17,MONTH($C1025))&amp;" "&amp;YEAR($C1025))</f>
        <v/>
      </c>
      <c r="N1025" s="57">
        <f>IF($F1025="","",IF(COUNTIF(Постоянные!$C$8:$C$37,$F1025)&gt;0,"есть в Постоянных",IF(COUNTIF(Покупки!$C$7:$C$18,$F1025)&gt;0,"есть в Покупках","")))</f>
        <v/>
      </c>
      <c r="P1025">
        <f>IF($H1025&lt;&gt;"",$H1025,IF($I1025="Оплачено",N($G1025),0))</f>
        <v/>
      </c>
      <c r="Q1025">
        <f>IF($I1025="Отменено",0,IF($G1025&lt;&gt;"",$G1025,N($H1025)))</f>
        <v/>
      </c>
      <c r="R1025">
        <f>IF($C1025="","",IFERROR(DATE(Настройки!$C$8,Настройки!$D$9+MATCH($M1025,Настройки!$X$6:$X$17,0)-1,1),DATE(YEAR($C1025),MONTH($C1025),1)))</f>
        <v/>
      </c>
      <c r="S1025">
        <f>IF(OR($I1025="Оплачено",$H1025&lt;&gt;""),$P1025,$Q1025)</f>
        <v/>
      </c>
      <c r="T1025">
        <f>IF(OR($C1025="",$D1025="Доход",$I1025="Оплачено",$I1025="Отменено",$H1025&lt;&gt;"",$C1025&lt;TODAY()),"",$C1025)</f>
        <v/>
      </c>
      <c r="U1025">
        <f>IF(AND($D1025&lt;&gt;"Доход",COUNTIFS(Счета!$B$10:$B$21,$J1025,Счета!$C$10:$C$21,"Кредитная")&gt;0),1,0)</f>
        <v/>
      </c>
    </row>
    <row r="1026" ht="19" customHeight="1">
      <c r="B1026" s="53">
        <f>IF(AND($C1026="",$F1026=""),"",ROW()-9)</f>
        <v/>
      </c>
      <c r="C1026" s="213" t="n"/>
      <c r="D1026" s="55" t="n"/>
      <c r="E1026" s="55" t="n"/>
      <c r="F1026" s="56" t="n"/>
      <c r="G1026" s="196" t="n"/>
      <c r="H1026" s="196" t="n"/>
      <c r="I1026" s="55" t="n"/>
      <c r="J1026" s="55" t="n"/>
      <c r="K1026" s="55" t="n"/>
      <c r="L1026" s="100">
        <f>IF(OR($C1026="",$I1026="Оплачено",$I1026="Отменено",$H1026&lt;&gt;""),"",$C1026-TODAY())</f>
        <v/>
      </c>
      <c r="M1026" s="101">
        <f>IF($C1026="","",INDEX(Настройки!$V$6:$V$17,MONTH($C1026))&amp;" "&amp;YEAR($C1026))</f>
        <v/>
      </c>
      <c r="N1026" s="57">
        <f>IF($F1026="","",IF(COUNTIF(Постоянные!$C$8:$C$37,$F1026)&gt;0,"есть в Постоянных",IF(COUNTIF(Покупки!$C$7:$C$18,$F1026)&gt;0,"есть в Покупках","")))</f>
        <v/>
      </c>
      <c r="P1026">
        <f>IF($H1026&lt;&gt;"",$H1026,IF($I1026="Оплачено",N($G1026),0))</f>
        <v/>
      </c>
      <c r="Q1026">
        <f>IF($I1026="Отменено",0,IF($G1026&lt;&gt;"",$G1026,N($H1026)))</f>
        <v/>
      </c>
      <c r="R1026">
        <f>IF($C1026="","",IFERROR(DATE(Настройки!$C$8,Настройки!$D$9+MATCH($M1026,Настройки!$X$6:$X$17,0)-1,1),DATE(YEAR($C1026),MONTH($C1026),1)))</f>
        <v/>
      </c>
      <c r="S1026">
        <f>IF(OR($I1026="Оплачено",$H1026&lt;&gt;""),$P1026,$Q1026)</f>
        <v/>
      </c>
      <c r="T1026">
        <f>IF(OR($C1026="",$D1026="Доход",$I1026="Оплачено",$I1026="Отменено",$H1026&lt;&gt;"",$C1026&lt;TODAY()),"",$C1026)</f>
        <v/>
      </c>
      <c r="U1026">
        <f>IF(AND($D1026&lt;&gt;"Доход",COUNTIFS(Счета!$B$10:$B$21,$J1026,Счета!$C$10:$C$21,"Кредитная")&gt;0),1,0)</f>
        <v/>
      </c>
    </row>
    <row r="1027" ht="19" customHeight="1">
      <c r="B1027" s="53">
        <f>IF(AND($C1027="",$F1027=""),"",ROW()-9)</f>
        <v/>
      </c>
      <c r="C1027" s="213" t="n"/>
      <c r="D1027" s="55" t="n"/>
      <c r="E1027" s="55" t="n"/>
      <c r="F1027" s="56" t="n"/>
      <c r="G1027" s="196" t="n"/>
      <c r="H1027" s="196" t="n"/>
      <c r="I1027" s="55" t="n"/>
      <c r="J1027" s="55" t="n"/>
      <c r="K1027" s="55" t="n"/>
      <c r="L1027" s="100">
        <f>IF(OR($C1027="",$I1027="Оплачено",$I1027="Отменено",$H1027&lt;&gt;""),"",$C1027-TODAY())</f>
        <v/>
      </c>
      <c r="M1027" s="101">
        <f>IF($C1027="","",INDEX(Настройки!$V$6:$V$17,MONTH($C1027))&amp;" "&amp;YEAR($C1027))</f>
        <v/>
      </c>
      <c r="N1027" s="57">
        <f>IF($F1027="","",IF(COUNTIF(Постоянные!$C$8:$C$37,$F1027)&gt;0,"есть в Постоянных",IF(COUNTIF(Покупки!$C$7:$C$18,$F1027)&gt;0,"есть в Покупках","")))</f>
        <v/>
      </c>
      <c r="P1027">
        <f>IF($H1027&lt;&gt;"",$H1027,IF($I1027="Оплачено",N($G1027),0))</f>
        <v/>
      </c>
      <c r="Q1027">
        <f>IF($I1027="Отменено",0,IF($G1027&lt;&gt;"",$G1027,N($H1027)))</f>
        <v/>
      </c>
      <c r="R1027">
        <f>IF($C1027="","",IFERROR(DATE(Настройки!$C$8,Настройки!$D$9+MATCH($M1027,Настройки!$X$6:$X$17,0)-1,1),DATE(YEAR($C1027),MONTH($C1027),1)))</f>
        <v/>
      </c>
      <c r="S1027">
        <f>IF(OR($I1027="Оплачено",$H1027&lt;&gt;""),$P1027,$Q1027)</f>
        <v/>
      </c>
      <c r="T1027">
        <f>IF(OR($C1027="",$D1027="Доход",$I1027="Оплачено",$I1027="Отменено",$H1027&lt;&gt;"",$C1027&lt;TODAY()),"",$C1027)</f>
        <v/>
      </c>
      <c r="U1027">
        <f>IF(AND($D1027&lt;&gt;"Доход",COUNTIFS(Счета!$B$10:$B$21,$J1027,Счета!$C$10:$C$21,"Кредитная")&gt;0),1,0)</f>
        <v/>
      </c>
    </row>
    <row r="1028" ht="19" customHeight="1">
      <c r="B1028" s="53">
        <f>IF(AND($C1028="",$F1028=""),"",ROW()-9)</f>
        <v/>
      </c>
      <c r="C1028" s="213" t="n"/>
      <c r="D1028" s="55" t="n"/>
      <c r="E1028" s="55" t="n"/>
      <c r="F1028" s="56" t="n"/>
      <c r="G1028" s="196" t="n"/>
      <c r="H1028" s="196" t="n"/>
      <c r="I1028" s="55" t="n"/>
      <c r="J1028" s="55" t="n"/>
      <c r="K1028" s="55" t="n"/>
      <c r="L1028" s="100">
        <f>IF(OR($C1028="",$I1028="Оплачено",$I1028="Отменено",$H1028&lt;&gt;""),"",$C1028-TODAY())</f>
        <v/>
      </c>
      <c r="M1028" s="101">
        <f>IF($C1028="","",INDEX(Настройки!$V$6:$V$17,MONTH($C1028))&amp;" "&amp;YEAR($C1028))</f>
        <v/>
      </c>
      <c r="N1028" s="57">
        <f>IF($F1028="","",IF(COUNTIF(Постоянные!$C$8:$C$37,$F1028)&gt;0,"есть в Постоянных",IF(COUNTIF(Покупки!$C$7:$C$18,$F1028)&gt;0,"есть в Покупках","")))</f>
        <v/>
      </c>
      <c r="P1028">
        <f>IF($H1028&lt;&gt;"",$H1028,IF($I1028="Оплачено",N($G1028),0))</f>
        <v/>
      </c>
      <c r="Q1028">
        <f>IF($I1028="Отменено",0,IF($G1028&lt;&gt;"",$G1028,N($H1028)))</f>
        <v/>
      </c>
      <c r="R1028">
        <f>IF($C1028="","",IFERROR(DATE(Настройки!$C$8,Настройки!$D$9+MATCH($M1028,Настройки!$X$6:$X$17,0)-1,1),DATE(YEAR($C1028),MONTH($C1028),1)))</f>
        <v/>
      </c>
      <c r="S1028">
        <f>IF(OR($I1028="Оплачено",$H1028&lt;&gt;""),$P1028,$Q1028)</f>
        <v/>
      </c>
      <c r="T1028">
        <f>IF(OR($C1028="",$D1028="Доход",$I1028="Оплачено",$I1028="Отменено",$H1028&lt;&gt;"",$C1028&lt;TODAY()),"",$C1028)</f>
        <v/>
      </c>
      <c r="U1028">
        <f>IF(AND($D1028&lt;&gt;"Доход",COUNTIFS(Счета!$B$10:$B$21,$J1028,Счета!$C$10:$C$21,"Кредитная")&gt;0),1,0)</f>
        <v/>
      </c>
    </row>
    <row r="1029" ht="19" customHeight="1">
      <c r="B1029" s="53">
        <f>IF(AND($C1029="",$F1029=""),"",ROW()-9)</f>
        <v/>
      </c>
      <c r="C1029" s="213" t="n"/>
      <c r="D1029" s="55" t="n"/>
      <c r="E1029" s="55" t="n"/>
      <c r="F1029" s="56" t="n"/>
      <c r="G1029" s="196" t="n"/>
      <c r="H1029" s="196" t="n"/>
      <c r="I1029" s="55" t="n"/>
      <c r="J1029" s="55" t="n"/>
      <c r="K1029" s="55" t="n"/>
      <c r="L1029" s="100">
        <f>IF(OR($C1029="",$I1029="Оплачено",$I1029="Отменено",$H1029&lt;&gt;""),"",$C1029-TODAY())</f>
        <v/>
      </c>
      <c r="M1029" s="101">
        <f>IF($C1029="","",INDEX(Настройки!$V$6:$V$17,MONTH($C1029))&amp;" "&amp;YEAR($C1029))</f>
        <v/>
      </c>
      <c r="N1029" s="57">
        <f>IF($F1029="","",IF(COUNTIF(Постоянные!$C$8:$C$37,$F1029)&gt;0,"есть в Постоянных",IF(COUNTIF(Покупки!$C$7:$C$18,$F1029)&gt;0,"есть в Покупках","")))</f>
        <v/>
      </c>
      <c r="P1029">
        <f>IF($H1029&lt;&gt;"",$H1029,IF($I1029="Оплачено",N($G1029),0))</f>
        <v/>
      </c>
      <c r="Q1029">
        <f>IF($I1029="Отменено",0,IF($G1029&lt;&gt;"",$G1029,N($H1029)))</f>
        <v/>
      </c>
      <c r="R1029">
        <f>IF($C1029="","",IFERROR(DATE(Настройки!$C$8,Настройки!$D$9+MATCH($M1029,Настройки!$X$6:$X$17,0)-1,1),DATE(YEAR($C1029),MONTH($C1029),1)))</f>
        <v/>
      </c>
      <c r="S1029">
        <f>IF(OR($I1029="Оплачено",$H1029&lt;&gt;""),$P1029,$Q1029)</f>
        <v/>
      </c>
      <c r="T1029">
        <f>IF(OR($C1029="",$D1029="Доход",$I1029="Оплачено",$I1029="Отменено",$H1029&lt;&gt;"",$C1029&lt;TODAY()),"",$C1029)</f>
        <v/>
      </c>
      <c r="U1029">
        <f>IF(AND($D1029&lt;&gt;"Доход",COUNTIFS(Счета!$B$10:$B$21,$J1029,Счета!$C$10:$C$21,"Кредитная")&gt;0),1,0)</f>
        <v/>
      </c>
    </row>
    <row r="1030" ht="19" customHeight="1">
      <c r="B1030" s="53">
        <f>IF(AND($C1030="",$F1030=""),"",ROW()-9)</f>
        <v/>
      </c>
      <c r="C1030" s="213" t="n"/>
      <c r="D1030" s="55" t="n"/>
      <c r="E1030" s="55" t="n"/>
      <c r="F1030" s="56" t="n"/>
      <c r="G1030" s="196" t="n"/>
      <c r="H1030" s="196" t="n"/>
      <c r="I1030" s="55" t="n"/>
      <c r="J1030" s="55" t="n"/>
      <c r="K1030" s="55" t="n"/>
      <c r="L1030" s="100">
        <f>IF(OR($C1030="",$I1030="Оплачено",$I1030="Отменено",$H1030&lt;&gt;""),"",$C1030-TODAY())</f>
        <v/>
      </c>
      <c r="M1030" s="101">
        <f>IF($C1030="","",INDEX(Настройки!$V$6:$V$17,MONTH($C1030))&amp;" "&amp;YEAR($C1030))</f>
        <v/>
      </c>
      <c r="N1030" s="57">
        <f>IF($F1030="","",IF(COUNTIF(Постоянные!$C$8:$C$37,$F1030)&gt;0,"есть в Постоянных",IF(COUNTIF(Покупки!$C$7:$C$18,$F1030)&gt;0,"есть в Покупках","")))</f>
        <v/>
      </c>
      <c r="P1030">
        <f>IF($H1030&lt;&gt;"",$H1030,IF($I1030="Оплачено",N($G1030),0))</f>
        <v/>
      </c>
      <c r="Q1030">
        <f>IF($I1030="Отменено",0,IF($G1030&lt;&gt;"",$G1030,N($H1030)))</f>
        <v/>
      </c>
      <c r="R1030">
        <f>IF($C1030="","",IFERROR(DATE(Настройки!$C$8,Настройки!$D$9+MATCH($M1030,Настройки!$X$6:$X$17,0)-1,1),DATE(YEAR($C1030),MONTH($C1030),1)))</f>
        <v/>
      </c>
      <c r="S1030">
        <f>IF(OR($I1030="Оплачено",$H1030&lt;&gt;""),$P1030,$Q1030)</f>
        <v/>
      </c>
      <c r="T1030">
        <f>IF(OR($C1030="",$D1030="Доход",$I1030="Оплачено",$I1030="Отменено",$H1030&lt;&gt;"",$C1030&lt;TODAY()),"",$C1030)</f>
        <v/>
      </c>
      <c r="U1030">
        <f>IF(AND($D1030&lt;&gt;"Доход",COUNTIFS(Счета!$B$10:$B$21,$J1030,Счета!$C$10:$C$21,"Кредитная")&gt;0),1,0)</f>
        <v/>
      </c>
    </row>
    <row r="1031" ht="19" customHeight="1">
      <c r="B1031" s="53">
        <f>IF(AND($C1031="",$F1031=""),"",ROW()-9)</f>
        <v/>
      </c>
      <c r="C1031" s="213" t="n"/>
      <c r="D1031" s="55" t="n"/>
      <c r="E1031" s="55" t="n"/>
      <c r="F1031" s="56" t="n"/>
      <c r="G1031" s="196" t="n"/>
      <c r="H1031" s="196" t="n"/>
      <c r="I1031" s="55" t="n"/>
      <c r="J1031" s="55" t="n"/>
      <c r="K1031" s="55" t="n"/>
      <c r="L1031" s="100">
        <f>IF(OR($C1031="",$I1031="Оплачено",$I1031="Отменено",$H1031&lt;&gt;""),"",$C1031-TODAY())</f>
        <v/>
      </c>
      <c r="M1031" s="101">
        <f>IF($C1031="","",INDEX(Настройки!$V$6:$V$17,MONTH($C1031))&amp;" "&amp;YEAR($C1031))</f>
        <v/>
      </c>
      <c r="N1031" s="57">
        <f>IF($F1031="","",IF(COUNTIF(Постоянные!$C$8:$C$37,$F1031)&gt;0,"есть в Постоянных",IF(COUNTIF(Покупки!$C$7:$C$18,$F1031)&gt;0,"есть в Покупках","")))</f>
        <v/>
      </c>
      <c r="P1031">
        <f>IF($H1031&lt;&gt;"",$H1031,IF($I1031="Оплачено",N($G1031),0))</f>
        <v/>
      </c>
      <c r="Q1031">
        <f>IF($I1031="Отменено",0,IF($G1031&lt;&gt;"",$G1031,N($H1031)))</f>
        <v/>
      </c>
      <c r="R1031">
        <f>IF($C1031="","",IFERROR(DATE(Настройки!$C$8,Настройки!$D$9+MATCH($M1031,Настройки!$X$6:$X$17,0)-1,1),DATE(YEAR($C1031),MONTH($C1031),1)))</f>
        <v/>
      </c>
      <c r="S1031">
        <f>IF(OR($I1031="Оплачено",$H1031&lt;&gt;""),$P1031,$Q1031)</f>
        <v/>
      </c>
      <c r="T1031">
        <f>IF(OR($C1031="",$D1031="Доход",$I1031="Оплачено",$I1031="Отменено",$H1031&lt;&gt;"",$C1031&lt;TODAY()),"",$C1031)</f>
        <v/>
      </c>
      <c r="U1031">
        <f>IF(AND($D1031&lt;&gt;"Доход",COUNTIFS(Счета!$B$10:$B$21,$J1031,Счета!$C$10:$C$21,"Кредитная")&gt;0),1,0)</f>
        <v/>
      </c>
    </row>
    <row r="1032" ht="19" customHeight="1">
      <c r="B1032" s="53">
        <f>IF(AND($C1032="",$F1032=""),"",ROW()-9)</f>
        <v/>
      </c>
      <c r="C1032" s="213" t="n"/>
      <c r="D1032" s="55" t="n"/>
      <c r="E1032" s="55" t="n"/>
      <c r="F1032" s="56" t="n"/>
      <c r="G1032" s="196" t="n"/>
      <c r="H1032" s="196" t="n"/>
      <c r="I1032" s="55" t="n"/>
      <c r="J1032" s="55" t="n"/>
      <c r="K1032" s="55" t="n"/>
      <c r="L1032" s="100">
        <f>IF(OR($C1032="",$I1032="Оплачено",$I1032="Отменено",$H1032&lt;&gt;""),"",$C1032-TODAY())</f>
        <v/>
      </c>
      <c r="M1032" s="101">
        <f>IF($C1032="","",INDEX(Настройки!$V$6:$V$17,MONTH($C1032))&amp;" "&amp;YEAR($C1032))</f>
        <v/>
      </c>
      <c r="N1032" s="57">
        <f>IF($F1032="","",IF(COUNTIF(Постоянные!$C$8:$C$37,$F1032)&gt;0,"есть в Постоянных",IF(COUNTIF(Покупки!$C$7:$C$18,$F1032)&gt;0,"есть в Покупках","")))</f>
        <v/>
      </c>
      <c r="P1032">
        <f>IF($H1032&lt;&gt;"",$H1032,IF($I1032="Оплачено",N($G1032),0))</f>
        <v/>
      </c>
      <c r="Q1032">
        <f>IF($I1032="Отменено",0,IF($G1032&lt;&gt;"",$G1032,N($H1032)))</f>
        <v/>
      </c>
      <c r="R1032">
        <f>IF($C1032="","",IFERROR(DATE(Настройки!$C$8,Настройки!$D$9+MATCH($M1032,Настройки!$X$6:$X$17,0)-1,1),DATE(YEAR($C1032),MONTH($C1032),1)))</f>
        <v/>
      </c>
      <c r="S1032">
        <f>IF(OR($I1032="Оплачено",$H1032&lt;&gt;""),$P1032,$Q1032)</f>
        <v/>
      </c>
      <c r="T1032">
        <f>IF(OR($C1032="",$D1032="Доход",$I1032="Оплачено",$I1032="Отменено",$H1032&lt;&gt;"",$C1032&lt;TODAY()),"",$C1032)</f>
        <v/>
      </c>
      <c r="U1032">
        <f>IF(AND($D1032&lt;&gt;"Доход",COUNTIFS(Счета!$B$10:$B$21,$J1032,Счета!$C$10:$C$21,"Кредитная")&gt;0),1,0)</f>
        <v/>
      </c>
    </row>
    <row r="1033" ht="19" customHeight="1">
      <c r="B1033" s="53">
        <f>IF(AND($C1033="",$F1033=""),"",ROW()-9)</f>
        <v/>
      </c>
      <c r="C1033" s="213" t="n"/>
      <c r="D1033" s="55" t="n"/>
      <c r="E1033" s="55" t="n"/>
      <c r="F1033" s="56" t="n"/>
      <c r="G1033" s="196" t="n"/>
      <c r="H1033" s="196" t="n"/>
      <c r="I1033" s="55" t="n"/>
      <c r="J1033" s="55" t="n"/>
      <c r="K1033" s="55" t="n"/>
      <c r="L1033" s="100">
        <f>IF(OR($C1033="",$I1033="Оплачено",$I1033="Отменено",$H1033&lt;&gt;""),"",$C1033-TODAY())</f>
        <v/>
      </c>
      <c r="M1033" s="101">
        <f>IF($C1033="","",INDEX(Настройки!$V$6:$V$17,MONTH($C1033))&amp;" "&amp;YEAR($C1033))</f>
        <v/>
      </c>
      <c r="N1033" s="57">
        <f>IF($F1033="","",IF(COUNTIF(Постоянные!$C$8:$C$37,$F1033)&gt;0,"есть в Постоянных",IF(COUNTIF(Покупки!$C$7:$C$18,$F1033)&gt;0,"есть в Покупках","")))</f>
        <v/>
      </c>
      <c r="P1033">
        <f>IF($H1033&lt;&gt;"",$H1033,IF($I1033="Оплачено",N($G1033),0))</f>
        <v/>
      </c>
      <c r="Q1033">
        <f>IF($I1033="Отменено",0,IF($G1033&lt;&gt;"",$G1033,N($H1033)))</f>
        <v/>
      </c>
      <c r="R1033">
        <f>IF($C1033="","",IFERROR(DATE(Настройки!$C$8,Настройки!$D$9+MATCH($M1033,Настройки!$X$6:$X$17,0)-1,1),DATE(YEAR($C1033),MONTH($C1033),1)))</f>
        <v/>
      </c>
      <c r="S1033">
        <f>IF(OR($I1033="Оплачено",$H1033&lt;&gt;""),$P1033,$Q1033)</f>
        <v/>
      </c>
      <c r="T1033">
        <f>IF(OR($C1033="",$D1033="Доход",$I1033="Оплачено",$I1033="Отменено",$H1033&lt;&gt;"",$C1033&lt;TODAY()),"",$C1033)</f>
        <v/>
      </c>
      <c r="U1033">
        <f>IF(AND($D1033&lt;&gt;"Доход",COUNTIFS(Счета!$B$10:$B$21,$J1033,Счета!$C$10:$C$21,"Кредитная")&gt;0),1,0)</f>
        <v/>
      </c>
    </row>
    <row r="1034" ht="19" customHeight="1">
      <c r="B1034" s="53">
        <f>IF(AND($C1034="",$F1034=""),"",ROW()-9)</f>
        <v/>
      </c>
      <c r="C1034" s="213" t="n"/>
      <c r="D1034" s="55" t="n"/>
      <c r="E1034" s="55" t="n"/>
      <c r="F1034" s="56" t="n"/>
      <c r="G1034" s="196" t="n"/>
      <c r="H1034" s="196" t="n"/>
      <c r="I1034" s="55" t="n"/>
      <c r="J1034" s="55" t="n"/>
      <c r="K1034" s="55" t="n"/>
      <c r="L1034" s="100">
        <f>IF(OR($C1034="",$I1034="Оплачено",$I1034="Отменено",$H1034&lt;&gt;""),"",$C1034-TODAY())</f>
        <v/>
      </c>
      <c r="M1034" s="101">
        <f>IF($C1034="","",INDEX(Настройки!$V$6:$V$17,MONTH($C1034))&amp;" "&amp;YEAR($C1034))</f>
        <v/>
      </c>
      <c r="N1034" s="57">
        <f>IF($F1034="","",IF(COUNTIF(Постоянные!$C$8:$C$37,$F1034)&gt;0,"есть в Постоянных",IF(COUNTIF(Покупки!$C$7:$C$18,$F1034)&gt;0,"есть в Покупках","")))</f>
        <v/>
      </c>
      <c r="P1034">
        <f>IF($H1034&lt;&gt;"",$H1034,IF($I1034="Оплачено",N($G1034),0))</f>
        <v/>
      </c>
      <c r="Q1034">
        <f>IF($I1034="Отменено",0,IF($G1034&lt;&gt;"",$G1034,N($H1034)))</f>
        <v/>
      </c>
      <c r="R1034">
        <f>IF($C1034="","",IFERROR(DATE(Настройки!$C$8,Настройки!$D$9+MATCH($M1034,Настройки!$X$6:$X$17,0)-1,1),DATE(YEAR($C1034),MONTH($C1034),1)))</f>
        <v/>
      </c>
      <c r="S1034">
        <f>IF(OR($I1034="Оплачено",$H1034&lt;&gt;""),$P1034,$Q1034)</f>
        <v/>
      </c>
      <c r="T1034">
        <f>IF(OR($C1034="",$D1034="Доход",$I1034="Оплачено",$I1034="Отменено",$H1034&lt;&gt;"",$C1034&lt;TODAY()),"",$C1034)</f>
        <v/>
      </c>
      <c r="U1034">
        <f>IF(AND($D1034&lt;&gt;"Доход",COUNTIFS(Счета!$B$10:$B$21,$J1034,Счета!$C$10:$C$21,"Кредитная")&gt;0),1,0)</f>
        <v/>
      </c>
    </row>
    <row r="1035" ht="19" customHeight="1">
      <c r="B1035" s="53">
        <f>IF(AND($C1035="",$F1035=""),"",ROW()-9)</f>
        <v/>
      </c>
      <c r="C1035" s="213" t="n"/>
      <c r="D1035" s="55" t="n"/>
      <c r="E1035" s="55" t="n"/>
      <c r="F1035" s="56" t="n"/>
      <c r="G1035" s="196" t="n"/>
      <c r="H1035" s="196" t="n"/>
      <c r="I1035" s="55" t="n"/>
      <c r="J1035" s="55" t="n"/>
      <c r="K1035" s="55" t="n"/>
      <c r="L1035" s="100">
        <f>IF(OR($C1035="",$I1035="Оплачено",$I1035="Отменено",$H1035&lt;&gt;""),"",$C1035-TODAY())</f>
        <v/>
      </c>
      <c r="M1035" s="101">
        <f>IF($C1035="","",INDEX(Настройки!$V$6:$V$17,MONTH($C1035))&amp;" "&amp;YEAR($C1035))</f>
        <v/>
      </c>
      <c r="N1035" s="57">
        <f>IF($F1035="","",IF(COUNTIF(Постоянные!$C$8:$C$37,$F1035)&gt;0,"есть в Постоянных",IF(COUNTIF(Покупки!$C$7:$C$18,$F1035)&gt;0,"есть в Покупках","")))</f>
        <v/>
      </c>
      <c r="P1035">
        <f>IF($H1035&lt;&gt;"",$H1035,IF($I1035="Оплачено",N($G1035),0))</f>
        <v/>
      </c>
      <c r="Q1035">
        <f>IF($I1035="Отменено",0,IF($G1035&lt;&gt;"",$G1035,N($H1035)))</f>
        <v/>
      </c>
      <c r="R1035">
        <f>IF($C1035="","",IFERROR(DATE(Настройки!$C$8,Настройки!$D$9+MATCH($M1035,Настройки!$X$6:$X$17,0)-1,1),DATE(YEAR($C1035),MONTH($C1035),1)))</f>
        <v/>
      </c>
      <c r="S1035">
        <f>IF(OR($I1035="Оплачено",$H1035&lt;&gt;""),$P1035,$Q1035)</f>
        <v/>
      </c>
      <c r="T1035">
        <f>IF(OR($C1035="",$D1035="Доход",$I1035="Оплачено",$I1035="Отменено",$H1035&lt;&gt;"",$C1035&lt;TODAY()),"",$C1035)</f>
        <v/>
      </c>
      <c r="U1035">
        <f>IF(AND($D1035&lt;&gt;"Доход",COUNTIFS(Счета!$B$10:$B$21,$J1035,Счета!$C$10:$C$21,"Кредитная")&gt;0),1,0)</f>
        <v/>
      </c>
    </row>
    <row r="1036" ht="19" customHeight="1">
      <c r="B1036" s="53">
        <f>IF(AND($C1036="",$F1036=""),"",ROW()-9)</f>
        <v/>
      </c>
      <c r="C1036" s="213" t="n"/>
      <c r="D1036" s="55" t="n"/>
      <c r="E1036" s="55" t="n"/>
      <c r="F1036" s="56" t="n"/>
      <c r="G1036" s="196" t="n"/>
      <c r="H1036" s="196" t="n"/>
      <c r="I1036" s="55" t="n"/>
      <c r="J1036" s="55" t="n"/>
      <c r="K1036" s="55" t="n"/>
      <c r="L1036" s="100">
        <f>IF(OR($C1036="",$I1036="Оплачено",$I1036="Отменено",$H1036&lt;&gt;""),"",$C1036-TODAY())</f>
        <v/>
      </c>
      <c r="M1036" s="101">
        <f>IF($C1036="","",INDEX(Настройки!$V$6:$V$17,MONTH($C1036))&amp;" "&amp;YEAR($C1036))</f>
        <v/>
      </c>
      <c r="N1036" s="57">
        <f>IF($F1036="","",IF(COUNTIF(Постоянные!$C$8:$C$37,$F1036)&gt;0,"есть в Постоянных",IF(COUNTIF(Покупки!$C$7:$C$18,$F1036)&gt;0,"есть в Покупках","")))</f>
        <v/>
      </c>
      <c r="P1036">
        <f>IF($H1036&lt;&gt;"",$H1036,IF($I1036="Оплачено",N($G1036),0))</f>
        <v/>
      </c>
      <c r="Q1036">
        <f>IF($I1036="Отменено",0,IF($G1036&lt;&gt;"",$G1036,N($H1036)))</f>
        <v/>
      </c>
      <c r="R1036">
        <f>IF($C1036="","",IFERROR(DATE(Настройки!$C$8,Настройки!$D$9+MATCH($M1036,Настройки!$X$6:$X$17,0)-1,1),DATE(YEAR($C1036),MONTH($C1036),1)))</f>
        <v/>
      </c>
      <c r="S1036">
        <f>IF(OR($I1036="Оплачено",$H1036&lt;&gt;""),$P1036,$Q1036)</f>
        <v/>
      </c>
      <c r="T1036">
        <f>IF(OR($C1036="",$D1036="Доход",$I1036="Оплачено",$I1036="Отменено",$H1036&lt;&gt;"",$C1036&lt;TODAY()),"",$C1036)</f>
        <v/>
      </c>
      <c r="U1036">
        <f>IF(AND($D1036&lt;&gt;"Доход",COUNTIFS(Счета!$B$10:$B$21,$J1036,Счета!$C$10:$C$21,"Кредитная")&gt;0),1,0)</f>
        <v/>
      </c>
    </row>
    <row r="1037" ht="19" customHeight="1">
      <c r="B1037" s="53">
        <f>IF(AND($C1037="",$F1037=""),"",ROW()-9)</f>
        <v/>
      </c>
      <c r="C1037" s="213" t="n"/>
      <c r="D1037" s="55" t="n"/>
      <c r="E1037" s="55" t="n"/>
      <c r="F1037" s="56" t="n"/>
      <c r="G1037" s="196" t="n"/>
      <c r="H1037" s="196" t="n"/>
      <c r="I1037" s="55" t="n"/>
      <c r="J1037" s="55" t="n"/>
      <c r="K1037" s="55" t="n"/>
      <c r="L1037" s="100">
        <f>IF(OR($C1037="",$I1037="Оплачено",$I1037="Отменено",$H1037&lt;&gt;""),"",$C1037-TODAY())</f>
        <v/>
      </c>
      <c r="M1037" s="101">
        <f>IF($C1037="","",INDEX(Настройки!$V$6:$V$17,MONTH($C1037))&amp;" "&amp;YEAR($C1037))</f>
        <v/>
      </c>
      <c r="N1037" s="57">
        <f>IF($F1037="","",IF(COUNTIF(Постоянные!$C$8:$C$37,$F1037)&gt;0,"есть в Постоянных",IF(COUNTIF(Покупки!$C$7:$C$18,$F1037)&gt;0,"есть в Покупках","")))</f>
        <v/>
      </c>
      <c r="P1037">
        <f>IF($H1037&lt;&gt;"",$H1037,IF($I1037="Оплачено",N($G1037),0))</f>
        <v/>
      </c>
      <c r="Q1037">
        <f>IF($I1037="Отменено",0,IF($G1037&lt;&gt;"",$G1037,N($H1037)))</f>
        <v/>
      </c>
      <c r="R1037">
        <f>IF($C1037="","",IFERROR(DATE(Настройки!$C$8,Настройки!$D$9+MATCH($M1037,Настройки!$X$6:$X$17,0)-1,1),DATE(YEAR($C1037),MONTH($C1037),1)))</f>
        <v/>
      </c>
      <c r="S1037">
        <f>IF(OR($I1037="Оплачено",$H1037&lt;&gt;""),$P1037,$Q1037)</f>
        <v/>
      </c>
      <c r="T1037">
        <f>IF(OR($C1037="",$D1037="Доход",$I1037="Оплачено",$I1037="Отменено",$H1037&lt;&gt;"",$C1037&lt;TODAY()),"",$C1037)</f>
        <v/>
      </c>
      <c r="U1037">
        <f>IF(AND($D1037&lt;&gt;"Доход",COUNTIFS(Счета!$B$10:$B$21,$J1037,Счета!$C$10:$C$21,"Кредитная")&gt;0),1,0)</f>
        <v/>
      </c>
    </row>
    <row r="1038" ht="19" customHeight="1">
      <c r="B1038" s="53">
        <f>IF(AND($C1038="",$F1038=""),"",ROW()-9)</f>
        <v/>
      </c>
      <c r="C1038" s="213" t="n"/>
      <c r="D1038" s="55" t="n"/>
      <c r="E1038" s="55" t="n"/>
      <c r="F1038" s="56" t="n"/>
      <c r="G1038" s="196" t="n"/>
      <c r="H1038" s="196" t="n"/>
      <c r="I1038" s="55" t="n"/>
      <c r="J1038" s="55" t="n"/>
      <c r="K1038" s="55" t="n"/>
      <c r="L1038" s="100">
        <f>IF(OR($C1038="",$I1038="Оплачено",$I1038="Отменено",$H1038&lt;&gt;""),"",$C1038-TODAY())</f>
        <v/>
      </c>
      <c r="M1038" s="101">
        <f>IF($C1038="","",INDEX(Настройки!$V$6:$V$17,MONTH($C1038))&amp;" "&amp;YEAR($C1038))</f>
        <v/>
      </c>
      <c r="N1038" s="57">
        <f>IF($F1038="","",IF(COUNTIF(Постоянные!$C$8:$C$37,$F1038)&gt;0,"есть в Постоянных",IF(COUNTIF(Покупки!$C$7:$C$18,$F1038)&gt;0,"есть в Покупках","")))</f>
        <v/>
      </c>
      <c r="P1038">
        <f>IF($H1038&lt;&gt;"",$H1038,IF($I1038="Оплачено",N($G1038),0))</f>
        <v/>
      </c>
      <c r="Q1038">
        <f>IF($I1038="Отменено",0,IF($G1038&lt;&gt;"",$G1038,N($H1038)))</f>
        <v/>
      </c>
      <c r="R1038">
        <f>IF($C1038="","",IFERROR(DATE(Настройки!$C$8,Настройки!$D$9+MATCH($M1038,Настройки!$X$6:$X$17,0)-1,1),DATE(YEAR($C1038),MONTH($C1038),1)))</f>
        <v/>
      </c>
      <c r="S1038">
        <f>IF(OR($I1038="Оплачено",$H1038&lt;&gt;""),$P1038,$Q1038)</f>
        <v/>
      </c>
      <c r="T1038">
        <f>IF(OR($C1038="",$D1038="Доход",$I1038="Оплачено",$I1038="Отменено",$H1038&lt;&gt;"",$C1038&lt;TODAY()),"",$C1038)</f>
        <v/>
      </c>
      <c r="U1038">
        <f>IF(AND($D1038&lt;&gt;"Доход",COUNTIFS(Счета!$B$10:$B$21,$J1038,Счета!$C$10:$C$21,"Кредитная")&gt;0),1,0)</f>
        <v/>
      </c>
    </row>
    <row r="1039" ht="19" customHeight="1">
      <c r="B1039" s="53">
        <f>IF(AND($C1039="",$F1039=""),"",ROW()-9)</f>
        <v/>
      </c>
      <c r="C1039" s="213" t="n"/>
      <c r="D1039" s="55" t="n"/>
      <c r="E1039" s="55" t="n"/>
      <c r="F1039" s="56" t="n"/>
      <c r="G1039" s="196" t="n"/>
      <c r="H1039" s="196" t="n"/>
      <c r="I1039" s="55" t="n"/>
      <c r="J1039" s="55" t="n"/>
      <c r="K1039" s="55" t="n"/>
      <c r="L1039" s="100">
        <f>IF(OR($C1039="",$I1039="Оплачено",$I1039="Отменено",$H1039&lt;&gt;""),"",$C1039-TODAY())</f>
        <v/>
      </c>
      <c r="M1039" s="101">
        <f>IF($C1039="","",INDEX(Настройки!$V$6:$V$17,MONTH($C1039))&amp;" "&amp;YEAR($C1039))</f>
        <v/>
      </c>
      <c r="N1039" s="57">
        <f>IF($F1039="","",IF(COUNTIF(Постоянные!$C$8:$C$37,$F1039)&gt;0,"есть в Постоянных",IF(COUNTIF(Покупки!$C$7:$C$18,$F1039)&gt;0,"есть в Покупках","")))</f>
        <v/>
      </c>
      <c r="P1039">
        <f>IF($H1039&lt;&gt;"",$H1039,IF($I1039="Оплачено",N($G1039),0))</f>
        <v/>
      </c>
      <c r="Q1039">
        <f>IF($I1039="Отменено",0,IF($G1039&lt;&gt;"",$G1039,N($H1039)))</f>
        <v/>
      </c>
      <c r="R1039">
        <f>IF($C1039="","",IFERROR(DATE(Настройки!$C$8,Настройки!$D$9+MATCH($M1039,Настройки!$X$6:$X$17,0)-1,1),DATE(YEAR($C1039),MONTH($C1039),1)))</f>
        <v/>
      </c>
      <c r="S1039">
        <f>IF(OR($I1039="Оплачено",$H1039&lt;&gt;""),$P1039,$Q1039)</f>
        <v/>
      </c>
      <c r="T1039">
        <f>IF(OR($C1039="",$D1039="Доход",$I1039="Оплачено",$I1039="Отменено",$H1039&lt;&gt;"",$C1039&lt;TODAY()),"",$C1039)</f>
        <v/>
      </c>
      <c r="U1039">
        <f>IF(AND($D1039&lt;&gt;"Доход",COUNTIFS(Счета!$B$10:$B$21,$J1039,Счета!$C$10:$C$21,"Кредитная")&gt;0),1,0)</f>
        <v/>
      </c>
    </row>
    <row r="1040" ht="19" customHeight="1">
      <c r="B1040" s="53">
        <f>IF(AND($C1040="",$F1040=""),"",ROW()-9)</f>
        <v/>
      </c>
      <c r="C1040" s="213" t="n"/>
      <c r="D1040" s="55" t="n"/>
      <c r="E1040" s="55" t="n"/>
      <c r="F1040" s="56" t="n"/>
      <c r="G1040" s="196" t="n"/>
      <c r="H1040" s="196" t="n"/>
      <c r="I1040" s="55" t="n"/>
      <c r="J1040" s="55" t="n"/>
      <c r="K1040" s="55" t="n"/>
      <c r="L1040" s="100">
        <f>IF(OR($C1040="",$I1040="Оплачено",$I1040="Отменено",$H1040&lt;&gt;""),"",$C1040-TODAY())</f>
        <v/>
      </c>
      <c r="M1040" s="101">
        <f>IF($C1040="","",INDEX(Настройки!$V$6:$V$17,MONTH($C1040))&amp;" "&amp;YEAR($C1040))</f>
        <v/>
      </c>
      <c r="N1040" s="57">
        <f>IF($F1040="","",IF(COUNTIF(Постоянные!$C$8:$C$37,$F1040)&gt;0,"есть в Постоянных",IF(COUNTIF(Покупки!$C$7:$C$18,$F1040)&gt;0,"есть в Покупках","")))</f>
        <v/>
      </c>
      <c r="P1040">
        <f>IF($H1040&lt;&gt;"",$H1040,IF($I1040="Оплачено",N($G1040),0))</f>
        <v/>
      </c>
      <c r="Q1040">
        <f>IF($I1040="Отменено",0,IF($G1040&lt;&gt;"",$G1040,N($H1040)))</f>
        <v/>
      </c>
      <c r="R1040">
        <f>IF($C1040="","",IFERROR(DATE(Настройки!$C$8,Настройки!$D$9+MATCH($M1040,Настройки!$X$6:$X$17,0)-1,1),DATE(YEAR($C1040),MONTH($C1040),1)))</f>
        <v/>
      </c>
      <c r="S1040">
        <f>IF(OR($I1040="Оплачено",$H1040&lt;&gt;""),$P1040,$Q1040)</f>
        <v/>
      </c>
      <c r="T1040">
        <f>IF(OR($C1040="",$D1040="Доход",$I1040="Оплачено",$I1040="Отменено",$H1040&lt;&gt;"",$C1040&lt;TODAY()),"",$C1040)</f>
        <v/>
      </c>
      <c r="U1040">
        <f>IF(AND($D1040&lt;&gt;"Доход",COUNTIFS(Счета!$B$10:$B$21,$J1040,Счета!$C$10:$C$21,"Кредитная")&gt;0),1,0)</f>
        <v/>
      </c>
    </row>
    <row r="1041" ht="19" customHeight="1">
      <c r="B1041" s="53">
        <f>IF(AND($C1041="",$F1041=""),"",ROW()-9)</f>
        <v/>
      </c>
      <c r="C1041" s="213" t="n"/>
      <c r="D1041" s="55" t="n"/>
      <c r="E1041" s="55" t="n"/>
      <c r="F1041" s="56" t="n"/>
      <c r="G1041" s="196" t="n"/>
      <c r="H1041" s="196" t="n"/>
      <c r="I1041" s="55" t="n"/>
      <c r="J1041" s="55" t="n"/>
      <c r="K1041" s="55" t="n"/>
      <c r="L1041" s="100">
        <f>IF(OR($C1041="",$I1041="Оплачено",$I1041="Отменено",$H1041&lt;&gt;""),"",$C1041-TODAY())</f>
        <v/>
      </c>
      <c r="M1041" s="101">
        <f>IF($C1041="","",INDEX(Настройки!$V$6:$V$17,MONTH($C1041))&amp;" "&amp;YEAR($C1041))</f>
        <v/>
      </c>
      <c r="N1041" s="57">
        <f>IF($F1041="","",IF(COUNTIF(Постоянные!$C$8:$C$37,$F1041)&gt;0,"есть в Постоянных",IF(COUNTIF(Покупки!$C$7:$C$18,$F1041)&gt;0,"есть в Покупках","")))</f>
        <v/>
      </c>
      <c r="P1041">
        <f>IF($H1041&lt;&gt;"",$H1041,IF($I1041="Оплачено",N($G1041),0))</f>
        <v/>
      </c>
      <c r="Q1041">
        <f>IF($I1041="Отменено",0,IF($G1041&lt;&gt;"",$G1041,N($H1041)))</f>
        <v/>
      </c>
      <c r="R1041">
        <f>IF($C1041="","",IFERROR(DATE(Настройки!$C$8,Настройки!$D$9+MATCH($M1041,Настройки!$X$6:$X$17,0)-1,1),DATE(YEAR($C1041),MONTH($C1041),1)))</f>
        <v/>
      </c>
      <c r="S1041">
        <f>IF(OR($I1041="Оплачено",$H1041&lt;&gt;""),$P1041,$Q1041)</f>
        <v/>
      </c>
      <c r="T1041">
        <f>IF(OR($C1041="",$D1041="Доход",$I1041="Оплачено",$I1041="Отменено",$H1041&lt;&gt;"",$C1041&lt;TODAY()),"",$C1041)</f>
        <v/>
      </c>
      <c r="U1041">
        <f>IF(AND($D1041&lt;&gt;"Доход",COUNTIFS(Счета!$B$10:$B$21,$J1041,Счета!$C$10:$C$21,"Кредитная")&gt;0),1,0)</f>
        <v/>
      </c>
    </row>
    <row r="1042" ht="19" customHeight="1">
      <c r="B1042" s="53">
        <f>IF(AND($C1042="",$F1042=""),"",ROW()-9)</f>
        <v/>
      </c>
      <c r="C1042" s="213" t="n"/>
      <c r="D1042" s="55" t="n"/>
      <c r="E1042" s="55" t="n"/>
      <c r="F1042" s="56" t="n"/>
      <c r="G1042" s="196" t="n"/>
      <c r="H1042" s="196" t="n"/>
      <c r="I1042" s="55" t="n"/>
      <c r="J1042" s="55" t="n"/>
      <c r="K1042" s="55" t="n"/>
      <c r="L1042" s="100">
        <f>IF(OR($C1042="",$I1042="Оплачено",$I1042="Отменено",$H1042&lt;&gt;""),"",$C1042-TODAY())</f>
        <v/>
      </c>
      <c r="M1042" s="101">
        <f>IF($C1042="","",INDEX(Настройки!$V$6:$V$17,MONTH($C1042))&amp;" "&amp;YEAR($C1042))</f>
        <v/>
      </c>
      <c r="N1042" s="57">
        <f>IF($F1042="","",IF(COUNTIF(Постоянные!$C$8:$C$37,$F1042)&gt;0,"есть в Постоянных",IF(COUNTIF(Покупки!$C$7:$C$18,$F1042)&gt;0,"есть в Покупках","")))</f>
        <v/>
      </c>
      <c r="P1042">
        <f>IF($H1042&lt;&gt;"",$H1042,IF($I1042="Оплачено",N($G1042),0))</f>
        <v/>
      </c>
      <c r="Q1042">
        <f>IF($I1042="Отменено",0,IF($G1042&lt;&gt;"",$G1042,N($H1042)))</f>
        <v/>
      </c>
      <c r="R1042">
        <f>IF($C1042="","",IFERROR(DATE(Настройки!$C$8,Настройки!$D$9+MATCH($M1042,Настройки!$X$6:$X$17,0)-1,1),DATE(YEAR($C1042),MONTH($C1042),1)))</f>
        <v/>
      </c>
      <c r="S1042">
        <f>IF(OR($I1042="Оплачено",$H1042&lt;&gt;""),$P1042,$Q1042)</f>
        <v/>
      </c>
      <c r="T1042">
        <f>IF(OR($C1042="",$D1042="Доход",$I1042="Оплачено",$I1042="Отменено",$H1042&lt;&gt;"",$C1042&lt;TODAY()),"",$C1042)</f>
        <v/>
      </c>
      <c r="U1042">
        <f>IF(AND($D1042&lt;&gt;"Доход",COUNTIFS(Счета!$B$10:$B$21,$J1042,Счета!$C$10:$C$21,"Кредитная")&gt;0),1,0)</f>
        <v/>
      </c>
    </row>
    <row r="1043" ht="19" customHeight="1">
      <c r="B1043" s="53">
        <f>IF(AND($C1043="",$F1043=""),"",ROW()-9)</f>
        <v/>
      </c>
      <c r="C1043" s="213" t="n"/>
      <c r="D1043" s="55" t="n"/>
      <c r="E1043" s="55" t="n"/>
      <c r="F1043" s="56" t="n"/>
      <c r="G1043" s="196" t="n"/>
      <c r="H1043" s="196" t="n"/>
      <c r="I1043" s="55" t="n"/>
      <c r="J1043" s="55" t="n"/>
      <c r="K1043" s="55" t="n"/>
      <c r="L1043" s="100">
        <f>IF(OR($C1043="",$I1043="Оплачено",$I1043="Отменено",$H1043&lt;&gt;""),"",$C1043-TODAY())</f>
        <v/>
      </c>
      <c r="M1043" s="101">
        <f>IF($C1043="","",INDEX(Настройки!$V$6:$V$17,MONTH($C1043))&amp;" "&amp;YEAR($C1043))</f>
        <v/>
      </c>
      <c r="N1043" s="57">
        <f>IF($F1043="","",IF(COUNTIF(Постоянные!$C$8:$C$37,$F1043)&gt;0,"есть в Постоянных",IF(COUNTIF(Покупки!$C$7:$C$18,$F1043)&gt;0,"есть в Покупках","")))</f>
        <v/>
      </c>
      <c r="P1043">
        <f>IF($H1043&lt;&gt;"",$H1043,IF($I1043="Оплачено",N($G1043),0))</f>
        <v/>
      </c>
      <c r="Q1043">
        <f>IF($I1043="Отменено",0,IF($G1043&lt;&gt;"",$G1043,N($H1043)))</f>
        <v/>
      </c>
      <c r="R1043">
        <f>IF($C1043="","",IFERROR(DATE(Настройки!$C$8,Настройки!$D$9+MATCH($M1043,Настройки!$X$6:$X$17,0)-1,1),DATE(YEAR($C1043),MONTH($C1043),1)))</f>
        <v/>
      </c>
      <c r="S1043">
        <f>IF(OR($I1043="Оплачено",$H1043&lt;&gt;""),$P1043,$Q1043)</f>
        <v/>
      </c>
      <c r="T1043">
        <f>IF(OR($C1043="",$D1043="Доход",$I1043="Оплачено",$I1043="Отменено",$H1043&lt;&gt;"",$C1043&lt;TODAY()),"",$C1043)</f>
        <v/>
      </c>
      <c r="U1043">
        <f>IF(AND($D1043&lt;&gt;"Доход",COUNTIFS(Счета!$B$10:$B$21,$J1043,Счета!$C$10:$C$21,"Кредитная")&gt;0),1,0)</f>
        <v/>
      </c>
    </row>
    <row r="1044" ht="19" customHeight="1">
      <c r="B1044" s="53">
        <f>IF(AND($C1044="",$F1044=""),"",ROW()-9)</f>
        <v/>
      </c>
      <c r="C1044" s="213" t="n"/>
      <c r="D1044" s="55" t="n"/>
      <c r="E1044" s="55" t="n"/>
      <c r="F1044" s="56" t="n"/>
      <c r="G1044" s="196" t="n"/>
      <c r="H1044" s="196" t="n"/>
      <c r="I1044" s="55" t="n"/>
      <c r="J1044" s="55" t="n"/>
      <c r="K1044" s="55" t="n"/>
      <c r="L1044" s="100">
        <f>IF(OR($C1044="",$I1044="Оплачено",$I1044="Отменено",$H1044&lt;&gt;""),"",$C1044-TODAY())</f>
        <v/>
      </c>
      <c r="M1044" s="101">
        <f>IF($C1044="","",INDEX(Настройки!$V$6:$V$17,MONTH($C1044))&amp;" "&amp;YEAR($C1044))</f>
        <v/>
      </c>
      <c r="N1044" s="57">
        <f>IF($F1044="","",IF(COUNTIF(Постоянные!$C$8:$C$37,$F1044)&gt;0,"есть в Постоянных",IF(COUNTIF(Покупки!$C$7:$C$18,$F1044)&gt;0,"есть в Покупках","")))</f>
        <v/>
      </c>
      <c r="P1044">
        <f>IF($H1044&lt;&gt;"",$H1044,IF($I1044="Оплачено",N($G1044),0))</f>
        <v/>
      </c>
      <c r="Q1044">
        <f>IF($I1044="Отменено",0,IF($G1044&lt;&gt;"",$G1044,N($H1044)))</f>
        <v/>
      </c>
      <c r="R1044">
        <f>IF($C1044="","",IFERROR(DATE(Настройки!$C$8,Настройки!$D$9+MATCH($M1044,Настройки!$X$6:$X$17,0)-1,1),DATE(YEAR($C1044),MONTH($C1044),1)))</f>
        <v/>
      </c>
      <c r="S1044">
        <f>IF(OR($I1044="Оплачено",$H1044&lt;&gt;""),$P1044,$Q1044)</f>
        <v/>
      </c>
      <c r="T1044">
        <f>IF(OR($C1044="",$D1044="Доход",$I1044="Оплачено",$I1044="Отменено",$H1044&lt;&gt;"",$C1044&lt;TODAY()),"",$C1044)</f>
        <v/>
      </c>
      <c r="U1044">
        <f>IF(AND($D1044&lt;&gt;"Доход",COUNTIFS(Счета!$B$10:$B$21,$J1044,Счета!$C$10:$C$21,"Кредитная")&gt;0),1,0)</f>
        <v/>
      </c>
    </row>
    <row r="1045" ht="19" customHeight="1">
      <c r="B1045" s="53">
        <f>IF(AND($C1045="",$F1045=""),"",ROW()-9)</f>
        <v/>
      </c>
      <c r="C1045" s="213" t="n"/>
      <c r="D1045" s="55" t="n"/>
      <c r="E1045" s="55" t="n"/>
      <c r="F1045" s="56" t="n"/>
      <c r="G1045" s="196" t="n"/>
      <c r="H1045" s="196" t="n"/>
      <c r="I1045" s="55" t="n"/>
      <c r="J1045" s="55" t="n"/>
      <c r="K1045" s="55" t="n"/>
      <c r="L1045" s="100">
        <f>IF(OR($C1045="",$I1045="Оплачено",$I1045="Отменено",$H1045&lt;&gt;""),"",$C1045-TODAY())</f>
        <v/>
      </c>
      <c r="M1045" s="101">
        <f>IF($C1045="","",INDEX(Настройки!$V$6:$V$17,MONTH($C1045))&amp;" "&amp;YEAR($C1045))</f>
        <v/>
      </c>
      <c r="N1045" s="57">
        <f>IF($F1045="","",IF(COUNTIF(Постоянные!$C$8:$C$37,$F1045)&gt;0,"есть в Постоянных",IF(COUNTIF(Покупки!$C$7:$C$18,$F1045)&gt;0,"есть в Покупках","")))</f>
        <v/>
      </c>
      <c r="P1045">
        <f>IF($H1045&lt;&gt;"",$H1045,IF($I1045="Оплачено",N($G1045),0))</f>
        <v/>
      </c>
      <c r="Q1045">
        <f>IF($I1045="Отменено",0,IF($G1045&lt;&gt;"",$G1045,N($H1045)))</f>
        <v/>
      </c>
      <c r="R1045">
        <f>IF($C1045="","",IFERROR(DATE(Настройки!$C$8,Настройки!$D$9+MATCH($M1045,Настройки!$X$6:$X$17,0)-1,1),DATE(YEAR($C1045),MONTH($C1045),1)))</f>
        <v/>
      </c>
      <c r="S1045">
        <f>IF(OR($I1045="Оплачено",$H1045&lt;&gt;""),$P1045,$Q1045)</f>
        <v/>
      </c>
      <c r="T1045">
        <f>IF(OR($C1045="",$D1045="Доход",$I1045="Оплачено",$I1045="Отменено",$H1045&lt;&gt;"",$C1045&lt;TODAY()),"",$C1045)</f>
        <v/>
      </c>
      <c r="U1045">
        <f>IF(AND($D1045&lt;&gt;"Доход",COUNTIFS(Счета!$B$10:$B$21,$J1045,Счета!$C$10:$C$21,"Кредитная")&gt;0),1,0)</f>
        <v/>
      </c>
    </row>
    <row r="1046" ht="19" customHeight="1">
      <c r="B1046" s="53">
        <f>IF(AND($C1046="",$F1046=""),"",ROW()-9)</f>
        <v/>
      </c>
      <c r="C1046" s="213" t="n"/>
      <c r="D1046" s="55" t="n"/>
      <c r="E1046" s="55" t="n"/>
      <c r="F1046" s="56" t="n"/>
      <c r="G1046" s="196" t="n"/>
      <c r="H1046" s="196" t="n"/>
      <c r="I1046" s="55" t="n"/>
      <c r="J1046" s="55" t="n"/>
      <c r="K1046" s="55" t="n"/>
      <c r="L1046" s="100">
        <f>IF(OR($C1046="",$I1046="Оплачено",$I1046="Отменено",$H1046&lt;&gt;""),"",$C1046-TODAY())</f>
        <v/>
      </c>
      <c r="M1046" s="101">
        <f>IF($C1046="","",INDEX(Настройки!$V$6:$V$17,MONTH($C1046))&amp;" "&amp;YEAR($C1046))</f>
        <v/>
      </c>
      <c r="N1046" s="57">
        <f>IF($F1046="","",IF(COUNTIF(Постоянные!$C$8:$C$37,$F1046)&gt;0,"есть в Постоянных",IF(COUNTIF(Покупки!$C$7:$C$18,$F1046)&gt;0,"есть в Покупках","")))</f>
        <v/>
      </c>
      <c r="P1046">
        <f>IF($H1046&lt;&gt;"",$H1046,IF($I1046="Оплачено",N($G1046),0))</f>
        <v/>
      </c>
      <c r="Q1046">
        <f>IF($I1046="Отменено",0,IF($G1046&lt;&gt;"",$G1046,N($H1046)))</f>
        <v/>
      </c>
      <c r="R1046">
        <f>IF($C1046="","",IFERROR(DATE(Настройки!$C$8,Настройки!$D$9+MATCH($M1046,Настройки!$X$6:$X$17,0)-1,1),DATE(YEAR($C1046),MONTH($C1046),1)))</f>
        <v/>
      </c>
      <c r="S1046">
        <f>IF(OR($I1046="Оплачено",$H1046&lt;&gt;""),$P1046,$Q1046)</f>
        <v/>
      </c>
      <c r="T1046">
        <f>IF(OR($C1046="",$D1046="Доход",$I1046="Оплачено",$I1046="Отменено",$H1046&lt;&gt;"",$C1046&lt;TODAY()),"",$C1046)</f>
        <v/>
      </c>
      <c r="U1046">
        <f>IF(AND($D1046&lt;&gt;"Доход",COUNTIFS(Счета!$B$10:$B$21,$J1046,Счета!$C$10:$C$21,"Кредитная")&gt;0),1,0)</f>
        <v/>
      </c>
    </row>
    <row r="1047" ht="19" customHeight="1">
      <c r="B1047" s="53">
        <f>IF(AND($C1047="",$F1047=""),"",ROW()-9)</f>
        <v/>
      </c>
      <c r="C1047" s="213" t="n"/>
      <c r="D1047" s="55" t="n"/>
      <c r="E1047" s="55" t="n"/>
      <c r="F1047" s="56" t="n"/>
      <c r="G1047" s="196" t="n"/>
      <c r="H1047" s="196" t="n"/>
      <c r="I1047" s="55" t="n"/>
      <c r="J1047" s="55" t="n"/>
      <c r="K1047" s="55" t="n"/>
      <c r="L1047" s="100">
        <f>IF(OR($C1047="",$I1047="Оплачено",$I1047="Отменено",$H1047&lt;&gt;""),"",$C1047-TODAY())</f>
        <v/>
      </c>
      <c r="M1047" s="101">
        <f>IF($C1047="","",INDEX(Настройки!$V$6:$V$17,MONTH($C1047))&amp;" "&amp;YEAR($C1047))</f>
        <v/>
      </c>
      <c r="N1047" s="57">
        <f>IF($F1047="","",IF(COUNTIF(Постоянные!$C$8:$C$37,$F1047)&gt;0,"есть в Постоянных",IF(COUNTIF(Покупки!$C$7:$C$18,$F1047)&gt;0,"есть в Покупках","")))</f>
        <v/>
      </c>
      <c r="P1047">
        <f>IF($H1047&lt;&gt;"",$H1047,IF($I1047="Оплачено",N($G1047),0))</f>
        <v/>
      </c>
      <c r="Q1047">
        <f>IF($I1047="Отменено",0,IF($G1047&lt;&gt;"",$G1047,N($H1047)))</f>
        <v/>
      </c>
      <c r="R1047">
        <f>IF($C1047="","",IFERROR(DATE(Настройки!$C$8,Настройки!$D$9+MATCH($M1047,Настройки!$X$6:$X$17,0)-1,1),DATE(YEAR($C1047),MONTH($C1047),1)))</f>
        <v/>
      </c>
      <c r="S1047">
        <f>IF(OR($I1047="Оплачено",$H1047&lt;&gt;""),$P1047,$Q1047)</f>
        <v/>
      </c>
      <c r="T1047">
        <f>IF(OR($C1047="",$D1047="Доход",$I1047="Оплачено",$I1047="Отменено",$H1047&lt;&gt;"",$C1047&lt;TODAY()),"",$C1047)</f>
        <v/>
      </c>
      <c r="U1047">
        <f>IF(AND($D1047&lt;&gt;"Доход",COUNTIFS(Счета!$B$10:$B$21,$J1047,Счета!$C$10:$C$21,"Кредитная")&gt;0),1,0)</f>
        <v/>
      </c>
    </row>
    <row r="1048" ht="19" customHeight="1">
      <c r="B1048" s="53">
        <f>IF(AND($C1048="",$F1048=""),"",ROW()-9)</f>
        <v/>
      </c>
      <c r="C1048" s="213" t="n"/>
      <c r="D1048" s="55" t="n"/>
      <c r="E1048" s="55" t="n"/>
      <c r="F1048" s="56" t="n"/>
      <c r="G1048" s="196" t="n"/>
      <c r="H1048" s="196" t="n"/>
      <c r="I1048" s="55" t="n"/>
      <c r="J1048" s="55" t="n"/>
      <c r="K1048" s="55" t="n"/>
      <c r="L1048" s="100">
        <f>IF(OR($C1048="",$I1048="Оплачено",$I1048="Отменено",$H1048&lt;&gt;""),"",$C1048-TODAY())</f>
        <v/>
      </c>
      <c r="M1048" s="101">
        <f>IF($C1048="","",INDEX(Настройки!$V$6:$V$17,MONTH($C1048))&amp;" "&amp;YEAR($C1048))</f>
        <v/>
      </c>
      <c r="N1048" s="57">
        <f>IF($F1048="","",IF(COUNTIF(Постоянные!$C$8:$C$37,$F1048)&gt;0,"есть в Постоянных",IF(COUNTIF(Покупки!$C$7:$C$18,$F1048)&gt;0,"есть в Покупках","")))</f>
        <v/>
      </c>
      <c r="P1048">
        <f>IF($H1048&lt;&gt;"",$H1048,IF($I1048="Оплачено",N($G1048),0))</f>
        <v/>
      </c>
      <c r="Q1048">
        <f>IF($I1048="Отменено",0,IF($G1048&lt;&gt;"",$G1048,N($H1048)))</f>
        <v/>
      </c>
      <c r="R1048">
        <f>IF($C1048="","",IFERROR(DATE(Настройки!$C$8,Настройки!$D$9+MATCH($M1048,Настройки!$X$6:$X$17,0)-1,1),DATE(YEAR($C1048),MONTH($C1048),1)))</f>
        <v/>
      </c>
      <c r="S1048">
        <f>IF(OR($I1048="Оплачено",$H1048&lt;&gt;""),$P1048,$Q1048)</f>
        <v/>
      </c>
      <c r="T1048">
        <f>IF(OR($C1048="",$D1048="Доход",$I1048="Оплачено",$I1048="Отменено",$H1048&lt;&gt;"",$C1048&lt;TODAY()),"",$C1048)</f>
        <v/>
      </c>
      <c r="U1048">
        <f>IF(AND($D1048&lt;&gt;"Доход",COUNTIFS(Счета!$B$10:$B$21,$J1048,Счета!$C$10:$C$21,"Кредитная")&gt;0),1,0)</f>
        <v/>
      </c>
    </row>
    <row r="1049" ht="19" customHeight="1">
      <c r="B1049" s="53">
        <f>IF(AND($C1049="",$F1049=""),"",ROW()-9)</f>
        <v/>
      </c>
      <c r="C1049" s="213" t="n"/>
      <c r="D1049" s="55" t="n"/>
      <c r="E1049" s="55" t="n"/>
      <c r="F1049" s="56" t="n"/>
      <c r="G1049" s="196" t="n"/>
      <c r="H1049" s="196" t="n"/>
      <c r="I1049" s="55" t="n"/>
      <c r="J1049" s="55" t="n"/>
      <c r="K1049" s="55" t="n"/>
      <c r="L1049" s="100">
        <f>IF(OR($C1049="",$I1049="Оплачено",$I1049="Отменено",$H1049&lt;&gt;""),"",$C1049-TODAY())</f>
        <v/>
      </c>
      <c r="M1049" s="101">
        <f>IF($C1049="","",INDEX(Настройки!$V$6:$V$17,MONTH($C1049))&amp;" "&amp;YEAR($C1049))</f>
        <v/>
      </c>
      <c r="N1049" s="57">
        <f>IF($F1049="","",IF(COUNTIF(Постоянные!$C$8:$C$37,$F1049)&gt;0,"есть в Постоянных",IF(COUNTIF(Покупки!$C$7:$C$18,$F1049)&gt;0,"есть в Покупках","")))</f>
        <v/>
      </c>
      <c r="P1049">
        <f>IF($H1049&lt;&gt;"",$H1049,IF($I1049="Оплачено",N($G1049),0))</f>
        <v/>
      </c>
      <c r="Q1049">
        <f>IF($I1049="Отменено",0,IF($G1049&lt;&gt;"",$G1049,N($H1049)))</f>
        <v/>
      </c>
      <c r="R1049">
        <f>IF($C1049="","",IFERROR(DATE(Настройки!$C$8,Настройки!$D$9+MATCH($M1049,Настройки!$X$6:$X$17,0)-1,1),DATE(YEAR($C1049),MONTH($C1049),1)))</f>
        <v/>
      </c>
      <c r="S1049">
        <f>IF(OR($I1049="Оплачено",$H1049&lt;&gt;""),$P1049,$Q1049)</f>
        <v/>
      </c>
      <c r="T1049">
        <f>IF(OR($C1049="",$D1049="Доход",$I1049="Оплачено",$I1049="Отменено",$H1049&lt;&gt;"",$C1049&lt;TODAY()),"",$C1049)</f>
        <v/>
      </c>
      <c r="U1049">
        <f>IF(AND($D1049&lt;&gt;"Доход",COUNTIFS(Счета!$B$10:$B$21,$J1049,Счета!$C$10:$C$21,"Кредитная")&gt;0),1,0)</f>
        <v/>
      </c>
    </row>
    <row r="1050" ht="19" customHeight="1">
      <c r="B1050" s="53">
        <f>IF(AND($C1050="",$F1050=""),"",ROW()-9)</f>
        <v/>
      </c>
      <c r="C1050" s="213" t="n"/>
      <c r="D1050" s="55" t="n"/>
      <c r="E1050" s="55" t="n"/>
      <c r="F1050" s="56" t="n"/>
      <c r="G1050" s="196" t="n"/>
      <c r="H1050" s="196" t="n"/>
      <c r="I1050" s="55" t="n"/>
      <c r="J1050" s="55" t="n"/>
      <c r="K1050" s="55" t="n"/>
      <c r="L1050" s="100">
        <f>IF(OR($C1050="",$I1050="Оплачено",$I1050="Отменено",$H1050&lt;&gt;""),"",$C1050-TODAY())</f>
        <v/>
      </c>
      <c r="M1050" s="101">
        <f>IF($C1050="","",INDEX(Настройки!$V$6:$V$17,MONTH($C1050))&amp;" "&amp;YEAR($C1050))</f>
        <v/>
      </c>
      <c r="N1050" s="57">
        <f>IF($F1050="","",IF(COUNTIF(Постоянные!$C$8:$C$37,$F1050)&gt;0,"есть в Постоянных",IF(COUNTIF(Покупки!$C$7:$C$18,$F1050)&gt;0,"есть в Покупках","")))</f>
        <v/>
      </c>
      <c r="P1050">
        <f>IF($H1050&lt;&gt;"",$H1050,IF($I1050="Оплачено",N($G1050),0))</f>
        <v/>
      </c>
      <c r="Q1050">
        <f>IF($I1050="Отменено",0,IF($G1050&lt;&gt;"",$G1050,N($H1050)))</f>
        <v/>
      </c>
      <c r="R1050">
        <f>IF($C1050="","",IFERROR(DATE(Настройки!$C$8,Настройки!$D$9+MATCH($M1050,Настройки!$X$6:$X$17,0)-1,1),DATE(YEAR($C1050),MONTH($C1050),1)))</f>
        <v/>
      </c>
      <c r="S1050">
        <f>IF(OR($I1050="Оплачено",$H1050&lt;&gt;""),$P1050,$Q1050)</f>
        <v/>
      </c>
      <c r="T1050">
        <f>IF(OR($C1050="",$D1050="Доход",$I1050="Оплачено",$I1050="Отменено",$H1050&lt;&gt;"",$C1050&lt;TODAY()),"",$C1050)</f>
        <v/>
      </c>
      <c r="U1050">
        <f>IF(AND($D1050&lt;&gt;"Доход",COUNTIFS(Счета!$B$10:$B$21,$J1050,Счета!$C$10:$C$21,"Кредитная")&gt;0),1,0)</f>
        <v/>
      </c>
    </row>
    <row r="1051" ht="19" customHeight="1">
      <c r="B1051" s="53">
        <f>IF(AND($C1051="",$F1051=""),"",ROW()-9)</f>
        <v/>
      </c>
      <c r="C1051" s="213" t="n"/>
      <c r="D1051" s="55" t="n"/>
      <c r="E1051" s="55" t="n"/>
      <c r="F1051" s="56" t="n"/>
      <c r="G1051" s="196" t="n"/>
      <c r="H1051" s="196" t="n"/>
      <c r="I1051" s="55" t="n"/>
      <c r="J1051" s="55" t="n"/>
      <c r="K1051" s="55" t="n"/>
      <c r="L1051" s="100">
        <f>IF(OR($C1051="",$I1051="Оплачено",$I1051="Отменено",$H1051&lt;&gt;""),"",$C1051-TODAY())</f>
        <v/>
      </c>
      <c r="M1051" s="101">
        <f>IF($C1051="","",INDEX(Настройки!$V$6:$V$17,MONTH($C1051))&amp;" "&amp;YEAR($C1051))</f>
        <v/>
      </c>
      <c r="N1051" s="57">
        <f>IF($F1051="","",IF(COUNTIF(Постоянные!$C$8:$C$37,$F1051)&gt;0,"есть в Постоянных",IF(COUNTIF(Покупки!$C$7:$C$18,$F1051)&gt;0,"есть в Покупках","")))</f>
        <v/>
      </c>
      <c r="P1051">
        <f>IF($H1051&lt;&gt;"",$H1051,IF($I1051="Оплачено",N($G1051),0))</f>
        <v/>
      </c>
      <c r="Q1051">
        <f>IF($I1051="Отменено",0,IF($G1051&lt;&gt;"",$G1051,N($H1051)))</f>
        <v/>
      </c>
      <c r="R1051">
        <f>IF($C1051="","",IFERROR(DATE(Настройки!$C$8,Настройки!$D$9+MATCH($M1051,Настройки!$X$6:$X$17,0)-1,1),DATE(YEAR($C1051),MONTH($C1051),1)))</f>
        <v/>
      </c>
      <c r="S1051">
        <f>IF(OR($I1051="Оплачено",$H1051&lt;&gt;""),$P1051,$Q1051)</f>
        <v/>
      </c>
      <c r="T1051">
        <f>IF(OR($C1051="",$D1051="Доход",$I1051="Оплачено",$I1051="Отменено",$H1051&lt;&gt;"",$C1051&lt;TODAY()),"",$C1051)</f>
        <v/>
      </c>
      <c r="U1051">
        <f>IF(AND($D1051&lt;&gt;"Доход",COUNTIFS(Счета!$B$10:$B$21,$J1051,Счета!$C$10:$C$21,"Кредитная")&gt;0),1,0)</f>
        <v/>
      </c>
    </row>
    <row r="1052" ht="19" customHeight="1">
      <c r="B1052" s="53">
        <f>IF(AND($C1052="",$F1052=""),"",ROW()-9)</f>
        <v/>
      </c>
      <c r="C1052" s="213" t="n"/>
      <c r="D1052" s="55" t="n"/>
      <c r="E1052" s="55" t="n"/>
      <c r="F1052" s="56" t="n"/>
      <c r="G1052" s="196" t="n"/>
      <c r="H1052" s="196" t="n"/>
      <c r="I1052" s="55" t="n"/>
      <c r="J1052" s="55" t="n"/>
      <c r="K1052" s="55" t="n"/>
      <c r="L1052" s="100">
        <f>IF(OR($C1052="",$I1052="Оплачено",$I1052="Отменено",$H1052&lt;&gt;""),"",$C1052-TODAY())</f>
        <v/>
      </c>
      <c r="M1052" s="101">
        <f>IF($C1052="","",INDEX(Настройки!$V$6:$V$17,MONTH($C1052))&amp;" "&amp;YEAR($C1052))</f>
        <v/>
      </c>
      <c r="N1052" s="57">
        <f>IF($F1052="","",IF(COUNTIF(Постоянные!$C$8:$C$37,$F1052)&gt;0,"есть в Постоянных",IF(COUNTIF(Покупки!$C$7:$C$18,$F1052)&gt;0,"есть в Покупках","")))</f>
        <v/>
      </c>
      <c r="P1052">
        <f>IF($H1052&lt;&gt;"",$H1052,IF($I1052="Оплачено",N($G1052),0))</f>
        <v/>
      </c>
      <c r="Q1052">
        <f>IF($I1052="Отменено",0,IF($G1052&lt;&gt;"",$G1052,N($H1052)))</f>
        <v/>
      </c>
      <c r="R1052">
        <f>IF($C1052="","",IFERROR(DATE(Настройки!$C$8,Настройки!$D$9+MATCH($M1052,Настройки!$X$6:$X$17,0)-1,1),DATE(YEAR($C1052),MONTH($C1052),1)))</f>
        <v/>
      </c>
      <c r="S1052">
        <f>IF(OR($I1052="Оплачено",$H1052&lt;&gt;""),$P1052,$Q1052)</f>
        <v/>
      </c>
      <c r="T1052">
        <f>IF(OR($C1052="",$D1052="Доход",$I1052="Оплачено",$I1052="Отменено",$H1052&lt;&gt;"",$C1052&lt;TODAY()),"",$C1052)</f>
        <v/>
      </c>
      <c r="U1052">
        <f>IF(AND($D1052&lt;&gt;"Доход",COUNTIFS(Счета!$B$10:$B$21,$J1052,Счета!$C$10:$C$21,"Кредитная")&gt;0),1,0)</f>
        <v/>
      </c>
    </row>
    <row r="1053" ht="19" customHeight="1">
      <c r="B1053" s="53">
        <f>IF(AND($C1053="",$F1053=""),"",ROW()-9)</f>
        <v/>
      </c>
      <c r="C1053" s="213" t="n"/>
      <c r="D1053" s="55" t="n"/>
      <c r="E1053" s="55" t="n"/>
      <c r="F1053" s="56" t="n"/>
      <c r="G1053" s="196" t="n"/>
      <c r="H1053" s="196" t="n"/>
      <c r="I1053" s="55" t="n"/>
      <c r="J1053" s="55" t="n"/>
      <c r="K1053" s="55" t="n"/>
      <c r="L1053" s="100">
        <f>IF(OR($C1053="",$I1053="Оплачено",$I1053="Отменено",$H1053&lt;&gt;""),"",$C1053-TODAY())</f>
        <v/>
      </c>
      <c r="M1053" s="101">
        <f>IF($C1053="","",INDEX(Настройки!$V$6:$V$17,MONTH($C1053))&amp;" "&amp;YEAR($C1053))</f>
        <v/>
      </c>
      <c r="N1053" s="57">
        <f>IF($F1053="","",IF(COUNTIF(Постоянные!$C$8:$C$37,$F1053)&gt;0,"есть в Постоянных",IF(COUNTIF(Покупки!$C$7:$C$18,$F1053)&gt;0,"есть в Покупках","")))</f>
        <v/>
      </c>
      <c r="P1053">
        <f>IF($H1053&lt;&gt;"",$H1053,IF($I1053="Оплачено",N($G1053),0))</f>
        <v/>
      </c>
      <c r="Q1053">
        <f>IF($I1053="Отменено",0,IF($G1053&lt;&gt;"",$G1053,N($H1053)))</f>
        <v/>
      </c>
      <c r="R1053">
        <f>IF($C1053="","",IFERROR(DATE(Настройки!$C$8,Настройки!$D$9+MATCH($M1053,Настройки!$X$6:$X$17,0)-1,1),DATE(YEAR($C1053),MONTH($C1053),1)))</f>
        <v/>
      </c>
      <c r="S1053">
        <f>IF(OR($I1053="Оплачено",$H1053&lt;&gt;""),$P1053,$Q1053)</f>
        <v/>
      </c>
      <c r="T1053">
        <f>IF(OR($C1053="",$D1053="Доход",$I1053="Оплачено",$I1053="Отменено",$H1053&lt;&gt;"",$C1053&lt;TODAY()),"",$C1053)</f>
        <v/>
      </c>
      <c r="U1053">
        <f>IF(AND($D1053&lt;&gt;"Доход",COUNTIFS(Счета!$B$10:$B$21,$J1053,Счета!$C$10:$C$21,"Кредитная")&gt;0),1,0)</f>
        <v/>
      </c>
    </row>
    <row r="1054" ht="19" customHeight="1">
      <c r="B1054" s="53">
        <f>IF(AND($C1054="",$F1054=""),"",ROW()-9)</f>
        <v/>
      </c>
      <c r="C1054" s="213" t="n"/>
      <c r="D1054" s="55" t="n"/>
      <c r="E1054" s="55" t="n"/>
      <c r="F1054" s="56" t="n"/>
      <c r="G1054" s="196" t="n"/>
      <c r="H1054" s="196" t="n"/>
      <c r="I1054" s="55" t="n"/>
      <c r="J1054" s="55" t="n"/>
      <c r="K1054" s="55" t="n"/>
      <c r="L1054" s="100">
        <f>IF(OR($C1054="",$I1054="Оплачено",$I1054="Отменено",$H1054&lt;&gt;""),"",$C1054-TODAY())</f>
        <v/>
      </c>
      <c r="M1054" s="101">
        <f>IF($C1054="","",INDEX(Настройки!$V$6:$V$17,MONTH($C1054))&amp;" "&amp;YEAR($C1054))</f>
        <v/>
      </c>
      <c r="N1054" s="57">
        <f>IF($F1054="","",IF(COUNTIF(Постоянные!$C$8:$C$37,$F1054)&gt;0,"есть в Постоянных",IF(COUNTIF(Покупки!$C$7:$C$18,$F1054)&gt;0,"есть в Покупках","")))</f>
        <v/>
      </c>
      <c r="P1054">
        <f>IF($H1054&lt;&gt;"",$H1054,IF($I1054="Оплачено",N($G1054),0))</f>
        <v/>
      </c>
      <c r="Q1054">
        <f>IF($I1054="Отменено",0,IF($G1054&lt;&gt;"",$G1054,N($H1054)))</f>
        <v/>
      </c>
      <c r="R1054">
        <f>IF($C1054="","",IFERROR(DATE(Настройки!$C$8,Настройки!$D$9+MATCH($M1054,Настройки!$X$6:$X$17,0)-1,1),DATE(YEAR($C1054),MONTH($C1054),1)))</f>
        <v/>
      </c>
      <c r="S1054">
        <f>IF(OR($I1054="Оплачено",$H1054&lt;&gt;""),$P1054,$Q1054)</f>
        <v/>
      </c>
      <c r="T1054">
        <f>IF(OR($C1054="",$D1054="Доход",$I1054="Оплачено",$I1054="Отменено",$H1054&lt;&gt;"",$C1054&lt;TODAY()),"",$C1054)</f>
        <v/>
      </c>
      <c r="U1054">
        <f>IF(AND($D1054&lt;&gt;"Доход",COUNTIFS(Счета!$B$10:$B$21,$J1054,Счета!$C$10:$C$21,"Кредитная")&gt;0),1,0)</f>
        <v/>
      </c>
    </row>
    <row r="1055" ht="19" customHeight="1">
      <c r="B1055" s="53">
        <f>IF(AND($C1055="",$F1055=""),"",ROW()-9)</f>
        <v/>
      </c>
      <c r="C1055" s="213" t="n"/>
      <c r="D1055" s="55" t="n"/>
      <c r="E1055" s="55" t="n"/>
      <c r="F1055" s="56" t="n"/>
      <c r="G1055" s="196" t="n"/>
      <c r="H1055" s="196" t="n"/>
      <c r="I1055" s="55" t="n"/>
      <c r="J1055" s="55" t="n"/>
      <c r="K1055" s="55" t="n"/>
      <c r="L1055" s="100">
        <f>IF(OR($C1055="",$I1055="Оплачено",$I1055="Отменено",$H1055&lt;&gt;""),"",$C1055-TODAY())</f>
        <v/>
      </c>
      <c r="M1055" s="101">
        <f>IF($C1055="","",INDEX(Настройки!$V$6:$V$17,MONTH($C1055))&amp;" "&amp;YEAR($C1055))</f>
        <v/>
      </c>
      <c r="N1055" s="57">
        <f>IF($F1055="","",IF(COUNTIF(Постоянные!$C$8:$C$37,$F1055)&gt;0,"есть в Постоянных",IF(COUNTIF(Покупки!$C$7:$C$18,$F1055)&gt;0,"есть в Покупках","")))</f>
        <v/>
      </c>
      <c r="P1055">
        <f>IF($H1055&lt;&gt;"",$H1055,IF($I1055="Оплачено",N($G1055),0))</f>
        <v/>
      </c>
      <c r="Q1055">
        <f>IF($I1055="Отменено",0,IF($G1055&lt;&gt;"",$G1055,N($H1055)))</f>
        <v/>
      </c>
      <c r="R1055">
        <f>IF($C1055="","",IFERROR(DATE(Настройки!$C$8,Настройки!$D$9+MATCH($M1055,Настройки!$X$6:$X$17,0)-1,1),DATE(YEAR($C1055),MONTH($C1055),1)))</f>
        <v/>
      </c>
      <c r="S1055">
        <f>IF(OR($I1055="Оплачено",$H1055&lt;&gt;""),$P1055,$Q1055)</f>
        <v/>
      </c>
      <c r="T1055">
        <f>IF(OR($C1055="",$D1055="Доход",$I1055="Оплачено",$I1055="Отменено",$H1055&lt;&gt;"",$C1055&lt;TODAY()),"",$C1055)</f>
        <v/>
      </c>
      <c r="U1055">
        <f>IF(AND($D1055&lt;&gt;"Доход",COUNTIFS(Счета!$B$10:$B$21,$J1055,Счета!$C$10:$C$21,"Кредитная")&gt;0),1,0)</f>
        <v/>
      </c>
    </row>
    <row r="1056" ht="19" customHeight="1">
      <c r="B1056" s="53">
        <f>IF(AND($C1056="",$F1056=""),"",ROW()-9)</f>
        <v/>
      </c>
      <c r="C1056" s="213" t="n"/>
      <c r="D1056" s="55" t="n"/>
      <c r="E1056" s="55" t="n"/>
      <c r="F1056" s="56" t="n"/>
      <c r="G1056" s="196" t="n"/>
      <c r="H1056" s="196" t="n"/>
      <c r="I1056" s="55" t="n"/>
      <c r="J1056" s="55" t="n"/>
      <c r="K1056" s="55" t="n"/>
      <c r="L1056" s="100">
        <f>IF(OR($C1056="",$I1056="Оплачено",$I1056="Отменено",$H1056&lt;&gt;""),"",$C1056-TODAY())</f>
        <v/>
      </c>
      <c r="M1056" s="101">
        <f>IF($C1056="","",INDEX(Настройки!$V$6:$V$17,MONTH($C1056))&amp;" "&amp;YEAR($C1056))</f>
        <v/>
      </c>
      <c r="N1056" s="57">
        <f>IF($F1056="","",IF(COUNTIF(Постоянные!$C$8:$C$37,$F1056)&gt;0,"есть в Постоянных",IF(COUNTIF(Покупки!$C$7:$C$18,$F1056)&gt;0,"есть в Покупках","")))</f>
        <v/>
      </c>
      <c r="P1056">
        <f>IF($H1056&lt;&gt;"",$H1056,IF($I1056="Оплачено",N($G1056),0))</f>
        <v/>
      </c>
      <c r="Q1056">
        <f>IF($I1056="Отменено",0,IF($G1056&lt;&gt;"",$G1056,N($H1056)))</f>
        <v/>
      </c>
      <c r="R1056">
        <f>IF($C1056="","",IFERROR(DATE(Настройки!$C$8,Настройки!$D$9+MATCH($M1056,Настройки!$X$6:$X$17,0)-1,1),DATE(YEAR($C1056),MONTH($C1056),1)))</f>
        <v/>
      </c>
      <c r="S1056">
        <f>IF(OR($I1056="Оплачено",$H1056&lt;&gt;""),$P1056,$Q1056)</f>
        <v/>
      </c>
      <c r="T1056">
        <f>IF(OR($C1056="",$D1056="Доход",$I1056="Оплачено",$I1056="Отменено",$H1056&lt;&gt;"",$C1056&lt;TODAY()),"",$C1056)</f>
        <v/>
      </c>
      <c r="U1056">
        <f>IF(AND($D1056&lt;&gt;"Доход",COUNTIFS(Счета!$B$10:$B$21,$J1056,Счета!$C$10:$C$21,"Кредитная")&gt;0),1,0)</f>
        <v/>
      </c>
    </row>
    <row r="1057" ht="19" customHeight="1">
      <c r="B1057" s="53">
        <f>IF(AND($C1057="",$F1057=""),"",ROW()-9)</f>
        <v/>
      </c>
      <c r="C1057" s="213" t="n"/>
      <c r="D1057" s="55" t="n"/>
      <c r="E1057" s="55" t="n"/>
      <c r="F1057" s="56" t="n"/>
      <c r="G1057" s="196" t="n"/>
      <c r="H1057" s="196" t="n"/>
      <c r="I1057" s="55" t="n"/>
      <c r="J1057" s="55" t="n"/>
      <c r="K1057" s="55" t="n"/>
      <c r="L1057" s="100">
        <f>IF(OR($C1057="",$I1057="Оплачено",$I1057="Отменено",$H1057&lt;&gt;""),"",$C1057-TODAY())</f>
        <v/>
      </c>
      <c r="M1057" s="101">
        <f>IF($C1057="","",INDEX(Настройки!$V$6:$V$17,MONTH($C1057))&amp;" "&amp;YEAR($C1057))</f>
        <v/>
      </c>
      <c r="N1057" s="57">
        <f>IF($F1057="","",IF(COUNTIF(Постоянные!$C$8:$C$37,$F1057)&gt;0,"есть в Постоянных",IF(COUNTIF(Покупки!$C$7:$C$18,$F1057)&gt;0,"есть в Покупках","")))</f>
        <v/>
      </c>
      <c r="P1057">
        <f>IF($H1057&lt;&gt;"",$H1057,IF($I1057="Оплачено",N($G1057),0))</f>
        <v/>
      </c>
      <c r="Q1057">
        <f>IF($I1057="Отменено",0,IF($G1057&lt;&gt;"",$G1057,N($H1057)))</f>
        <v/>
      </c>
      <c r="R1057">
        <f>IF($C1057="","",IFERROR(DATE(Настройки!$C$8,Настройки!$D$9+MATCH($M1057,Настройки!$X$6:$X$17,0)-1,1),DATE(YEAR($C1057),MONTH($C1057),1)))</f>
        <v/>
      </c>
      <c r="S1057">
        <f>IF(OR($I1057="Оплачено",$H1057&lt;&gt;""),$P1057,$Q1057)</f>
        <v/>
      </c>
      <c r="T1057">
        <f>IF(OR($C1057="",$D1057="Доход",$I1057="Оплачено",$I1057="Отменено",$H1057&lt;&gt;"",$C1057&lt;TODAY()),"",$C1057)</f>
        <v/>
      </c>
      <c r="U1057">
        <f>IF(AND($D1057&lt;&gt;"Доход",COUNTIFS(Счета!$B$10:$B$21,$J1057,Счета!$C$10:$C$21,"Кредитная")&gt;0),1,0)</f>
        <v/>
      </c>
    </row>
    <row r="1058" ht="19" customHeight="1">
      <c r="B1058" s="53">
        <f>IF(AND($C1058="",$F1058=""),"",ROW()-9)</f>
        <v/>
      </c>
      <c r="C1058" s="213" t="n"/>
      <c r="D1058" s="55" t="n"/>
      <c r="E1058" s="55" t="n"/>
      <c r="F1058" s="56" t="n"/>
      <c r="G1058" s="196" t="n"/>
      <c r="H1058" s="196" t="n"/>
      <c r="I1058" s="55" t="n"/>
      <c r="J1058" s="55" t="n"/>
      <c r="K1058" s="55" t="n"/>
      <c r="L1058" s="100">
        <f>IF(OR($C1058="",$I1058="Оплачено",$I1058="Отменено",$H1058&lt;&gt;""),"",$C1058-TODAY())</f>
        <v/>
      </c>
      <c r="M1058" s="101">
        <f>IF($C1058="","",INDEX(Настройки!$V$6:$V$17,MONTH($C1058))&amp;" "&amp;YEAR($C1058))</f>
        <v/>
      </c>
      <c r="N1058" s="57">
        <f>IF($F1058="","",IF(COUNTIF(Постоянные!$C$8:$C$37,$F1058)&gt;0,"есть в Постоянных",IF(COUNTIF(Покупки!$C$7:$C$18,$F1058)&gt;0,"есть в Покупках","")))</f>
        <v/>
      </c>
      <c r="P1058">
        <f>IF($H1058&lt;&gt;"",$H1058,IF($I1058="Оплачено",N($G1058),0))</f>
        <v/>
      </c>
      <c r="Q1058">
        <f>IF($I1058="Отменено",0,IF($G1058&lt;&gt;"",$G1058,N($H1058)))</f>
        <v/>
      </c>
      <c r="R1058">
        <f>IF($C1058="","",IFERROR(DATE(Настройки!$C$8,Настройки!$D$9+MATCH($M1058,Настройки!$X$6:$X$17,0)-1,1),DATE(YEAR($C1058),MONTH($C1058),1)))</f>
        <v/>
      </c>
      <c r="S1058">
        <f>IF(OR($I1058="Оплачено",$H1058&lt;&gt;""),$P1058,$Q1058)</f>
        <v/>
      </c>
      <c r="T1058">
        <f>IF(OR($C1058="",$D1058="Доход",$I1058="Оплачено",$I1058="Отменено",$H1058&lt;&gt;"",$C1058&lt;TODAY()),"",$C1058)</f>
        <v/>
      </c>
      <c r="U1058">
        <f>IF(AND($D1058&lt;&gt;"Доход",COUNTIFS(Счета!$B$10:$B$21,$J1058,Счета!$C$10:$C$21,"Кредитная")&gt;0),1,0)</f>
        <v/>
      </c>
    </row>
    <row r="1059" ht="19" customHeight="1">
      <c r="B1059" s="53">
        <f>IF(AND($C1059="",$F1059=""),"",ROW()-9)</f>
        <v/>
      </c>
      <c r="C1059" s="213" t="n"/>
      <c r="D1059" s="55" t="n"/>
      <c r="E1059" s="55" t="n"/>
      <c r="F1059" s="56" t="n"/>
      <c r="G1059" s="196" t="n"/>
      <c r="H1059" s="196" t="n"/>
      <c r="I1059" s="55" t="n"/>
      <c r="J1059" s="55" t="n"/>
      <c r="K1059" s="55" t="n"/>
      <c r="L1059" s="100">
        <f>IF(OR($C1059="",$I1059="Оплачено",$I1059="Отменено",$H1059&lt;&gt;""),"",$C1059-TODAY())</f>
        <v/>
      </c>
      <c r="M1059" s="101">
        <f>IF($C1059="","",INDEX(Настройки!$V$6:$V$17,MONTH($C1059))&amp;" "&amp;YEAR($C1059))</f>
        <v/>
      </c>
      <c r="N1059" s="57">
        <f>IF($F1059="","",IF(COUNTIF(Постоянные!$C$8:$C$37,$F1059)&gt;0,"есть в Постоянных",IF(COUNTIF(Покупки!$C$7:$C$18,$F1059)&gt;0,"есть в Покупках","")))</f>
        <v/>
      </c>
      <c r="P1059">
        <f>IF($H1059&lt;&gt;"",$H1059,IF($I1059="Оплачено",N($G1059),0))</f>
        <v/>
      </c>
      <c r="Q1059">
        <f>IF($I1059="Отменено",0,IF($G1059&lt;&gt;"",$G1059,N($H1059)))</f>
        <v/>
      </c>
      <c r="R1059">
        <f>IF($C1059="","",IFERROR(DATE(Настройки!$C$8,Настройки!$D$9+MATCH($M1059,Настройки!$X$6:$X$17,0)-1,1),DATE(YEAR($C1059),MONTH($C1059),1)))</f>
        <v/>
      </c>
      <c r="S1059">
        <f>IF(OR($I1059="Оплачено",$H1059&lt;&gt;""),$P1059,$Q1059)</f>
        <v/>
      </c>
      <c r="T1059">
        <f>IF(OR($C1059="",$D1059="Доход",$I1059="Оплачено",$I1059="Отменено",$H1059&lt;&gt;"",$C1059&lt;TODAY()),"",$C1059)</f>
        <v/>
      </c>
      <c r="U1059">
        <f>IF(AND($D1059&lt;&gt;"Доход",COUNTIFS(Счета!$B$10:$B$21,$J1059,Счета!$C$10:$C$21,"Кредитная")&gt;0),1,0)</f>
        <v/>
      </c>
    </row>
    <row r="1060" ht="19" customHeight="1">
      <c r="B1060" s="53">
        <f>IF(AND($C1060="",$F1060=""),"",ROW()-9)</f>
        <v/>
      </c>
      <c r="C1060" s="213" t="n"/>
      <c r="D1060" s="55" t="n"/>
      <c r="E1060" s="55" t="n"/>
      <c r="F1060" s="56" t="n"/>
      <c r="G1060" s="196" t="n"/>
      <c r="H1060" s="196" t="n"/>
      <c r="I1060" s="55" t="n"/>
      <c r="J1060" s="55" t="n"/>
      <c r="K1060" s="55" t="n"/>
      <c r="L1060" s="100">
        <f>IF(OR($C1060="",$I1060="Оплачено",$I1060="Отменено",$H1060&lt;&gt;""),"",$C1060-TODAY())</f>
        <v/>
      </c>
      <c r="M1060" s="101">
        <f>IF($C1060="","",INDEX(Настройки!$V$6:$V$17,MONTH($C1060))&amp;" "&amp;YEAR($C1060))</f>
        <v/>
      </c>
      <c r="N1060" s="57">
        <f>IF($F1060="","",IF(COUNTIF(Постоянные!$C$8:$C$37,$F1060)&gt;0,"есть в Постоянных",IF(COUNTIF(Покупки!$C$7:$C$18,$F1060)&gt;0,"есть в Покупках","")))</f>
        <v/>
      </c>
      <c r="P1060">
        <f>IF($H1060&lt;&gt;"",$H1060,IF($I1060="Оплачено",N($G1060),0))</f>
        <v/>
      </c>
      <c r="Q1060">
        <f>IF($I1060="Отменено",0,IF($G1060&lt;&gt;"",$G1060,N($H1060)))</f>
        <v/>
      </c>
      <c r="R1060">
        <f>IF($C1060="","",IFERROR(DATE(Настройки!$C$8,Настройки!$D$9+MATCH($M1060,Настройки!$X$6:$X$17,0)-1,1),DATE(YEAR($C1060),MONTH($C1060),1)))</f>
        <v/>
      </c>
      <c r="S1060">
        <f>IF(OR($I1060="Оплачено",$H1060&lt;&gt;""),$P1060,$Q1060)</f>
        <v/>
      </c>
      <c r="T1060">
        <f>IF(OR($C1060="",$D1060="Доход",$I1060="Оплачено",$I1060="Отменено",$H1060&lt;&gt;"",$C1060&lt;TODAY()),"",$C1060)</f>
        <v/>
      </c>
      <c r="U1060">
        <f>IF(AND($D1060&lt;&gt;"Доход",COUNTIFS(Счета!$B$10:$B$21,$J1060,Счета!$C$10:$C$21,"Кредитная")&gt;0),1,0)</f>
        <v/>
      </c>
    </row>
    <row r="1061" ht="19" customHeight="1">
      <c r="B1061" s="53">
        <f>IF(AND($C1061="",$F1061=""),"",ROW()-9)</f>
        <v/>
      </c>
      <c r="C1061" s="213" t="n"/>
      <c r="D1061" s="55" t="n"/>
      <c r="E1061" s="55" t="n"/>
      <c r="F1061" s="56" t="n"/>
      <c r="G1061" s="196" t="n"/>
      <c r="H1061" s="196" t="n"/>
      <c r="I1061" s="55" t="n"/>
      <c r="J1061" s="55" t="n"/>
      <c r="K1061" s="55" t="n"/>
      <c r="L1061" s="100">
        <f>IF(OR($C1061="",$I1061="Оплачено",$I1061="Отменено",$H1061&lt;&gt;""),"",$C1061-TODAY())</f>
        <v/>
      </c>
      <c r="M1061" s="101">
        <f>IF($C1061="","",INDEX(Настройки!$V$6:$V$17,MONTH($C1061))&amp;" "&amp;YEAR($C1061))</f>
        <v/>
      </c>
      <c r="N1061" s="57">
        <f>IF($F1061="","",IF(COUNTIF(Постоянные!$C$8:$C$37,$F1061)&gt;0,"есть в Постоянных",IF(COUNTIF(Покупки!$C$7:$C$18,$F1061)&gt;0,"есть в Покупках","")))</f>
        <v/>
      </c>
      <c r="P1061">
        <f>IF($H1061&lt;&gt;"",$H1061,IF($I1061="Оплачено",N($G1061),0))</f>
        <v/>
      </c>
      <c r="Q1061">
        <f>IF($I1061="Отменено",0,IF($G1061&lt;&gt;"",$G1061,N($H1061)))</f>
        <v/>
      </c>
      <c r="R1061">
        <f>IF($C1061="","",IFERROR(DATE(Настройки!$C$8,Настройки!$D$9+MATCH($M1061,Настройки!$X$6:$X$17,0)-1,1),DATE(YEAR($C1061),MONTH($C1061),1)))</f>
        <v/>
      </c>
      <c r="S1061">
        <f>IF(OR($I1061="Оплачено",$H1061&lt;&gt;""),$P1061,$Q1061)</f>
        <v/>
      </c>
      <c r="T1061">
        <f>IF(OR($C1061="",$D1061="Доход",$I1061="Оплачено",$I1061="Отменено",$H1061&lt;&gt;"",$C1061&lt;TODAY()),"",$C1061)</f>
        <v/>
      </c>
      <c r="U1061">
        <f>IF(AND($D1061&lt;&gt;"Доход",COUNTIFS(Счета!$B$10:$B$21,$J1061,Счета!$C$10:$C$21,"Кредитная")&gt;0),1,0)</f>
        <v/>
      </c>
    </row>
    <row r="1062" ht="19" customHeight="1">
      <c r="B1062" s="53">
        <f>IF(AND($C1062="",$F1062=""),"",ROW()-9)</f>
        <v/>
      </c>
      <c r="C1062" s="213" t="n"/>
      <c r="D1062" s="55" t="n"/>
      <c r="E1062" s="55" t="n"/>
      <c r="F1062" s="56" t="n"/>
      <c r="G1062" s="196" t="n"/>
      <c r="H1062" s="196" t="n"/>
      <c r="I1062" s="55" t="n"/>
      <c r="J1062" s="55" t="n"/>
      <c r="K1062" s="55" t="n"/>
      <c r="L1062" s="100">
        <f>IF(OR($C1062="",$I1062="Оплачено",$I1062="Отменено",$H1062&lt;&gt;""),"",$C1062-TODAY())</f>
        <v/>
      </c>
      <c r="M1062" s="101">
        <f>IF($C1062="","",INDEX(Настройки!$V$6:$V$17,MONTH($C1062))&amp;" "&amp;YEAR($C1062))</f>
        <v/>
      </c>
      <c r="N1062" s="57">
        <f>IF($F1062="","",IF(COUNTIF(Постоянные!$C$8:$C$37,$F1062)&gt;0,"есть в Постоянных",IF(COUNTIF(Покупки!$C$7:$C$18,$F1062)&gt;0,"есть в Покупках","")))</f>
        <v/>
      </c>
      <c r="P1062">
        <f>IF($H1062&lt;&gt;"",$H1062,IF($I1062="Оплачено",N($G1062),0))</f>
        <v/>
      </c>
      <c r="Q1062">
        <f>IF($I1062="Отменено",0,IF($G1062&lt;&gt;"",$G1062,N($H1062)))</f>
        <v/>
      </c>
      <c r="R1062">
        <f>IF($C1062="","",IFERROR(DATE(Настройки!$C$8,Настройки!$D$9+MATCH($M1062,Настройки!$X$6:$X$17,0)-1,1),DATE(YEAR($C1062),MONTH($C1062),1)))</f>
        <v/>
      </c>
      <c r="S1062">
        <f>IF(OR($I1062="Оплачено",$H1062&lt;&gt;""),$P1062,$Q1062)</f>
        <v/>
      </c>
      <c r="T1062">
        <f>IF(OR($C1062="",$D1062="Доход",$I1062="Оплачено",$I1062="Отменено",$H1062&lt;&gt;"",$C1062&lt;TODAY()),"",$C1062)</f>
        <v/>
      </c>
      <c r="U1062">
        <f>IF(AND($D1062&lt;&gt;"Доход",COUNTIFS(Счета!$B$10:$B$21,$J1062,Счета!$C$10:$C$21,"Кредитная")&gt;0),1,0)</f>
        <v/>
      </c>
    </row>
    <row r="1063" ht="19" customHeight="1">
      <c r="B1063" s="53">
        <f>IF(AND($C1063="",$F1063=""),"",ROW()-9)</f>
        <v/>
      </c>
      <c r="C1063" s="213" t="n"/>
      <c r="D1063" s="55" t="n"/>
      <c r="E1063" s="55" t="n"/>
      <c r="F1063" s="56" t="n"/>
      <c r="G1063" s="196" t="n"/>
      <c r="H1063" s="196" t="n"/>
      <c r="I1063" s="55" t="n"/>
      <c r="J1063" s="55" t="n"/>
      <c r="K1063" s="55" t="n"/>
      <c r="L1063" s="100">
        <f>IF(OR($C1063="",$I1063="Оплачено",$I1063="Отменено",$H1063&lt;&gt;""),"",$C1063-TODAY())</f>
        <v/>
      </c>
      <c r="M1063" s="101">
        <f>IF($C1063="","",INDEX(Настройки!$V$6:$V$17,MONTH($C1063))&amp;" "&amp;YEAR($C1063))</f>
        <v/>
      </c>
      <c r="N1063" s="57">
        <f>IF($F1063="","",IF(COUNTIF(Постоянные!$C$8:$C$37,$F1063)&gt;0,"есть в Постоянных",IF(COUNTIF(Покупки!$C$7:$C$18,$F1063)&gt;0,"есть в Покупках","")))</f>
        <v/>
      </c>
      <c r="P1063">
        <f>IF($H1063&lt;&gt;"",$H1063,IF($I1063="Оплачено",N($G1063),0))</f>
        <v/>
      </c>
      <c r="Q1063">
        <f>IF($I1063="Отменено",0,IF($G1063&lt;&gt;"",$G1063,N($H1063)))</f>
        <v/>
      </c>
      <c r="R1063">
        <f>IF($C1063="","",IFERROR(DATE(Настройки!$C$8,Настройки!$D$9+MATCH($M1063,Настройки!$X$6:$X$17,0)-1,1),DATE(YEAR($C1063),MONTH($C1063),1)))</f>
        <v/>
      </c>
      <c r="S1063">
        <f>IF(OR($I1063="Оплачено",$H1063&lt;&gt;""),$P1063,$Q1063)</f>
        <v/>
      </c>
      <c r="T1063">
        <f>IF(OR($C1063="",$D1063="Доход",$I1063="Оплачено",$I1063="Отменено",$H1063&lt;&gt;"",$C1063&lt;TODAY()),"",$C1063)</f>
        <v/>
      </c>
      <c r="U1063">
        <f>IF(AND($D1063&lt;&gt;"Доход",COUNTIFS(Счета!$B$10:$B$21,$J1063,Счета!$C$10:$C$21,"Кредитная")&gt;0),1,0)</f>
        <v/>
      </c>
    </row>
    <row r="1064" ht="19" customHeight="1">
      <c r="B1064" s="53">
        <f>IF(AND($C1064="",$F1064=""),"",ROW()-9)</f>
        <v/>
      </c>
      <c r="C1064" s="213" t="n"/>
      <c r="D1064" s="55" t="n"/>
      <c r="E1064" s="55" t="n"/>
      <c r="F1064" s="56" t="n"/>
      <c r="G1064" s="196" t="n"/>
      <c r="H1064" s="196" t="n"/>
      <c r="I1064" s="55" t="n"/>
      <c r="J1064" s="55" t="n"/>
      <c r="K1064" s="55" t="n"/>
      <c r="L1064" s="100">
        <f>IF(OR($C1064="",$I1064="Оплачено",$I1064="Отменено",$H1064&lt;&gt;""),"",$C1064-TODAY())</f>
        <v/>
      </c>
      <c r="M1064" s="101">
        <f>IF($C1064="","",INDEX(Настройки!$V$6:$V$17,MONTH($C1064))&amp;" "&amp;YEAR($C1064))</f>
        <v/>
      </c>
      <c r="N1064" s="57">
        <f>IF($F1064="","",IF(COUNTIF(Постоянные!$C$8:$C$37,$F1064)&gt;0,"есть в Постоянных",IF(COUNTIF(Покупки!$C$7:$C$18,$F1064)&gt;0,"есть в Покупках","")))</f>
        <v/>
      </c>
      <c r="P1064">
        <f>IF($H1064&lt;&gt;"",$H1064,IF($I1064="Оплачено",N($G1064),0))</f>
        <v/>
      </c>
      <c r="Q1064">
        <f>IF($I1064="Отменено",0,IF($G1064&lt;&gt;"",$G1064,N($H1064)))</f>
        <v/>
      </c>
      <c r="R1064">
        <f>IF($C1064="","",IFERROR(DATE(Настройки!$C$8,Настройки!$D$9+MATCH($M1064,Настройки!$X$6:$X$17,0)-1,1),DATE(YEAR($C1064),MONTH($C1064),1)))</f>
        <v/>
      </c>
      <c r="S1064">
        <f>IF(OR($I1064="Оплачено",$H1064&lt;&gt;""),$P1064,$Q1064)</f>
        <v/>
      </c>
      <c r="T1064">
        <f>IF(OR($C1064="",$D1064="Доход",$I1064="Оплачено",$I1064="Отменено",$H1064&lt;&gt;"",$C1064&lt;TODAY()),"",$C1064)</f>
        <v/>
      </c>
      <c r="U1064">
        <f>IF(AND($D1064&lt;&gt;"Доход",COUNTIFS(Счета!$B$10:$B$21,$J1064,Счета!$C$10:$C$21,"Кредитная")&gt;0),1,0)</f>
        <v/>
      </c>
    </row>
    <row r="1065" ht="19" customHeight="1">
      <c r="B1065" s="53">
        <f>IF(AND($C1065="",$F1065=""),"",ROW()-9)</f>
        <v/>
      </c>
      <c r="C1065" s="213" t="n"/>
      <c r="D1065" s="55" t="n"/>
      <c r="E1065" s="55" t="n"/>
      <c r="F1065" s="56" t="n"/>
      <c r="G1065" s="196" t="n"/>
      <c r="H1065" s="196" t="n"/>
      <c r="I1065" s="55" t="n"/>
      <c r="J1065" s="55" t="n"/>
      <c r="K1065" s="55" t="n"/>
      <c r="L1065" s="100">
        <f>IF(OR($C1065="",$I1065="Оплачено",$I1065="Отменено",$H1065&lt;&gt;""),"",$C1065-TODAY())</f>
        <v/>
      </c>
      <c r="M1065" s="101">
        <f>IF($C1065="","",INDEX(Настройки!$V$6:$V$17,MONTH($C1065))&amp;" "&amp;YEAR($C1065))</f>
        <v/>
      </c>
      <c r="N1065" s="57">
        <f>IF($F1065="","",IF(COUNTIF(Постоянные!$C$8:$C$37,$F1065)&gt;0,"есть в Постоянных",IF(COUNTIF(Покупки!$C$7:$C$18,$F1065)&gt;0,"есть в Покупках","")))</f>
        <v/>
      </c>
      <c r="P1065">
        <f>IF($H1065&lt;&gt;"",$H1065,IF($I1065="Оплачено",N($G1065),0))</f>
        <v/>
      </c>
      <c r="Q1065">
        <f>IF($I1065="Отменено",0,IF($G1065&lt;&gt;"",$G1065,N($H1065)))</f>
        <v/>
      </c>
      <c r="R1065">
        <f>IF($C1065="","",IFERROR(DATE(Настройки!$C$8,Настройки!$D$9+MATCH($M1065,Настройки!$X$6:$X$17,0)-1,1),DATE(YEAR($C1065),MONTH($C1065),1)))</f>
        <v/>
      </c>
      <c r="S1065">
        <f>IF(OR($I1065="Оплачено",$H1065&lt;&gt;""),$P1065,$Q1065)</f>
        <v/>
      </c>
      <c r="T1065">
        <f>IF(OR($C1065="",$D1065="Доход",$I1065="Оплачено",$I1065="Отменено",$H1065&lt;&gt;"",$C1065&lt;TODAY()),"",$C1065)</f>
        <v/>
      </c>
      <c r="U1065">
        <f>IF(AND($D1065&lt;&gt;"Доход",COUNTIFS(Счета!$B$10:$B$21,$J1065,Счета!$C$10:$C$21,"Кредитная")&gt;0),1,0)</f>
        <v/>
      </c>
    </row>
    <row r="1066" ht="19" customHeight="1">
      <c r="B1066" s="53">
        <f>IF(AND($C1066="",$F1066=""),"",ROW()-9)</f>
        <v/>
      </c>
      <c r="C1066" s="213" t="n"/>
      <c r="D1066" s="55" t="n"/>
      <c r="E1066" s="55" t="n"/>
      <c r="F1066" s="56" t="n"/>
      <c r="G1066" s="196" t="n"/>
      <c r="H1066" s="196" t="n"/>
      <c r="I1066" s="55" t="n"/>
      <c r="J1066" s="55" t="n"/>
      <c r="K1066" s="55" t="n"/>
      <c r="L1066" s="100">
        <f>IF(OR($C1066="",$I1066="Оплачено",$I1066="Отменено",$H1066&lt;&gt;""),"",$C1066-TODAY())</f>
        <v/>
      </c>
      <c r="M1066" s="101">
        <f>IF($C1066="","",INDEX(Настройки!$V$6:$V$17,MONTH($C1066))&amp;" "&amp;YEAR($C1066))</f>
        <v/>
      </c>
      <c r="N1066" s="57">
        <f>IF($F1066="","",IF(COUNTIF(Постоянные!$C$8:$C$37,$F1066)&gt;0,"есть в Постоянных",IF(COUNTIF(Покупки!$C$7:$C$18,$F1066)&gt;0,"есть в Покупках","")))</f>
        <v/>
      </c>
      <c r="P1066">
        <f>IF($H1066&lt;&gt;"",$H1066,IF($I1066="Оплачено",N($G1066),0))</f>
        <v/>
      </c>
      <c r="Q1066">
        <f>IF($I1066="Отменено",0,IF($G1066&lt;&gt;"",$G1066,N($H1066)))</f>
        <v/>
      </c>
      <c r="R1066">
        <f>IF($C1066="","",IFERROR(DATE(Настройки!$C$8,Настройки!$D$9+MATCH($M1066,Настройки!$X$6:$X$17,0)-1,1),DATE(YEAR($C1066),MONTH($C1066),1)))</f>
        <v/>
      </c>
      <c r="S1066">
        <f>IF(OR($I1066="Оплачено",$H1066&lt;&gt;""),$P1066,$Q1066)</f>
        <v/>
      </c>
      <c r="T1066">
        <f>IF(OR($C1066="",$D1066="Доход",$I1066="Оплачено",$I1066="Отменено",$H1066&lt;&gt;"",$C1066&lt;TODAY()),"",$C1066)</f>
        <v/>
      </c>
      <c r="U1066">
        <f>IF(AND($D1066&lt;&gt;"Доход",COUNTIFS(Счета!$B$10:$B$21,$J1066,Счета!$C$10:$C$21,"Кредитная")&gt;0),1,0)</f>
        <v/>
      </c>
    </row>
    <row r="1067" ht="19" customHeight="1">
      <c r="B1067" s="53">
        <f>IF(AND($C1067="",$F1067=""),"",ROW()-9)</f>
        <v/>
      </c>
      <c r="C1067" s="213" t="n"/>
      <c r="D1067" s="55" t="n"/>
      <c r="E1067" s="55" t="n"/>
      <c r="F1067" s="56" t="n"/>
      <c r="G1067" s="196" t="n"/>
      <c r="H1067" s="196" t="n"/>
      <c r="I1067" s="55" t="n"/>
      <c r="J1067" s="55" t="n"/>
      <c r="K1067" s="55" t="n"/>
      <c r="L1067" s="100">
        <f>IF(OR($C1067="",$I1067="Оплачено",$I1067="Отменено",$H1067&lt;&gt;""),"",$C1067-TODAY())</f>
        <v/>
      </c>
      <c r="M1067" s="101">
        <f>IF($C1067="","",INDEX(Настройки!$V$6:$V$17,MONTH($C1067))&amp;" "&amp;YEAR($C1067))</f>
        <v/>
      </c>
      <c r="N1067" s="57">
        <f>IF($F1067="","",IF(COUNTIF(Постоянные!$C$8:$C$37,$F1067)&gt;0,"есть в Постоянных",IF(COUNTIF(Покупки!$C$7:$C$18,$F1067)&gt;0,"есть в Покупках","")))</f>
        <v/>
      </c>
      <c r="P1067">
        <f>IF($H1067&lt;&gt;"",$H1067,IF($I1067="Оплачено",N($G1067),0))</f>
        <v/>
      </c>
      <c r="Q1067">
        <f>IF($I1067="Отменено",0,IF($G1067&lt;&gt;"",$G1067,N($H1067)))</f>
        <v/>
      </c>
      <c r="R1067">
        <f>IF($C1067="","",IFERROR(DATE(Настройки!$C$8,Настройки!$D$9+MATCH($M1067,Настройки!$X$6:$X$17,0)-1,1),DATE(YEAR($C1067),MONTH($C1067),1)))</f>
        <v/>
      </c>
      <c r="S1067">
        <f>IF(OR($I1067="Оплачено",$H1067&lt;&gt;""),$P1067,$Q1067)</f>
        <v/>
      </c>
      <c r="T1067">
        <f>IF(OR($C1067="",$D1067="Доход",$I1067="Оплачено",$I1067="Отменено",$H1067&lt;&gt;"",$C1067&lt;TODAY()),"",$C1067)</f>
        <v/>
      </c>
      <c r="U1067">
        <f>IF(AND($D1067&lt;&gt;"Доход",COUNTIFS(Счета!$B$10:$B$21,$J1067,Счета!$C$10:$C$21,"Кредитная")&gt;0),1,0)</f>
        <v/>
      </c>
    </row>
    <row r="1068" ht="19" customHeight="1">
      <c r="B1068" s="53">
        <f>IF(AND($C1068="",$F1068=""),"",ROW()-9)</f>
        <v/>
      </c>
      <c r="C1068" s="213" t="n"/>
      <c r="D1068" s="55" t="n"/>
      <c r="E1068" s="55" t="n"/>
      <c r="F1068" s="56" t="n"/>
      <c r="G1068" s="196" t="n"/>
      <c r="H1068" s="196" t="n"/>
      <c r="I1068" s="55" t="n"/>
      <c r="J1068" s="55" t="n"/>
      <c r="K1068" s="55" t="n"/>
      <c r="L1068" s="100">
        <f>IF(OR($C1068="",$I1068="Оплачено",$I1068="Отменено",$H1068&lt;&gt;""),"",$C1068-TODAY())</f>
        <v/>
      </c>
      <c r="M1068" s="101">
        <f>IF($C1068="","",INDEX(Настройки!$V$6:$V$17,MONTH($C1068))&amp;" "&amp;YEAR($C1068))</f>
        <v/>
      </c>
      <c r="N1068" s="57">
        <f>IF($F1068="","",IF(COUNTIF(Постоянные!$C$8:$C$37,$F1068)&gt;0,"есть в Постоянных",IF(COUNTIF(Покупки!$C$7:$C$18,$F1068)&gt;0,"есть в Покупках","")))</f>
        <v/>
      </c>
      <c r="P1068">
        <f>IF($H1068&lt;&gt;"",$H1068,IF($I1068="Оплачено",N($G1068),0))</f>
        <v/>
      </c>
      <c r="Q1068">
        <f>IF($I1068="Отменено",0,IF($G1068&lt;&gt;"",$G1068,N($H1068)))</f>
        <v/>
      </c>
      <c r="R1068">
        <f>IF($C1068="","",IFERROR(DATE(Настройки!$C$8,Настройки!$D$9+MATCH($M1068,Настройки!$X$6:$X$17,0)-1,1),DATE(YEAR($C1068),MONTH($C1068),1)))</f>
        <v/>
      </c>
      <c r="S1068">
        <f>IF(OR($I1068="Оплачено",$H1068&lt;&gt;""),$P1068,$Q1068)</f>
        <v/>
      </c>
      <c r="T1068">
        <f>IF(OR($C1068="",$D1068="Доход",$I1068="Оплачено",$I1068="Отменено",$H1068&lt;&gt;"",$C1068&lt;TODAY()),"",$C1068)</f>
        <v/>
      </c>
      <c r="U1068">
        <f>IF(AND($D1068&lt;&gt;"Доход",COUNTIFS(Счета!$B$10:$B$21,$J1068,Счета!$C$10:$C$21,"Кредитная")&gt;0),1,0)</f>
        <v/>
      </c>
    </row>
    <row r="1069" ht="19" customHeight="1">
      <c r="B1069" s="53">
        <f>IF(AND($C1069="",$F1069=""),"",ROW()-9)</f>
        <v/>
      </c>
      <c r="C1069" s="213" t="n"/>
      <c r="D1069" s="55" t="n"/>
      <c r="E1069" s="55" t="n"/>
      <c r="F1069" s="56" t="n"/>
      <c r="G1069" s="196" t="n"/>
      <c r="H1069" s="196" t="n"/>
      <c r="I1069" s="55" t="n"/>
      <c r="J1069" s="55" t="n"/>
      <c r="K1069" s="55" t="n"/>
      <c r="L1069" s="100">
        <f>IF(OR($C1069="",$I1069="Оплачено",$I1069="Отменено",$H1069&lt;&gt;""),"",$C1069-TODAY())</f>
        <v/>
      </c>
      <c r="M1069" s="101">
        <f>IF($C1069="","",INDEX(Настройки!$V$6:$V$17,MONTH($C1069))&amp;" "&amp;YEAR($C1069))</f>
        <v/>
      </c>
      <c r="N1069" s="57">
        <f>IF($F1069="","",IF(COUNTIF(Постоянные!$C$8:$C$37,$F1069)&gt;0,"есть в Постоянных",IF(COUNTIF(Покупки!$C$7:$C$18,$F1069)&gt;0,"есть в Покупках","")))</f>
        <v/>
      </c>
      <c r="P1069">
        <f>IF($H1069&lt;&gt;"",$H1069,IF($I1069="Оплачено",N($G1069),0))</f>
        <v/>
      </c>
      <c r="Q1069">
        <f>IF($I1069="Отменено",0,IF($G1069&lt;&gt;"",$G1069,N($H1069)))</f>
        <v/>
      </c>
      <c r="R1069">
        <f>IF($C1069="","",IFERROR(DATE(Настройки!$C$8,Настройки!$D$9+MATCH($M1069,Настройки!$X$6:$X$17,0)-1,1),DATE(YEAR($C1069),MONTH($C1069),1)))</f>
        <v/>
      </c>
      <c r="S1069">
        <f>IF(OR($I1069="Оплачено",$H1069&lt;&gt;""),$P1069,$Q1069)</f>
        <v/>
      </c>
      <c r="T1069">
        <f>IF(OR($C1069="",$D1069="Доход",$I1069="Оплачено",$I1069="Отменено",$H1069&lt;&gt;"",$C1069&lt;TODAY()),"",$C1069)</f>
        <v/>
      </c>
      <c r="U1069">
        <f>IF(AND($D1069&lt;&gt;"Доход",COUNTIFS(Счета!$B$10:$B$21,$J1069,Счета!$C$10:$C$21,"Кредитная")&gt;0),1,0)</f>
        <v/>
      </c>
    </row>
    <row r="1070" ht="19" customHeight="1">
      <c r="B1070" s="53">
        <f>IF(AND($C1070="",$F1070=""),"",ROW()-9)</f>
        <v/>
      </c>
      <c r="C1070" s="213" t="n"/>
      <c r="D1070" s="55" t="n"/>
      <c r="E1070" s="55" t="n"/>
      <c r="F1070" s="56" t="n"/>
      <c r="G1070" s="196" t="n"/>
      <c r="H1070" s="196" t="n"/>
      <c r="I1070" s="55" t="n"/>
      <c r="J1070" s="55" t="n"/>
      <c r="K1070" s="55" t="n"/>
      <c r="L1070" s="100">
        <f>IF(OR($C1070="",$I1070="Оплачено",$I1070="Отменено",$H1070&lt;&gt;""),"",$C1070-TODAY())</f>
        <v/>
      </c>
      <c r="M1070" s="101">
        <f>IF($C1070="","",INDEX(Настройки!$V$6:$V$17,MONTH($C1070))&amp;" "&amp;YEAR($C1070))</f>
        <v/>
      </c>
      <c r="N1070" s="57">
        <f>IF($F1070="","",IF(COUNTIF(Постоянные!$C$8:$C$37,$F1070)&gt;0,"есть в Постоянных",IF(COUNTIF(Покупки!$C$7:$C$18,$F1070)&gt;0,"есть в Покупках","")))</f>
        <v/>
      </c>
      <c r="P1070">
        <f>IF($H1070&lt;&gt;"",$H1070,IF($I1070="Оплачено",N($G1070),0))</f>
        <v/>
      </c>
      <c r="Q1070">
        <f>IF($I1070="Отменено",0,IF($G1070&lt;&gt;"",$G1070,N($H1070)))</f>
        <v/>
      </c>
      <c r="R1070">
        <f>IF($C1070="","",IFERROR(DATE(Настройки!$C$8,Настройки!$D$9+MATCH($M1070,Настройки!$X$6:$X$17,0)-1,1),DATE(YEAR($C1070),MONTH($C1070),1)))</f>
        <v/>
      </c>
      <c r="S1070">
        <f>IF(OR($I1070="Оплачено",$H1070&lt;&gt;""),$P1070,$Q1070)</f>
        <v/>
      </c>
      <c r="T1070">
        <f>IF(OR($C1070="",$D1070="Доход",$I1070="Оплачено",$I1070="Отменено",$H1070&lt;&gt;"",$C1070&lt;TODAY()),"",$C1070)</f>
        <v/>
      </c>
      <c r="U1070">
        <f>IF(AND($D1070&lt;&gt;"Доход",COUNTIFS(Счета!$B$10:$B$21,$J1070,Счета!$C$10:$C$21,"Кредитная")&gt;0),1,0)</f>
        <v/>
      </c>
    </row>
    <row r="1071" ht="19" customHeight="1">
      <c r="B1071" s="53">
        <f>IF(AND($C1071="",$F1071=""),"",ROW()-9)</f>
        <v/>
      </c>
      <c r="C1071" s="213" t="n"/>
      <c r="D1071" s="55" t="n"/>
      <c r="E1071" s="55" t="n"/>
      <c r="F1071" s="56" t="n"/>
      <c r="G1071" s="196" t="n"/>
      <c r="H1071" s="196" t="n"/>
      <c r="I1071" s="55" t="n"/>
      <c r="J1071" s="55" t="n"/>
      <c r="K1071" s="55" t="n"/>
      <c r="L1071" s="100">
        <f>IF(OR($C1071="",$I1071="Оплачено",$I1071="Отменено",$H1071&lt;&gt;""),"",$C1071-TODAY())</f>
        <v/>
      </c>
      <c r="M1071" s="101">
        <f>IF($C1071="","",INDEX(Настройки!$V$6:$V$17,MONTH($C1071))&amp;" "&amp;YEAR($C1071))</f>
        <v/>
      </c>
      <c r="N1071" s="57">
        <f>IF($F1071="","",IF(COUNTIF(Постоянные!$C$8:$C$37,$F1071)&gt;0,"есть в Постоянных",IF(COUNTIF(Покупки!$C$7:$C$18,$F1071)&gt;0,"есть в Покупках","")))</f>
        <v/>
      </c>
      <c r="P1071">
        <f>IF($H1071&lt;&gt;"",$H1071,IF($I1071="Оплачено",N($G1071),0))</f>
        <v/>
      </c>
      <c r="Q1071">
        <f>IF($I1071="Отменено",0,IF($G1071&lt;&gt;"",$G1071,N($H1071)))</f>
        <v/>
      </c>
      <c r="R1071">
        <f>IF($C1071="","",IFERROR(DATE(Настройки!$C$8,Настройки!$D$9+MATCH($M1071,Настройки!$X$6:$X$17,0)-1,1),DATE(YEAR($C1071),MONTH($C1071),1)))</f>
        <v/>
      </c>
      <c r="S1071">
        <f>IF(OR($I1071="Оплачено",$H1071&lt;&gt;""),$P1071,$Q1071)</f>
        <v/>
      </c>
      <c r="T1071">
        <f>IF(OR($C1071="",$D1071="Доход",$I1071="Оплачено",$I1071="Отменено",$H1071&lt;&gt;"",$C1071&lt;TODAY()),"",$C1071)</f>
        <v/>
      </c>
      <c r="U1071">
        <f>IF(AND($D1071&lt;&gt;"Доход",COUNTIFS(Счета!$B$10:$B$21,$J1071,Счета!$C$10:$C$21,"Кредитная")&gt;0),1,0)</f>
        <v/>
      </c>
    </row>
    <row r="1072" ht="19" customHeight="1">
      <c r="B1072" s="53">
        <f>IF(AND($C1072="",$F1072=""),"",ROW()-9)</f>
        <v/>
      </c>
      <c r="C1072" s="213" t="n"/>
      <c r="D1072" s="55" t="n"/>
      <c r="E1072" s="55" t="n"/>
      <c r="F1072" s="56" t="n"/>
      <c r="G1072" s="196" t="n"/>
      <c r="H1072" s="196" t="n"/>
      <c r="I1072" s="55" t="n"/>
      <c r="J1072" s="55" t="n"/>
      <c r="K1072" s="55" t="n"/>
      <c r="L1072" s="100">
        <f>IF(OR($C1072="",$I1072="Оплачено",$I1072="Отменено",$H1072&lt;&gt;""),"",$C1072-TODAY())</f>
        <v/>
      </c>
      <c r="M1072" s="101">
        <f>IF($C1072="","",INDEX(Настройки!$V$6:$V$17,MONTH($C1072))&amp;" "&amp;YEAR($C1072))</f>
        <v/>
      </c>
      <c r="N1072" s="57">
        <f>IF($F1072="","",IF(COUNTIF(Постоянные!$C$8:$C$37,$F1072)&gt;0,"есть в Постоянных",IF(COUNTIF(Покупки!$C$7:$C$18,$F1072)&gt;0,"есть в Покупках","")))</f>
        <v/>
      </c>
      <c r="P1072">
        <f>IF($H1072&lt;&gt;"",$H1072,IF($I1072="Оплачено",N($G1072),0))</f>
        <v/>
      </c>
      <c r="Q1072">
        <f>IF($I1072="Отменено",0,IF($G1072&lt;&gt;"",$G1072,N($H1072)))</f>
        <v/>
      </c>
      <c r="R1072">
        <f>IF($C1072="","",IFERROR(DATE(Настройки!$C$8,Настройки!$D$9+MATCH($M1072,Настройки!$X$6:$X$17,0)-1,1),DATE(YEAR($C1072),MONTH($C1072),1)))</f>
        <v/>
      </c>
      <c r="S1072">
        <f>IF(OR($I1072="Оплачено",$H1072&lt;&gt;""),$P1072,$Q1072)</f>
        <v/>
      </c>
      <c r="T1072">
        <f>IF(OR($C1072="",$D1072="Доход",$I1072="Оплачено",$I1072="Отменено",$H1072&lt;&gt;"",$C1072&lt;TODAY()),"",$C1072)</f>
        <v/>
      </c>
      <c r="U1072">
        <f>IF(AND($D1072&lt;&gt;"Доход",COUNTIFS(Счета!$B$10:$B$21,$J1072,Счета!$C$10:$C$21,"Кредитная")&gt;0),1,0)</f>
        <v/>
      </c>
    </row>
    <row r="1073" ht="19" customHeight="1">
      <c r="B1073" s="53">
        <f>IF(AND($C1073="",$F1073=""),"",ROW()-9)</f>
        <v/>
      </c>
      <c r="C1073" s="213" t="n"/>
      <c r="D1073" s="55" t="n"/>
      <c r="E1073" s="55" t="n"/>
      <c r="F1073" s="56" t="n"/>
      <c r="G1073" s="196" t="n"/>
      <c r="H1073" s="196" t="n"/>
      <c r="I1073" s="55" t="n"/>
      <c r="J1073" s="55" t="n"/>
      <c r="K1073" s="55" t="n"/>
      <c r="L1073" s="100">
        <f>IF(OR($C1073="",$I1073="Оплачено",$I1073="Отменено",$H1073&lt;&gt;""),"",$C1073-TODAY())</f>
        <v/>
      </c>
      <c r="M1073" s="101">
        <f>IF($C1073="","",INDEX(Настройки!$V$6:$V$17,MONTH($C1073))&amp;" "&amp;YEAR($C1073))</f>
        <v/>
      </c>
      <c r="N1073" s="57">
        <f>IF($F1073="","",IF(COUNTIF(Постоянные!$C$8:$C$37,$F1073)&gt;0,"есть в Постоянных",IF(COUNTIF(Покупки!$C$7:$C$18,$F1073)&gt;0,"есть в Покупках","")))</f>
        <v/>
      </c>
      <c r="P1073">
        <f>IF($H1073&lt;&gt;"",$H1073,IF($I1073="Оплачено",N($G1073),0))</f>
        <v/>
      </c>
      <c r="Q1073">
        <f>IF($I1073="Отменено",0,IF($G1073&lt;&gt;"",$G1073,N($H1073)))</f>
        <v/>
      </c>
      <c r="R1073">
        <f>IF($C1073="","",IFERROR(DATE(Настройки!$C$8,Настройки!$D$9+MATCH($M1073,Настройки!$X$6:$X$17,0)-1,1),DATE(YEAR($C1073),MONTH($C1073),1)))</f>
        <v/>
      </c>
      <c r="S1073">
        <f>IF(OR($I1073="Оплачено",$H1073&lt;&gt;""),$P1073,$Q1073)</f>
        <v/>
      </c>
      <c r="T1073">
        <f>IF(OR($C1073="",$D1073="Доход",$I1073="Оплачено",$I1073="Отменено",$H1073&lt;&gt;"",$C1073&lt;TODAY()),"",$C1073)</f>
        <v/>
      </c>
      <c r="U1073">
        <f>IF(AND($D1073&lt;&gt;"Доход",COUNTIFS(Счета!$B$10:$B$21,$J1073,Счета!$C$10:$C$21,"Кредитная")&gt;0),1,0)</f>
        <v/>
      </c>
    </row>
    <row r="1074" ht="19" customHeight="1">
      <c r="B1074" s="53">
        <f>IF(AND($C1074="",$F1074=""),"",ROW()-9)</f>
        <v/>
      </c>
      <c r="C1074" s="213" t="n"/>
      <c r="D1074" s="55" t="n"/>
      <c r="E1074" s="55" t="n"/>
      <c r="F1074" s="56" t="n"/>
      <c r="G1074" s="196" t="n"/>
      <c r="H1074" s="196" t="n"/>
      <c r="I1074" s="55" t="n"/>
      <c r="J1074" s="55" t="n"/>
      <c r="K1074" s="55" t="n"/>
      <c r="L1074" s="100">
        <f>IF(OR($C1074="",$I1074="Оплачено",$I1074="Отменено",$H1074&lt;&gt;""),"",$C1074-TODAY())</f>
        <v/>
      </c>
      <c r="M1074" s="101">
        <f>IF($C1074="","",INDEX(Настройки!$V$6:$V$17,MONTH($C1074))&amp;" "&amp;YEAR($C1074))</f>
        <v/>
      </c>
      <c r="N1074" s="57">
        <f>IF($F1074="","",IF(COUNTIF(Постоянные!$C$8:$C$37,$F1074)&gt;0,"есть в Постоянных",IF(COUNTIF(Покупки!$C$7:$C$18,$F1074)&gt;0,"есть в Покупках","")))</f>
        <v/>
      </c>
      <c r="P1074">
        <f>IF($H1074&lt;&gt;"",$H1074,IF($I1074="Оплачено",N($G1074),0))</f>
        <v/>
      </c>
      <c r="Q1074">
        <f>IF($I1074="Отменено",0,IF($G1074&lt;&gt;"",$G1074,N($H1074)))</f>
        <v/>
      </c>
      <c r="R1074">
        <f>IF($C1074="","",IFERROR(DATE(Настройки!$C$8,Настройки!$D$9+MATCH($M1074,Настройки!$X$6:$X$17,0)-1,1),DATE(YEAR($C1074),MONTH($C1074),1)))</f>
        <v/>
      </c>
      <c r="S1074">
        <f>IF(OR($I1074="Оплачено",$H1074&lt;&gt;""),$P1074,$Q1074)</f>
        <v/>
      </c>
      <c r="T1074">
        <f>IF(OR($C1074="",$D1074="Доход",$I1074="Оплачено",$I1074="Отменено",$H1074&lt;&gt;"",$C1074&lt;TODAY()),"",$C1074)</f>
        <v/>
      </c>
      <c r="U1074">
        <f>IF(AND($D1074&lt;&gt;"Доход",COUNTIFS(Счета!$B$10:$B$21,$J1074,Счета!$C$10:$C$21,"Кредитная")&gt;0),1,0)</f>
        <v/>
      </c>
    </row>
    <row r="1075" ht="19" customHeight="1">
      <c r="B1075" s="53">
        <f>IF(AND($C1075="",$F1075=""),"",ROW()-9)</f>
        <v/>
      </c>
      <c r="C1075" s="213" t="n"/>
      <c r="D1075" s="55" t="n"/>
      <c r="E1075" s="55" t="n"/>
      <c r="F1075" s="56" t="n"/>
      <c r="G1075" s="196" t="n"/>
      <c r="H1075" s="196" t="n"/>
      <c r="I1075" s="55" t="n"/>
      <c r="J1075" s="55" t="n"/>
      <c r="K1075" s="55" t="n"/>
      <c r="L1075" s="100">
        <f>IF(OR($C1075="",$I1075="Оплачено",$I1075="Отменено",$H1075&lt;&gt;""),"",$C1075-TODAY())</f>
        <v/>
      </c>
      <c r="M1075" s="101">
        <f>IF($C1075="","",INDEX(Настройки!$V$6:$V$17,MONTH($C1075))&amp;" "&amp;YEAR($C1075))</f>
        <v/>
      </c>
      <c r="N1075" s="57">
        <f>IF($F1075="","",IF(COUNTIF(Постоянные!$C$8:$C$37,$F1075)&gt;0,"есть в Постоянных",IF(COUNTIF(Покупки!$C$7:$C$18,$F1075)&gt;0,"есть в Покупках","")))</f>
        <v/>
      </c>
      <c r="P1075">
        <f>IF($H1075&lt;&gt;"",$H1075,IF($I1075="Оплачено",N($G1075),0))</f>
        <v/>
      </c>
      <c r="Q1075">
        <f>IF($I1075="Отменено",0,IF($G1075&lt;&gt;"",$G1075,N($H1075)))</f>
        <v/>
      </c>
      <c r="R1075">
        <f>IF($C1075="","",IFERROR(DATE(Настройки!$C$8,Настройки!$D$9+MATCH($M1075,Настройки!$X$6:$X$17,0)-1,1),DATE(YEAR($C1075),MONTH($C1075),1)))</f>
        <v/>
      </c>
      <c r="S1075">
        <f>IF(OR($I1075="Оплачено",$H1075&lt;&gt;""),$P1075,$Q1075)</f>
        <v/>
      </c>
      <c r="T1075">
        <f>IF(OR($C1075="",$D1075="Доход",$I1075="Оплачено",$I1075="Отменено",$H1075&lt;&gt;"",$C1075&lt;TODAY()),"",$C1075)</f>
        <v/>
      </c>
      <c r="U1075">
        <f>IF(AND($D1075&lt;&gt;"Доход",COUNTIFS(Счета!$B$10:$B$21,$J1075,Счета!$C$10:$C$21,"Кредитная")&gt;0),1,0)</f>
        <v/>
      </c>
    </row>
    <row r="1076" ht="19" customHeight="1">
      <c r="B1076" s="53">
        <f>IF(AND($C1076="",$F1076=""),"",ROW()-9)</f>
        <v/>
      </c>
      <c r="C1076" s="213" t="n"/>
      <c r="D1076" s="55" t="n"/>
      <c r="E1076" s="55" t="n"/>
      <c r="F1076" s="56" t="n"/>
      <c r="G1076" s="196" t="n"/>
      <c r="H1076" s="196" t="n"/>
      <c r="I1076" s="55" t="n"/>
      <c r="J1076" s="55" t="n"/>
      <c r="K1076" s="55" t="n"/>
      <c r="L1076" s="100">
        <f>IF(OR($C1076="",$I1076="Оплачено",$I1076="Отменено",$H1076&lt;&gt;""),"",$C1076-TODAY())</f>
        <v/>
      </c>
      <c r="M1076" s="101">
        <f>IF($C1076="","",INDEX(Настройки!$V$6:$V$17,MONTH($C1076))&amp;" "&amp;YEAR($C1076))</f>
        <v/>
      </c>
      <c r="N1076" s="57">
        <f>IF($F1076="","",IF(COUNTIF(Постоянные!$C$8:$C$37,$F1076)&gt;0,"есть в Постоянных",IF(COUNTIF(Покупки!$C$7:$C$18,$F1076)&gt;0,"есть в Покупках","")))</f>
        <v/>
      </c>
      <c r="P1076">
        <f>IF($H1076&lt;&gt;"",$H1076,IF($I1076="Оплачено",N($G1076),0))</f>
        <v/>
      </c>
      <c r="Q1076">
        <f>IF($I1076="Отменено",0,IF($G1076&lt;&gt;"",$G1076,N($H1076)))</f>
        <v/>
      </c>
      <c r="R1076">
        <f>IF($C1076="","",IFERROR(DATE(Настройки!$C$8,Настройки!$D$9+MATCH($M1076,Настройки!$X$6:$X$17,0)-1,1),DATE(YEAR($C1076),MONTH($C1076),1)))</f>
        <v/>
      </c>
      <c r="S1076">
        <f>IF(OR($I1076="Оплачено",$H1076&lt;&gt;""),$P1076,$Q1076)</f>
        <v/>
      </c>
      <c r="T1076">
        <f>IF(OR($C1076="",$D1076="Доход",$I1076="Оплачено",$I1076="Отменено",$H1076&lt;&gt;"",$C1076&lt;TODAY()),"",$C1076)</f>
        <v/>
      </c>
      <c r="U1076">
        <f>IF(AND($D1076&lt;&gt;"Доход",COUNTIFS(Счета!$B$10:$B$21,$J1076,Счета!$C$10:$C$21,"Кредитная")&gt;0),1,0)</f>
        <v/>
      </c>
    </row>
    <row r="1077" ht="19" customHeight="1">
      <c r="B1077" s="53">
        <f>IF(AND($C1077="",$F1077=""),"",ROW()-9)</f>
        <v/>
      </c>
      <c r="C1077" s="213" t="n"/>
      <c r="D1077" s="55" t="n"/>
      <c r="E1077" s="55" t="n"/>
      <c r="F1077" s="56" t="n"/>
      <c r="G1077" s="196" t="n"/>
      <c r="H1077" s="196" t="n"/>
      <c r="I1077" s="55" t="n"/>
      <c r="J1077" s="55" t="n"/>
      <c r="K1077" s="55" t="n"/>
      <c r="L1077" s="100">
        <f>IF(OR($C1077="",$I1077="Оплачено",$I1077="Отменено",$H1077&lt;&gt;""),"",$C1077-TODAY())</f>
        <v/>
      </c>
      <c r="M1077" s="101">
        <f>IF($C1077="","",INDEX(Настройки!$V$6:$V$17,MONTH($C1077))&amp;" "&amp;YEAR($C1077))</f>
        <v/>
      </c>
      <c r="N1077" s="57">
        <f>IF($F1077="","",IF(COUNTIF(Постоянные!$C$8:$C$37,$F1077)&gt;0,"есть в Постоянных",IF(COUNTIF(Покупки!$C$7:$C$18,$F1077)&gt;0,"есть в Покупках","")))</f>
        <v/>
      </c>
      <c r="P1077">
        <f>IF($H1077&lt;&gt;"",$H1077,IF($I1077="Оплачено",N($G1077),0))</f>
        <v/>
      </c>
      <c r="Q1077">
        <f>IF($I1077="Отменено",0,IF($G1077&lt;&gt;"",$G1077,N($H1077)))</f>
        <v/>
      </c>
      <c r="R1077">
        <f>IF($C1077="","",IFERROR(DATE(Настройки!$C$8,Настройки!$D$9+MATCH($M1077,Настройки!$X$6:$X$17,0)-1,1),DATE(YEAR($C1077),MONTH($C1077),1)))</f>
        <v/>
      </c>
      <c r="S1077">
        <f>IF(OR($I1077="Оплачено",$H1077&lt;&gt;""),$P1077,$Q1077)</f>
        <v/>
      </c>
      <c r="T1077">
        <f>IF(OR($C1077="",$D1077="Доход",$I1077="Оплачено",$I1077="Отменено",$H1077&lt;&gt;"",$C1077&lt;TODAY()),"",$C1077)</f>
        <v/>
      </c>
      <c r="U1077">
        <f>IF(AND($D1077&lt;&gt;"Доход",COUNTIFS(Счета!$B$10:$B$21,$J1077,Счета!$C$10:$C$21,"Кредитная")&gt;0),1,0)</f>
        <v/>
      </c>
    </row>
    <row r="1078" ht="19" customHeight="1">
      <c r="B1078" s="53">
        <f>IF(AND($C1078="",$F1078=""),"",ROW()-9)</f>
        <v/>
      </c>
      <c r="C1078" s="213" t="n"/>
      <c r="D1078" s="55" t="n"/>
      <c r="E1078" s="55" t="n"/>
      <c r="F1078" s="56" t="n"/>
      <c r="G1078" s="196" t="n"/>
      <c r="H1078" s="196" t="n"/>
      <c r="I1078" s="55" t="n"/>
      <c r="J1078" s="55" t="n"/>
      <c r="K1078" s="55" t="n"/>
      <c r="L1078" s="100">
        <f>IF(OR($C1078="",$I1078="Оплачено",$I1078="Отменено",$H1078&lt;&gt;""),"",$C1078-TODAY())</f>
        <v/>
      </c>
      <c r="M1078" s="101">
        <f>IF($C1078="","",INDEX(Настройки!$V$6:$V$17,MONTH($C1078))&amp;" "&amp;YEAR($C1078))</f>
        <v/>
      </c>
      <c r="N1078" s="57">
        <f>IF($F1078="","",IF(COUNTIF(Постоянные!$C$8:$C$37,$F1078)&gt;0,"есть в Постоянных",IF(COUNTIF(Покупки!$C$7:$C$18,$F1078)&gt;0,"есть в Покупках","")))</f>
        <v/>
      </c>
      <c r="P1078">
        <f>IF($H1078&lt;&gt;"",$H1078,IF($I1078="Оплачено",N($G1078),0))</f>
        <v/>
      </c>
      <c r="Q1078">
        <f>IF($I1078="Отменено",0,IF($G1078&lt;&gt;"",$G1078,N($H1078)))</f>
        <v/>
      </c>
      <c r="R1078">
        <f>IF($C1078="","",IFERROR(DATE(Настройки!$C$8,Настройки!$D$9+MATCH($M1078,Настройки!$X$6:$X$17,0)-1,1),DATE(YEAR($C1078),MONTH($C1078),1)))</f>
        <v/>
      </c>
      <c r="S1078">
        <f>IF(OR($I1078="Оплачено",$H1078&lt;&gt;""),$P1078,$Q1078)</f>
        <v/>
      </c>
      <c r="T1078">
        <f>IF(OR($C1078="",$D1078="Доход",$I1078="Оплачено",$I1078="Отменено",$H1078&lt;&gt;"",$C1078&lt;TODAY()),"",$C1078)</f>
        <v/>
      </c>
      <c r="U1078">
        <f>IF(AND($D1078&lt;&gt;"Доход",COUNTIFS(Счета!$B$10:$B$21,$J1078,Счета!$C$10:$C$21,"Кредитная")&gt;0),1,0)</f>
        <v/>
      </c>
    </row>
    <row r="1079" ht="19" customHeight="1">
      <c r="B1079" s="53">
        <f>IF(AND($C1079="",$F1079=""),"",ROW()-9)</f>
        <v/>
      </c>
      <c r="C1079" s="213" t="n"/>
      <c r="D1079" s="55" t="n"/>
      <c r="E1079" s="55" t="n"/>
      <c r="F1079" s="56" t="n"/>
      <c r="G1079" s="196" t="n"/>
      <c r="H1079" s="196" t="n"/>
      <c r="I1079" s="55" t="n"/>
      <c r="J1079" s="55" t="n"/>
      <c r="K1079" s="55" t="n"/>
      <c r="L1079" s="100">
        <f>IF(OR($C1079="",$I1079="Оплачено",$I1079="Отменено",$H1079&lt;&gt;""),"",$C1079-TODAY())</f>
        <v/>
      </c>
      <c r="M1079" s="101">
        <f>IF($C1079="","",INDEX(Настройки!$V$6:$V$17,MONTH($C1079))&amp;" "&amp;YEAR($C1079))</f>
        <v/>
      </c>
      <c r="N1079" s="57">
        <f>IF($F1079="","",IF(COUNTIF(Постоянные!$C$8:$C$37,$F1079)&gt;0,"есть в Постоянных",IF(COUNTIF(Покупки!$C$7:$C$18,$F1079)&gt;0,"есть в Покупках","")))</f>
        <v/>
      </c>
      <c r="P1079">
        <f>IF($H1079&lt;&gt;"",$H1079,IF($I1079="Оплачено",N($G1079),0))</f>
        <v/>
      </c>
      <c r="Q1079">
        <f>IF($I1079="Отменено",0,IF($G1079&lt;&gt;"",$G1079,N($H1079)))</f>
        <v/>
      </c>
      <c r="R1079">
        <f>IF($C1079="","",IFERROR(DATE(Настройки!$C$8,Настройки!$D$9+MATCH($M1079,Настройки!$X$6:$X$17,0)-1,1),DATE(YEAR($C1079),MONTH($C1079),1)))</f>
        <v/>
      </c>
      <c r="S1079">
        <f>IF(OR($I1079="Оплачено",$H1079&lt;&gt;""),$P1079,$Q1079)</f>
        <v/>
      </c>
      <c r="T1079">
        <f>IF(OR($C1079="",$D1079="Доход",$I1079="Оплачено",$I1079="Отменено",$H1079&lt;&gt;"",$C1079&lt;TODAY()),"",$C1079)</f>
        <v/>
      </c>
      <c r="U1079">
        <f>IF(AND($D1079&lt;&gt;"Доход",COUNTIFS(Счета!$B$10:$B$21,$J1079,Счета!$C$10:$C$21,"Кредитная")&gt;0),1,0)</f>
        <v/>
      </c>
    </row>
    <row r="1080" ht="19" customHeight="1">
      <c r="B1080" s="53">
        <f>IF(AND($C1080="",$F1080=""),"",ROW()-9)</f>
        <v/>
      </c>
      <c r="C1080" s="213" t="n"/>
      <c r="D1080" s="55" t="n"/>
      <c r="E1080" s="55" t="n"/>
      <c r="F1080" s="56" t="n"/>
      <c r="G1080" s="196" t="n"/>
      <c r="H1080" s="196" t="n"/>
      <c r="I1080" s="55" t="n"/>
      <c r="J1080" s="55" t="n"/>
      <c r="K1080" s="55" t="n"/>
      <c r="L1080" s="100">
        <f>IF(OR($C1080="",$I1080="Оплачено",$I1080="Отменено",$H1080&lt;&gt;""),"",$C1080-TODAY())</f>
        <v/>
      </c>
      <c r="M1080" s="101">
        <f>IF($C1080="","",INDEX(Настройки!$V$6:$V$17,MONTH($C1080))&amp;" "&amp;YEAR($C1080))</f>
        <v/>
      </c>
      <c r="N1080" s="57">
        <f>IF($F1080="","",IF(COUNTIF(Постоянные!$C$8:$C$37,$F1080)&gt;0,"есть в Постоянных",IF(COUNTIF(Покупки!$C$7:$C$18,$F1080)&gt;0,"есть в Покупках","")))</f>
        <v/>
      </c>
      <c r="P1080">
        <f>IF($H1080&lt;&gt;"",$H1080,IF($I1080="Оплачено",N($G1080),0))</f>
        <v/>
      </c>
      <c r="Q1080">
        <f>IF($I1080="Отменено",0,IF($G1080&lt;&gt;"",$G1080,N($H1080)))</f>
        <v/>
      </c>
      <c r="R1080">
        <f>IF($C1080="","",IFERROR(DATE(Настройки!$C$8,Настройки!$D$9+MATCH($M1080,Настройки!$X$6:$X$17,0)-1,1),DATE(YEAR($C1080),MONTH($C1080),1)))</f>
        <v/>
      </c>
      <c r="S1080">
        <f>IF(OR($I1080="Оплачено",$H1080&lt;&gt;""),$P1080,$Q1080)</f>
        <v/>
      </c>
      <c r="T1080">
        <f>IF(OR($C1080="",$D1080="Доход",$I1080="Оплачено",$I1080="Отменено",$H1080&lt;&gt;"",$C1080&lt;TODAY()),"",$C1080)</f>
        <v/>
      </c>
      <c r="U1080">
        <f>IF(AND($D1080&lt;&gt;"Доход",COUNTIFS(Счета!$B$10:$B$21,$J1080,Счета!$C$10:$C$21,"Кредитная")&gt;0),1,0)</f>
        <v/>
      </c>
    </row>
    <row r="1081" ht="19" customHeight="1">
      <c r="B1081" s="53">
        <f>IF(AND($C1081="",$F1081=""),"",ROW()-9)</f>
        <v/>
      </c>
      <c r="C1081" s="213" t="n"/>
      <c r="D1081" s="55" t="n"/>
      <c r="E1081" s="55" t="n"/>
      <c r="F1081" s="56" t="n"/>
      <c r="G1081" s="196" t="n"/>
      <c r="H1081" s="196" t="n"/>
      <c r="I1081" s="55" t="n"/>
      <c r="J1081" s="55" t="n"/>
      <c r="K1081" s="55" t="n"/>
      <c r="L1081" s="100">
        <f>IF(OR($C1081="",$I1081="Оплачено",$I1081="Отменено",$H1081&lt;&gt;""),"",$C1081-TODAY())</f>
        <v/>
      </c>
      <c r="M1081" s="101">
        <f>IF($C1081="","",INDEX(Настройки!$V$6:$V$17,MONTH($C1081))&amp;" "&amp;YEAR($C1081))</f>
        <v/>
      </c>
      <c r="N1081" s="57">
        <f>IF($F1081="","",IF(COUNTIF(Постоянные!$C$8:$C$37,$F1081)&gt;0,"есть в Постоянных",IF(COUNTIF(Покупки!$C$7:$C$18,$F1081)&gt;0,"есть в Покупках","")))</f>
        <v/>
      </c>
      <c r="P1081">
        <f>IF($H1081&lt;&gt;"",$H1081,IF($I1081="Оплачено",N($G1081),0))</f>
        <v/>
      </c>
      <c r="Q1081">
        <f>IF($I1081="Отменено",0,IF($G1081&lt;&gt;"",$G1081,N($H1081)))</f>
        <v/>
      </c>
      <c r="R1081">
        <f>IF($C1081="","",IFERROR(DATE(Настройки!$C$8,Настройки!$D$9+MATCH($M1081,Настройки!$X$6:$X$17,0)-1,1),DATE(YEAR($C1081),MONTH($C1081),1)))</f>
        <v/>
      </c>
      <c r="S1081">
        <f>IF(OR($I1081="Оплачено",$H1081&lt;&gt;""),$P1081,$Q1081)</f>
        <v/>
      </c>
      <c r="T1081">
        <f>IF(OR($C1081="",$D1081="Доход",$I1081="Оплачено",$I1081="Отменено",$H1081&lt;&gt;"",$C1081&lt;TODAY()),"",$C1081)</f>
        <v/>
      </c>
      <c r="U1081">
        <f>IF(AND($D1081&lt;&gt;"Доход",COUNTIFS(Счета!$B$10:$B$21,$J1081,Счета!$C$10:$C$21,"Кредитная")&gt;0),1,0)</f>
        <v/>
      </c>
    </row>
    <row r="1082" ht="19" customHeight="1">
      <c r="B1082" s="53">
        <f>IF(AND($C1082="",$F1082=""),"",ROW()-9)</f>
        <v/>
      </c>
      <c r="C1082" s="213" t="n"/>
      <c r="D1082" s="55" t="n"/>
      <c r="E1082" s="55" t="n"/>
      <c r="F1082" s="56" t="n"/>
      <c r="G1082" s="196" t="n"/>
      <c r="H1082" s="196" t="n"/>
      <c r="I1082" s="55" t="n"/>
      <c r="J1082" s="55" t="n"/>
      <c r="K1082" s="55" t="n"/>
      <c r="L1082" s="100">
        <f>IF(OR($C1082="",$I1082="Оплачено",$I1082="Отменено",$H1082&lt;&gt;""),"",$C1082-TODAY())</f>
        <v/>
      </c>
      <c r="M1082" s="101">
        <f>IF($C1082="","",INDEX(Настройки!$V$6:$V$17,MONTH($C1082))&amp;" "&amp;YEAR($C1082))</f>
        <v/>
      </c>
      <c r="N1082" s="57">
        <f>IF($F1082="","",IF(COUNTIF(Постоянные!$C$8:$C$37,$F1082)&gt;0,"есть в Постоянных",IF(COUNTIF(Покупки!$C$7:$C$18,$F1082)&gt;0,"есть в Покупках","")))</f>
        <v/>
      </c>
      <c r="P1082">
        <f>IF($H1082&lt;&gt;"",$H1082,IF($I1082="Оплачено",N($G1082),0))</f>
        <v/>
      </c>
      <c r="Q1082">
        <f>IF($I1082="Отменено",0,IF($G1082&lt;&gt;"",$G1082,N($H1082)))</f>
        <v/>
      </c>
      <c r="R1082">
        <f>IF($C1082="","",IFERROR(DATE(Настройки!$C$8,Настройки!$D$9+MATCH($M1082,Настройки!$X$6:$X$17,0)-1,1),DATE(YEAR($C1082),MONTH($C1082),1)))</f>
        <v/>
      </c>
      <c r="S1082">
        <f>IF(OR($I1082="Оплачено",$H1082&lt;&gt;""),$P1082,$Q1082)</f>
        <v/>
      </c>
      <c r="T1082">
        <f>IF(OR($C1082="",$D1082="Доход",$I1082="Оплачено",$I1082="Отменено",$H1082&lt;&gt;"",$C1082&lt;TODAY()),"",$C1082)</f>
        <v/>
      </c>
      <c r="U1082">
        <f>IF(AND($D1082&lt;&gt;"Доход",COUNTIFS(Счета!$B$10:$B$21,$J1082,Счета!$C$10:$C$21,"Кредитная")&gt;0),1,0)</f>
        <v/>
      </c>
    </row>
    <row r="1083" ht="19" customHeight="1">
      <c r="B1083" s="53">
        <f>IF(AND($C1083="",$F1083=""),"",ROW()-9)</f>
        <v/>
      </c>
      <c r="C1083" s="213" t="n"/>
      <c r="D1083" s="55" t="n"/>
      <c r="E1083" s="55" t="n"/>
      <c r="F1083" s="56" t="n"/>
      <c r="G1083" s="196" t="n"/>
      <c r="H1083" s="196" t="n"/>
      <c r="I1083" s="55" t="n"/>
      <c r="J1083" s="55" t="n"/>
      <c r="K1083" s="55" t="n"/>
      <c r="L1083" s="100">
        <f>IF(OR($C1083="",$I1083="Оплачено",$I1083="Отменено",$H1083&lt;&gt;""),"",$C1083-TODAY())</f>
        <v/>
      </c>
      <c r="M1083" s="101">
        <f>IF($C1083="","",INDEX(Настройки!$V$6:$V$17,MONTH($C1083))&amp;" "&amp;YEAR($C1083))</f>
        <v/>
      </c>
      <c r="N1083" s="57">
        <f>IF($F1083="","",IF(COUNTIF(Постоянные!$C$8:$C$37,$F1083)&gt;0,"есть в Постоянных",IF(COUNTIF(Покупки!$C$7:$C$18,$F1083)&gt;0,"есть в Покупках","")))</f>
        <v/>
      </c>
      <c r="P1083">
        <f>IF($H1083&lt;&gt;"",$H1083,IF($I1083="Оплачено",N($G1083),0))</f>
        <v/>
      </c>
      <c r="Q1083">
        <f>IF($I1083="Отменено",0,IF($G1083&lt;&gt;"",$G1083,N($H1083)))</f>
        <v/>
      </c>
      <c r="R1083">
        <f>IF($C1083="","",IFERROR(DATE(Настройки!$C$8,Настройки!$D$9+MATCH($M1083,Настройки!$X$6:$X$17,0)-1,1),DATE(YEAR($C1083),MONTH($C1083),1)))</f>
        <v/>
      </c>
      <c r="S1083">
        <f>IF(OR($I1083="Оплачено",$H1083&lt;&gt;""),$P1083,$Q1083)</f>
        <v/>
      </c>
      <c r="T1083">
        <f>IF(OR($C1083="",$D1083="Доход",$I1083="Оплачено",$I1083="Отменено",$H1083&lt;&gt;"",$C1083&lt;TODAY()),"",$C1083)</f>
        <v/>
      </c>
      <c r="U1083">
        <f>IF(AND($D1083&lt;&gt;"Доход",COUNTIFS(Счета!$B$10:$B$21,$J1083,Счета!$C$10:$C$21,"Кредитная")&gt;0),1,0)</f>
        <v/>
      </c>
    </row>
    <row r="1084" ht="19" customHeight="1">
      <c r="B1084" s="53">
        <f>IF(AND($C1084="",$F1084=""),"",ROW()-9)</f>
        <v/>
      </c>
      <c r="C1084" s="213" t="n"/>
      <c r="D1084" s="55" t="n"/>
      <c r="E1084" s="55" t="n"/>
      <c r="F1084" s="56" t="n"/>
      <c r="G1084" s="196" t="n"/>
      <c r="H1084" s="196" t="n"/>
      <c r="I1084" s="55" t="n"/>
      <c r="J1084" s="55" t="n"/>
      <c r="K1084" s="55" t="n"/>
      <c r="L1084" s="100">
        <f>IF(OR($C1084="",$I1084="Оплачено",$I1084="Отменено",$H1084&lt;&gt;""),"",$C1084-TODAY())</f>
        <v/>
      </c>
      <c r="M1084" s="101">
        <f>IF($C1084="","",INDEX(Настройки!$V$6:$V$17,MONTH($C1084))&amp;" "&amp;YEAR($C1084))</f>
        <v/>
      </c>
      <c r="N1084" s="57">
        <f>IF($F1084="","",IF(COUNTIF(Постоянные!$C$8:$C$37,$F1084)&gt;0,"есть в Постоянных",IF(COUNTIF(Покупки!$C$7:$C$18,$F1084)&gt;0,"есть в Покупках","")))</f>
        <v/>
      </c>
      <c r="P1084">
        <f>IF($H1084&lt;&gt;"",$H1084,IF($I1084="Оплачено",N($G1084),0))</f>
        <v/>
      </c>
      <c r="Q1084">
        <f>IF($I1084="Отменено",0,IF($G1084&lt;&gt;"",$G1084,N($H1084)))</f>
        <v/>
      </c>
      <c r="R1084">
        <f>IF($C1084="","",IFERROR(DATE(Настройки!$C$8,Настройки!$D$9+MATCH($M1084,Настройки!$X$6:$X$17,0)-1,1),DATE(YEAR($C1084),MONTH($C1084),1)))</f>
        <v/>
      </c>
      <c r="S1084">
        <f>IF(OR($I1084="Оплачено",$H1084&lt;&gt;""),$P1084,$Q1084)</f>
        <v/>
      </c>
      <c r="T1084">
        <f>IF(OR($C1084="",$D1084="Доход",$I1084="Оплачено",$I1084="Отменено",$H1084&lt;&gt;"",$C1084&lt;TODAY()),"",$C1084)</f>
        <v/>
      </c>
      <c r="U1084">
        <f>IF(AND($D1084&lt;&gt;"Доход",COUNTIFS(Счета!$B$10:$B$21,$J1084,Счета!$C$10:$C$21,"Кредитная")&gt;0),1,0)</f>
        <v/>
      </c>
    </row>
    <row r="1085" ht="19" customHeight="1">
      <c r="B1085" s="53">
        <f>IF(AND($C1085="",$F1085=""),"",ROW()-9)</f>
        <v/>
      </c>
      <c r="C1085" s="213" t="n"/>
      <c r="D1085" s="55" t="n"/>
      <c r="E1085" s="55" t="n"/>
      <c r="F1085" s="56" t="n"/>
      <c r="G1085" s="196" t="n"/>
      <c r="H1085" s="196" t="n"/>
      <c r="I1085" s="55" t="n"/>
      <c r="J1085" s="55" t="n"/>
      <c r="K1085" s="55" t="n"/>
      <c r="L1085" s="100">
        <f>IF(OR($C1085="",$I1085="Оплачено",$I1085="Отменено",$H1085&lt;&gt;""),"",$C1085-TODAY())</f>
        <v/>
      </c>
      <c r="M1085" s="101">
        <f>IF($C1085="","",INDEX(Настройки!$V$6:$V$17,MONTH($C1085))&amp;" "&amp;YEAR($C1085))</f>
        <v/>
      </c>
      <c r="N1085" s="57">
        <f>IF($F1085="","",IF(COUNTIF(Постоянные!$C$8:$C$37,$F1085)&gt;0,"есть в Постоянных",IF(COUNTIF(Покупки!$C$7:$C$18,$F1085)&gt;0,"есть в Покупках","")))</f>
        <v/>
      </c>
      <c r="P1085">
        <f>IF($H1085&lt;&gt;"",$H1085,IF($I1085="Оплачено",N($G1085),0))</f>
        <v/>
      </c>
      <c r="Q1085">
        <f>IF($I1085="Отменено",0,IF($G1085&lt;&gt;"",$G1085,N($H1085)))</f>
        <v/>
      </c>
      <c r="R1085">
        <f>IF($C1085="","",IFERROR(DATE(Настройки!$C$8,Настройки!$D$9+MATCH($M1085,Настройки!$X$6:$X$17,0)-1,1),DATE(YEAR($C1085),MONTH($C1085),1)))</f>
        <v/>
      </c>
      <c r="S1085">
        <f>IF(OR($I1085="Оплачено",$H1085&lt;&gt;""),$P1085,$Q1085)</f>
        <v/>
      </c>
      <c r="T1085">
        <f>IF(OR($C1085="",$D1085="Доход",$I1085="Оплачено",$I1085="Отменено",$H1085&lt;&gt;"",$C1085&lt;TODAY()),"",$C1085)</f>
        <v/>
      </c>
      <c r="U1085">
        <f>IF(AND($D1085&lt;&gt;"Доход",COUNTIFS(Счета!$B$10:$B$21,$J1085,Счета!$C$10:$C$21,"Кредитная")&gt;0),1,0)</f>
        <v/>
      </c>
    </row>
    <row r="1086" ht="19" customHeight="1">
      <c r="B1086" s="53">
        <f>IF(AND($C1086="",$F1086=""),"",ROW()-9)</f>
        <v/>
      </c>
      <c r="C1086" s="213" t="n"/>
      <c r="D1086" s="55" t="n"/>
      <c r="E1086" s="55" t="n"/>
      <c r="F1086" s="56" t="n"/>
      <c r="G1086" s="196" t="n"/>
      <c r="H1086" s="196" t="n"/>
      <c r="I1086" s="55" t="n"/>
      <c r="J1086" s="55" t="n"/>
      <c r="K1086" s="55" t="n"/>
      <c r="L1086" s="100">
        <f>IF(OR($C1086="",$I1086="Оплачено",$I1086="Отменено",$H1086&lt;&gt;""),"",$C1086-TODAY())</f>
        <v/>
      </c>
      <c r="M1086" s="101">
        <f>IF($C1086="","",INDEX(Настройки!$V$6:$V$17,MONTH($C1086))&amp;" "&amp;YEAR($C1086))</f>
        <v/>
      </c>
      <c r="N1086" s="57">
        <f>IF($F1086="","",IF(COUNTIF(Постоянные!$C$8:$C$37,$F1086)&gt;0,"есть в Постоянных",IF(COUNTIF(Покупки!$C$7:$C$18,$F1086)&gt;0,"есть в Покупках","")))</f>
        <v/>
      </c>
      <c r="P1086">
        <f>IF($H1086&lt;&gt;"",$H1086,IF($I1086="Оплачено",N($G1086),0))</f>
        <v/>
      </c>
      <c r="Q1086">
        <f>IF($I1086="Отменено",0,IF($G1086&lt;&gt;"",$G1086,N($H1086)))</f>
        <v/>
      </c>
      <c r="R1086">
        <f>IF($C1086="","",IFERROR(DATE(Настройки!$C$8,Настройки!$D$9+MATCH($M1086,Настройки!$X$6:$X$17,0)-1,1),DATE(YEAR($C1086),MONTH($C1086),1)))</f>
        <v/>
      </c>
      <c r="S1086">
        <f>IF(OR($I1086="Оплачено",$H1086&lt;&gt;""),$P1086,$Q1086)</f>
        <v/>
      </c>
      <c r="T1086">
        <f>IF(OR($C1086="",$D1086="Доход",$I1086="Оплачено",$I1086="Отменено",$H1086&lt;&gt;"",$C1086&lt;TODAY()),"",$C1086)</f>
        <v/>
      </c>
      <c r="U1086">
        <f>IF(AND($D1086&lt;&gt;"Доход",COUNTIFS(Счета!$B$10:$B$21,$J1086,Счета!$C$10:$C$21,"Кредитная")&gt;0),1,0)</f>
        <v/>
      </c>
    </row>
    <row r="1087" ht="19" customHeight="1">
      <c r="B1087" s="53">
        <f>IF(AND($C1087="",$F1087=""),"",ROW()-9)</f>
        <v/>
      </c>
      <c r="C1087" s="213" t="n"/>
      <c r="D1087" s="55" t="n"/>
      <c r="E1087" s="55" t="n"/>
      <c r="F1087" s="56" t="n"/>
      <c r="G1087" s="196" t="n"/>
      <c r="H1087" s="196" t="n"/>
      <c r="I1087" s="55" t="n"/>
      <c r="J1087" s="55" t="n"/>
      <c r="K1087" s="55" t="n"/>
      <c r="L1087" s="100">
        <f>IF(OR($C1087="",$I1087="Оплачено",$I1087="Отменено",$H1087&lt;&gt;""),"",$C1087-TODAY())</f>
        <v/>
      </c>
      <c r="M1087" s="101">
        <f>IF($C1087="","",INDEX(Настройки!$V$6:$V$17,MONTH($C1087))&amp;" "&amp;YEAR($C1087))</f>
        <v/>
      </c>
      <c r="N1087" s="57">
        <f>IF($F1087="","",IF(COUNTIF(Постоянные!$C$8:$C$37,$F1087)&gt;0,"есть в Постоянных",IF(COUNTIF(Покупки!$C$7:$C$18,$F1087)&gt;0,"есть в Покупках","")))</f>
        <v/>
      </c>
      <c r="P1087">
        <f>IF($H1087&lt;&gt;"",$H1087,IF($I1087="Оплачено",N($G1087),0))</f>
        <v/>
      </c>
      <c r="Q1087">
        <f>IF($I1087="Отменено",0,IF($G1087&lt;&gt;"",$G1087,N($H1087)))</f>
        <v/>
      </c>
      <c r="R1087">
        <f>IF($C1087="","",IFERROR(DATE(Настройки!$C$8,Настройки!$D$9+MATCH($M1087,Настройки!$X$6:$X$17,0)-1,1),DATE(YEAR($C1087),MONTH($C1087),1)))</f>
        <v/>
      </c>
      <c r="S1087">
        <f>IF(OR($I1087="Оплачено",$H1087&lt;&gt;""),$P1087,$Q1087)</f>
        <v/>
      </c>
      <c r="T1087">
        <f>IF(OR($C1087="",$D1087="Доход",$I1087="Оплачено",$I1087="Отменено",$H1087&lt;&gt;"",$C1087&lt;TODAY()),"",$C1087)</f>
        <v/>
      </c>
      <c r="U1087">
        <f>IF(AND($D1087&lt;&gt;"Доход",COUNTIFS(Счета!$B$10:$B$21,$J1087,Счета!$C$10:$C$21,"Кредитная")&gt;0),1,0)</f>
        <v/>
      </c>
    </row>
    <row r="1088" ht="19" customHeight="1">
      <c r="B1088" s="53">
        <f>IF(AND($C1088="",$F1088=""),"",ROW()-9)</f>
        <v/>
      </c>
      <c r="C1088" s="213" t="n"/>
      <c r="D1088" s="55" t="n"/>
      <c r="E1088" s="55" t="n"/>
      <c r="F1088" s="56" t="n"/>
      <c r="G1088" s="196" t="n"/>
      <c r="H1088" s="196" t="n"/>
      <c r="I1088" s="55" t="n"/>
      <c r="J1088" s="55" t="n"/>
      <c r="K1088" s="55" t="n"/>
      <c r="L1088" s="100">
        <f>IF(OR($C1088="",$I1088="Оплачено",$I1088="Отменено",$H1088&lt;&gt;""),"",$C1088-TODAY())</f>
        <v/>
      </c>
      <c r="M1088" s="101">
        <f>IF($C1088="","",INDEX(Настройки!$V$6:$V$17,MONTH($C1088))&amp;" "&amp;YEAR($C1088))</f>
        <v/>
      </c>
      <c r="N1088" s="57">
        <f>IF($F1088="","",IF(COUNTIF(Постоянные!$C$8:$C$37,$F1088)&gt;0,"есть в Постоянных",IF(COUNTIF(Покупки!$C$7:$C$18,$F1088)&gt;0,"есть в Покупках","")))</f>
        <v/>
      </c>
      <c r="P1088">
        <f>IF($H1088&lt;&gt;"",$H1088,IF($I1088="Оплачено",N($G1088),0))</f>
        <v/>
      </c>
      <c r="Q1088">
        <f>IF($I1088="Отменено",0,IF($G1088&lt;&gt;"",$G1088,N($H1088)))</f>
        <v/>
      </c>
      <c r="R1088">
        <f>IF($C1088="","",IFERROR(DATE(Настройки!$C$8,Настройки!$D$9+MATCH($M1088,Настройки!$X$6:$X$17,0)-1,1),DATE(YEAR($C1088),MONTH($C1088),1)))</f>
        <v/>
      </c>
      <c r="S1088">
        <f>IF(OR($I1088="Оплачено",$H1088&lt;&gt;""),$P1088,$Q1088)</f>
        <v/>
      </c>
      <c r="T1088">
        <f>IF(OR($C1088="",$D1088="Доход",$I1088="Оплачено",$I1088="Отменено",$H1088&lt;&gt;"",$C1088&lt;TODAY()),"",$C1088)</f>
        <v/>
      </c>
      <c r="U1088">
        <f>IF(AND($D1088&lt;&gt;"Доход",COUNTIFS(Счета!$B$10:$B$21,$J1088,Счета!$C$10:$C$21,"Кредитная")&gt;0),1,0)</f>
        <v/>
      </c>
    </row>
    <row r="1089" ht="19" customHeight="1">
      <c r="B1089" s="53">
        <f>IF(AND($C1089="",$F1089=""),"",ROW()-9)</f>
        <v/>
      </c>
      <c r="C1089" s="213" t="n"/>
      <c r="D1089" s="55" t="n"/>
      <c r="E1089" s="55" t="n"/>
      <c r="F1089" s="56" t="n"/>
      <c r="G1089" s="196" t="n"/>
      <c r="H1089" s="196" t="n"/>
      <c r="I1089" s="55" t="n"/>
      <c r="J1089" s="55" t="n"/>
      <c r="K1089" s="55" t="n"/>
      <c r="L1089" s="100">
        <f>IF(OR($C1089="",$I1089="Оплачено",$I1089="Отменено",$H1089&lt;&gt;""),"",$C1089-TODAY())</f>
        <v/>
      </c>
      <c r="M1089" s="101">
        <f>IF($C1089="","",INDEX(Настройки!$V$6:$V$17,MONTH($C1089))&amp;" "&amp;YEAR($C1089))</f>
        <v/>
      </c>
      <c r="N1089" s="57">
        <f>IF($F1089="","",IF(COUNTIF(Постоянные!$C$8:$C$37,$F1089)&gt;0,"есть в Постоянных",IF(COUNTIF(Покупки!$C$7:$C$18,$F1089)&gt;0,"есть в Покупках","")))</f>
        <v/>
      </c>
      <c r="P1089">
        <f>IF($H1089&lt;&gt;"",$H1089,IF($I1089="Оплачено",N($G1089),0))</f>
        <v/>
      </c>
      <c r="Q1089">
        <f>IF($I1089="Отменено",0,IF($G1089&lt;&gt;"",$G1089,N($H1089)))</f>
        <v/>
      </c>
      <c r="R1089">
        <f>IF($C1089="","",IFERROR(DATE(Настройки!$C$8,Настройки!$D$9+MATCH($M1089,Настройки!$X$6:$X$17,0)-1,1),DATE(YEAR($C1089),MONTH($C1089),1)))</f>
        <v/>
      </c>
      <c r="S1089">
        <f>IF(OR($I1089="Оплачено",$H1089&lt;&gt;""),$P1089,$Q1089)</f>
        <v/>
      </c>
      <c r="T1089">
        <f>IF(OR($C1089="",$D1089="Доход",$I1089="Оплачено",$I1089="Отменено",$H1089&lt;&gt;"",$C1089&lt;TODAY()),"",$C1089)</f>
        <v/>
      </c>
      <c r="U1089">
        <f>IF(AND($D1089&lt;&gt;"Доход",COUNTIFS(Счета!$B$10:$B$21,$J1089,Счета!$C$10:$C$21,"Кредитная")&gt;0),1,0)</f>
        <v/>
      </c>
    </row>
    <row r="1090" ht="19" customHeight="1">
      <c r="B1090" s="53">
        <f>IF(AND($C1090="",$F1090=""),"",ROW()-9)</f>
        <v/>
      </c>
      <c r="C1090" s="213" t="n"/>
      <c r="D1090" s="55" t="n"/>
      <c r="E1090" s="55" t="n"/>
      <c r="F1090" s="56" t="n"/>
      <c r="G1090" s="196" t="n"/>
      <c r="H1090" s="196" t="n"/>
      <c r="I1090" s="55" t="n"/>
      <c r="J1090" s="55" t="n"/>
      <c r="K1090" s="55" t="n"/>
      <c r="L1090" s="100">
        <f>IF(OR($C1090="",$I1090="Оплачено",$I1090="Отменено",$H1090&lt;&gt;""),"",$C1090-TODAY())</f>
        <v/>
      </c>
      <c r="M1090" s="101">
        <f>IF($C1090="","",INDEX(Настройки!$V$6:$V$17,MONTH($C1090))&amp;" "&amp;YEAR($C1090))</f>
        <v/>
      </c>
      <c r="N1090" s="57">
        <f>IF($F1090="","",IF(COUNTIF(Постоянные!$C$8:$C$37,$F1090)&gt;0,"есть в Постоянных",IF(COUNTIF(Покупки!$C$7:$C$18,$F1090)&gt;0,"есть в Покупках","")))</f>
        <v/>
      </c>
      <c r="P1090">
        <f>IF($H1090&lt;&gt;"",$H1090,IF($I1090="Оплачено",N($G1090),0))</f>
        <v/>
      </c>
      <c r="Q1090">
        <f>IF($I1090="Отменено",0,IF($G1090&lt;&gt;"",$G1090,N($H1090)))</f>
        <v/>
      </c>
      <c r="R1090">
        <f>IF($C1090="","",IFERROR(DATE(Настройки!$C$8,Настройки!$D$9+MATCH($M1090,Настройки!$X$6:$X$17,0)-1,1),DATE(YEAR($C1090),MONTH($C1090),1)))</f>
        <v/>
      </c>
      <c r="S1090">
        <f>IF(OR($I1090="Оплачено",$H1090&lt;&gt;""),$P1090,$Q1090)</f>
        <v/>
      </c>
      <c r="T1090">
        <f>IF(OR($C1090="",$D1090="Доход",$I1090="Оплачено",$I1090="Отменено",$H1090&lt;&gt;"",$C1090&lt;TODAY()),"",$C1090)</f>
        <v/>
      </c>
      <c r="U1090">
        <f>IF(AND($D1090&lt;&gt;"Доход",COUNTIFS(Счета!$B$10:$B$21,$J1090,Счета!$C$10:$C$21,"Кредитная")&gt;0),1,0)</f>
        <v/>
      </c>
    </row>
    <row r="1091" ht="19" customHeight="1">
      <c r="B1091" s="53">
        <f>IF(AND($C1091="",$F1091=""),"",ROW()-9)</f>
        <v/>
      </c>
      <c r="C1091" s="213" t="n"/>
      <c r="D1091" s="55" t="n"/>
      <c r="E1091" s="55" t="n"/>
      <c r="F1091" s="56" t="n"/>
      <c r="G1091" s="196" t="n"/>
      <c r="H1091" s="196" t="n"/>
      <c r="I1091" s="55" t="n"/>
      <c r="J1091" s="55" t="n"/>
      <c r="K1091" s="55" t="n"/>
      <c r="L1091" s="100">
        <f>IF(OR($C1091="",$I1091="Оплачено",$I1091="Отменено",$H1091&lt;&gt;""),"",$C1091-TODAY())</f>
        <v/>
      </c>
      <c r="M1091" s="101">
        <f>IF($C1091="","",INDEX(Настройки!$V$6:$V$17,MONTH($C1091))&amp;" "&amp;YEAR($C1091))</f>
        <v/>
      </c>
      <c r="N1091" s="57">
        <f>IF($F1091="","",IF(COUNTIF(Постоянные!$C$8:$C$37,$F1091)&gt;0,"есть в Постоянных",IF(COUNTIF(Покупки!$C$7:$C$18,$F1091)&gt;0,"есть в Покупках","")))</f>
        <v/>
      </c>
      <c r="P1091">
        <f>IF($H1091&lt;&gt;"",$H1091,IF($I1091="Оплачено",N($G1091),0))</f>
        <v/>
      </c>
      <c r="Q1091">
        <f>IF($I1091="Отменено",0,IF($G1091&lt;&gt;"",$G1091,N($H1091)))</f>
        <v/>
      </c>
      <c r="R1091">
        <f>IF($C1091="","",IFERROR(DATE(Настройки!$C$8,Настройки!$D$9+MATCH($M1091,Настройки!$X$6:$X$17,0)-1,1),DATE(YEAR($C1091),MONTH($C1091),1)))</f>
        <v/>
      </c>
      <c r="S1091">
        <f>IF(OR($I1091="Оплачено",$H1091&lt;&gt;""),$P1091,$Q1091)</f>
        <v/>
      </c>
      <c r="T1091">
        <f>IF(OR($C1091="",$D1091="Доход",$I1091="Оплачено",$I1091="Отменено",$H1091&lt;&gt;"",$C1091&lt;TODAY()),"",$C1091)</f>
        <v/>
      </c>
      <c r="U1091">
        <f>IF(AND($D1091&lt;&gt;"Доход",COUNTIFS(Счета!$B$10:$B$21,$J1091,Счета!$C$10:$C$21,"Кредитная")&gt;0),1,0)</f>
        <v/>
      </c>
    </row>
    <row r="1092" ht="19" customHeight="1">
      <c r="B1092" s="53">
        <f>IF(AND($C1092="",$F1092=""),"",ROW()-9)</f>
        <v/>
      </c>
      <c r="C1092" s="213" t="n"/>
      <c r="D1092" s="55" t="n"/>
      <c r="E1092" s="55" t="n"/>
      <c r="F1092" s="56" t="n"/>
      <c r="G1092" s="196" t="n"/>
      <c r="H1092" s="196" t="n"/>
      <c r="I1092" s="55" t="n"/>
      <c r="J1092" s="55" t="n"/>
      <c r="K1092" s="55" t="n"/>
      <c r="L1092" s="100">
        <f>IF(OR($C1092="",$I1092="Оплачено",$I1092="Отменено",$H1092&lt;&gt;""),"",$C1092-TODAY())</f>
        <v/>
      </c>
      <c r="M1092" s="101">
        <f>IF($C1092="","",INDEX(Настройки!$V$6:$V$17,MONTH($C1092))&amp;" "&amp;YEAR($C1092))</f>
        <v/>
      </c>
      <c r="N1092" s="57">
        <f>IF($F1092="","",IF(COUNTIF(Постоянные!$C$8:$C$37,$F1092)&gt;0,"есть в Постоянных",IF(COUNTIF(Покупки!$C$7:$C$18,$F1092)&gt;0,"есть в Покупках","")))</f>
        <v/>
      </c>
      <c r="P1092">
        <f>IF($H1092&lt;&gt;"",$H1092,IF($I1092="Оплачено",N($G1092),0))</f>
        <v/>
      </c>
      <c r="Q1092">
        <f>IF($I1092="Отменено",0,IF($G1092&lt;&gt;"",$G1092,N($H1092)))</f>
        <v/>
      </c>
      <c r="R1092">
        <f>IF($C1092="","",IFERROR(DATE(Настройки!$C$8,Настройки!$D$9+MATCH($M1092,Настройки!$X$6:$X$17,0)-1,1),DATE(YEAR($C1092),MONTH($C1092),1)))</f>
        <v/>
      </c>
      <c r="S1092">
        <f>IF(OR($I1092="Оплачено",$H1092&lt;&gt;""),$P1092,$Q1092)</f>
        <v/>
      </c>
      <c r="T1092">
        <f>IF(OR($C1092="",$D1092="Доход",$I1092="Оплачено",$I1092="Отменено",$H1092&lt;&gt;"",$C1092&lt;TODAY()),"",$C1092)</f>
        <v/>
      </c>
      <c r="U1092">
        <f>IF(AND($D1092&lt;&gt;"Доход",COUNTIFS(Счета!$B$10:$B$21,$J1092,Счета!$C$10:$C$21,"Кредитная")&gt;0),1,0)</f>
        <v/>
      </c>
    </row>
    <row r="1093" ht="19" customHeight="1">
      <c r="B1093" s="53">
        <f>IF(AND($C1093="",$F1093=""),"",ROW()-9)</f>
        <v/>
      </c>
      <c r="C1093" s="213" t="n"/>
      <c r="D1093" s="55" t="n"/>
      <c r="E1093" s="55" t="n"/>
      <c r="F1093" s="56" t="n"/>
      <c r="G1093" s="196" t="n"/>
      <c r="H1093" s="196" t="n"/>
      <c r="I1093" s="55" t="n"/>
      <c r="J1093" s="55" t="n"/>
      <c r="K1093" s="55" t="n"/>
      <c r="L1093" s="100">
        <f>IF(OR($C1093="",$I1093="Оплачено",$I1093="Отменено",$H1093&lt;&gt;""),"",$C1093-TODAY())</f>
        <v/>
      </c>
      <c r="M1093" s="101">
        <f>IF($C1093="","",INDEX(Настройки!$V$6:$V$17,MONTH($C1093))&amp;" "&amp;YEAR($C1093))</f>
        <v/>
      </c>
      <c r="N1093" s="57">
        <f>IF($F1093="","",IF(COUNTIF(Постоянные!$C$8:$C$37,$F1093)&gt;0,"есть в Постоянных",IF(COUNTIF(Покупки!$C$7:$C$18,$F1093)&gt;0,"есть в Покупках","")))</f>
        <v/>
      </c>
      <c r="P1093">
        <f>IF($H1093&lt;&gt;"",$H1093,IF($I1093="Оплачено",N($G1093),0))</f>
        <v/>
      </c>
      <c r="Q1093">
        <f>IF($I1093="Отменено",0,IF($G1093&lt;&gt;"",$G1093,N($H1093)))</f>
        <v/>
      </c>
      <c r="R1093">
        <f>IF($C1093="","",IFERROR(DATE(Настройки!$C$8,Настройки!$D$9+MATCH($M1093,Настройки!$X$6:$X$17,0)-1,1),DATE(YEAR($C1093),MONTH($C1093),1)))</f>
        <v/>
      </c>
      <c r="S1093">
        <f>IF(OR($I1093="Оплачено",$H1093&lt;&gt;""),$P1093,$Q1093)</f>
        <v/>
      </c>
      <c r="T1093">
        <f>IF(OR($C1093="",$D1093="Доход",$I1093="Оплачено",$I1093="Отменено",$H1093&lt;&gt;"",$C1093&lt;TODAY()),"",$C1093)</f>
        <v/>
      </c>
      <c r="U1093">
        <f>IF(AND($D1093&lt;&gt;"Доход",COUNTIFS(Счета!$B$10:$B$21,$J1093,Счета!$C$10:$C$21,"Кредитная")&gt;0),1,0)</f>
        <v/>
      </c>
    </row>
    <row r="1094" ht="19" customHeight="1">
      <c r="B1094" s="53">
        <f>IF(AND($C1094="",$F1094=""),"",ROW()-9)</f>
        <v/>
      </c>
      <c r="C1094" s="213" t="n"/>
      <c r="D1094" s="55" t="n"/>
      <c r="E1094" s="55" t="n"/>
      <c r="F1094" s="56" t="n"/>
      <c r="G1094" s="196" t="n"/>
      <c r="H1094" s="196" t="n"/>
      <c r="I1094" s="55" t="n"/>
      <c r="J1094" s="55" t="n"/>
      <c r="K1094" s="55" t="n"/>
      <c r="L1094" s="100">
        <f>IF(OR($C1094="",$I1094="Оплачено",$I1094="Отменено",$H1094&lt;&gt;""),"",$C1094-TODAY())</f>
        <v/>
      </c>
      <c r="M1094" s="101">
        <f>IF($C1094="","",INDEX(Настройки!$V$6:$V$17,MONTH($C1094))&amp;" "&amp;YEAR($C1094))</f>
        <v/>
      </c>
      <c r="N1094" s="57">
        <f>IF($F1094="","",IF(COUNTIF(Постоянные!$C$8:$C$37,$F1094)&gt;0,"есть в Постоянных",IF(COUNTIF(Покупки!$C$7:$C$18,$F1094)&gt;0,"есть в Покупках","")))</f>
        <v/>
      </c>
      <c r="P1094">
        <f>IF($H1094&lt;&gt;"",$H1094,IF($I1094="Оплачено",N($G1094),0))</f>
        <v/>
      </c>
      <c r="Q1094">
        <f>IF($I1094="Отменено",0,IF($G1094&lt;&gt;"",$G1094,N($H1094)))</f>
        <v/>
      </c>
      <c r="R1094">
        <f>IF($C1094="","",IFERROR(DATE(Настройки!$C$8,Настройки!$D$9+MATCH($M1094,Настройки!$X$6:$X$17,0)-1,1),DATE(YEAR($C1094),MONTH($C1094),1)))</f>
        <v/>
      </c>
      <c r="S1094">
        <f>IF(OR($I1094="Оплачено",$H1094&lt;&gt;""),$P1094,$Q1094)</f>
        <v/>
      </c>
      <c r="T1094">
        <f>IF(OR($C1094="",$D1094="Доход",$I1094="Оплачено",$I1094="Отменено",$H1094&lt;&gt;"",$C1094&lt;TODAY()),"",$C1094)</f>
        <v/>
      </c>
      <c r="U1094">
        <f>IF(AND($D1094&lt;&gt;"Доход",COUNTIFS(Счета!$B$10:$B$21,$J1094,Счета!$C$10:$C$21,"Кредитная")&gt;0),1,0)</f>
        <v/>
      </c>
    </row>
    <row r="1095" ht="19" customHeight="1">
      <c r="B1095" s="53">
        <f>IF(AND($C1095="",$F1095=""),"",ROW()-9)</f>
        <v/>
      </c>
      <c r="C1095" s="213" t="n"/>
      <c r="D1095" s="55" t="n"/>
      <c r="E1095" s="55" t="n"/>
      <c r="F1095" s="56" t="n"/>
      <c r="G1095" s="196" t="n"/>
      <c r="H1095" s="196" t="n"/>
      <c r="I1095" s="55" t="n"/>
      <c r="J1095" s="55" t="n"/>
      <c r="K1095" s="55" t="n"/>
      <c r="L1095" s="100">
        <f>IF(OR($C1095="",$I1095="Оплачено",$I1095="Отменено",$H1095&lt;&gt;""),"",$C1095-TODAY())</f>
        <v/>
      </c>
      <c r="M1095" s="101">
        <f>IF($C1095="","",INDEX(Настройки!$V$6:$V$17,MONTH($C1095))&amp;" "&amp;YEAR($C1095))</f>
        <v/>
      </c>
      <c r="N1095" s="57">
        <f>IF($F1095="","",IF(COUNTIF(Постоянные!$C$8:$C$37,$F1095)&gt;0,"есть в Постоянных",IF(COUNTIF(Покупки!$C$7:$C$18,$F1095)&gt;0,"есть в Покупках","")))</f>
        <v/>
      </c>
      <c r="P1095">
        <f>IF($H1095&lt;&gt;"",$H1095,IF($I1095="Оплачено",N($G1095),0))</f>
        <v/>
      </c>
      <c r="Q1095">
        <f>IF($I1095="Отменено",0,IF($G1095&lt;&gt;"",$G1095,N($H1095)))</f>
        <v/>
      </c>
      <c r="R1095">
        <f>IF($C1095="","",IFERROR(DATE(Настройки!$C$8,Настройки!$D$9+MATCH($M1095,Настройки!$X$6:$X$17,0)-1,1),DATE(YEAR($C1095),MONTH($C1095),1)))</f>
        <v/>
      </c>
      <c r="S1095">
        <f>IF(OR($I1095="Оплачено",$H1095&lt;&gt;""),$P1095,$Q1095)</f>
        <v/>
      </c>
      <c r="T1095">
        <f>IF(OR($C1095="",$D1095="Доход",$I1095="Оплачено",$I1095="Отменено",$H1095&lt;&gt;"",$C1095&lt;TODAY()),"",$C1095)</f>
        <v/>
      </c>
      <c r="U1095">
        <f>IF(AND($D1095&lt;&gt;"Доход",COUNTIFS(Счета!$B$10:$B$21,$J1095,Счета!$C$10:$C$21,"Кредитная")&gt;0),1,0)</f>
        <v/>
      </c>
    </row>
    <row r="1096" ht="19" customHeight="1">
      <c r="B1096" s="53">
        <f>IF(AND($C1096="",$F1096=""),"",ROW()-9)</f>
        <v/>
      </c>
      <c r="C1096" s="213" t="n"/>
      <c r="D1096" s="55" t="n"/>
      <c r="E1096" s="55" t="n"/>
      <c r="F1096" s="56" t="n"/>
      <c r="G1096" s="196" t="n"/>
      <c r="H1096" s="196" t="n"/>
      <c r="I1096" s="55" t="n"/>
      <c r="J1096" s="55" t="n"/>
      <c r="K1096" s="55" t="n"/>
      <c r="L1096" s="100">
        <f>IF(OR($C1096="",$I1096="Оплачено",$I1096="Отменено",$H1096&lt;&gt;""),"",$C1096-TODAY())</f>
        <v/>
      </c>
      <c r="M1096" s="101">
        <f>IF($C1096="","",INDEX(Настройки!$V$6:$V$17,MONTH($C1096))&amp;" "&amp;YEAR($C1096))</f>
        <v/>
      </c>
      <c r="N1096" s="57">
        <f>IF($F1096="","",IF(COUNTIF(Постоянные!$C$8:$C$37,$F1096)&gt;0,"есть в Постоянных",IF(COUNTIF(Покупки!$C$7:$C$18,$F1096)&gt;0,"есть в Покупках","")))</f>
        <v/>
      </c>
      <c r="P1096">
        <f>IF($H1096&lt;&gt;"",$H1096,IF($I1096="Оплачено",N($G1096),0))</f>
        <v/>
      </c>
      <c r="Q1096">
        <f>IF($I1096="Отменено",0,IF($G1096&lt;&gt;"",$G1096,N($H1096)))</f>
        <v/>
      </c>
      <c r="R1096">
        <f>IF($C1096="","",IFERROR(DATE(Настройки!$C$8,Настройки!$D$9+MATCH($M1096,Настройки!$X$6:$X$17,0)-1,1),DATE(YEAR($C1096),MONTH($C1096),1)))</f>
        <v/>
      </c>
      <c r="S1096">
        <f>IF(OR($I1096="Оплачено",$H1096&lt;&gt;""),$P1096,$Q1096)</f>
        <v/>
      </c>
      <c r="T1096">
        <f>IF(OR($C1096="",$D1096="Доход",$I1096="Оплачено",$I1096="Отменено",$H1096&lt;&gt;"",$C1096&lt;TODAY()),"",$C1096)</f>
        <v/>
      </c>
      <c r="U1096">
        <f>IF(AND($D1096&lt;&gt;"Доход",COUNTIFS(Счета!$B$10:$B$21,$J1096,Счета!$C$10:$C$21,"Кредитная")&gt;0),1,0)</f>
        <v/>
      </c>
    </row>
    <row r="1097" ht="19" customHeight="1">
      <c r="B1097" s="53">
        <f>IF(AND($C1097="",$F1097=""),"",ROW()-9)</f>
        <v/>
      </c>
      <c r="C1097" s="213" t="n"/>
      <c r="D1097" s="55" t="n"/>
      <c r="E1097" s="55" t="n"/>
      <c r="F1097" s="56" t="n"/>
      <c r="G1097" s="196" t="n"/>
      <c r="H1097" s="196" t="n"/>
      <c r="I1097" s="55" t="n"/>
      <c r="J1097" s="55" t="n"/>
      <c r="K1097" s="55" t="n"/>
      <c r="L1097" s="100">
        <f>IF(OR($C1097="",$I1097="Оплачено",$I1097="Отменено",$H1097&lt;&gt;""),"",$C1097-TODAY())</f>
        <v/>
      </c>
      <c r="M1097" s="101">
        <f>IF($C1097="","",INDEX(Настройки!$V$6:$V$17,MONTH($C1097))&amp;" "&amp;YEAR($C1097))</f>
        <v/>
      </c>
      <c r="N1097" s="57">
        <f>IF($F1097="","",IF(COUNTIF(Постоянные!$C$8:$C$37,$F1097)&gt;0,"есть в Постоянных",IF(COUNTIF(Покупки!$C$7:$C$18,$F1097)&gt;0,"есть в Покупках","")))</f>
        <v/>
      </c>
      <c r="P1097">
        <f>IF($H1097&lt;&gt;"",$H1097,IF($I1097="Оплачено",N($G1097),0))</f>
        <v/>
      </c>
      <c r="Q1097">
        <f>IF($I1097="Отменено",0,IF($G1097&lt;&gt;"",$G1097,N($H1097)))</f>
        <v/>
      </c>
      <c r="R1097">
        <f>IF($C1097="","",IFERROR(DATE(Настройки!$C$8,Настройки!$D$9+MATCH($M1097,Настройки!$X$6:$X$17,0)-1,1),DATE(YEAR($C1097),MONTH($C1097),1)))</f>
        <v/>
      </c>
      <c r="S1097">
        <f>IF(OR($I1097="Оплачено",$H1097&lt;&gt;""),$P1097,$Q1097)</f>
        <v/>
      </c>
      <c r="T1097">
        <f>IF(OR($C1097="",$D1097="Доход",$I1097="Оплачено",$I1097="Отменено",$H1097&lt;&gt;"",$C1097&lt;TODAY()),"",$C1097)</f>
        <v/>
      </c>
      <c r="U1097">
        <f>IF(AND($D1097&lt;&gt;"Доход",COUNTIFS(Счета!$B$10:$B$21,$J1097,Счета!$C$10:$C$21,"Кредитная")&gt;0),1,0)</f>
        <v/>
      </c>
    </row>
    <row r="1098" ht="19" customHeight="1">
      <c r="B1098" s="53">
        <f>IF(AND($C1098="",$F1098=""),"",ROW()-9)</f>
        <v/>
      </c>
      <c r="C1098" s="213" t="n"/>
      <c r="D1098" s="55" t="n"/>
      <c r="E1098" s="55" t="n"/>
      <c r="F1098" s="56" t="n"/>
      <c r="G1098" s="196" t="n"/>
      <c r="H1098" s="196" t="n"/>
      <c r="I1098" s="55" t="n"/>
      <c r="J1098" s="55" t="n"/>
      <c r="K1098" s="55" t="n"/>
      <c r="L1098" s="100">
        <f>IF(OR($C1098="",$I1098="Оплачено",$I1098="Отменено",$H1098&lt;&gt;""),"",$C1098-TODAY())</f>
        <v/>
      </c>
      <c r="M1098" s="101">
        <f>IF($C1098="","",INDEX(Настройки!$V$6:$V$17,MONTH($C1098))&amp;" "&amp;YEAR($C1098))</f>
        <v/>
      </c>
      <c r="N1098" s="57">
        <f>IF($F1098="","",IF(COUNTIF(Постоянные!$C$8:$C$37,$F1098)&gt;0,"есть в Постоянных",IF(COUNTIF(Покупки!$C$7:$C$18,$F1098)&gt;0,"есть в Покупках","")))</f>
        <v/>
      </c>
      <c r="P1098">
        <f>IF($H1098&lt;&gt;"",$H1098,IF($I1098="Оплачено",N($G1098),0))</f>
        <v/>
      </c>
      <c r="Q1098">
        <f>IF($I1098="Отменено",0,IF($G1098&lt;&gt;"",$G1098,N($H1098)))</f>
        <v/>
      </c>
      <c r="R1098">
        <f>IF($C1098="","",IFERROR(DATE(Настройки!$C$8,Настройки!$D$9+MATCH($M1098,Настройки!$X$6:$X$17,0)-1,1),DATE(YEAR($C1098),MONTH($C1098),1)))</f>
        <v/>
      </c>
      <c r="S1098">
        <f>IF(OR($I1098="Оплачено",$H1098&lt;&gt;""),$P1098,$Q1098)</f>
        <v/>
      </c>
      <c r="T1098">
        <f>IF(OR($C1098="",$D1098="Доход",$I1098="Оплачено",$I1098="Отменено",$H1098&lt;&gt;"",$C1098&lt;TODAY()),"",$C1098)</f>
        <v/>
      </c>
      <c r="U1098">
        <f>IF(AND($D1098&lt;&gt;"Доход",COUNTIFS(Счета!$B$10:$B$21,$J1098,Счета!$C$10:$C$21,"Кредитная")&gt;0),1,0)</f>
        <v/>
      </c>
    </row>
    <row r="1099" ht="19" customHeight="1">
      <c r="B1099" s="53">
        <f>IF(AND($C1099="",$F1099=""),"",ROW()-9)</f>
        <v/>
      </c>
      <c r="C1099" s="213" t="n"/>
      <c r="D1099" s="55" t="n"/>
      <c r="E1099" s="55" t="n"/>
      <c r="F1099" s="56" t="n"/>
      <c r="G1099" s="196" t="n"/>
      <c r="H1099" s="196" t="n"/>
      <c r="I1099" s="55" t="n"/>
      <c r="J1099" s="55" t="n"/>
      <c r="K1099" s="55" t="n"/>
      <c r="L1099" s="100">
        <f>IF(OR($C1099="",$I1099="Оплачено",$I1099="Отменено",$H1099&lt;&gt;""),"",$C1099-TODAY())</f>
        <v/>
      </c>
      <c r="M1099" s="101">
        <f>IF($C1099="","",INDEX(Настройки!$V$6:$V$17,MONTH($C1099))&amp;" "&amp;YEAR($C1099))</f>
        <v/>
      </c>
      <c r="N1099" s="57">
        <f>IF($F1099="","",IF(COUNTIF(Постоянные!$C$8:$C$37,$F1099)&gt;0,"есть в Постоянных",IF(COUNTIF(Покупки!$C$7:$C$18,$F1099)&gt;0,"есть в Покупках","")))</f>
        <v/>
      </c>
      <c r="P1099">
        <f>IF($H1099&lt;&gt;"",$H1099,IF($I1099="Оплачено",N($G1099),0))</f>
        <v/>
      </c>
      <c r="Q1099">
        <f>IF($I1099="Отменено",0,IF($G1099&lt;&gt;"",$G1099,N($H1099)))</f>
        <v/>
      </c>
      <c r="R1099">
        <f>IF($C1099="","",IFERROR(DATE(Настройки!$C$8,Настройки!$D$9+MATCH($M1099,Настройки!$X$6:$X$17,0)-1,1),DATE(YEAR($C1099),MONTH($C1099),1)))</f>
        <v/>
      </c>
      <c r="S1099">
        <f>IF(OR($I1099="Оплачено",$H1099&lt;&gt;""),$P1099,$Q1099)</f>
        <v/>
      </c>
      <c r="T1099">
        <f>IF(OR($C1099="",$D1099="Доход",$I1099="Оплачено",$I1099="Отменено",$H1099&lt;&gt;"",$C1099&lt;TODAY()),"",$C1099)</f>
        <v/>
      </c>
      <c r="U1099">
        <f>IF(AND($D1099&lt;&gt;"Доход",COUNTIFS(Счета!$B$10:$B$21,$J1099,Счета!$C$10:$C$21,"Кредитная")&gt;0),1,0)</f>
        <v/>
      </c>
    </row>
    <row r="1100" ht="19" customHeight="1">
      <c r="B1100" s="53">
        <f>IF(AND($C1100="",$F1100=""),"",ROW()-9)</f>
        <v/>
      </c>
      <c r="C1100" s="213" t="n"/>
      <c r="D1100" s="55" t="n"/>
      <c r="E1100" s="55" t="n"/>
      <c r="F1100" s="56" t="n"/>
      <c r="G1100" s="196" t="n"/>
      <c r="H1100" s="196" t="n"/>
      <c r="I1100" s="55" t="n"/>
      <c r="J1100" s="55" t="n"/>
      <c r="K1100" s="55" t="n"/>
      <c r="L1100" s="100">
        <f>IF(OR($C1100="",$I1100="Оплачено",$I1100="Отменено",$H1100&lt;&gt;""),"",$C1100-TODAY())</f>
        <v/>
      </c>
      <c r="M1100" s="101">
        <f>IF($C1100="","",INDEX(Настройки!$V$6:$V$17,MONTH($C1100))&amp;" "&amp;YEAR($C1100))</f>
        <v/>
      </c>
      <c r="N1100" s="57">
        <f>IF($F1100="","",IF(COUNTIF(Постоянные!$C$8:$C$37,$F1100)&gt;0,"есть в Постоянных",IF(COUNTIF(Покупки!$C$7:$C$18,$F1100)&gt;0,"есть в Покупках","")))</f>
        <v/>
      </c>
      <c r="P1100">
        <f>IF($H1100&lt;&gt;"",$H1100,IF($I1100="Оплачено",N($G1100),0))</f>
        <v/>
      </c>
      <c r="Q1100">
        <f>IF($I1100="Отменено",0,IF($G1100&lt;&gt;"",$G1100,N($H1100)))</f>
        <v/>
      </c>
      <c r="R1100">
        <f>IF($C1100="","",IFERROR(DATE(Настройки!$C$8,Настройки!$D$9+MATCH($M1100,Настройки!$X$6:$X$17,0)-1,1),DATE(YEAR($C1100),MONTH($C1100),1)))</f>
        <v/>
      </c>
      <c r="S1100">
        <f>IF(OR($I1100="Оплачено",$H1100&lt;&gt;""),$P1100,$Q1100)</f>
        <v/>
      </c>
      <c r="T1100">
        <f>IF(OR($C1100="",$D1100="Доход",$I1100="Оплачено",$I1100="Отменено",$H1100&lt;&gt;"",$C1100&lt;TODAY()),"",$C1100)</f>
        <v/>
      </c>
      <c r="U1100">
        <f>IF(AND($D1100&lt;&gt;"Доход",COUNTIFS(Счета!$B$10:$B$21,$J1100,Счета!$C$10:$C$21,"Кредитная")&gt;0),1,0)</f>
        <v/>
      </c>
    </row>
    <row r="1101" ht="19" customHeight="1">
      <c r="B1101" s="53">
        <f>IF(AND($C1101="",$F1101=""),"",ROW()-9)</f>
        <v/>
      </c>
      <c r="C1101" s="213" t="n"/>
      <c r="D1101" s="55" t="n"/>
      <c r="E1101" s="55" t="n"/>
      <c r="F1101" s="56" t="n"/>
      <c r="G1101" s="196" t="n"/>
      <c r="H1101" s="196" t="n"/>
      <c r="I1101" s="55" t="n"/>
      <c r="J1101" s="55" t="n"/>
      <c r="K1101" s="55" t="n"/>
      <c r="L1101" s="100">
        <f>IF(OR($C1101="",$I1101="Оплачено",$I1101="Отменено",$H1101&lt;&gt;""),"",$C1101-TODAY())</f>
        <v/>
      </c>
      <c r="M1101" s="101">
        <f>IF($C1101="","",INDEX(Настройки!$V$6:$V$17,MONTH($C1101))&amp;" "&amp;YEAR($C1101))</f>
        <v/>
      </c>
      <c r="N1101" s="57">
        <f>IF($F1101="","",IF(COUNTIF(Постоянные!$C$8:$C$37,$F1101)&gt;0,"есть в Постоянных",IF(COUNTIF(Покупки!$C$7:$C$18,$F1101)&gt;0,"есть в Покупках","")))</f>
        <v/>
      </c>
      <c r="P1101">
        <f>IF($H1101&lt;&gt;"",$H1101,IF($I1101="Оплачено",N($G1101),0))</f>
        <v/>
      </c>
      <c r="Q1101">
        <f>IF($I1101="Отменено",0,IF($G1101&lt;&gt;"",$G1101,N($H1101)))</f>
        <v/>
      </c>
      <c r="R1101">
        <f>IF($C1101="","",IFERROR(DATE(Настройки!$C$8,Настройки!$D$9+MATCH($M1101,Настройки!$X$6:$X$17,0)-1,1),DATE(YEAR($C1101),MONTH($C1101),1)))</f>
        <v/>
      </c>
      <c r="S1101">
        <f>IF(OR($I1101="Оплачено",$H1101&lt;&gt;""),$P1101,$Q1101)</f>
        <v/>
      </c>
      <c r="T1101">
        <f>IF(OR($C1101="",$D1101="Доход",$I1101="Оплачено",$I1101="Отменено",$H1101&lt;&gt;"",$C1101&lt;TODAY()),"",$C1101)</f>
        <v/>
      </c>
      <c r="U1101">
        <f>IF(AND($D1101&lt;&gt;"Доход",COUNTIFS(Счета!$B$10:$B$21,$J1101,Счета!$C$10:$C$21,"Кредитная")&gt;0),1,0)</f>
        <v/>
      </c>
    </row>
    <row r="1102" ht="19" customHeight="1">
      <c r="B1102" s="53">
        <f>IF(AND($C1102="",$F1102=""),"",ROW()-9)</f>
        <v/>
      </c>
      <c r="C1102" s="213" t="n"/>
      <c r="D1102" s="55" t="n"/>
      <c r="E1102" s="55" t="n"/>
      <c r="F1102" s="56" t="n"/>
      <c r="G1102" s="196" t="n"/>
      <c r="H1102" s="196" t="n"/>
      <c r="I1102" s="55" t="n"/>
      <c r="J1102" s="55" t="n"/>
      <c r="K1102" s="55" t="n"/>
      <c r="L1102" s="100">
        <f>IF(OR($C1102="",$I1102="Оплачено",$I1102="Отменено",$H1102&lt;&gt;""),"",$C1102-TODAY())</f>
        <v/>
      </c>
      <c r="M1102" s="101">
        <f>IF($C1102="","",INDEX(Настройки!$V$6:$V$17,MONTH($C1102))&amp;" "&amp;YEAR($C1102))</f>
        <v/>
      </c>
      <c r="N1102" s="57">
        <f>IF($F1102="","",IF(COUNTIF(Постоянные!$C$8:$C$37,$F1102)&gt;0,"есть в Постоянных",IF(COUNTIF(Покупки!$C$7:$C$18,$F1102)&gt;0,"есть в Покупках","")))</f>
        <v/>
      </c>
      <c r="P1102">
        <f>IF($H1102&lt;&gt;"",$H1102,IF($I1102="Оплачено",N($G1102),0))</f>
        <v/>
      </c>
      <c r="Q1102">
        <f>IF($I1102="Отменено",0,IF($G1102&lt;&gt;"",$G1102,N($H1102)))</f>
        <v/>
      </c>
      <c r="R1102">
        <f>IF($C1102="","",IFERROR(DATE(Настройки!$C$8,Настройки!$D$9+MATCH($M1102,Настройки!$X$6:$X$17,0)-1,1),DATE(YEAR($C1102),MONTH($C1102),1)))</f>
        <v/>
      </c>
      <c r="S1102">
        <f>IF(OR($I1102="Оплачено",$H1102&lt;&gt;""),$P1102,$Q1102)</f>
        <v/>
      </c>
      <c r="T1102">
        <f>IF(OR($C1102="",$D1102="Доход",$I1102="Оплачено",$I1102="Отменено",$H1102&lt;&gt;"",$C1102&lt;TODAY()),"",$C1102)</f>
        <v/>
      </c>
      <c r="U1102">
        <f>IF(AND($D1102&lt;&gt;"Доход",COUNTIFS(Счета!$B$10:$B$21,$J1102,Счета!$C$10:$C$21,"Кредитная")&gt;0),1,0)</f>
        <v/>
      </c>
    </row>
    <row r="1103" ht="19" customHeight="1">
      <c r="B1103" s="53">
        <f>IF(AND($C1103="",$F1103=""),"",ROW()-9)</f>
        <v/>
      </c>
      <c r="C1103" s="213" t="n"/>
      <c r="D1103" s="55" t="n"/>
      <c r="E1103" s="55" t="n"/>
      <c r="F1103" s="56" t="n"/>
      <c r="G1103" s="196" t="n"/>
      <c r="H1103" s="196" t="n"/>
      <c r="I1103" s="55" t="n"/>
      <c r="J1103" s="55" t="n"/>
      <c r="K1103" s="55" t="n"/>
      <c r="L1103" s="100">
        <f>IF(OR($C1103="",$I1103="Оплачено",$I1103="Отменено",$H1103&lt;&gt;""),"",$C1103-TODAY())</f>
        <v/>
      </c>
      <c r="M1103" s="101">
        <f>IF($C1103="","",INDEX(Настройки!$V$6:$V$17,MONTH($C1103))&amp;" "&amp;YEAR($C1103))</f>
        <v/>
      </c>
      <c r="N1103" s="57">
        <f>IF($F1103="","",IF(COUNTIF(Постоянные!$C$8:$C$37,$F1103)&gt;0,"есть в Постоянных",IF(COUNTIF(Покупки!$C$7:$C$18,$F1103)&gt;0,"есть в Покупках","")))</f>
        <v/>
      </c>
      <c r="P1103">
        <f>IF($H1103&lt;&gt;"",$H1103,IF($I1103="Оплачено",N($G1103),0))</f>
        <v/>
      </c>
      <c r="Q1103">
        <f>IF($I1103="Отменено",0,IF($G1103&lt;&gt;"",$G1103,N($H1103)))</f>
        <v/>
      </c>
      <c r="R1103">
        <f>IF($C1103="","",IFERROR(DATE(Настройки!$C$8,Настройки!$D$9+MATCH($M1103,Настройки!$X$6:$X$17,0)-1,1),DATE(YEAR($C1103),MONTH($C1103),1)))</f>
        <v/>
      </c>
      <c r="S1103">
        <f>IF(OR($I1103="Оплачено",$H1103&lt;&gt;""),$P1103,$Q1103)</f>
        <v/>
      </c>
      <c r="T1103">
        <f>IF(OR($C1103="",$D1103="Доход",$I1103="Оплачено",$I1103="Отменено",$H1103&lt;&gt;"",$C1103&lt;TODAY()),"",$C1103)</f>
        <v/>
      </c>
      <c r="U1103">
        <f>IF(AND($D1103&lt;&gt;"Доход",COUNTIFS(Счета!$B$10:$B$21,$J1103,Счета!$C$10:$C$21,"Кредитная")&gt;0),1,0)</f>
        <v/>
      </c>
    </row>
    <row r="1104" ht="19" customHeight="1">
      <c r="B1104" s="53">
        <f>IF(AND($C1104="",$F1104=""),"",ROW()-9)</f>
        <v/>
      </c>
      <c r="C1104" s="213" t="n"/>
      <c r="D1104" s="55" t="n"/>
      <c r="E1104" s="55" t="n"/>
      <c r="F1104" s="56" t="n"/>
      <c r="G1104" s="196" t="n"/>
      <c r="H1104" s="196" t="n"/>
      <c r="I1104" s="55" t="n"/>
      <c r="J1104" s="55" t="n"/>
      <c r="K1104" s="55" t="n"/>
      <c r="L1104" s="100">
        <f>IF(OR($C1104="",$I1104="Оплачено",$I1104="Отменено",$H1104&lt;&gt;""),"",$C1104-TODAY())</f>
        <v/>
      </c>
      <c r="M1104" s="101">
        <f>IF($C1104="","",INDEX(Настройки!$V$6:$V$17,MONTH($C1104))&amp;" "&amp;YEAR($C1104))</f>
        <v/>
      </c>
      <c r="N1104" s="57">
        <f>IF($F1104="","",IF(COUNTIF(Постоянные!$C$8:$C$37,$F1104)&gt;0,"есть в Постоянных",IF(COUNTIF(Покупки!$C$7:$C$18,$F1104)&gt;0,"есть в Покупках","")))</f>
        <v/>
      </c>
      <c r="P1104">
        <f>IF($H1104&lt;&gt;"",$H1104,IF($I1104="Оплачено",N($G1104),0))</f>
        <v/>
      </c>
      <c r="Q1104">
        <f>IF($I1104="Отменено",0,IF($G1104&lt;&gt;"",$G1104,N($H1104)))</f>
        <v/>
      </c>
      <c r="R1104">
        <f>IF($C1104="","",IFERROR(DATE(Настройки!$C$8,Настройки!$D$9+MATCH($M1104,Настройки!$X$6:$X$17,0)-1,1),DATE(YEAR($C1104),MONTH($C1104),1)))</f>
        <v/>
      </c>
      <c r="S1104">
        <f>IF(OR($I1104="Оплачено",$H1104&lt;&gt;""),$P1104,$Q1104)</f>
        <v/>
      </c>
      <c r="T1104">
        <f>IF(OR($C1104="",$D1104="Доход",$I1104="Оплачено",$I1104="Отменено",$H1104&lt;&gt;"",$C1104&lt;TODAY()),"",$C1104)</f>
        <v/>
      </c>
      <c r="U1104">
        <f>IF(AND($D1104&lt;&gt;"Доход",COUNTIFS(Счета!$B$10:$B$21,$J1104,Счета!$C$10:$C$21,"Кредитная")&gt;0),1,0)</f>
        <v/>
      </c>
    </row>
    <row r="1105" ht="19" customHeight="1">
      <c r="B1105" s="53">
        <f>IF(AND($C1105="",$F1105=""),"",ROW()-9)</f>
        <v/>
      </c>
      <c r="C1105" s="213" t="n"/>
      <c r="D1105" s="55" t="n"/>
      <c r="E1105" s="55" t="n"/>
      <c r="F1105" s="56" t="n"/>
      <c r="G1105" s="196" t="n"/>
      <c r="H1105" s="196" t="n"/>
      <c r="I1105" s="55" t="n"/>
      <c r="J1105" s="55" t="n"/>
      <c r="K1105" s="55" t="n"/>
      <c r="L1105" s="100">
        <f>IF(OR($C1105="",$I1105="Оплачено",$I1105="Отменено",$H1105&lt;&gt;""),"",$C1105-TODAY())</f>
        <v/>
      </c>
      <c r="M1105" s="101">
        <f>IF($C1105="","",INDEX(Настройки!$V$6:$V$17,MONTH($C1105))&amp;" "&amp;YEAR($C1105))</f>
        <v/>
      </c>
      <c r="N1105" s="57">
        <f>IF($F1105="","",IF(COUNTIF(Постоянные!$C$8:$C$37,$F1105)&gt;0,"есть в Постоянных",IF(COUNTIF(Покупки!$C$7:$C$18,$F1105)&gt;0,"есть в Покупках","")))</f>
        <v/>
      </c>
      <c r="P1105">
        <f>IF($H1105&lt;&gt;"",$H1105,IF($I1105="Оплачено",N($G1105),0))</f>
        <v/>
      </c>
      <c r="Q1105">
        <f>IF($I1105="Отменено",0,IF($G1105&lt;&gt;"",$G1105,N($H1105)))</f>
        <v/>
      </c>
      <c r="R1105">
        <f>IF($C1105="","",IFERROR(DATE(Настройки!$C$8,Настройки!$D$9+MATCH($M1105,Настройки!$X$6:$X$17,0)-1,1),DATE(YEAR($C1105),MONTH($C1105),1)))</f>
        <v/>
      </c>
      <c r="S1105">
        <f>IF(OR($I1105="Оплачено",$H1105&lt;&gt;""),$P1105,$Q1105)</f>
        <v/>
      </c>
      <c r="T1105">
        <f>IF(OR($C1105="",$D1105="Доход",$I1105="Оплачено",$I1105="Отменено",$H1105&lt;&gt;"",$C1105&lt;TODAY()),"",$C1105)</f>
        <v/>
      </c>
      <c r="U1105">
        <f>IF(AND($D1105&lt;&gt;"Доход",COUNTIFS(Счета!$B$10:$B$21,$J1105,Счета!$C$10:$C$21,"Кредитная")&gt;0),1,0)</f>
        <v/>
      </c>
    </row>
    <row r="1106" ht="19" customHeight="1">
      <c r="B1106" s="53">
        <f>IF(AND($C1106="",$F1106=""),"",ROW()-9)</f>
        <v/>
      </c>
      <c r="C1106" s="213" t="n"/>
      <c r="D1106" s="55" t="n"/>
      <c r="E1106" s="55" t="n"/>
      <c r="F1106" s="56" t="n"/>
      <c r="G1106" s="196" t="n"/>
      <c r="H1106" s="196" t="n"/>
      <c r="I1106" s="55" t="n"/>
      <c r="J1106" s="55" t="n"/>
      <c r="K1106" s="55" t="n"/>
      <c r="L1106" s="100">
        <f>IF(OR($C1106="",$I1106="Оплачено",$I1106="Отменено",$H1106&lt;&gt;""),"",$C1106-TODAY())</f>
        <v/>
      </c>
      <c r="M1106" s="101">
        <f>IF($C1106="","",INDEX(Настройки!$V$6:$V$17,MONTH($C1106))&amp;" "&amp;YEAR($C1106))</f>
        <v/>
      </c>
      <c r="N1106" s="57">
        <f>IF($F1106="","",IF(COUNTIF(Постоянные!$C$8:$C$37,$F1106)&gt;0,"есть в Постоянных",IF(COUNTIF(Покупки!$C$7:$C$18,$F1106)&gt;0,"есть в Покупках","")))</f>
        <v/>
      </c>
      <c r="P1106">
        <f>IF($H1106&lt;&gt;"",$H1106,IF($I1106="Оплачено",N($G1106),0))</f>
        <v/>
      </c>
      <c r="Q1106">
        <f>IF($I1106="Отменено",0,IF($G1106&lt;&gt;"",$G1106,N($H1106)))</f>
        <v/>
      </c>
      <c r="R1106">
        <f>IF($C1106="","",IFERROR(DATE(Настройки!$C$8,Настройки!$D$9+MATCH($M1106,Настройки!$X$6:$X$17,0)-1,1),DATE(YEAR($C1106),MONTH($C1106),1)))</f>
        <v/>
      </c>
      <c r="S1106">
        <f>IF(OR($I1106="Оплачено",$H1106&lt;&gt;""),$P1106,$Q1106)</f>
        <v/>
      </c>
      <c r="T1106">
        <f>IF(OR($C1106="",$D1106="Доход",$I1106="Оплачено",$I1106="Отменено",$H1106&lt;&gt;"",$C1106&lt;TODAY()),"",$C1106)</f>
        <v/>
      </c>
      <c r="U1106">
        <f>IF(AND($D1106&lt;&gt;"Доход",COUNTIFS(Счета!$B$10:$B$21,$J1106,Счета!$C$10:$C$21,"Кредитная")&gt;0),1,0)</f>
        <v/>
      </c>
    </row>
    <row r="1107" ht="19" customHeight="1">
      <c r="B1107" s="53">
        <f>IF(AND($C1107="",$F1107=""),"",ROW()-9)</f>
        <v/>
      </c>
      <c r="C1107" s="213" t="n"/>
      <c r="D1107" s="55" t="n"/>
      <c r="E1107" s="55" t="n"/>
      <c r="F1107" s="56" t="n"/>
      <c r="G1107" s="196" t="n"/>
      <c r="H1107" s="196" t="n"/>
      <c r="I1107" s="55" t="n"/>
      <c r="J1107" s="55" t="n"/>
      <c r="K1107" s="55" t="n"/>
      <c r="L1107" s="100">
        <f>IF(OR($C1107="",$I1107="Оплачено",$I1107="Отменено",$H1107&lt;&gt;""),"",$C1107-TODAY())</f>
        <v/>
      </c>
      <c r="M1107" s="101">
        <f>IF($C1107="","",INDEX(Настройки!$V$6:$V$17,MONTH($C1107))&amp;" "&amp;YEAR($C1107))</f>
        <v/>
      </c>
      <c r="N1107" s="57">
        <f>IF($F1107="","",IF(COUNTIF(Постоянные!$C$8:$C$37,$F1107)&gt;0,"есть в Постоянных",IF(COUNTIF(Покупки!$C$7:$C$18,$F1107)&gt;0,"есть в Покупках","")))</f>
        <v/>
      </c>
      <c r="P1107">
        <f>IF($H1107&lt;&gt;"",$H1107,IF($I1107="Оплачено",N($G1107),0))</f>
        <v/>
      </c>
      <c r="Q1107">
        <f>IF($I1107="Отменено",0,IF($G1107&lt;&gt;"",$G1107,N($H1107)))</f>
        <v/>
      </c>
      <c r="R1107">
        <f>IF($C1107="","",IFERROR(DATE(Настройки!$C$8,Настройки!$D$9+MATCH($M1107,Настройки!$X$6:$X$17,0)-1,1),DATE(YEAR($C1107),MONTH($C1107),1)))</f>
        <v/>
      </c>
      <c r="S1107">
        <f>IF(OR($I1107="Оплачено",$H1107&lt;&gt;""),$P1107,$Q1107)</f>
        <v/>
      </c>
      <c r="T1107">
        <f>IF(OR($C1107="",$D1107="Доход",$I1107="Оплачено",$I1107="Отменено",$H1107&lt;&gt;"",$C1107&lt;TODAY()),"",$C1107)</f>
        <v/>
      </c>
      <c r="U1107">
        <f>IF(AND($D1107&lt;&gt;"Доход",COUNTIFS(Счета!$B$10:$B$21,$J1107,Счета!$C$10:$C$21,"Кредитная")&gt;0),1,0)</f>
        <v/>
      </c>
    </row>
    <row r="1108" ht="19" customHeight="1">
      <c r="B1108" s="53">
        <f>IF(AND($C1108="",$F1108=""),"",ROW()-9)</f>
        <v/>
      </c>
      <c r="C1108" s="213" t="n"/>
      <c r="D1108" s="55" t="n"/>
      <c r="E1108" s="55" t="n"/>
      <c r="F1108" s="56" t="n"/>
      <c r="G1108" s="196" t="n"/>
      <c r="H1108" s="196" t="n"/>
      <c r="I1108" s="55" t="n"/>
      <c r="J1108" s="55" t="n"/>
      <c r="K1108" s="55" t="n"/>
      <c r="L1108" s="100">
        <f>IF(OR($C1108="",$I1108="Оплачено",$I1108="Отменено",$H1108&lt;&gt;""),"",$C1108-TODAY())</f>
        <v/>
      </c>
      <c r="M1108" s="101">
        <f>IF($C1108="","",INDEX(Настройки!$V$6:$V$17,MONTH($C1108))&amp;" "&amp;YEAR($C1108))</f>
        <v/>
      </c>
      <c r="N1108" s="57">
        <f>IF($F1108="","",IF(COUNTIF(Постоянные!$C$8:$C$37,$F1108)&gt;0,"есть в Постоянных",IF(COUNTIF(Покупки!$C$7:$C$18,$F1108)&gt;0,"есть в Покупках","")))</f>
        <v/>
      </c>
      <c r="P1108">
        <f>IF($H1108&lt;&gt;"",$H1108,IF($I1108="Оплачено",N($G1108),0))</f>
        <v/>
      </c>
      <c r="Q1108">
        <f>IF($I1108="Отменено",0,IF($G1108&lt;&gt;"",$G1108,N($H1108)))</f>
        <v/>
      </c>
      <c r="R1108">
        <f>IF($C1108="","",IFERROR(DATE(Настройки!$C$8,Настройки!$D$9+MATCH($M1108,Настройки!$X$6:$X$17,0)-1,1),DATE(YEAR($C1108),MONTH($C1108),1)))</f>
        <v/>
      </c>
      <c r="S1108">
        <f>IF(OR($I1108="Оплачено",$H1108&lt;&gt;""),$P1108,$Q1108)</f>
        <v/>
      </c>
      <c r="T1108">
        <f>IF(OR($C1108="",$D1108="Доход",$I1108="Оплачено",$I1108="Отменено",$H1108&lt;&gt;"",$C1108&lt;TODAY()),"",$C1108)</f>
        <v/>
      </c>
      <c r="U1108">
        <f>IF(AND($D1108&lt;&gt;"Доход",COUNTIFS(Счета!$B$10:$B$21,$J1108,Счета!$C$10:$C$21,"Кредитная")&gt;0),1,0)</f>
        <v/>
      </c>
    </row>
    <row r="1109" ht="19" customHeight="1">
      <c r="B1109" s="53">
        <f>IF(AND($C1109="",$F1109=""),"",ROW()-9)</f>
        <v/>
      </c>
      <c r="C1109" s="213" t="n"/>
      <c r="D1109" s="55" t="n"/>
      <c r="E1109" s="55" t="n"/>
      <c r="F1109" s="56" t="n"/>
      <c r="G1109" s="196" t="n"/>
      <c r="H1109" s="196" t="n"/>
      <c r="I1109" s="55" t="n"/>
      <c r="J1109" s="55" t="n"/>
      <c r="K1109" s="55" t="n"/>
      <c r="L1109" s="100">
        <f>IF(OR($C1109="",$I1109="Оплачено",$I1109="Отменено",$H1109&lt;&gt;""),"",$C1109-TODAY())</f>
        <v/>
      </c>
      <c r="M1109" s="101">
        <f>IF($C1109="","",INDEX(Настройки!$V$6:$V$17,MONTH($C1109))&amp;" "&amp;YEAR($C1109))</f>
        <v/>
      </c>
      <c r="N1109" s="57">
        <f>IF($F1109="","",IF(COUNTIF(Постоянные!$C$8:$C$37,$F1109)&gt;0,"есть в Постоянных",IF(COUNTIF(Покупки!$C$7:$C$18,$F1109)&gt;0,"есть в Покупках","")))</f>
        <v/>
      </c>
      <c r="P1109">
        <f>IF($H1109&lt;&gt;"",$H1109,IF($I1109="Оплачено",N($G1109),0))</f>
        <v/>
      </c>
      <c r="Q1109">
        <f>IF($I1109="Отменено",0,IF($G1109&lt;&gt;"",$G1109,N($H1109)))</f>
        <v/>
      </c>
      <c r="R1109">
        <f>IF($C1109="","",IFERROR(DATE(Настройки!$C$8,Настройки!$D$9+MATCH($M1109,Настройки!$X$6:$X$17,0)-1,1),DATE(YEAR($C1109),MONTH($C1109),1)))</f>
        <v/>
      </c>
      <c r="S1109">
        <f>IF(OR($I1109="Оплачено",$H1109&lt;&gt;""),$P1109,$Q1109)</f>
        <v/>
      </c>
      <c r="T1109">
        <f>IF(OR($C1109="",$D1109="Доход",$I1109="Оплачено",$I1109="Отменено",$H1109&lt;&gt;"",$C1109&lt;TODAY()),"",$C1109)</f>
        <v/>
      </c>
      <c r="U1109">
        <f>IF(AND($D1109&lt;&gt;"Доход",COUNTIFS(Счета!$B$10:$B$21,$J1109,Счета!$C$10:$C$21,"Кредитная")&gt;0),1,0)</f>
        <v/>
      </c>
    </row>
    <row r="1110" ht="19" customHeight="1">
      <c r="B1110" s="53">
        <f>IF(AND($C1110="",$F1110=""),"",ROW()-9)</f>
        <v/>
      </c>
      <c r="C1110" s="213" t="n"/>
      <c r="D1110" s="55" t="n"/>
      <c r="E1110" s="55" t="n"/>
      <c r="F1110" s="56" t="n"/>
      <c r="G1110" s="196" t="n"/>
      <c r="H1110" s="196" t="n"/>
      <c r="I1110" s="55" t="n"/>
      <c r="J1110" s="55" t="n"/>
      <c r="K1110" s="55" t="n"/>
      <c r="L1110" s="100">
        <f>IF(OR($C1110="",$I1110="Оплачено",$I1110="Отменено",$H1110&lt;&gt;""),"",$C1110-TODAY())</f>
        <v/>
      </c>
      <c r="M1110" s="101">
        <f>IF($C1110="","",INDEX(Настройки!$V$6:$V$17,MONTH($C1110))&amp;" "&amp;YEAR($C1110))</f>
        <v/>
      </c>
      <c r="N1110" s="57">
        <f>IF($F1110="","",IF(COUNTIF(Постоянные!$C$8:$C$37,$F1110)&gt;0,"есть в Постоянных",IF(COUNTIF(Покупки!$C$7:$C$18,$F1110)&gt;0,"есть в Покупках","")))</f>
        <v/>
      </c>
      <c r="P1110">
        <f>IF($H1110&lt;&gt;"",$H1110,IF($I1110="Оплачено",N($G1110),0))</f>
        <v/>
      </c>
      <c r="Q1110">
        <f>IF($I1110="Отменено",0,IF($G1110&lt;&gt;"",$G1110,N($H1110)))</f>
        <v/>
      </c>
      <c r="R1110">
        <f>IF($C1110="","",IFERROR(DATE(Настройки!$C$8,Настройки!$D$9+MATCH($M1110,Настройки!$X$6:$X$17,0)-1,1),DATE(YEAR($C1110),MONTH($C1110),1)))</f>
        <v/>
      </c>
      <c r="S1110">
        <f>IF(OR($I1110="Оплачено",$H1110&lt;&gt;""),$P1110,$Q1110)</f>
        <v/>
      </c>
      <c r="T1110">
        <f>IF(OR($C1110="",$D1110="Доход",$I1110="Оплачено",$I1110="Отменено",$H1110&lt;&gt;"",$C1110&lt;TODAY()),"",$C1110)</f>
        <v/>
      </c>
      <c r="U1110">
        <f>IF(AND($D1110&lt;&gt;"Доход",COUNTIFS(Счета!$B$10:$B$21,$J1110,Счета!$C$10:$C$21,"Кредитная")&gt;0),1,0)</f>
        <v/>
      </c>
    </row>
    <row r="1111" ht="19" customHeight="1">
      <c r="B1111" s="53">
        <f>IF(AND($C1111="",$F1111=""),"",ROW()-9)</f>
        <v/>
      </c>
      <c r="C1111" s="213" t="n"/>
      <c r="D1111" s="55" t="n"/>
      <c r="E1111" s="55" t="n"/>
      <c r="F1111" s="56" t="n"/>
      <c r="G1111" s="196" t="n"/>
      <c r="H1111" s="196" t="n"/>
      <c r="I1111" s="55" t="n"/>
      <c r="J1111" s="55" t="n"/>
      <c r="K1111" s="55" t="n"/>
      <c r="L1111" s="100">
        <f>IF(OR($C1111="",$I1111="Оплачено",$I1111="Отменено",$H1111&lt;&gt;""),"",$C1111-TODAY())</f>
        <v/>
      </c>
      <c r="M1111" s="101">
        <f>IF($C1111="","",INDEX(Настройки!$V$6:$V$17,MONTH($C1111))&amp;" "&amp;YEAR($C1111))</f>
        <v/>
      </c>
      <c r="N1111" s="57">
        <f>IF($F1111="","",IF(COUNTIF(Постоянные!$C$8:$C$37,$F1111)&gt;0,"есть в Постоянных",IF(COUNTIF(Покупки!$C$7:$C$18,$F1111)&gt;0,"есть в Покупках","")))</f>
        <v/>
      </c>
      <c r="P1111">
        <f>IF($H1111&lt;&gt;"",$H1111,IF($I1111="Оплачено",N($G1111),0))</f>
        <v/>
      </c>
      <c r="Q1111">
        <f>IF($I1111="Отменено",0,IF($G1111&lt;&gt;"",$G1111,N($H1111)))</f>
        <v/>
      </c>
      <c r="R1111">
        <f>IF($C1111="","",IFERROR(DATE(Настройки!$C$8,Настройки!$D$9+MATCH($M1111,Настройки!$X$6:$X$17,0)-1,1),DATE(YEAR($C1111),MONTH($C1111),1)))</f>
        <v/>
      </c>
      <c r="S1111">
        <f>IF(OR($I1111="Оплачено",$H1111&lt;&gt;""),$P1111,$Q1111)</f>
        <v/>
      </c>
      <c r="T1111">
        <f>IF(OR($C1111="",$D1111="Доход",$I1111="Оплачено",$I1111="Отменено",$H1111&lt;&gt;"",$C1111&lt;TODAY()),"",$C1111)</f>
        <v/>
      </c>
      <c r="U1111">
        <f>IF(AND($D1111&lt;&gt;"Доход",COUNTIFS(Счета!$B$10:$B$21,$J1111,Счета!$C$10:$C$21,"Кредитная")&gt;0),1,0)</f>
        <v/>
      </c>
    </row>
    <row r="1112" ht="19" customHeight="1">
      <c r="B1112" s="53">
        <f>IF(AND($C1112="",$F1112=""),"",ROW()-9)</f>
        <v/>
      </c>
      <c r="C1112" s="213" t="n"/>
      <c r="D1112" s="55" t="n"/>
      <c r="E1112" s="55" t="n"/>
      <c r="F1112" s="56" t="n"/>
      <c r="G1112" s="196" t="n"/>
      <c r="H1112" s="196" t="n"/>
      <c r="I1112" s="55" t="n"/>
      <c r="J1112" s="55" t="n"/>
      <c r="K1112" s="55" t="n"/>
      <c r="L1112" s="100">
        <f>IF(OR($C1112="",$I1112="Оплачено",$I1112="Отменено",$H1112&lt;&gt;""),"",$C1112-TODAY())</f>
        <v/>
      </c>
      <c r="M1112" s="101">
        <f>IF($C1112="","",INDEX(Настройки!$V$6:$V$17,MONTH($C1112))&amp;" "&amp;YEAR($C1112))</f>
        <v/>
      </c>
      <c r="N1112" s="57">
        <f>IF($F1112="","",IF(COUNTIF(Постоянные!$C$8:$C$37,$F1112)&gt;0,"есть в Постоянных",IF(COUNTIF(Покупки!$C$7:$C$18,$F1112)&gt;0,"есть в Покупках","")))</f>
        <v/>
      </c>
      <c r="P1112">
        <f>IF($H1112&lt;&gt;"",$H1112,IF($I1112="Оплачено",N($G1112),0))</f>
        <v/>
      </c>
      <c r="Q1112">
        <f>IF($I1112="Отменено",0,IF($G1112&lt;&gt;"",$G1112,N($H1112)))</f>
        <v/>
      </c>
      <c r="R1112">
        <f>IF($C1112="","",IFERROR(DATE(Настройки!$C$8,Настройки!$D$9+MATCH($M1112,Настройки!$X$6:$X$17,0)-1,1),DATE(YEAR($C1112),MONTH($C1112),1)))</f>
        <v/>
      </c>
      <c r="S1112">
        <f>IF(OR($I1112="Оплачено",$H1112&lt;&gt;""),$P1112,$Q1112)</f>
        <v/>
      </c>
      <c r="T1112">
        <f>IF(OR($C1112="",$D1112="Доход",$I1112="Оплачено",$I1112="Отменено",$H1112&lt;&gt;"",$C1112&lt;TODAY()),"",$C1112)</f>
        <v/>
      </c>
      <c r="U1112">
        <f>IF(AND($D1112&lt;&gt;"Доход",COUNTIFS(Счета!$B$10:$B$21,$J1112,Счета!$C$10:$C$21,"Кредитная")&gt;0),1,0)</f>
        <v/>
      </c>
    </row>
    <row r="1113" ht="19" customHeight="1">
      <c r="B1113" s="53">
        <f>IF(AND($C1113="",$F1113=""),"",ROW()-9)</f>
        <v/>
      </c>
      <c r="C1113" s="213" t="n"/>
      <c r="D1113" s="55" t="n"/>
      <c r="E1113" s="55" t="n"/>
      <c r="F1113" s="56" t="n"/>
      <c r="G1113" s="196" t="n"/>
      <c r="H1113" s="196" t="n"/>
      <c r="I1113" s="55" t="n"/>
      <c r="J1113" s="55" t="n"/>
      <c r="K1113" s="55" t="n"/>
      <c r="L1113" s="100">
        <f>IF(OR($C1113="",$I1113="Оплачено",$I1113="Отменено",$H1113&lt;&gt;""),"",$C1113-TODAY())</f>
        <v/>
      </c>
      <c r="M1113" s="101">
        <f>IF($C1113="","",INDEX(Настройки!$V$6:$V$17,MONTH($C1113))&amp;" "&amp;YEAR($C1113))</f>
        <v/>
      </c>
      <c r="N1113" s="57">
        <f>IF($F1113="","",IF(COUNTIF(Постоянные!$C$8:$C$37,$F1113)&gt;0,"есть в Постоянных",IF(COUNTIF(Покупки!$C$7:$C$18,$F1113)&gt;0,"есть в Покупках","")))</f>
        <v/>
      </c>
      <c r="P1113">
        <f>IF($H1113&lt;&gt;"",$H1113,IF($I1113="Оплачено",N($G1113),0))</f>
        <v/>
      </c>
      <c r="Q1113">
        <f>IF($I1113="Отменено",0,IF($G1113&lt;&gt;"",$G1113,N($H1113)))</f>
        <v/>
      </c>
      <c r="R1113">
        <f>IF($C1113="","",IFERROR(DATE(Настройки!$C$8,Настройки!$D$9+MATCH($M1113,Настройки!$X$6:$X$17,0)-1,1),DATE(YEAR($C1113),MONTH($C1113),1)))</f>
        <v/>
      </c>
      <c r="S1113">
        <f>IF(OR($I1113="Оплачено",$H1113&lt;&gt;""),$P1113,$Q1113)</f>
        <v/>
      </c>
      <c r="T1113">
        <f>IF(OR($C1113="",$D1113="Доход",$I1113="Оплачено",$I1113="Отменено",$H1113&lt;&gt;"",$C1113&lt;TODAY()),"",$C1113)</f>
        <v/>
      </c>
      <c r="U1113">
        <f>IF(AND($D1113&lt;&gt;"Доход",COUNTIFS(Счета!$B$10:$B$21,$J1113,Счета!$C$10:$C$21,"Кредитная")&gt;0),1,0)</f>
        <v/>
      </c>
    </row>
    <row r="1114" ht="19" customHeight="1">
      <c r="B1114" s="53">
        <f>IF(AND($C1114="",$F1114=""),"",ROW()-9)</f>
        <v/>
      </c>
      <c r="C1114" s="213" t="n"/>
      <c r="D1114" s="55" t="n"/>
      <c r="E1114" s="55" t="n"/>
      <c r="F1114" s="56" t="n"/>
      <c r="G1114" s="196" t="n"/>
      <c r="H1114" s="196" t="n"/>
      <c r="I1114" s="55" t="n"/>
      <c r="J1114" s="55" t="n"/>
      <c r="K1114" s="55" t="n"/>
      <c r="L1114" s="100">
        <f>IF(OR($C1114="",$I1114="Оплачено",$I1114="Отменено",$H1114&lt;&gt;""),"",$C1114-TODAY())</f>
        <v/>
      </c>
      <c r="M1114" s="101">
        <f>IF($C1114="","",INDEX(Настройки!$V$6:$V$17,MONTH($C1114))&amp;" "&amp;YEAR($C1114))</f>
        <v/>
      </c>
      <c r="N1114" s="57">
        <f>IF($F1114="","",IF(COUNTIF(Постоянные!$C$8:$C$37,$F1114)&gt;0,"есть в Постоянных",IF(COUNTIF(Покупки!$C$7:$C$18,$F1114)&gt;0,"есть в Покупках","")))</f>
        <v/>
      </c>
      <c r="P1114">
        <f>IF($H1114&lt;&gt;"",$H1114,IF($I1114="Оплачено",N($G1114),0))</f>
        <v/>
      </c>
      <c r="Q1114">
        <f>IF($I1114="Отменено",0,IF($G1114&lt;&gt;"",$G1114,N($H1114)))</f>
        <v/>
      </c>
      <c r="R1114">
        <f>IF($C1114="","",IFERROR(DATE(Настройки!$C$8,Настройки!$D$9+MATCH($M1114,Настройки!$X$6:$X$17,0)-1,1),DATE(YEAR($C1114),MONTH($C1114),1)))</f>
        <v/>
      </c>
      <c r="S1114">
        <f>IF(OR($I1114="Оплачено",$H1114&lt;&gt;""),$P1114,$Q1114)</f>
        <v/>
      </c>
      <c r="T1114">
        <f>IF(OR($C1114="",$D1114="Доход",$I1114="Оплачено",$I1114="Отменено",$H1114&lt;&gt;"",$C1114&lt;TODAY()),"",$C1114)</f>
        <v/>
      </c>
      <c r="U1114">
        <f>IF(AND($D1114&lt;&gt;"Доход",COUNTIFS(Счета!$B$10:$B$21,$J1114,Счета!$C$10:$C$21,"Кредитная")&gt;0),1,0)</f>
        <v/>
      </c>
    </row>
    <row r="1115" ht="19" customHeight="1">
      <c r="B1115" s="53">
        <f>IF(AND($C1115="",$F1115=""),"",ROW()-9)</f>
        <v/>
      </c>
      <c r="C1115" s="213" t="n"/>
      <c r="D1115" s="55" t="n"/>
      <c r="E1115" s="55" t="n"/>
      <c r="F1115" s="56" t="n"/>
      <c r="G1115" s="196" t="n"/>
      <c r="H1115" s="196" t="n"/>
      <c r="I1115" s="55" t="n"/>
      <c r="J1115" s="55" t="n"/>
      <c r="K1115" s="55" t="n"/>
      <c r="L1115" s="100">
        <f>IF(OR($C1115="",$I1115="Оплачено",$I1115="Отменено",$H1115&lt;&gt;""),"",$C1115-TODAY())</f>
        <v/>
      </c>
      <c r="M1115" s="101">
        <f>IF($C1115="","",INDEX(Настройки!$V$6:$V$17,MONTH($C1115))&amp;" "&amp;YEAR($C1115))</f>
        <v/>
      </c>
      <c r="N1115" s="57">
        <f>IF($F1115="","",IF(COUNTIF(Постоянные!$C$8:$C$37,$F1115)&gt;0,"есть в Постоянных",IF(COUNTIF(Покупки!$C$7:$C$18,$F1115)&gt;0,"есть в Покупках","")))</f>
        <v/>
      </c>
      <c r="P1115">
        <f>IF($H1115&lt;&gt;"",$H1115,IF($I1115="Оплачено",N($G1115),0))</f>
        <v/>
      </c>
      <c r="Q1115">
        <f>IF($I1115="Отменено",0,IF($G1115&lt;&gt;"",$G1115,N($H1115)))</f>
        <v/>
      </c>
      <c r="R1115">
        <f>IF($C1115="","",IFERROR(DATE(Настройки!$C$8,Настройки!$D$9+MATCH($M1115,Настройки!$X$6:$X$17,0)-1,1),DATE(YEAR($C1115),MONTH($C1115),1)))</f>
        <v/>
      </c>
      <c r="S1115">
        <f>IF(OR($I1115="Оплачено",$H1115&lt;&gt;""),$P1115,$Q1115)</f>
        <v/>
      </c>
      <c r="T1115">
        <f>IF(OR($C1115="",$D1115="Доход",$I1115="Оплачено",$I1115="Отменено",$H1115&lt;&gt;"",$C1115&lt;TODAY()),"",$C1115)</f>
        <v/>
      </c>
      <c r="U1115">
        <f>IF(AND($D1115&lt;&gt;"Доход",COUNTIFS(Счета!$B$10:$B$21,$J1115,Счета!$C$10:$C$21,"Кредитная")&gt;0),1,0)</f>
        <v/>
      </c>
    </row>
    <row r="1116" ht="19" customHeight="1">
      <c r="B1116" s="53">
        <f>IF(AND($C1116="",$F1116=""),"",ROW()-9)</f>
        <v/>
      </c>
      <c r="C1116" s="213" t="n"/>
      <c r="D1116" s="55" t="n"/>
      <c r="E1116" s="55" t="n"/>
      <c r="F1116" s="56" t="n"/>
      <c r="G1116" s="196" t="n"/>
      <c r="H1116" s="196" t="n"/>
      <c r="I1116" s="55" t="n"/>
      <c r="J1116" s="55" t="n"/>
      <c r="K1116" s="55" t="n"/>
      <c r="L1116" s="100">
        <f>IF(OR($C1116="",$I1116="Оплачено",$I1116="Отменено",$H1116&lt;&gt;""),"",$C1116-TODAY())</f>
        <v/>
      </c>
      <c r="M1116" s="101">
        <f>IF($C1116="","",INDEX(Настройки!$V$6:$V$17,MONTH($C1116))&amp;" "&amp;YEAR($C1116))</f>
        <v/>
      </c>
      <c r="N1116" s="57">
        <f>IF($F1116="","",IF(COUNTIF(Постоянные!$C$8:$C$37,$F1116)&gt;0,"есть в Постоянных",IF(COUNTIF(Покупки!$C$7:$C$18,$F1116)&gt;0,"есть в Покупках","")))</f>
        <v/>
      </c>
      <c r="P1116">
        <f>IF($H1116&lt;&gt;"",$H1116,IF($I1116="Оплачено",N($G1116),0))</f>
        <v/>
      </c>
      <c r="Q1116">
        <f>IF($I1116="Отменено",0,IF($G1116&lt;&gt;"",$G1116,N($H1116)))</f>
        <v/>
      </c>
      <c r="R1116">
        <f>IF($C1116="","",IFERROR(DATE(Настройки!$C$8,Настройки!$D$9+MATCH($M1116,Настройки!$X$6:$X$17,0)-1,1),DATE(YEAR($C1116),MONTH($C1116),1)))</f>
        <v/>
      </c>
      <c r="S1116">
        <f>IF(OR($I1116="Оплачено",$H1116&lt;&gt;""),$P1116,$Q1116)</f>
        <v/>
      </c>
      <c r="T1116">
        <f>IF(OR($C1116="",$D1116="Доход",$I1116="Оплачено",$I1116="Отменено",$H1116&lt;&gt;"",$C1116&lt;TODAY()),"",$C1116)</f>
        <v/>
      </c>
      <c r="U1116">
        <f>IF(AND($D1116&lt;&gt;"Доход",COUNTIFS(Счета!$B$10:$B$21,$J1116,Счета!$C$10:$C$21,"Кредитная")&gt;0),1,0)</f>
        <v/>
      </c>
    </row>
    <row r="1117" ht="19" customHeight="1">
      <c r="B1117" s="53">
        <f>IF(AND($C1117="",$F1117=""),"",ROW()-9)</f>
        <v/>
      </c>
      <c r="C1117" s="213" t="n"/>
      <c r="D1117" s="55" t="n"/>
      <c r="E1117" s="55" t="n"/>
      <c r="F1117" s="56" t="n"/>
      <c r="G1117" s="196" t="n"/>
      <c r="H1117" s="196" t="n"/>
      <c r="I1117" s="55" t="n"/>
      <c r="J1117" s="55" t="n"/>
      <c r="K1117" s="55" t="n"/>
      <c r="L1117" s="100">
        <f>IF(OR($C1117="",$I1117="Оплачено",$I1117="Отменено",$H1117&lt;&gt;""),"",$C1117-TODAY())</f>
        <v/>
      </c>
      <c r="M1117" s="101">
        <f>IF($C1117="","",INDEX(Настройки!$V$6:$V$17,MONTH($C1117))&amp;" "&amp;YEAR($C1117))</f>
        <v/>
      </c>
      <c r="N1117" s="57">
        <f>IF($F1117="","",IF(COUNTIF(Постоянные!$C$8:$C$37,$F1117)&gt;0,"есть в Постоянных",IF(COUNTIF(Покупки!$C$7:$C$18,$F1117)&gt;0,"есть в Покупках","")))</f>
        <v/>
      </c>
      <c r="P1117">
        <f>IF($H1117&lt;&gt;"",$H1117,IF($I1117="Оплачено",N($G1117),0))</f>
        <v/>
      </c>
      <c r="Q1117">
        <f>IF($I1117="Отменено",0,IF($G1117&lt;&gt;"",$G1117,N($H1117)))</f>
        <v/>
      </c>
      <c r="R1117">
        <f>IF($C1117="","",IFERROR(DATE(Настройки!$C$8,Настройки!$D$9+MATCH($M1117,Настройки!$X$6:$X$17,0)-1,1),DATE(YEAR($C1117),MONTH($C1117),1)))</f>
        <v/>
      </c>
      <c r="S1117">
        <f>IF(OR($I1117="Оплачено",$H1117&lt;&gt;""),$P1117,$Q1117)</f>
        <v/>
      </c>
      <c r="T1117">
        <f>IF(OR($C1117="",$D1117="Доход",$I1117="Оплачено",$I1117="Отменено",$H1117&lt;&gt;"",$C1117&lt;TODAY()),"",$C1117)</f>
        <v/>
      </c>
      <c r="U1117">
        <f>IF(AND($D1117&lt;&gt;"Доход",COUNTIFS(Счета!$B$10:$B$21,$J1117,Счета!$C$10:$C$21,"Кредитная")&gt;0),1,0)</f>
        <v/>
      </c>
    </row>
    <row r="1118" ht="19" customHeight="1">
      <c r="B1118" s="53">
        <f>IF(AND($C1118="",$F1118=""),"",ROW()-9)</f>
        <v/>
      </c>
      <c r="C1118" s="213" t="n"/>
      <c r="D1118" s="55" t="n"/>
      <c r="E1118" s="55" t="n"/>
      <c r="F1118" s="56" t="n"/>
      <c r="G1118" s="196" t="n"/>
      <c r="H1118" s="196" t="n"/>
      <c r="I1118" s="55" t="n"/>
      <c r="J1118" s="55" t="n"/>
      <c r="K1118" s="55" t="n"/>
      <c r="L1118" s="100">
        <f>IF(OR($C1118="",$I1118="Оплачено",$I1118="Отменено",$H1118&lt;&gt;""),"",$C1118-TODAY())</f>
        <v/>
      </c>
      <c r="M1118" s="101">
        <f>IF($C1118="","",INDEX(Настройки!$V$6:$V$17,MONTH($C1118))&amp;" "&amp;YEAR($C1118))</f>
        <v/>
      </c>
      <c r="N1118" s="57">
        <f>IF($F1118="","",IF(COUNTIF(Постоянные!$C$8:$C$37,$F1118)&gt;0,"есть в Постоянных",IF(COUNTIF(Покупки!$C$7:$C$18,$F1118)&gt;0,"есть в Покупках","")))</f>
        <v/>
      </c>
      <c r="P1118">
        <f>IF($H1118&lt;&gt;"",$H1118,IF($I1118="Оплачено",N($G1118),0))</f>
        <v/>
      </c>
      <c r="Q1118">
        <f>IF($I1118="Отменено",0,IF($G1118&lt;&gt;"",$G1118,N($H1118)))</f>
        <v/>
      </c>
      <c r="R1118">
        <f>IF($C1118="","",IFERROR(DATE(Настройки!$C$8,Настройки!$D$9+MATCH($M1118,Настройки!$X$6:$X$17,0)-1,1),DATE(YEAR($C1118),MONTH($C1118),1)))</f>
        <v/>
      </c>
      <c r="S1118">
        <f>IF(OR($I1118="Оплачено",$H1118&lt;&gt;""),$P1118,$Q1118)</f>
        <v/>
      </c>
      <c r="T1118">
        <f>IF(OR($C1118="",$D1118="Доход",$I1118="Оплачено",$I1118="Отменено",$H1118&lt;&gt;"",$C1118&lt;TODAY()),"",$C1118)</f>
        <v/>
      </c>
      <c r="U1118">
        <f>IF(AND($D1118&lt;&gt;"Доход",COUNTIFS(Счета!$B$10:$B$21,$J1118,Счета!$C$10:$C$21,"Кредитная")&gt;0),1,0)</f>
        <v/>
      </c>
    </row>
    <row r="1119" ht="19" customHeight="1">
      <c r="B1119" s="53">
        <f>IF(AND($C1119="",$F1119=""),"",ROW()-9)</f>
        <v/>
      </c>
      <c r="C1119" s="213" t="n"/>
      <c r="D1119" s="55" t="n"/>
      <c r="E1119" s="55" t="n"/>
      <c r="F1119" s="56" t="n"/>
      <c r="G1119" s="196" t="n"/>
      <c r="H1119" s="196" t="n"/>
      <c r="I1119" s="55" t="n"/>
      <c r="J1119" s="55" t="n"/>
      <c r="K1119" s="55" t="n"/>
      <c r="L1119" s="100">
        <f>IF(OR($C1119="",$I1119="Оплачено",$I1119="Отменено",$H1119&lt;&gt;""),"",$C1119-TODAY())</f>
        <v/>
      </c>
      <c r="M1119" s="101">
        <f>IF($C1119="","",INDEX(Настройки!$V$6:$V$17,MONTH($C1119))&amp;" "&amp;YEAR($C1119))</f>
        <v/>
      </c>
      <c r="N1119" s="57">
        <f>IF($F1119="","",IF(COUNTIF(Постоянные!$C$8:$C$37,$F1119)&gt;0,"есть в Постоянных",IF(COUNTIF(Покупки!$C$7:$C$18,$F1119)&gt;0,"есть в Покупках","")))</f>
        <v/>
      </c>
      <c r="P1119">
        <f>IF($H1119&lt;&gt;"",$H1119,IF($I1119="Оплачено",N($G1119),0))</f>
        <v/>
      </c>
      <c r="Q1119">
        <f>IF($I1119="Отменено",0,IF($G1119&lt;&gt;"",$G1119,N($H1119)))</f>
        <v/>
      </c>
      <c r="R1119">
        <f>IF($C1119="","",IFERROR(DATE(Настройки!$C$8,Настройки!$D$9+MATCH($M1119,Настройки!$X$6:$X$17,0)-1,1),DATE(YEAR($C1119),MONTH($C1119),1)))</f>
        <v/>
      </c>
      <c r="S1119">
        <f>IF(OR($I1119="Оплачено",$H1119&lt;&gt;""),$P1119,$Q1119)</f>
        <v/>
      </c>
      <c r="T1119">
        <f>IF(OR($C1119="",$D1119="Доход",$I1119="Оплачено",$I1119="Отменено",$H1119&lt;&gt;"",$C1119&lt;TODAY()),"",$C1119)</f>
        <v/>
      </c>
      <c r="U1119">
        <f>IF(AND($D1119&lt;&gt;"Доход",COUNTIFS(Счета!$B$10:$B$21,$J1119,Счета!$C$10:$C$21,"Кредитная")&gt;0),1,0)</f>
        <v/>
      </c>
    </row>
    <row r="1120" ht="19" customHeight="1">
      <c r="B1120" s="53">
        <f>IF(AND($C1120="",$F1120=""),"",ROW()-9)</f>
        <v/>
      </c>
      <c r="C1120" s="213" t="n"/>
      <c r="D1120" s="55" t="n"/>
      <c r="E1120" s="55" t="n"/>
      <c r="F1120" s="56" t="n"/>
      <c r="G1120" s="196" t="n"/>
      <c r="H1120" s="196" t="n"/>
      <c r="I1120" s="55" t="n"/>
      <c r="J1120" s="55" t="n"/>
      <c r="K1120" s="55" t="n"/>
      <c r="L1120" s="100">
        <f>IF(OR($C1120="",$I1120="Оплачено",$I1120="Отменено",$H1120&lt;&gt;""),"",$C1120-TODAY())</f>
        <v/>
      </c>
      <c r="M1120" s="101">
        <f>IF($C1120="","",INDEX(Настройки!$V$6:$V$17,MONTH($C1120))&amp;" "&amp;YEAR($C1120))</f>
        <v/>
      </c>
      <c r="N1120" s="57">
        <f>IF($F1120="","",IF(COUNTIF(Постоянные!$C$8:$C$37,$F1120)&gt;0,"есть в Постоянных",IF(COUNTIF(Покупки!$C$7:$C$18,$F1120)&gt;0,"есть в Покупках","")))</f>
        <v/>
      </c>
      <c r="P1120">
        <f>IF($H1120&lt;&gt;"",$H1120,IF($I1120="Оплачено",N($G1120),0))</f>
        <v/>
      </c>
      <c r="Q1120">
        <f>IF($I1120="Отменено",0,IF($G1120&lt;&gt;"",$G1120,N($H1120)))</f>
        <v/>
      </c>
      <c r="R1120">
        <f>IF($C1120="","",IFERROR(DATE(Настройки!$C$8,Настройки!$D$9+MATCH($M1120,Настройки!$X$6:$X$17,0)-1,1),DATE(YEAR($C1120),MONTH($C1120),1)))</f>
        <v/>
      </c>
      <c r="S1120">
        <f>IF(OR($I1120="Оплачено",$H1120&lt;&gt;""),$P1120,$Q1120)</f>
        <v/>
      </c>
      <c r="T1120">
        <f>IF(OR($C1120="",$D1120="Доход",$I1120="Оплачено",$I1120="Отменено",$H1120&lt;&gt;"",$C1120&lt;TODAY()),"",$C1120)</f>
        <v/>
      </c>
      <c r="U1120">
        <f>IF(AND($D1120&lt;&gt;"Доход",COUNTIFS(Счета!$B$10:$B$21,$J1120,Счета!$C$10:$C$21,"Кредитная")&gt;0),1,0)</f>
        <v/>
      </c>
    </row>
    <row r="1121" ht="19" customHeight="1">
      <c r="B1121" s="53">
        <f>IF(AND($C1121="",$F1121=""),"",ROW()-9)</f>
        <v/>
      </c>
      <c r="C1121" s="213" t="n"/>
      <c r="D1121" s="55" t="n"/>
      <c r="E1121" s="55" t="n"/>
      <c r="F1121" s="56" t="n"/>
      <c r="G1121" s="196" t="n"/>
      <c r="H1121" s="196" t="n"/>
      <c r="I1121" s="55" t="n"/>
      <c r="J1121" s="55" t="n"/>
      <c r="K1121" s="55" t="n"/>
      <c r="L1121" s="100">
        <f>IF(OR($C1121="",$I1121="Оплачено",$I1121="Отменено",$H1121&lt;&gt;""),"",$C1121-TODAY())</f>
        <v/>
      </c>
      <c r="M1121" s="101">
        <f>IF($C1121="","",INDEX(Настройки!$V$6:$V$17,MONTH($C1121))&amp;" "&amp;YEAR($C1121))</f>
        <v/>
      </c>
      <c r="N1121" s="57">
        <f>IF($F1121="","",IF(COUNTIF(Постоянные!$C$8:$C$37,$F1121)&gt;0,"есть в Постоянных",IF(COUNTIF(Покупки!$C$7:$C$18,$F1121)&gt;0,"есть в Покупках","")))</f>
        <v/>
      </c>
      <c r="P1121">
        <f>IF($H1121&lt;&gt;"",$H1121,IF($I1121="Оплачено",N($G1121),0))</f>
        <v/>
      </c>
      <c r="Q1121">
        <f>IF($I1121="Отменено",0,IF($G1121&lt;&gt;"",$G1121,N($H1121)))</f>
        <v/>
      </c>
      <c r="R1121">
        <f>IF($C1121="","",IFERROR(DATE(Настройки!$C$8,Настройки!$D$9+MATCH($M1121,Настройки!$X$6:$X$17,0)-1,1),DATE(YEAR($C1121),MONTH($C1121),1)))</f>
        <v/>
      </c>
      <c r="S1121">
        <f>IF(OR($I1121="Оплачено",$H1121&lt;&gt;""),$P1121,$Q1121)</f>
        <v/>
      </c>
      <c r="T1121">
        <f>IF(OR($C1121="",$D1121="Доход",$I1121="Оплачено",$I1121="Отменено",$H1121&lt;&gt;"",$C1121&lt;TODAY()),"",$C1121)</f>
        <v/>
      </c>
      <c r="U1121">
        <f>IF(AND($D1121&lt;&gt;"Доход",COUNTIFS(Счета!$B$10:$B$21,$J1121,Счета!$C$10:$C$21,"Кредитная")&gt;0),1,0)</f>
        <v/>
      </c>
    </row>
    <row r="1122" ht="19" customHeight="1">
      <c r="B1122" s="53">
        <f>IF(AND($C1122="",$F1122=""),"",ROW()-9)</f>
        <v/>
      </c>
      <c r="C1122" s="213" t="n"/>
      <c r="D1122" s="55" t="n"/>
      <c r="E1122" s="55" t="n"/>
      <c r="F1122" s="56" t="n"/>
      <c r="G1122" s="196" t="n"/>
      <c r="H1122" s="196" t="n"/>
      <c r="I1122" s="55" t="n"/>
      <c r="J1122" s="55" t="n"/>
      <c r="K1122" s="55" t="n"/>
      <c r="L1122" s="100">
        <f>IF(OR($C1122="",$I1122="Оплачено",$I1122="Отменено",$H1122&lt;&gt;""),"",$C1122-TODAY())</f>
        <v/>
      </c>
      <c r="M1122" s="101">
        <f>IF($C1122="","",INDEX(Настройки!$V$6:$V$17,MONTH($C1122))&amp;" "&amp;YEAR($C1122))</f>
        <v/>
      </c>
      <c r="N1122" s="57">
        <f>IF($F1122="","",IF(COUNTIF(Постоянные!$C$8:$C$37,$F1122)&gt;0,"есть в Постоянных",IF(COUNTIF(Покупки!$C$7:$C$18,$F1122)&gt;0,"есть в Покупках","")))</f>
        <v/>
      </c>
      <c r="P1122">
        <f>IF($H1122&lt;&gt;"",$H1122,IF($I1122="Оплачено",N($G1122),0))</f>
        <v/>
      </c>
      <c r="Q1122">
        <f>IF($I1122="Отменено",0,IF($G1122&lt;&gt;"",$G1122,N($H1122)))</f>
        <v/>
      </c>
      <c r="R1122">
        <f>IF($C1122="","",IFERROR(DATE(Настройки!$C$8,Настройки!$D$9+MATCH($M1122,Настройки!$X$6:$X$17,0)-1,1),DATE(YEAR($C1122),MONTH($C1122),1)))</f>
        <v/>
      </c>
      <c r="S1122">
        <f>IF(OR($I1122="Оплачено",$H1122&lt;&gt;""),$P1122,$Q1122)</f>
        <v/>
      </c>
      <c r="T1122">
        <f>IF(OR($C1122="",$D1122="Доход",$I1122="Оплачено",$I1122="Отменено",$H1122&lt;&gt;"",$C1122&lt;TODAY()),"",$C1122)</f>
        <v/>
      </c>
      <c r="U1122">
        <f>IF(AND($D1122&lt;&gt;"Доход",COUNTIFS(Счета!$B$10:$B$21,$J1122,Счета!$C$10:$C$21,"Кредитная")&gt;0),1,0)</f>
        <v/>
      </c>
    </row>
    <row r="1123" ht="19" customHeight="1">
      <c r="B1123" s="53">
        <f>IF(AND($C1123="",$F1123=""),"",ROW()-9)</f>
        <v/>
      </c>
      <c r="C1123" s="213" t="n"/>
      <c r="D1123" s="55" t="n"/>
      <c r="E1123" s="55" t="n"/>
      <c r="F1123" s="56" t="n"/>
      <c r="G1123" s="196" t="n"/>
      <c r="H1123" s="196" t="n"/>
      <c r="I1123" s="55" t="n"/>
      <c r="J1123" s="55" t="n"/>
      <c r="K1123" s="55" t="n"/>
      <c r="L1123" s="100">
        <f>IF(OR($C1123="",$I1123="Оплачено",$I1123="Отменено",$H1123&lt;&gt;""),"",$C1123-TODAY())</f>
        <v/>
      </c>
      <c r="M1123" s="101">
        <f>IF($C1123="","",INDEX(Настройки!$V$6:$V$17,MONTH($C1123))&amp;" "&amp;YEAR($C1123))</f>
        <v/>
      </c>
      <c r="N1123" s="57">
        <f>IF($F1123="","",IF(COUNTIF(Постоянные!$C$8:$C$37,$F1123)&gt;0,"есть в Постоянных",IF(COUNTIF(Покупки!$C$7:$C$18,$F1123)&gt;0,"есть в Покупках","")))</f>
        <v/>
      </c>
      <c r="P1123">
        <f>IF($H1123&lt;&gt;"",$H1123,IF($I1123="Оплачено",N($G1123),0))</f>
        <v/>
      </c>
      <c r="Q1123">
        <f>IF($I1123="Отменено",0,IF($G1123&lt;&gt;"",$G1123,N($H1123)))</f>
        <v/>
      </c>
      <c r="R1123">
        <f>IF($C1123="","",IFERROR(DATE(Настройки!$C$8,Настройки!$D$9+MATCH($M1123,Настройки!$X$6:$X$17,0)-1,1),DATE(YEAR($C1123),MONTH($C1123),1)))</f>
        <v/>
      </c>
      <c r="S1123">
        <f>IF(OR($I1123="Оплачено",$H1123&lt;&gt;""),$P1123,$Q1123)</f>
        <v/>
      </c>
      <c r="T1123">
        <f>IF(OR($C1123="",$D1123="Доход",$I1123="Оплачено",$I1123="Отменено",$H1123&lt;&gt;"",$C1123&lt;TODAY()),"",$C1123)</f>
        <v/>
      </c>
      <c r="U1123">
        <f>IF(AND($D1123&lt;&gt;"Доход",COUNTIFS(Счета!$B$10:$B$21,$J1123,Счета!$C$10:$C$21,"Кредитная")&gt;0),1,0)</f>
        <v/>
      </c>
    </row>
    <row r="1124" ht="19" customHeight="1">
      <c r="B1124" s="53">
        <f>IF(AND($C1124="",$F1124=""),"",ROW()-9)</f>
        <v/>
      </c>
      <c r="C1124" s="213" t="n"/>
      <c r="D1124" s="55" t="n"/>
      <c r="E1124" s="55" t="n"/>
      <c r="F1124" s="56" t="n"/>
      <c r="G1124" s="196" t="n"/>
      <c r="H1124" s="196" t="n"/>
      <c r="I1124" s="55" t="n"/>
      <c r="J1124" s="55" t="n"/>
      <c r="K1124" s="55" t="n"/>
      <c r="L1124" s="100">
        <f>IF(OR($C1124="",$I1124="Оплачено",$I1124="Отменено",$H1124&lt;&gt;""),"",$C1124-TODAY())</f>
        <v/>
      </c>
      <c r="M1124" s="101">
        <f>IF($C1124="","",INDEX(Настройки!$V$6:$V$17,MONTH($C1124))&amp;" "&amp;YEAR($C1124))</f>
        <v/>
      </c>
      <c r="N1124" s="57">
        <f>IF($F1124="","",IF(COUNTIF(Постоянные!$C$8:$C$37,$F1124)&gt;0,"есть в Постоянных",IF(COUNTIF(Покупки!$C$7:$C$18,$F1124)&gt;0,"есть в Покупках","")))</f>
        <v/>
      </c>
      <c r="P1124">
        <f>IF($H1124&lt;&gt;"",$H1124,IF($I1124="Оплачено",N($G1124),0))</f>
        <v/>
      </c>
      <c r="Q1124">
        <f>IF($I1124="Отменено",0,IF($G1124&lt;&gt;"",$G1124,N($H1124)))</f>
        <v/>
      </c>
      <c r="R1124">
        <f>IF($C1124="","",IFERROR(DATE(Настройки!$C$8,Настройки!$D$9+MATCH($M1124,Настройки!$X$6:$X$17,0)-1,1),DATE(YEAR($C1124),MONTH($C1124),1)))</f>
        <v/>
      </c>
      <c r="S1124">
        <f>IF(OR($I1124="Оплачено",$H1124&lt;&gt;""),$P1124,$Q1124)</f>
        <v/>
      </c>
      <c r="T1124">
        <f>IF(OR($C1124="",$D1124="Доход",$I1124="Оплачено",$I1124="Отменено",$H1124&lt;&gt;"",$C1124&lt;TODAY()),"",$C1124)</f>
        <v/>
      </c>
      <c r="U1124">
        <f>IF(AND($D1124&lt;&gt;"Доход",COUNTIFS(Счета!$B$10:$B$21,$J1124,Счета!$C$10:$C$21,"Кредитная")&gt;0),1,0)</f>
        <v/>
      </c>
    </row>
    <row r="1125" ht="19" customHeight="1">
      <c r="B1125" s="53">
        <f>IF(AND($C1125="",$F1125=""),"",ROW()-9)</f>
        <v/>
      </c>
      <c r="C1125" s="213" t="n"/>
      <c r="D1125" s="55" t="n"/>
      <c r="E1125" s="55" t="n"/>
      <c r="F1125" s="56" t="n"/>
      <c r="G1125" s="196" t="n"/>
      <c r="H1125" s="196" t="n"/>
      <c r="I1125" s="55" t="n"/>
      <c r="J1125" s="55" t="n"/>
      <c r="K1125" s="55" t="n"/>
      <c r="L1125" s="100">
        <f>IF(OR($C1125="",$I1125="Оплачено",$I1125="Отменено",$H1125&lt;&gt;""),"",$C1125-TODAY())</f>
        <v/>
      </c>
      <c r="M1125" s="101">
        <f>IF($C1125="","",INDEX(Настройки!$V$6:$V$17,MONTH($C1125))&amp;" "&amp;YEAR($C1125))</f>
        <v/>
      </c>
      <c r="N1125" s="57">
        <f>IF($F1125="","",IF(COUNTIF(Постоянные!$C$8:$C$37,$F1125)&gt;0,"есть в Постоянных",IF(COUNTIF(Покупки!$C$7:$C$18,$F1125)&gt;0,"есть в Покупках","")))</f>
        <v/>
      </c>
      <c r="P1125">
        <f>IF($H1125&lt;&gt;"",$H1125,IF($I1125="Оплачено",N($G1125),0))</f>
        <v/>
      </c>
      <c r="Q1125">
        <f>IF($I1125="Отменено",0,IF($G1125&lt;&gt;"",$G1125,N($H1125)))</f>
        <v/>
      </c>
      <c r="R1125">
        <f>IF($C1125="","",IFERROR(DATE(Настройки!$C$8,Настройки!$D$9+MATCH($M1125,Настройки!$X$6:$X$17,0)-1,1),DATE(YEAR($C1125),MONTH($C1125),1)))</f>
        <v/>
      </c>
      <c r="S1125">
        <f>IF(OR($I1125="Оплачено",$H1125&lt;&gt;""),$P1125,$Q1125)</f>
        <v/>
      </c>
      <c r="T1125">
        <f>IF(OR($C1125="",$D1125="Доход",$I1125="Оплачено",$I1125="Отменено",$H1125&lt;&gt;"",$C1125&lt;TODAY()),"",$C1125)</f>
        <v/>
      </c>
      <c r="U1125">
        <f>IF(AND($D1125&lt;&gt;"Доход",COUNTIFS(Счета!$B$10:$B$21,$J1125,Счета!$C$10:$C$21,"Кредитная")&gt;0),1,0)</f>
        <v/>
      </c>
    </row>
    <row r="1126" ht="19" customHeight="1">
      <c r="B1126" s="53">
        <f>IF(AND($C1126="",$F1126=""),"",ROW()-9)</f>
        <v/>
      </c>
      <c r="C1126" s="213" t="n"/>
      <c r="D1126" s="55" t="n"/>
      <c r="E1126" s="55" t="n"/>
      <c r="F1126" s="56" t="n"/>
      <c r="G1126" s="196" t="n"/>
      <c r="H1126" s="196" t="n"/>
      <c r="I1126" s="55" t="n"/>
      <c r="J1126" s="55" t="n"/>
      <c r="K1126" s="55" t="n"/>
      <c r="L1126" s="100">
        <f>IF(OR($C1126="",$I1126="Оплачено",$I1126="Отменено",$H1126&lt;&gt;""),"",$C1126-TODAY())</f>
        <v/>
      </c>
      <c r="M1126" s="101">
        <f>IF($C1126="","",INDEX(Настройки!$V$6:$V$17,MONTH($C1126))&amp;" "&amp;YEAR($C1126))</f>
        <v/>
      </c>
      <c r="N1126" s="57">
        <f>IF($F1126="","",IF(COUNTIF(Постоянные!$C$8:$C$37,$F1126)&gt;0,"есть в Постоянных",IF(COUNTIF(Покупки!$C$7:$C$18,$F1126)&gt;0,"есть в Покупках","")))</f>
        <v/>
      </c>
      <c r="P1126">
        <f>IF($H1126&lt;&gt;"",$H1126,IF($I1126="Оплачено",N($G1126),0))</f>
        <v/>
      </c>
      <c r="Q1126">
        <f>IF($I1126="Отменено",0,IF($G1126&lt;&gt;"",$G1126,N($H1126)))</f>
        <v/>
      </c>
      <c r="R1126">
        <f>IF($C1126="","",IFERROR(DATE(Настройки!$C$8,Настройки!$D$9+MATCH($M1126,Настройки!$X$6:$X$17,0)-1,1),DATE(YEAR($C1126),MONTH($C1126),1)))</f>
        <v/>
      </c>
      <c r="S1126">
        <f>IF(OR($I1126="Оплачено",$H1126&lt;&gt;""),$P1126,$Q1126)</f>
        <v/>
      </c>
      <c r="T1126">
        <f>IF(OR($C1126="",$D1126="Доход",$I1126="Оплачено",$I1126="Отменено",$H1126&lt;&gt;"",$C1126&lt;TODAY()),"",$C1126)</f>
        <v/>
      </c>
      <c r="U1126">
        <f>IF(AND($D1126&lt;&gt;"Доход",COUNTIFS(Счета!$B$10:$B$21,$J1126,Счета!$C$10:$C$21,"Кредитная")&gt;0),1,0)</f>
        <v/>
      </c>
    </row>
    <row r="1127" ht="19" customHeight="1">
      <c r="B1127" s="53">
        <f>IF(AND($C1127="",$F1127=""),"",ROW()-9)</f>
        <v/>
      </c>
      <c r="C1127" s="213" t="n"/>
      <c r="D1127" s="55" t="n"/>
      <c r="E1127" s="55" t="n"/>
      <c r="F1127" s="56" t="n"/>
      <c r="G1127" s="196" t="n"/>
      <c r="H1127" s="196" t="n"/>
      <c r="I1127" s="55" t="n"/>
      <c r="J1127" s="55" t="n"/>
      <c r="K1127" s="55" t="n"/>
      <c r="L1127" s="100">
        <f>IF(OR($C1127="",$I1127="Оплачено",$I1127="Отменено",$H1127&lt;&gt;""),"",$C1127-TODAY())</f>
        <v/>
      </c>
      <c r="M1127" s="101">
        <f>IF($C1127="","",INDEX(Настройки!$V$6:$V$17,MONTH($C1127))&amp;" "&amp;YEAR($C1127))</f>
        <v/>
      </c>
      <c r="N1127" s="57">
        <f>IF($F1127="","",IF(COUNTIF(Постоянные!$C$8:$C$37,$F1127)&gt;0,"есть в Постоянных",IF(COUNTIF(Покупки!$C$7:$C$18,$F1127)&gt;0,"есть в Покупках","")))</f>
        <v/>
      </c>
      <c r="P1127">
        <f>IF($H1127&lt;&gt;"",$H1127,IF($I1127="Оплачено",N($G1127),0))</f>
        <v/>
      </c>
      <c r="Q1127">
        <f>IF($I1127="Отменено",0,IF($G1127&lt;&gt;"",$G1127,N($H1127)))</f>
        <v/>
      </c>
      <c r="R1127">
        <f>IF($C1127="","",IFERROR(DATE(Настройки!$C$8,Настройки!$D$9+MATCH($M1127,Настройки!$X$6:$X$17,0)-1,1),DATE(YEAR($C1127),MONTH($C1127),1)))</f>
        <v/>
      </c>
      <c r="S1127">
        <f>IF(OR($I1127="Оплачено",$H1127&lt;&gt;""),$P1127,$Q1127)</f>
        <v/>
      </c>
      <c r="T1127">
        <f>IF(OR($C1127="",$D1127="Доход",$I1127="Оплачено",$I1127="Отменено",$H1127&lt;&gt;"",$C1127&lt;TODAY()),"",$C1127)</f>
        <v/>
      </c>
      <c r="U1127">
        <f>IF(AND($D1127&lt;&gt;"Доход",COUNTIFS(Счета!$B$10:$B$21,$J1127,Счета!$C$10:$C$21,"Кредитная")&gt;0),1,0)</f>
        <v/>
      </c>
    </row>
    <row r="1128" ht="19" customHeight="1">
      <c r="B1128" s="53">
        <f>IF(AND($C1128="",$F1128=""),"",ROW()-9)</f>
        <v/>
      </c>
      <c r="C1128" s="213" t="n"/>
      <c r="D1128" s="55" t="n"/>
      <c r="E1128" s="55" t="n"/>
      <c r="F1128" s="56" t="n"/>
      <c r="G1128" s="196" t="n"/>
      <c r="H1128" s="196" t="n"/>
      <c r="I1128" s="55" t="n"/>
      <c r="J1128" s="55" t="n"/>
      <c r="K1128" s="55" t="n"/>
      <c r="L1128" s="100">
        <f>IF(OR($C1128="",$I1128="Оплачено",$I1128="Отменено",$H1128&lt;&gt;""),"",$C1128-TODAY())</f>
        <v/>
      </c>
      <c r="M1128" s="101">
        <f>IF($C1128="","",INDEX(Настройки!$V$6:$V$17,MONTH($C1128))&amp;" "&amp;YEAR($C1128))</f>
        <v/>
      </c>
      <c r="N1128" s="57">
        <f>IF($F1128="","",IF(COUNTIF(Постоянные!$C$8:$C$37,$F1128)&gt;0,"есть в Постоянных",IF(COUNTIF(Покупки!$C$7:$C$18,$F1128)&gt;0,"есть в Покупках","")))</f>
        <v/>
      </c>
      <c r="P1128">
        <f>IF($H1128&lt;&gt;"",$H1128,IF($I1128="Оплачено",N($G1128),0))</f>
        <v/>
      </c>
      <c r="Q1128">
        <f>IF($I1128="Отменено",0,IF($G1128&lt;&gt;"",$G1128,N($H1128)))</f>
        <v/>
      </c>
      <c r="R1128">
        <f>IF($C1128="","",IFERROR(DATE(Настройки!$C$8,Настройки!$D$9+MATCH($M1128,Настройки!$X$6:$X$17,0)-1,1),DATE(YEAR($C1128),MONTH($C1128),1)))</f>
        <v/>
      </c>
      <c r="S1128">
        <f>IF(OR($I1128="Оплачено",$H1128&lt;&gt;""),$P1128,$Q1128)</f>
        <v/>
      </c>
      <c r="T1128">
        <f>IF(OR($C1128="",$D1128="Доход",$I1128="Оплачено",$I1128="Отменено",$H1128&lt;&gt;"",$C1128&lt;TODAY()),"",$C1128)</f>
        <v/>
      </c>
      <c r="U1128">
        <f>IF(AND($D1128&lt;&gt;"Доход",COUNTIFS(Счета!$B$10:$B$21,$J1128,Счета!$C$10:$C$21,"Кредитная")&gt;0),1,0)</f>
        <v/>
      </c>
    </row>
    <row r="1129" ht="19" customHeight="1">
      <c r="B1129" s="53">
        <f>IF(AND($C1129="",$F1129=""),"",ROW()-9)</f>
        <v/>
      </c>
      <c r="C1129" s="213" t="n"/>
      <c r="D1129" s="55" t="n"/>
      <c r="E1129" s="55" t="n"/>
      <c r="F1129" s="56" t="n"/>
      <c r="G1129" s="196" t="n"/>
      <c r="H1129" s="196" t="n"/>
      <c r="I1129" s="55" t="n"/>
      <c r="J1129" s="55" t="n"/>
      <c r="K1129" s="55" t="n"/>
      <c r="L1129" s="100">
        <f>IF(OR($C1129="",$I1129="Оплачено",$I1129="Отменено",$H1129&lt;&gt;""),"",$C1129-TODAY())</f>
        <v/>
      </c>
      <c r="M1129" s="101">
        <f>IF($C1129="","",INDEX(Настройки!$V$6:$V$17,MONTH($C1129))&amp;" "&amp;YEAR($C1129))</f>
        <v/>
      </c>
      <c r="N1129" s="57">
        <f>IF($F1129="","",IF(COUNTIF(Постоянные!$C$8:$C$37,$F1129)&gt;0,"есть в Постоянных",IF(COUNTIF(Покупки!$C$7:$C$18,$F1129)&gt;0,"есть в Покупках","")))</f>
        <v/>
      </c>
      <c r="P1129">
        <f>IF($H1129&lt;&gt;"",$H1129,IF($I1129="Оплачено",N($G1129),0))</f>
        <v/>
      </c>
      <c r="Q1129">
        <f>IF($I1129="Отменено",0,IF($G1129&lt;&gt;"",$G1129,N($H1129)))</f>
        <v/>
      </c>
      <c r="R1129">
        <f>IF($C1129="","",IFERROR(DATE(Настройки!$C$8,Настройки!$D$9+MATCH($M1129,Настройки!$X$6:$X$17,0)-1,1),DATE(YEAR($C1129),MONTH($C1129),1)))</f>
        <v/>
      </c>
      <c r="S1129">
        <f>IF(OR($I1129="Оплачено",$H1129&lt;&gt;""),$P1129,$Q1129)</f>
        <v/>
      </c>
      <c r="T1129">
        <f>IF(OR($C1129="",$D1129="Доход",$I1129="Оплачено",$I1129="Отменено",$H1129&lt;&gt;"",$C1129&lt;TODAY()),"",$C1129)</f>
        <v/>
      </c>
      <c r="U1129">
        <f>IF(AND($D1129&lt;&gt;"Доход",COUNTIFS(Счета!$B$10:$B$21,$J1129,Счета!$C$10:$C$21,"Кредитная")&gt;0),1,0)</f>
        <v/>
      </c>
    </row>
    <row r="1130" ht="19" customHeight="1">
      <c r="B1130" s="53">
        <f>IF(AND($C1130="",$F1130=""),"",ROW()-9)</f>
        <v/>
      </c>
      <c r="C1130" s="213" t="n"/>
      <c r="D1130" s="55" t="n"/>
      <c r="E1130" s="55" t="n"/>
      <c r="F1130" s="56" t="n"/>
      <c r="G1130" s="196" t="n"/>
      <c r="H1130" s="196" t="n"/>
      <c r="I1130" s="55" t="n"/>
      <c r="J1130" s="55" t="n"/>
      <c r="K1130" s="55" t="n"/>
      <c r="L1130" s="100">
        <f>IF(OR($C1130="",$I1130="Оплачено",$I1130="Отменено",$H1130&lt;&gt;""),"",$C1130-TODAY())</f>
        <v/>
      </c>
      <c r="M1130" s="101">
        <f>IF($C1130="","",INDEX(Настройки!$V$6:$V$17,MONTH($C1130))&amp;" "&amp;YEAR($C1130))</f>
        <v/>
      </c>
      <c r="N1130" s="57">
        <f>IF($F1130="","",IF(COUNTIF(Постоянные!$C$8:$C$37,$F1130)&gt;0,"есть в Постоянных",IF(COUNTIF(Покупки!$C$7:$C$18,$F1130)&gt;0,"есть в Покупках","")))</f>
        <v/>
      </c>
      <c r="P1130">
        <f>IF($H1130&lt;&gt;"",$H1130,IF($I1130="Оплачено",N($G1130),0))</f>
        <v/>
      </c>
      <c r="Q1130">
        <f>IF($I1130="Отменено",0,IF($G1130&lt;&gt;"",$G1130,N($H1130)))</f>
        <v/>
      </c>
      <c r="R1130">
        <f>IF($C1130="","",IFERROR(DATE(Настройки!$C$8,Настройки!$D$9+MATCH($M1130,Настройки!$X$6:$X$17,0)-1,1),DATE(YEAR($C1130),MONTH($C1130),1)))</f>
        <v/>
      </c>
      <c r="S1130">
        <f>IF(OR($I1130="Оплачено",$H1130&lt;&gt;""),$P1130,$Q1130)</f>
        <v/>
      </c>
      <c r="T1130">
        <f>IF(OR($C1130="",$D1130="Доход",$I1130="Оплачено",$I1130="Отменено",$H1130&lt;&gt;"",$C1130&lt;TODAY()),"",$C1130)</f>
        <v/>
      </c>
      <c r="U1130">
        <f>IF(AND($D1130&lt;&gt;"Доход",COUNTIFS(Счета!$B$10:$B$21,$J1130,Счета!$C$10:$C$21,"Кредитная")&gt;0),1,0)</f>
        <v/>
      </c>
    </row>
    <row r="1131" ht="19" customHeight="1">
      <c r="B1131" s="53">
        <f>IF(AND($C1131="",$F1131=""),"",ROW()-9)</f>
        <v/>
      </c>
      <c r="C1131" s="213" t="n"/>
      <c r="D1131" s="55" t="n"/>
      <c r="E1131" s="55" t="n"/>
      <c r="F1131" s="56" t="n"/>
      <c r="G1131" s="196" t="n"/>
      <c r="H1131" s="196" t="n"/>
      <c r="I1131" s="55" t="n"/>
      <c r="J1131" s="55" t="n"/>
      <c r="K1131" s="55" t="n"/>
      <c r="L1131" s="100">
        <f>IF(OR($C1131="",$I1131="Оплачено",$I1131="Отменено",$H1131&lt;&gt;""),"",$C1131-TODAY())</f>
        <v/>
      </c>
      <c r="M1131" s="101">
        <f>IF($C1131="","",INDEX(Настройки!$V$6:$V$17,MONTH($C1131))&amp;" "&amp;YEAR($C1131))</f>
        <v/>
      </c>
      <c r="N1131" s="57">
        <f>IF($F1131="","",IF(COUNTIF(Постоянные!$C$8:$C$37,$F1131)&gt;0,"есть в Постоянных",IF(COUNTIF(Покупки!$C$7:$C$18,$F1131)&gt;0,"есть в Покупках","")))</f>
        <v/>
      </c>
      <c r="P1131">
        <f>IF($H1131&lt;&gt;"",$H1131,IF($I1131="Оплачено",N($G1131),0))</f>
        <v/>
      </c>
      <c r="Q1131">
        <f>IF($I1131="Отменено",0,IF($G1131&lt;&gt;"",$G1131,N($H1131)))</f>
        <v/>
      </c>
      <c r="R1131">
        <f>IF($C1131="","",IFERROR(DATE(Настройки!$C$8,Настройки!$D$9+MATCH($M1131,Настройки!$X$6:$X$17,0)-1,1),DATE(YEAR($C1131),MONTH($C1131),1)))</f>
        <v/>
      </c>
      <c r="S1131">
        <f>IF(OR($I1131="Оплачено",$H1131&lt;&gt;""),$P1131,$Q1131)</f>
        <v/>
      </c>
      <c r="T1131">
        <f>IF(OR($C1131="",$D1131="Доход",$I1131="Оплачено",$I1131="Отменено",$H1131&lt;&gt;"",$C1131&lt;TODAY()),"",$C1131)</f>
        <v/>
      </c>
      <c r="U1131">
        <f>IF(AND($D1131&lt;&gt;"Доход",COUNTIFS(Счета!$B$10:$B$21,$J1131,Счета!$C$10:$C$21,"Кредитная")&gt;0),1,0)</f>
        <v/>
      </c>
    </row>
    <row r="1132" ht="19" customHeight="1">
      <c r="B1132" s="53">
        <f>IF(AND($C1132="",$F1132=""),"",ROW()-9)</f>
        <v/>
      </c>
      <c r="C1132" s="213" t="n"/>
      <c r="D1132" s="55" t="n"/>
      <c r="E1132" s="55" t="n"/>
      <c r="F1132" s="56" t="n"/>
      <c r="G1132" s="196" t="n"/>
      <c r="H1132" s="196" t="n"/>
      <c r="I1132" s="55" t="n"/>
      <c r="J1132" s="55" t="n"/>
      <c r="K1132" s="55" t="n"/>
      <c r="L1132" s="100">
        <f>IF(OR($C1132="",$I1132="Оплачено",$I1132="Отменено",$H1132&lt;&gt;""),"",$C1132-TODAY())</f>
        <v/>
      </c>
      <c r="M1132" s="101">
        <f>IF($C1132="","",INDEX(Настройки!$V$6:$V$17,MONTH($C1132))&amp;" "&amp;YEAR($C1132))</f>
        <v/>
      </c>
      <c r="N1132" s="57">
        <f>IF($F1132="","",IF(COUNTIF(Постоянные!$C$8:$C$37,$F1132)&gt;0,"есть в Постоянных",IF(COUNTIF(Покупки!$C$7:$C$18,$F1132)&gt;0,"есть в Покупках","")))</f>
        <v/>
      </c>
      <c r="P1132">
        <f>IF($H1132&lt;&gt;"",$H1132,IF($I1132="Оплачено",N($G1132),0))</f>
        <v/>
      </c>
      <c r="Q1132">
        <f>IF($I1132="Отменено",0,IF($G1132&lt;&gt;"",$G1132,N($H1132)))</f>
        <v/>
      </c>
      <c r="R1132">
        <f>IF($C1132="","",IFERROR(DATE(Настройки!$C$8,Настройки!$D$9+MATCH($M1132,Настройки!$X$6:$X$17,0)-1,1),DATE(YEAR($C1132),MONTH($C1132),1)))</f>
        <v/>
      </c>
      <c r="S1132">
        <f>IF(OR($I1132="Оплачено",$H1132&lt;&gt;""),$P1132,$Q1132)</f>
        <v/>
      </c>
      <c r="T1132">
        <f>IF(OR($C1132="",$D1132="Доход",$I1132="Оплачено",$I1132="Отменено",$H1132&lt;&gt;"",$C1132&lt;TODAY()),"",$C1132)</f>
        <v/>
      </c>
      <c r="U1132">
        <f>IF(AND($D1132&lt;&gt;"Доход",COUNTIFS(Счета!$B$10:$B$21,$J1132,Счета!$C$10:$C$21,"Кредитная")&gt;0),1,0)</f>
        <v/>
      </c>
    </row>
    <row r="1133" ht="19" customHeight="1">
      <c r="B1133" s="53">
        <f>IF(AND($C1133="",$F1133=""),"",ROW()-9)</f>
        <v/>
      </c>
      <c r="C1133" s="213" t="n"/>
      <c r="D1133" s="55" t="n"/>
      <c r="E1133" s="55" t="n"/>
      <c r="F1133" s="56" t="n"/>
      <c r="G1133" s="196" t="n"/>
      <c r="H1133" s="196" t="n"/>
      <c r="I1133" s="55" t="n"/>
      <c r="J1133" s="55" t="n"/>
      <c r="K1133" s="55" t="n"/>
      <c r="L1133" s="100">
        <f>IF(OR($C1133="",$I1133="Оплачено",$I1133="Отменено",$H1133&lt;&gt;""),"",$C1133-TODAY())</f>
        <v/>
      </c>
      <c r="M1133" s="101">
        <f>IF($C1133="","",INDEX(Настройки!$V$6:$V$17,MONTH($C1133))&amp;" "&amp;YEAR($C1133))</f>
        <v/>
      </c>
      <c r="N1133" s="57">
        <f>IF($F1133="","",IF(COUNTIF(Постоянные!$C$8:$C$37,$F1133)&gt;0,"есть в Постоянных",IF(COUNTIF(Покупки!$C$7:$C$18,$F1133)&gt;0,"есть в Покупках","")))</f>
        <v/>
      </c>
      <c r="P1133">
        <f>IF($H1133&lt;&gt;"",$H1133,IF($I1133="Оплачено",N($G1133),0))</f>
        <v/>
      </c>
      <c r="Q1133">
        <f>IF($I1133="Отменено",0,IF($G1133&lt;&gt;"",$G1133,N($H1133)))</f>
        <v/>
      </c>
      <c r="R1133">
        <f>IF($C1133="","",IFERROR(DATE(Настройки!$C$8,Настройки!$D$9+MATCH($M1133,Настройки!$X$6:$X$17,0)-1,1),DATE(YEAR($C1133),MONTH($C1133),1)))</f>
        <v/>
      </c>
      <c r="S1133">
        <f>IF(OR($I1133="Оплачено",$H1133&lt;&gt;""),$P1133,$Q1133)</f>
        <v/>
      </c>
      <c r="T1133">
        <f>IF(OR($C1133="",$D1133="Доход",$I1133="Оплачено",$I1133="Отменено",$H1133&lt;&gt;"",$C1133&lt;TODAY()),"",$C1133)</f>
        <v/>
      </c>
      <c r="U1133">
        <f>IF(AND($D1133&lt;&gt;"Доход",COUNTIFS(Счета!$B$10:$B$21,$J1133,Счета!$C$10:$C$21,"Кредитная")&gt;0),1,0)</f>
        <v/>
      </c>
    </row>
    <row r="1134" ht="19" customHeight="1">
      <c r="B1134" s="53">
        <f>IF(AND($C1134="",$F1134=""),"",ROW()-9)</f>
        <v/>
      </c>
      <c r="C1134" s="213" t="n"/>
      <c r="D1134" s="55" t="n"/>
      <c r="E1134" s="55" t="n"/>
      <c r="F1134" s="56" t="n"/>
      <c r="G1134" s="196" t="n"/>
      <c r="H1134" s="196" t="n"/>
      <c r="I1134" s="55" t="n"/>
      <c r="J1134" s="55" t="n"/>
      <c r="K1134" s="55" t="n"/>
      <c r="L1134" s="100">
        <f>IF(OR($C1134="",$I1134="Оплачено",$I1134="Отменено",$H1134&lt;&gt;""),"",$C1134-TODAY())</f>
        <v/>
      </c>
      <c r="M1134" s="101">
        <f>IF($C1134="","",INDEX(Настройки!$V$6:$V$17,MONTH($C1134))&amp;" "&amp;YEAR($C1134))</f>
        <v/>
      </c>
      <c r="N1134" s="57">
        <f>IF($F1134="","",IF(COUNTIF(Постоянные!$C$8:$C$37,$F1134)&gt;0,"есть в Постоянных",IF(COUNTIF(Покупки!$C$7:$C$18,$F1134)&gt;0,"есть в Покупках","")))</f>
        <v/>
      </c>
      <c r="P1134">
        <f>IF($H1134&lt;&gt;"",$H1134,IF($I1134="Оплачено",N($G1134),0))</f>
        <v/>
      </c>
      <c r="Q1134">
        <f>IF($I1134="Отменено",0,IF($G1134&lt;&gt;"",$G1134,N($H1134)))</f>
        <v/>
      </c>
      <c r="R1134">
        <f>IF($C1134="","",IFERROR(DATE(Настройки!$C$8,Настройки!$D$9+MATCH($M1134,Настройки!$X$6:$X$17,0)-1,1),DATE(YEAR($C1134),MONTH($C1134),1)))</f>
        <v/>
      </c>
      <c r="S1134">
        <f>IF(OR($I1134="Оплачено",$H1134&lt;&gt;""),$P1134,$Q1134)</f>
        <v/>
      </c>
      <c r="T1134">
        <f>IF(OR($C1134="",$D1134="Доход",$I1134="Оплачено",$I1134="Отменено",$H1134&lt;&gt;"",$C1134&lt;TODAY()),"",$C1134)</f>
        <v/>
      </c>
      <c r="U1134">
        <f>IF(AND($D1134&lt;&gt;"Доход",COUNTIFS(Счета!$B$10:$B$21,$J1134,Счета!$C$10:$C$21,"Кредитная")&gt;0),1,0)</f>
        <v/>
      </c>
    </row>
    <row r="1135" ht="19" customHeight="1">
      <c r="B1135" s="53">
        <f>IF(AND($C1135="",$F1135=""),"",ROW()-9)</f>
        <v/>
      </c>
      <c r="C1135" s="213" t="n"/>
      <c r="D1135" s="55" t="n"/>
      <c r="E1135" s="55" t="n"/>
      <c r="F1135" s="56" t="n"/>
      <c r="G1135" s="196" t="n"/>
      <c r="H1135" s="196" t="n"/>
      <c r="I1135" s="55" t="n"/>
      <c r="J1135" s="55" t="n"/>
      <c r="K1135" s="55" t="n"/>
      <c r="L1135" s="100">
        <f>IF(OR($C1135="",$I1135="Оплачено",$I1135="Отменено",$H1135&lt;&gt;""),"",$C1135-TODAY())</f>
        <v/>
      </c>
      <c r="M1135" s="101">
        <f>IF($C1135="","",INDEX(Настройки!$V$6:$V$17,MONTH($C1135))&amp;" "&amp;YEAR($C1135))</f>
        <v/>
      </c>
      <c r="N1135" s="57">
        <f>IF($F1135="","",IF(COUNTIF(Постоянные!$C$8:$C$37,$F1135)&gt;0,"есть в Постоянных",IF(COUNTIF(Покупки!$C$7:$C$18,$F1135)&gt;0,"есть в Покупках","")))</f>
        <v/>
      </c>
      <c r="P1135">
        <f>IF($H1135&lt;&gt;"",$H1135,IF($I1135="Оплачено",N($G1135),0))</f>
        <v/>
      </c>
      <c r="Q1135">
        <f>IF($I1135="Отменено",0,IF($G1135&lt;&gt;"",$G1135,N($H1135)))</f>
        <v/>
      </c>
      <c r="R1135">
        <f>IF($C1135="","",IFERROR(DATE(Настройки!$C$8,Настройки!$D$9+MATCH($M1135,Настройки!$X$6:$X$17,0)-1,1),DATE(YEAR($C1135),MONTH($C1135),1)))</f>
        <v/>
      </c>
      <c r="S1135">
        <f>IF(OR($I1135="Оплачено",$H1135&lt;&gt;""),$P1135,$Q1135)</f>
        <v/>
      </c>
      <c r="T1135">
        <f>IF(OR($C1135="",$D1135="Доход",$I1135="Оплачено",$I1135="Отменено",$H1135&lt;&gt;"",$C1135&lt;TODAY()),"",$C1135)</f>
        <v/>
      </c>
      <c r="U1135">
        <f>IF(AND($D1135&lt;&gt;"Доход",COUNTIFS(Счета!$B$10:$B$21,$J1135,Счета!$C$10:$C$21,"Кредитная")&gt;0),1,0)</f>
        <v/>
      </c>
    </row>
    <row r="1136" ht="19" customHeight="1">
      <c r="B1136" s="53">
        <f>IF(AND($C1136="",$F1136=""),"",ROW()-9)</f>
        <v/>
      </c>
      <c r="C1136" s="213" t="n"/>
      <c r="D1136" s="55" t="n"/>
      <c r="E1136" s="55" t="n"/>
      <c r="F1136" s="56" t="n"/>
      <c r="G1136" s="196" t="n"/>
      <c r="H1136" s="196" t="n"/>
      <c r="I1136" s="55" t="n"/>
      <c r="J1136" s="55" t="n"/>
      <c r="K1136" s="55" t="n"/>
      <c r="L1136" s="100">
        <f>IF(OR($C1136="",$I1136="Оплачено",$I1136="Отменено",$H1136&lt;&gt;""),"",$C1136-TODAY())</f>
        <v/>
      </c>
      <c r="M1136" s="101">
        <f>IF($C1136="","",INDEX(Настройки!$V$6:$V$17,MONTH($C1136))&amp;" "&amp;YEAR($C1136))</f>
        <v/>
      </c>
      <c r="N1136" s="57">
        <f>IF($F1136="","",IF(COUNTIF(Постоянные!$C$8:$C$37,$F1136)&gt;0,"есть в Постоянных",IF(COUNTIF(Покупки!$C$7:$C$18,$F1136)&gt;0,"есть в Покупках","")))</f>
        <v/>
      </c>
      <c r="P1136">
        <f>IF($H1136&lt;&gt;"",$H1136,IF($I1136="Оплачено",N($G1136),0))</f>
        <v/>
      </c>
      <c r="Q1136">
        <f>IF($I1136="Отменено",0,IF($G1136&lt;&gt;"",$G1136,N($H1136)))</f>
        <v/>
      </c>
      <c r="R1136">
        <f>IF($C1136="","",IFERROR(DATE(Настройки!$C$8,Настройки!$D$9+MATCH($M1136,Настройки!$X$6:$X$17,0)-1,1),DATE(YEAR($C1136),MONTH($C1136),1)))</f>
        <v/>
      </c>
      <c r="S1136">
        <f>IF(OR($I1136="Оплачено",$H1136&lt;&gt;""),$P1136,$Q1136)</f>
        <v/>
      </c>
      <c r="T1136">
        <f>IF(OR($C1136="",$D1136="Доход",$I1136="Оплачено",$I1136="Отменено",$H1136&lt;&gt;"",$C1136&lt;TODAY()),"",$C1136)</f>
        <v/>
      </c>
      <c r="U1136">
        <f>IF(AND($D1136&lt;&gt;"Доход",COUNTIFS(Счета!$B$10:$B$21,$J1136,Счета!$C$10:$C$21,"Кредитная")&gt;0),1,0)</f>
        <v/>
      </c>
    </row>
    <row r="1137" ht="19" customHeight="1">
      <c r="B1137" s="53">
        <f>IF(AND($C1137="",$F1137=""),"",ROW()-9)</f>
        <v/>
      </c>
      <c r="C1137" s="213" t="n"/>
      <c r="D1137" s="55" t="n"/>
      <c r="E1137" s="55" t="n"/>
      <c r="F1137" s="56" t="n"/>
      <c r="G1137" s="196" t="n"/>
      <c r="H1137" s="196" t="n"/>
      <c r="I1137" s="55" t="n"/>
      <c r="J1137" s="55" t="n"/>
      <c r="K1137" s="55" t="n"/>
      <c r="L1137" s="100">
        <f>IF(OR($C1137="",$I1137="Оплачено",$I1137="Отменено",$H1137&lt;&gt;""),"",$C1137-TODAY())</f>
        <v/>
      </c>
      <c r="M1137" s="101">
        <f>IF($C1137="","",INDEX(Настройки!$V$6:$V$17,MONTH($C1137))&amp;" "&amp;YEAR($C1137))</f>
        <v/>
      </c>
      <c r="N1137" s="57">
        <f>IF($F1137="","",IF(COUNTIF(Постоянные!$C$8:$C$37,$F1137)&gt;0,"есть в Постоянных",IF(COUNTIF(Покупки!$C$7:$C$18,$F1137)&gt;0,"есть в Покупках","")))</f>
        <v/>
      </c>
      <c r="P1137">
        <f>IF($H1137&lt;&gt;"",$H1137,IF($I1137="Оплачено",N($G1137),0))</f>
        <v/>
      </c>
      <c r="Q1137">
        <f>IF($I1137="Отменено",0,IF($G1137&lt;&gt;"",$G1137,N($H1137)))</f>
        <v/>
      </c>
      <c r="R1137">
        <f>IF($C1137="","",IFERROR(DATE(Настройки!$C$8,Настройки!$D$9+MATCH($M1137,Настройки!$X$6:$X$17,0)-1,1),DATE(YEAR($C1137),MONTH($C1137),1)))</f>
        <v/>
      </c>
      <c r="S1137">
        <f>IF(OR($I1137="Оплачено",$H1137&lt;&gt;""),$P1137,$Q1137)</f>
        <v/>
      </c>
      <c r="T1137">
        <f>IF(OR($C1137="",$D1137="Доход",$I1137="Оплачено",$I1137="Отменено",$H1137&lt;&gt;"",$C1137&lt;TODAY()),"",$C1137)</f>
        <v/>
      </c>
      <c r="U1137">
        <f>IF(AND($D1137&lt;&gt;"Доход",COUNTIFS(Счета!$B$10:$B$21,$J1137,Счета!$C$10:$C$21,"Кредитная")&gt;0),1,0)</f>
        <v/>
      </c>
    </row>
    <row r="1138" ht="19" customHeight="1">
      <c r="B1138" s="53">
        <f>IF(AND($C1138="",$F1138=""),"",ROW()-9)</f>
        <v/>
      </c>
      <c r="C1138" s="213" t="n"/>
      <c r="D1138" s="55" t="n"/>
      <c r="E1138" s="55" t="n"/>
      <c r="F1138" s="56" t="n"/>
      <c r="G1138" s="196" t="n"/>
      <c r="H1138" s="196" t="n"/>
      <c r="I1138" s="55" t="n"/>
      <c r="J1138" s="55" t="n"/>
      <c r="K1138" s="55" t="n"/>
      <c r="L1138" s="100">
        <f>IF(OR($C1138="",$I1138="Оплачено",$I1138="Отменено",$H1138&lt;&gt;""),"",$C1138-TODAY())</f>
        <v/>
      </c>
      <c r="M1138" s="101">
        <f>IF($C1138="","",INDEX(Настройки!$V$6:$V$17,MONTH($C1138))&amp;" "&amp;YEAR($C1138))</f>
        <v/>
      </c>
      <c r="N1138" s="57">
        <f>IF($F1138="","",IF(COUNTIF(Постоянные!$C$8:$C$37,$F1138)&gt;0,"есть в Постоянных",IF(COUNTIF(Покупки!$C$7:$C$18,$F1138)&gt;0,"есть в Покупках","")))</f>
        <v/>
      </c>
      <c r="P1138">
        <f>IF($H1138&lt;&gt;"",$H1138,IF($I1138="Оплачено",N($G1138),0))</f>
        <v/>
      </c>
      <c r="Q1138">
        <f>IF($I1138="Отменено",0,IF($G1138&lt;&gt;"",$G1138,N($H1138)))</f>
        <v/>
      </c>
      <c r="R1138">
        <f>IF($C1138="","",IFERROR(DATE(Настройки!$C$8,Настройки!$D$9+MATCH($M1138,Настройки!$X$6:$X$17,0)-1,1),DATE(YEAR($C1138),MONTH($C1138),1)))</f>
        <v/>
      </c>
      <c r="S1138">
        <f>IF(OR($I1138="Оплачено",$H1138&lt;&gt;""),$P1138,$Q1138)</f>
        <v/>
      </c>
      <c r="T1138">
        <f>IF(OR($C1138="",$D1138="Доход",$I1138="Оплачено",$I1138="Отменено",$H1138&lt;&gt;"",$C1138&lt;TODAY()),"",$C1138)</f>
        <v/>
      </c>
      <c r="U1138">
        <f>IF(AND($D1138&lt;&gt;"Доход",COUNTIFS(Счета!$B$10:$B$21,$J1138,Счета!$C$10:$C$21,"Кредитная")&gt;0),1,0)</f>
        <v/>
      </c>
    </row>
    <row r="1139" ht="19" customHeight="1">
      <c r="B1139" s="53">
        <f>IF(AND($C1139="",$F1139=""),"",ROW()-9)</f>
        <v/>
      </c>
      <c r="C1139" s="213" t="n"/>
      <c r="D1139" s="55" t="n"/>
      <c r="E1139" s="55" t="n"/>
      <c r="F1139" s="56" t="n"/>
      <c r="G1139" s="196" t="n"/>
      <c r="H1139" s="196" t="n"/>
      <c r="I1139" s="55" t="n"/>
      <c r="J1139" s="55" t="n"/>
      <c r="K1139" s="55" t="n"/>
      <c r="L1139" s="100">
        <f>IF(OR($C1139="",$I1139="Оплачено",$I1139="Отменено",$H1139&lt;&gt;""),"",$C1139-TODAY())</f>
        <v/>
      </c>
      <c r="M1139" s="101">
        <f>IF($C1139="","",INDEX(Настройки!$V$6:$V$17,MONTH($C1139))&amp;" "&amp;YEAR($C1139))</f>
        <v/>
      </c>
      <c r="N1139" s="57">
        <f>IF($F1139="","",IF(COUNTIF(Постоянные!$C$8:$C$37,$F1139)&gt;0,"есть в Постоянных",IF(COUNTIF(Покупки!$C$7:$C$18,$F1139)&gt;0,"есть в Покупках","")))</f>
        <v/>
      </c>
      <c r="P1139">
        <f>IF($H1139&lt;&gt;"",$H1139,IF($I1139="Оплачено",N($G1139),0))</f>
        <v/>
      </c>
      <c r="Q1139">
        <f>IF($I1139="Отменено",0,IF($G1139&lt;&gt;"",$G1139,N($H1139)))</f>
        <v/>
      </c>
      <c r="R1139">
        <f>IF($C1139="","",IFERROR(DATE(Настройки!$C$8,Настройки!$D$9+MATCH($M1139,Настройки!$X$6:$X$17,0)-1,1),DATE(YEAR($C1139),MONTH($C1139),1)))</f>
        <v/>
      </c>
      <c r="S1139">
        <f>IF(OR($I1139="Оплачено",$H1139&lt;&gt;""),$P1139,$Q1139)</f>
        <v/>
      </c>
      <c r="T1139">
        <f>IF(OR($C1139="",$D1139="Доход",$I1139="Оплачено",$I1139="Отменено",$H1139&lt;&gt;"",$C1139&lt;TODAY()),"",$C1139)</f>
        <v/>
      </c>
      <c r="U1139">
        <f>IF(AND($D1139&lt;&gt;"Доход",COUNTIFS(Счета!$B$10:$B$21,$J1139,Счета!$C$10:$C$21,"Кредитная")&gt;0),1,0)</f>
        <v/>
      </c>
    </row>
    <row r="1140" ht="19" customHeight="1">
      <c r="B1140" s="53">
        <f>IF(AND($C1140="",$F1140=""),"",ROW()-9)</f>
        <v/>
      </c>
      <c r="C1140" s="213" t="n"/>
      <c r="D1140" s="55" t="n"/>
      <c r="E1140" s="55" t="n"/>
      <c r="F1140" s="56" t="n"/>
      <c r="G1140" s="196" t="n"/>
      <c r="H1140" s="196" t="n"/>
      <c r="I1140" s="55" t="n"/>
      <c r="J1140" s="55" t="n"/>
      <c r="K1140" s="55" t="n"/>
      <c r="L1140" s="100">
        <f>IF(OR($C1140="",$I1140="Оплачено",$I1140="Отменено",$H1140&lt;&gt;""),"",$C1140-TODAY())</f>
        <v/>
      </c>
      <c r="M1140" s="101">
        <f>IF($C1140="","",INDEX(Настройки!$V$6:$V$17,MONTH($C1140))&amp;" "&amp;YEAR($C1140))</f>
        <v/>
      </c>
      <c r="N1140" s="57">
        <f>IF($F1140="","",IF(COUNTIF(Постоянные!$C$8:$C$37,$F1140)&gt;0,"есть в Постоянных",IF(COUNTIF(Покупки!$C$7:$C$18,$F1140)&gt;0,"есть в Покупках","")))</f>
        <v/>
      </c>
      <c r="P1140">
        <f>IF($H1140&lt;&gt;"",$H1140,IF($I1140="Оплачено",N($G1140),0))</f>
        <v/>
      </c>
      <c r="Q1140">
        <f>IF($I1140="Отменено",0,IF($G1140&lt;&gt;"",$G1140,N($H1140)))</f>
        <v/>
      </c>
      <c r="R1140">
        <f>IF($C1140="","",IFERROR(DATE(Настройки!$C$8,Настройки!$D$9+MATCH($M1140,Настройки!$X$6:$X$17,0)-1,1),DATE(YEAR($C1140),MONTH($C1140),1)))</f>
        <v/>
      </c>
      <c r="S1140">
        <f>IF(OR($I1140="Оплачено",$H1140&lt;&gt;""),$P1140,$Q1140)</f>
        <v/>
      </c>
      <c r="T1140">
        <f>IF(OR($C1140="",$D1140="Доход",$I1140="Оплачено",$I1140="Отменено",$H1140&lt;&gt;"",$C1140&lt;TODAY()),"",$C1140)</f>
        <v/>
      </c>
      <c r="U1140">
        <f>IF(AND($D1140&lt;&gt;"Доход",COUNTIFS(Счета!$B$10:$B$21,$J1140,Счета!$C$10:$C$21,"Кредитная")&gt;0),1,0)</f>
        <v/>
      </c>
    </row>
    <row r="1141" ht="19" customHeight="1">
      <c r="B1141" s="53">
        <f>IF(AND($C1141="",$F1141=""),"",ROW()-9)</f>
        <v/>
      </c>
      <c r="C1141" s="213" t="n"/>
      <c r="D1141" s="55" t="n"/>
      <c r="E1141" s="55" t="n"/>
      <c r="F1141" s="56" t="n"/>
      <c r="G1141" s="196" t="n"/>
      <c r="H1141" s="196" t="n"/>
      <c r="I1141" s="55" t="n"/>
      <c r="J1141" s="55" t="n"/>
      <c r="K1141" s="55" t="n"/>
      <c r="L1141" s="100">
        <f>IF(OR($C1141="",$I1141="Оплачено",$I1141="Отменено",$H1141&lt;&gt;""),"",$C1141-TODAY())</f>
        <v/>
      </c>
      <c r="M1141" s="101">
        <f>IF($C1141="","",INDEX(Настройки!$V$6:$V$17,MONTH($C1141))&amp;" "&amp;YEAR($C1141))</f>
        <v/>
      </c>
      <c r="N1141" s="57">
        <f>IF($F1141="","",IF(COUNTIF(Постоянные!$C$8:$C$37,$F1141)&gt;0,"есть в Постоянных",IF(COUNTIF(Покупки!$C$7:$C$18,$F1141)&gt;0,"есть в Покупках","")))</f>
        <v/>
      </c>
      <c r="P1141">
        <f>IF($H1141&lt;&gt;"",$H1141,IF($I1141="Оплачено",N($G1141),0))</f>
        <v/>
      </c>
      <c r="Q1141">
        <f>IF($I1141="Отменено",0,IF($G1141&lt;&gt;"",$G1141,N($H1141)))</f>
        <v/>
      </c>
      <c r="R1141">
        <f>IF($C1141="","",IFERROR(DATE(Настройки!$C$8,Настройки!$D$9+MATCH($M1141,Настройки!$X$6:$X$17,0)-1,1),DATE(YEAR($C1141),MONTH($C1141),1)))</f>
        <v/>
      </c>
      <c r="S1141">
        <f>IF(OR($I1141="Оплачено",$H1141&lt;&gt;""),$P1141,$Q1141)</f>
        <v/>
      </c>
      <c r="T1141">
        <f>IF(OR($C1141="",$D1141="Доход",$I1141="Оплачено",$I1141="Отменено",$H1141&lt;&gt;"",$C1141&lt;TODAY()),"",$C1141)</f>
        <v/>
      </c>
      <c r="U1141">
        <f>IF(AND($D1141&lt;&gt;"Доход",COUNTIFS(Счета!$B$10:$B$21,$J1141,Счета!$C$10:$C$21,"Кредитная")&gt;0),1,0)</f>
        <v/>
      </c>
    </row>
    <row r="1142" ht="19" customHeight="1">
      <c r="B1142" s="53">
        <f>IF(AND($C1142="",$F1142=""),"",ROW()-9)</f>
        <v/>
      </c>
      <c r="C1142" s="213" t="n"/>
      <c r="D1142" s="55" t="n"/>
      <c r="E1142" s="55" t="n"/>
      <c r="F1142" s="56" t="n"/>
      <c r="G1142" s="196" t="n"/>
      <c r="H1142" s="196" t="n"/>
      <c r="I1142" s="55" t="n"/>
      <c r="J1142" s="55" t="n"/>
      <c r="K1142" s="55" t="n"/>
      <c r="L1142" s="100">
        <f>IF(OR($C1142="",$I1142="Оплачено",$I1142="Отменено",$H1142&lt;&gt;""),"",$C1142-TODAY())</f>
        <v/>
      </c>
      <c r="M1142" s="101">
        <f>IF($C1142="","",INDEX(Настройки!$V$6:$V$17,MONTH($C1142))&amp;" "&amp;YEAR($C1142))</f>
        <v/>
      </c>
      <c r="N1142" s="57">
        <f>IF($F1142="","",IF(COUNTIF(Постоянные!$C$8:$C$37,$F1142)&gt;0,"есть в Постоянных",IF(COUNTIF(Покупки!$C$7:$C$18,$F1142)&gt;0,"есть в Покупках","")))</f>
        <v/>
      </c>
      <c r="P1142">
        <f>IF($H1142&lt;&gt;"",$H1142,IF($I1142="Оплачено",N($G1142),0))</f>
        <v/>
      </c>
      <c r="Q1142">
        <f>IF($I1142="Отменено",0,IF($G1142&lt;&gt;"",$G1142,N($H1142)))</f>
        <v/>
      </c>
      <c r="R1142">
        <f>IF($C1142="","",IFERROR(DATE(Настройки!$C$8,Настройки!$D$9+MATCH($M1142,Настройки!$X$6:$X$17,0)-1,1),DATE(YEAR($C1142),MONTH($C1142),1)))</f>
        <v/>
      </c>
      <c r="S1142">
        <f>IF(OR($I1142="Оплачено",$H1142&lt;&gt;""),$P1142,$Q1142)</f>
        <v/>
      </c>
      <c r="T1142">
        <f>IF(OR($C1142="",$D1142="Доход",$I1142="Оплачено",$I1142="Отменено",$H1142&lt;&gt;"",$C1142&lt;TODAY()),"",$C1142)</f>
        <v/>
      </c>
      <c r="U1142">
        <f>IF(AND($D1142&lt;&gt;"Доход",COUNTIFS(Счета!$B$10:$B$21,$J1142,Счета!$C$10:$C$21,"Кредитная")&gt;0),1,0)</f>
        <v/>
      </c>
    </row>
    <row r="1143" ht="19" customHeight="1">
      <c r="B1143" s="53">
        <f>IF(AND($C1143="",$F1143=""),"",ROW()-9)</f>
        <v/>
      </c>
      <c r="C1143" s="213" t="n"/>
      <c r="D1143" s="55" t="n"/>
      <c r="E1143" s="55" t="n"/>
      <c r="F1143" s="56" t="n"/>
      <c r="G1143" s="196" t="n"/>
      <c r="H1143" s="196" t="n"/>
      <c r="I1143" s="55" t="n"/>
      <c r="J1143" s="55" t="n"/>
      <c r="K1143" s="55" t="n"/>
      <c r="L1143" s="100">
        <f>IF(OR($C1143="",$I1143="Оплачено",$I1143="Отменено",$H1143&lt;&gt;""),"",$C1143-TODAY())</f>
        <v/>
      </c>
      <c r="M1143" s="101">
        <f>IF($C1143="","",INDEX(Настройки!$V$6:$V$17,MONTH($C1143))&amp;" "&amp;YEAR($C1143))</f>
        <v/>
      </c>
      <c r="N1143" s="57">
        <f>IF($F1143="","",IF(COUNTIF(Постоянные!$C$8:$C$37,$F1143)&gt;0,"есть в Постоянных",IF(COUNTIF(Покупки!$C$7:$C$18,$F1143)&gt;0,"есть в Покупках","")))</f>
        <v/>
      </c>
      <c r="P1143">
        <f>IF($H1143&lt;&gt;"",$H1143,IF($I1143="Оплачено",N($G1143),0))</f>
        <v/>
      </c>
      <c r="Q1143">
        <f>IF($I1143="Отменено",0,IF($G1143&lt;&gt;"",$G1143,N($H1143)))</f>
        <v/>
      </c>
      <c r="R1143">
        <f>IF($C1143="","",IFERROR(DATE(Настройки!$C$8,Настройки!$D$9+MATCH($M1143,Настройки!$X$6:$X$17,0)-1,1),DATE(YEAR($C1143),MONTH($C1143),1)))</f>
        <v/>
      </c>
      <c r="S1143">
        <f>IF(OR($I1143="Оплачено",$H1143&lt;&gt;""),$P1143,$Q1143)</f>
        <v/>
      </c>
      <c r="T1143">
        <f>IF(OR($C1143="",$D1143="Доход",$I1143="Оплачено",$I1143="Отменено",$H1143&lt;&gt;"",$C1143&lt;TODAY()),"",$C1143)</f>
        <v/>
      </c>
      <c r="U1143">
        <f>IF(AND($D1143&lt;&gt;"Доход",COUNTIFS(Счета!$B$10:$B$21,$J1143,Счета!$C$10:$C$21,"Кредитная")&gt;0),1,0)</f>
        <v/>
      </c>
    </row>
    <row r="1144" ht="19" customHeight="1">
      <c r="B1144" s="53">
        <f>IF(AND($C1144="",$F1144=""),"",ROW()-9)</f>
        <v/>
      </c>
      <c r="C1144" s="213" t="n"/>
      <c r="D1144" s="55" t="n"/>
      <c r="E1144" s="55" t="n"/>
      <c r="F1144" s="56" t="n"/>
      <c r="G1144" s="196" t="n"/>
      <c r="H1144" s="196" t="n"/>
      <c r="I1144" s="55" t="n"/>
      <c r="J1144" s="55" t="n"/>
      <c r="K1144" s="55" t="n"/>
      <c r="L1144" s="100">
        <f>IF(OR($C1144="",$I1144="Оплачено",$I1144="Отменено",$H1144&lt;&gt;""),"",$C1144-TODAY())</f>
        <v/>
      </c>
      <c r="M1144" s="101">
        <f>IF($C1144="","",INDEX(Настройки!$V$6:$V$17,MONTH($C1144))&amp;" "&amp;YEAR($C1144))</f>
        <v/>
      </c>
      <c r="N1144" s="57">
        <f>IF($F1144="","",IF(COUNTIF(Постоянные!$C$8:$C$37,$F1144)&gt;0,"есть в Постоянных",IF(COUNTIF(Покупки!$C$7:$C$18,$F1144)&gt;0,"есть в Покупках","")))</f>
        <v/>
      </c>
      <c r="P1144">
        <f>IF($H1144&lt;&gt;"",$H1144,IF($I1144="Оплачено",N($G1144),0))</f>
        <v/>
      </c>
      <c r="Q1144">
        <f>IF($I1144="Отменено",0,IF($G1144&lt;&gt;"",$G1144,N($H1144)))</f>
        <v/>
      </c>
      <c r="R1144">
        <f>IF($C1144="","",IFERROR(DATE(Настройки!$C$8,Настройки!$D$9+MATCH($M1144,Настройки!$X$6:$X$17,0)-1,1),DATE(YEAR($C1144),MONTH($C1144),1)))</f>
        <v/>
      </c>
      <c r="S1144">
        <f>IF(OR($I1144="Оплачено",$H1144&lt;&gt;""),$P1144,$Q1144)</f>
        <v/>
      </c>
      <c r="T1144">
        <f>IF(OR($C1144="",$D1144="Доход",$I1144="Оплачено",$I1144="Отменено",$H1144&lt;&gt;"",$C1144&lt;TODAY()),"",$C1144)</f>
        <v/>
      </c>
      <c r="U1144">
        <f>IF(AND($D1144&lt;&gt;"Доход",COUNTIFS(Счета!$B$10:$B$21,$J1144,Счета!$C$10:$C$21,"Кредитная")&gt;0),1,0)</f>
        <v/>
      </c>
    </row>
    <row r="1145" ht="19" customHeight="1">
      <c r="B1145" s="53">
        <f>IF(AND($C1145="",$F1145=""),"",ROW()-9)</f>
        <v/>
      </c>
      <c r="C1145" s="213" t="n"/>
      <c r="D1145" s="55" t="n"/>
      <c r="E1145" s="55" t="n"/>
      <c r="F1145" s="56" t="n"/>
      <c r="G1145" s="196" t="n"/>
      <c r="H1145" s="196" t="n"/>
      <c r="I1145" s="55" t="n"/>
      <c r="J1145" s="55" t="n"/>
      <c r="K1145" s="55" t="n"/>
      <c r="L1145" s="100">
        <f>IF(OR($C1145="",$I1145="Оплачено",$I1145="Отменено",$H1145&lt;&gt;""),"",$C1145-TODAY())</f>
        <v/>
      </c>
      <c r="M1145" s="101">
        <f>IF($C1145="","",INDEX(Настройки!$V$6:$V$17,MONTH($C1145))&amp;" "&amp;YEAR($C1145))</f>
        <v/>
      </c>
      <c r="N1145" s="57">
        <f>IF($F1145="","",IF(COUNTIF(Постоянные!$C$8:$C$37,$F1145)&gt;0,"есть в Постоянных",IF(COUNTIF(Покупки!$C$7:$C$18,$F1145)&gt;0,"есть в Покупках","")))</f>
        <v/>
      </c>
      <c r="P1145">
        <f>IF($H1145&lt;&gt;"",$H1145,IF($I1145="Оплачено",N($G1145),0))</f>
        <v/>
      </c>
      <c r="Q1145">
        <f>IF($I1145="Отменено",0,IF($G1145&lt;&gt;"",$G1145,N($H1145)))</f>
        <v/>
      </c>
      <c r="R1145">
        <f>IF($C1145="","",IFERROR(DATE(Настройки!$C$8,Настройки!$D$9+MATCH($M1145,Настройки!$X$6:$X$17,0)-1,1),DATE(YEAR($C1145),MONTH($C1145),1)))</f>
        <v/>
      </c>
      <c r="S1145">
        <f>IF(OR($I1145="Оплачено",$H1145&lt;&gt;""),$P1145,$Q1145)</f>
        <v/>
      </c>
      <c r="T1145">
        <f>IF(OR($C1145="",$D1145="Доход",$I1145="Оплачено",$I1145="Отменено",$H1145&lt;&gt;"",$C1145&lt;TODAY()),"",$C1145)</f>
        <v/>
      </c>
      <c r="U1145">
        <f>IF(AND($D1145&lt;&gt;"Доход",COUNTIFS(Счета!$B$10:$B$21,$J1145,Счета!$C$10:$C$21,"Кредитная")&gt;0),1,0)</f>
        <v/>
      </c>
    </row>
    <row r="1146" ht="19" customHeight="1">
      <c r="B1146" s="53">
        <f>IF(AND($C1146="",$F1146=""),"",ROW()-9)</f>
        <v/>
      </c>
      <c r="C1146" s="213" t="n"/>
      <c r="D1146" s="55" t="n"/>
      <c r="E1146" s="55" t="n"/>
      <c r="F1146" s="56" t="n"/>
      <c r="G1146" s="196" t="n"/>
      <c r="H1146" s="196" t="n"/>
      <c r="I1146" s="55" t="n"/>
      <c r="J1146" s="55" t="n"/>
      <c r="K1146" s="55" t="n"/>
      <c r="L1146" s="100">
        <f>IF(OR($C1146="",$I1146="Оплачено",$I1146="Отменено",$H1146&lt;&gt;""),"",$C1146-TODAY())</f>
        <v/>
      </c>
      <c r="M1146" s="101">
        <f>IF($C1146="","",INDEX(Настройки!$V$6:$V$17,MONTH($C1146))&amp;" "&amp;YEAR($C1146))</f>
        <v/>
      </c>
      <c r="N1146" s="57">
        <f>IF($F1146="","",IF(COUNTIF(Постоянные!$C$8:$C$37,$F1146)&gt;0,"есть в Постоянных",IF(COUNTIF(Покупки!$C$7:$C$18,$F1146)&gt;0,"есть в Покупках","")))</f>
        <v/>
      </c>
      <c r="P1146">
        <f>IF($H1146&lt;&gt;"",$H1146,IF($I1146="Оплачено",N($G1146),0))</f>
        <v/>
      </c>
      <c r="Q1146">
        <f>IF($I1146="Отменено",0,IF($G1146&lt;&gt;"",$G1146,N($H1146)))</f>
        <v/>
      </c>
      <c r="R1146">
        <f>IF($C1146="","",IFERROR(DATE(Настройки!$C$8,Настройки!$D$9+MATCH($M1146,Настройки!$X$6:$X$17,0)-1,1),DATE(YEAR($C1146),MONTH($C1146),1)))</f>
        <v/>
      </c>
      <c r="S1146">
        <f>IF(OR($I1146="Оплачено",$H1146&lt;&gt;""),$P1146,$Q1146)</f>
        <v/>
      </c>
      <c r="T1146">
        <f>IF(OR($C1146="",$D1146="Доход",$I1146="Оплачено",$I1146="Отменено",$H1146&lt;&gt;"",$C1146&lt;TODAY()),"",$C1146)</f>
        <v/>
      </c>
      <c r="U1146">
        <f>IF(AND($D1146&lt;&gt;"Доход",COUNTIFS(Счета!$B$10:$B$21,$J1146,Счета!$C$10:$C$21,"Кредитная")&gt;0),1,0)</f>
        <v/>
      </c>
    </row>
    <row r="1147" ht="19" customHeight="1">
      <c r="B1147" s="53">
        <f>IF(AND($C1147="",$F1147=""),"",ROW()-9)</f>
        <v/>
      </c>
      <c r="C1147" s="213" t="n"/>
      <c r="D1147" s="55" t="n"/>
      <c r="E1147" s="55" t="n"/>
      <c r="F1147" s="56" t="n"/>
      <c r="G1147" s="196" t="n"/>
      <c r="H1147" s="196" t="n"/>
      <c r="I1147" s="55" t="n"/>
      <c r="J1147" s="55" t="n"/>
      <c r="K1147" s="55" t="n"/>
      <c r="L1147" s="100">
        <f>IF(OR($C1147="",$I1147="Оплачено",$I1147="Отменено",$H1147&lt;&gt;""),"",$C1147-TODAY())</f>
        <v/>
      </c>
      <c r="M1147" s="101">
        <f>IF($C1147="","",INDEX(Настройки!$V$6:$V$17,MONTH($C1147))&amp;" "&amp;YEAR($C1147))</f>
        <v/>
      </c>
      <c r="N1147" s="57">
        <f>IF($F1147="","",IF(COUNTIF(Постоянные!$C$8:$C$37,$F1147)&gt;0,"есть в Постоянных",IF(COUNTIF(Покупки!$C$7:$C$18,$F1147)&gt;0,"есть в Покупках","")))</f>
        <v/>
      </c>
      <c r="P1147">
        <f>IF($H1147&lt;&gt;"",$H1147,IF($I1147="Оплачено",N($G1147),0))</f>
        <v/>
      </c>
      <c r="Q1147">
        <f>IF($I1147="Отменено",0,IF($G1147&lt;&gt;"",$G1147,N($H1147)))</f>
        <v/>
      </c>
      <c r="R1147">
        <f>IF($C1147="","",IFERROR(DATE(Настройки!$C$8,Настройки!$D$9+MATCH($M1147,Настройки!$X$6:$X$17,0)-1,1),DATE(YEAR($C1147),MONTH($C1147),1)))</f>
        <v/>
      </c>
      <c r="S1147">
        <f>IF(OR($I1147="Оплачено",$H1147&lt;&gt;""),$P1147,$Q1147)</f>
        <v/>
      </c>
      <c r="T1147">
        <f>IF(OR($C1147="",$D1147="Доход",$I1147="Оплачено",$I1147="Отменено",$H1147&lt;&gt;"",$C1147&lt;TODAY()),"",$C1147)</f>
        <v/>
      </c>
      <c r="U1147">
        <f>IF(AND($D1147&lt;&gt;"Доход",COUNTIFS(Счета!$B$10:$B$21,$J1147,Счета!$C$10:$C$21,"Кредитная")&gt;0),1,0)</f>
        <v/>
      </c>
    </row>
    <row r="1148" ht="19" customHeight="1">
      <c r="B1148" s="53">
        <f>IF(AND($C1148="",$F1148=""),"",ROW()-9)</f>
        <v/>
      </c>
      <c r="C1148" s="213" t="n"/>
      <c r="D1148" s="55" t="n"/>
      <c r="E1148" s="55" t="n"/>
      <c r="F1148" s="56" t="n"/>
      <c r="G1148" s="196" t="n"/>
      <c r="H1148" s="196" t="n"/>
      <c r="I1148" s="55" t="n"/>
      <c r="J1148" s="55" t="n"/>
      <c r="K1148" s="55" t="n"/>
      <c r="L1148" s="100">
        <f>IF(OR($C1148="",$I1148="Оплачено",$I1148="Отменено",$H1148&lt;&gt;""),"",$C1148-TODAY())</f>
        <v/>
      </c>
      <c r="M1148" s="101">
        <f>IF($C1148="","",INDEX(Настройки!$V$6:$V$17,MONTH($C1148))&amp;" "&amp;YEAR($C1148))</f>
        <v/>
      </c>
      <c r="N1148" s="57">
        <f>IF($F1148="","",IF(COUNTIF(Постоянные!$C$8:$C$37,$F1148)&gt;0,"есть в Постоянных",IF(COUNTIF(Покупки!$C$7:$C$18,$F1148)&gt;0,"есть в Покупках","")))</f>
        <v/>
      </c>
      <c r="P1148">
        <f>IF($H1148&lt;&gt;"",$H1148,IF($I1148="Оплачено",N($G1148),0))</f>
        <v/>
      </c>
      <c r="Q1148">
        <f>IF($I1148="Отменено",0,IF($G1148&lt;&gt;"",$G1148,N($H1148)))</f>
        <v/>
      </c>
      <c r="R1148">
        <f>IF($C1148="","",IFERROR(DATE(Настройки!$C$8,Настройки!$D$9+MATCH($M1148,Настройки!$X$6:$X$17,0)-1,1),DATE(YEAR($C1148),MONTH($C1148),1)))</f>
        <v/>
      </c>
      <c r="S1148">
        <f>IF(OR($I1148="Оплачено",$H1148&lt;&gt;""),$P1148,$Q1148)</f>
        <v/>
      </c>
      <c r="T1148">
        <f>IF(OR($C1148="",$D1148="Доход",$I1148="Оплачено",$I1148="Отменено",$H1148&lt;&gt;"",$C1148&lt;TODAY()),"",$C1148)</f>
        <v/>
      </c>
      <c r="U1148">
        <f>IF(AND($D1148&lt;&gt;"Доход",COUNTIFS(Счета!$B$10:$B$21,$J1148,Счета!$C$10:$C$21,"Кредитная")&gt;0),1,0)</f>
        <v/>
      </c>
    </row>
    <row r="1149" ht="19" customHeight="1">
      <c r="B1149" s="53">
        <f>IF(AND($C1149="",$F1149=""),"",ROW()-9)</f>
        <v/>
      </c>
      <c r="C1149" s="213" t="n"/>
      <c r="D1149" s="55" t="n"/>
      <c r="E1149" s="55" t="n"/>
      <c r="F1149" s="56" t="n"/>
      <c r="G1149" s="196" t="n"/>
      <c r="H1149" s="196" t="n"/>
      <c r="I1149" s="55" t="n"/>
      <c r="J1149" s="55" t="n"/>
      <c r="K1149" s="55" t="n"/>
      <c r="L1149" s="100">
        <f>IF(OR($C1149="",$I1149="Оплачено",$I1149="Отменено",$H1149&lt;&gt;""),"",$C1149-TODAY())</f>
        <v/>
      </c>
      <c r="M1149" s="101">
        <f>IF($C1149="","",INDEX(Настройки!$V$6:$V$17,MONTH($C1149))&amp;" "&amp;YEAR($C1149))</f>
        <v/>
      </c>
      <c r="N1149" s="57">
        <f>IF($F1149="","",IF(COUNTIF(Постоянные!$C$8:$C$37,$F1149)&gt;0,"есть в Постоянных",IF(COUNTIF(Покупки!$C$7:$C$18,$F1149)&gt;0,"есть в Покупках","")))</f>
        <v/>
      </c>
      <c r="P1149">
        <f>IF($H1149&lt;&gt;"",$H1149,IF($I1149="Оплачено",N($G1149),0))</f>
        <v/>
      </c>
      <c r="Q1149">
        <f>IF($I1149="Отменено",0,IF($G1149&lt;&gt;"",$G1149,N($H1149)))</f>
        <v/>
      </c>
      <c r="R1149">
        <f>IF($C1149="","",IFERROR(DATE(Настройки!$C$8,Настройки!$D$9+MATCH($M1149,Настройки!$X$6:$X$17,0)-1,1),DATE(YEAR($C1149),MONTH($C1149),1)))</f>
        <v/>
      </c>
      <c r="S1149">
        <f>IF(OR($I1149="Оплачено",$H1149&lt;&gt;""),$P1149,$Q1149)</f>
        <v/>
      </c>
      <c r="T1149">
        <f>IF(OR($C1149="",$D1149="Доход",$I1149="Оплачено",$I1149="Отменено",$H1149&lt;&gt;"",$C1149&lt;TODAY()),"",$C1149)</f>
        <v/>
      </c>
      <c r="U1149">
        <f>IF(AND($D1149&lt;&gt;"Доход",COUNTIFS(Счета!$B$10:$B$21,$J1149,Счета!$C$10:$C$21,"Кредитная")&gt;0),1,0)</f>
        <v/>
      </c>
    </row>
    <row r="1150" ht="19" customHeight="1">
      <c r="B1150" s="53">
        <f>IF(AND($C1150="",$F1150=""),"",ROW()-9)</f>
        <v/>
      </c>
      <c r="C1150" s="213" t="n"/>
      <c r="D1150" s="55" t="n"/>
      <c r="E1150" s="55" t="n"/>
      <c r="F1150" s="56" t="n"/>
      <c r="G1150" s="196" t="n"/>
      <c r="H1150" s="196" t="n"/>
      <c r="I1150" s="55" t="n"/>
      <c r="J1150" s="55" t="n"/>
      <c r="K1150" s="55" t="n"/>
      <c r="L1150" s="100">
        <f>IF(OR($C1150="",$I1150="Оплачено",$I1150="Отменено",$H1150&lt;&gt;""),"",$C1150-TODAY())</f>
        <v/>
      </c>
      <c r="M1150" s="101">
        <f>IF($C1150="","",INDEX(Настройки!$V$6:$V$17,MONTH($C1150))&amp;" "&amp;YEAR($C1150))</f>
        <v/>
      </c>
      <c r="N1150" s="57">
        <f>IF($F1150="","",IF(COUNTIF(Постоянные!$C$8:$C$37,$F1150)&gt;0,"есть в Постоянных",IF(COUNTIF(Покупки!$C$7:$C$18,$F1150)&gt;0,"есть в Покупках","")))</f>
        <v/>
      </c>
      <c r="P1150">
        <f>IF($H1150&lt;&gt;"",$H1150,IF($I1150="Оплачено",N($G1150),0))</f>
        <v/>
      </c>
      <c r="Q1150">
        <f>IF($I1150="Отменено",0,IF($G1150&lt;&gt;"",$G1150,N($H1150)))</f>
        <v/>
      </c>
      <c r="R1150">
        <f>IF($C1150="","",IFERROR(DATE(Настройки!$C$8,Настройки!$D$9+MATCH($M1150,Настройки!$X$6:$X$17,0)-1,1),DATE(YEAR($C1150),MONTH($C1150),1)))</f>
        <v/>
      </c>
      <c r="S1150">
        <f>IF(OR($I1150="Оплачено",$H1150&lt;&gt;""),$P1150,$Q1150)</f>
        <v/>
      </c>
      <c r="T1150">
        <f>IF(OR($C1150="",$D1150="Доход",$I1150="Оплачено",$I1150="Отменено",$H1150&lt;&gt;"",$C1150&lt;TODAY()),"",$C1150)</f>
        <v/>
      </c>
      <c r="U1150">
        <f>IF(AND($D1150&lt;&gt;"Доход",COUNTIFS(Счета!$B$10:$B$21,$J1150,Счета!$C$10:$C$21,"Кредитная")&gt;0),1,0)</f>
        <v/>
      </c>
    </row>
    <row r="1151" ht="19" customHeight="1">
      <c r="B1151" s="53">
        <f>IF(AND($C1151="",$F1151=""),"",ROW()-9)</f>
        <v/>
      </c>
      <c r="C1151" s="213" t="n"/>
      <c r="D1151" s="55" t="n"/>
      <c r="E1151" s="55" t="n"/>
      <c r="F1151" s="56" t="n"/>
      <c r="G1151" s="196" t="n"/>
      <c r="H1151" s="196" t="n"/>
      <c r="I1151" s="55" t="n"/>
      <c r="J1151" s="55" t="n"/>
      <c r="K1151" s="55" t="n"/>
      <c r="L1151" s="100">
        <f>IF(OR($C1151="",$I1151="Оплачено",$I1151="Отменено",$H1151&lt;&gt;""),"",$C1151-TODAY())</f>
        <v/>
      </c>
      <c r="M1151" s="101">
        <f>IF($C1151="","",INDEX(Настройки!$V$6:$V$17,MONTH($C1151))&amp;" "&amp;YEAR($C1151))</f>
        <v/>
      </c>
      <c r="N1151" s="57">
        <f>IF($F1151="","",IF(COUNTIF(Постоянные!$C$8:$C$37,$F1151)&gt;0,"есть в Постоянных",IF(COUNTIF(Покупки!$C$7:$C$18,$F1151)&gt;0,"есть в Покупках","")))</f>
        <v/>
      </c>
      <c r="P1151">
        <f>IF($H1151&lt;&gt;"",$H1151,IF($I1151="Оплачено",N($G1151),0))</f>
        <v/>
      </c>
      <c r="Q1151">
        <f>IF($I1151="Отменено",0,IF($G1151&lt;&gt;"",$G1151,N($H1151)))</f>
        <v/>
      </c>
      <c r="R1151">
        <f>IF($C1151="","",IFERROR(DATE(Настройки!$C$8,Настройки!$D$9+MATCH($M1151,Настройки!$X$6:$X$17,0)-1,1),DATE(YEAR($C1151),MONTH($C1151),1)))</f>
        <v/>
      </c>
      <c r="S1151">
        <f>IF(OR($I1151="Оплачено",$H1151&lt;&gt;""),$P1151,$Q1151)</f>
        <v/>
      </c>
      <c r="T1151">
        <f>IF(OR($C1151="",$D1151="Доход",$I1151="Оплачено",$I1151="Отменено",$H1151&lt;&gt;"",$C1151&lt;TODAY()),"",$C1151)</f>
        <v/>
      </c>
      <c r="U1151">
        <f>IF(AND($D1151&lt;&gt;"Доход",COUNTIFS(Счета!$B$10:$B$21,$J1151,Счета!$C$10:$C$21,"Кредитная")&gt;0),1,0)</f>
        <v/>
      </c>
    </row>
    <row r="1152" ht="19" customHeight="1">
      <c r="B1152" s="53">
        <f>IF(AND($C1152="",$F1152=""),"",ROW()-9)</f>
        <v/>
      </c>
      <c r="C1152" s="213" t="n"/>
      <c r="D1152" s="55" t="n"/>
      <c r="E1152" s="55" t="n"/>
      <c r="F1152" s="56" t="n"/>
      <c r="G1152" s="196" t="n"/>
      <c r="H1152" s="196" t="n"/>
      <c r="I1152" s="55" t="n"/>
      <c r="J1152" s="55" t="n"/>
      <c r="K1152" s="55" t="n"/>
      <c r="L1152" s="100">
        <f>IF(OR($C1152="",$I1152="Оплачено",$I1152="Отменено",$H1152&lt;&gt;""),"",$C1152-TODAY())</f>
        <v/>
      </c>
      <c r="M1152" s="101">
        <f>IF($C1152="","",INDEX(Настройки!$V$6:$V$17,MONTH($C1152))&amp;" "&amp;YEAR($C1152))</f>
        <v/>
      </c>
      <c r="N1152" s="57">
        <f>IF($F1152="","",IF(COUNTIF(Постоянные!$C$8:$C$37,$F1152)&gt;0,"есть в Постоянных",IF(COUNTIF(Покупки!$C$7:$C$18,$F1152)&gt;0,"есть в Покупках","")))</f>
        <v/>
      </c>
      <c r="P1152">
        <f>IF($H1152&lt;&gt;"",$H1152,IF($I1152="Оплачено",N($G1152),0))</f>
        <v/>
      </c>
      <c r="Q1152">
        <f>IF($I1152="Отменено",0,IF($G1152&lt;&gt;"",$G1152,N($H1152)))</f>
        <v/>
      </c>
      <c r="R1152">
        <f>IF($C1152="","",IFERROR(DATE(Настройки!$C$8,Настройки!$D$9+MATCH($M1152,Настройки!$X$6:$X$17,0)-1,1),DATE(YEAR($C1152),MONTH($C1152),1)))</f>
        <v/>
      </c>
      <c r="S1152">
        <f>IF(OR($I1152="Оплачено",$H1152&lt;&gt;""),$P1152,$Q1152)</f>
        <v/>
      </c>
      <c r="T1152">
        <f>IF(OR($C1152="",$D1152="Доход",$I1152="Оплачено",$I1152="Отменено",$H1152&lt;&gt;"",$C1152&lt;TODAY()),"",$C1152)</f>
        <v/>
      </c>
      <c r="U1152">
        <f>IF(AND($D1152&lt;&gt;"Доход",COUNTIFS(Счета!$B$10:$B$21,$J1152,Счета!$C$10:$C$21,"Кредитная")&gt;0),1,0)</f>
        <v/>
      </c>
    </row>
    <row r="1153" ht="19" customHeight="1">
      <c r="B1153" s="53">
        <f>IF(AND($C1153="",$F1153=""),"",ROW()-9)</f>
        <v/>
      </c>
      <c r="C1153" s="213" t="n"/>
      <c r="D1153" s="55" t="n"/>
      <c r="E1153" s="55" t="n"/>
      <c r="F1153" s="56" t="n"/>
      <c r="G1153" s="196" t="n"/>
      <c r="H1153" s="196" t="n"/>
      <c r="I1153" s="55" t="n"/>
      <c r="J1153" s="55" t="n"/>
      <c r="K1153" s="55" t="n"/>
      <c r="L1153" s="100">
        <f>IF(OR($C1153="",$I1153="Оплачено",$I1153="Отменено",$H1153&lt;&gt;""),"",$C1153-TODAY())</f>
        <v/>
      </c>
      <c r="M1153" s="101">
        <f>IF($C1153="","",INDEX(Настройки!$V$6:$V$17,MONTH($C1153))&amp;" "&amp;YEAR($C1153))</f>
        <v/>
      </c>
      <c r="N1153" s="57">
        <f>IF($F1153="","",IF(COUNTIF(Постоянные!$C$8:$C$37,$F1153)&gt;0,"есть в Постоянных",IF(COUNTIF(Покупки!$C$7:$C$18,$F1153)&gt;0,"есть в Покупках","")))</f>
        <v/>
      </c>
      <c r="P1153">
        <f>IF($H1153&lt;&gt;"",$H1153,IF($I1153="Оплачено",N($G1153),0))</f>
        <v/>
      </c>
      <c r="Q1153">
        <f>IF($I1153="Отменено",0,IF($G1153&lt;&gt;"",$G1153,N($H1153)))</f>
        <v/>
      </c>
      <c r="R1153">
        <f>IF($C1153="","",IFERROR(DATE(Настройки!$C$8,Настройки!$D$9+MATCH($M1153,Настройки!$X$6:$X$17,0)-1,1),DATE(YEAR($C1153),MONTH($C1153),1)))</f>
        <v/>
      </c>
      <c r="S1153">
        <f>IF(OR($I1153="Оплачено",$H1153&lt;&gt;""),$P1153,$Q1153)</f>
        <v/>
      </c>
      <c r="T1153">
        <f>IF(OR($C1153="",$D1153="Доход",$I1153="Оплачено",$I1153="Отменено",$H1153&lt;&gt;"",$C1153&lt;TODAY()),"",$C1153)</f>
        <v/>
      </c>
      <c r="U1153">
        <f>IF(AND($D1153&lt;&gt;"Доход",COUNTIFS(Счета!$B$10:$B$21,$J1153,Счета!$C$10:$C$21,"Кредитная")&gt;0),1,0)</f>
        <v/>
      </c>
    </row>
    <row r="1154" ht="19" customHeight="1">
      <c r="B1154" s="53">
        <f>IF(AND($C1154="",$F1154=""),"",ROW()-9)</f>
        <v/>
      </c>
      <c r="C1154" s="213" t="n"/>
      <c r="D1154" s="55" t="n"/>
      <c r="E1154" s="55" t="n"/>
      <c r="F1154" s="56" t="n"/>
      <c r="G1154" s="196" t="n"/>
      <c r="H1154" s="196" t="n"/>
      <c r="I1154" s="55" t="n"/>
      <c r="J1154" s="55" t="n"/>
      <c r="K1154" s="55" t="n"/>
      <c r="L1154" s="100">
        <f>IF(OR($C1154="",$I1154="Оплачено",$I1154="Отменено",$H1154&lt;&gt;""),"",$C1154-TODAY())</f>
        <v/>
      </c>
      <c r="M1154" s="101">
        <f>IF($C1154="","",INDEX(Настройки!$V$6:$V$17,MONTH($C1154))&amp;" "&amp;YEAR($C1154))</f>
        <v/>
      </c>
      <c r="N1154" s="57">
        <f>IF($F1154="","",IF(COUNTIF(Постоянные!$C$8:$C$37,$F1154)&gt;0,"есть в Постоянных",IF(COUNTIF(Покупки!$C$7:$C$18,$F1154)&gt;0,"есть в Покупках","")))</f>
        <v/>
      </c>
      <c r="P1154">
        <f>IF($H1154&lt;&gt;"",$H1154,IF($I1154="Оплачено",N($G1154),0))</f>
        <v/>
      </c>
      <c r="Q1154">
        <f>IF($I1154="Отменено",0,IF($G1154&lt;&gt;"",$G1154,N($H1154)))</f>
        <v/>
      </c>
      <c r="R1154">
        <f>IF($C1154="","",IFERROR(DATE(Настройки!$C$8,Настройки!$D$9+MATCH($M1154,Настройки!$X$6:$X$17,0)-1,1),DATE(YEAR($C1154),MONTH($C1154),1)))</f>
        <v/>
      </c>
      <c r="S1154">
        <f>IF(OR($I1154="Оплачено",$H1154&lt;&gt;""),$P1154,$Q1154)</f>
        <v/>
      </c>
      <c r="T1154">
        <f>IF(OR($C1154="",$D1154="Доход",$I1154="Оплачено",$I1154="Отменено",$H1154&lt;&gt;"",$C1154&lt;TODAY()),"",$C1154)</f>
        <v/>
      </c>
      <c r="U1154">
        <f>IF(AND($D1154&lt;&gt;"Доход",COUNTIFS(Счета!$B$10:$B$21,$J1154,Счета!$C$10:$C$21,"Кредитная")&gt;0),1,0)</f>
        <v/>
      </c>
    </row>
    <row r="1155" ht="19" customHeight="1">
      <c r="B1155" s="53">
        <f>IF(AND($C1155="",$F1155=""),"",ROW()-9)</f>
        <v/>
      </c>
      <c r="C1155" s="213" t="n"/>
      <c r="D1155" s="55" t="n"/>
      <c r="E1155" s="55" t="n"/>
      <c r="F1155" s="56" t="n"/>
      <c r="G1155" s="196" t="n"/>
      <c r="H1155" s="196" t="n"/>
      <c r="I1155" s="55" t="n"/>
      <c r="J1155" s="55" t="n"/>
      <c r="K1155" s="55" t="n"/>
      <c r="L1155" s="100">
        <f>IF(OR($C1155="",$I1155="Оплачено",$I1155="Отменено",$H1155&lt;&gt;""),"",$C1155-TODAY())</f>
        <v/>
      </c>
      <c r="M1155" s="101">
        <f>IF($C1155="","",INDEX(Настройки!$V$6:$V$17,MONTH($C1155))&amp;" "&amp;YEAR($C1155))</f>
        <v/>
      </c>
      <c r="N1155" s="57">
        <f>IF($F1155="","",IF(COUNTIF(Постоянные!$C$8:$C$37,$F1155)&gt;0,"есть в Постоянных",IF(COUNTIF(Покупки!$C$7:$C$18,$F1155)&gt;0,"есть в Покупках","")))</f>
        <v/>
      </c>
      <c r="P1155">
        <f>IF($H1155&lt;&gt;"",$H1155,IF($I1155="Оплачено",N($G1155),0))</f>
        <v/>
      </c>
      <c r="Q1155">
        <f>IF($I1155="Отменено",0,IF($G1155&lt;&gt;"",$G1155,N($H1155)))</f>
        <v/>
      </c>
      <c r="R1155">
        <f>IF($C1155="","",IFERROR(DATE(Настройки!$C$8,Настройки!$D$9+MATCH($M1155,Настройки!$X$6:$X$17,0)-1,1),DATE(YEAR($C1155),MONTH($C1155),1)))</f>
        <v/>
      </c>
      <c r="S1155">
        <f>IF(OR($I1155="Оплачено",$H1155&lt;&gt;""),$P1155,$Q1155)</f>
        <v/>
      </c>
      <c r="T1155">
        <f>IF(OR($C1155="",$D1155="Доход",$I1155="Оплачено",$I1155="Отменено",$H1155&lt;&gt;"",$C1155&lt;TODAY()),"",$C1155)</f>
        <v/>
      </c>
      <c r="U1155">
        <f>IF(AND($D1155&lt;&gt;"Доход",COUNTIFS(Счета!$B$10:$B$21,$J1155,Счета!$C$10:$C$21,"Кредитная")&gt;0),1,0)</f>
        <v/>
      </c>
    </row>
    <row r="1156" ht="19" customHeight="1">
      <c r="B1156" s="53">
        <f>IF(AND($C1156="",$F1156=""),"",ROW()-9)</f>
        <v/>
      </c>
      <c r="C1156" s="213" t="n"/>
      <c r="D1156" s="55" t="n"/>
      <c r="E1156" s="55" t="n"/>
      <c r="F1156" s="56" t="n"/>
      <c r="G1156" s="196" t="n"/>
      <c r="H1156" s="196" t="n"/>
      <c r="I1156" s="55" t="n"/>
      <c r="J1156" s="55" t="n"/>
      <c r="K1156" s="55" t="n"/>
      <c r="L1156" s="100">
        <f>IF(OR($C1156="",$I1156="Оплачено",$I1156="Отменено",$H1156&lt;&gt;""),"",$C1156-TODAY())</f>
        <v/>
      </c>
      <c r="M1156" s="101">
        <f>IF($C1156="","",INDEX(Настройки!$V$6:$V$17,MONTH($C1156))&amp;" "&amp;YEAR($C1156))</f>
        <v/>
      </c>
      <c r="N1156" s="57">
        <f>IF($F1156="","",IF(COUNTIF(Постоянные!$C$8:$C$37,$F1156)&gt;0,"есть в Постоянных",IF(COUNTIF(Покупки!$C$7:$C$18,$F1156)&gt;0,"есть в Покупках","")))</f>
        <v/>
      </c>
      <c r="P1156">
        <f>IF($H1156&lt;&gt;"",$H1156,IF($I1156="Оплачено",N($G1156),0))</f>
        <v/>
      </c>
      <c r="Q1156">
        <f>IF($I1156="Отменено",0,IF($G1156&lt;&gt;"",$G1156,N($H1156)))</f>
        <v/>
      </c>
      <c r="R1156">
        <f>IF($C1156="","",IFERROR(DATE(Настройки!$C$8,Настройки!$D$9+MATCH($M1156,Настройки!$X$6:$X$17,0)-1,1),DATE(YEAR($C1156),MONTH($C1156),1)))</f>
        <v/>
      </c>
      <c r="S1156">
        <f>IF(OR($I1156="Оплачено",$H1156&lt;&gt;""),$P1156,$Q1156)</f>
        <v/>
      </c>
      <c r="T1156">
        <f>IF(OR($C1156="",$D1156="Доход",$I1156="Оплачено",$I1156="Отменено",$H1156&lt;&gt;"",$C1156&lt;TODAY()),"",$C1156)</f>
        <v/>
      </c>
      <c r="U1156">
        <f>IF(AND($D1156&lt;&gt;"Доход",COUNTIFS(Счета!$B$10:$B$21,$J1156,Счета!$C$10:$C$21,"Кредитная")&gt;0),1,0)</f>
        <v/>
      </c>
    </row>
    <row r="1157" ht="19" customHeight="1">
      <c r="B1157" s="53">
        <f>IF(AND($C1157="",$F1157=""),"",ROW()-9)</f>
        <v/>
      </c>
      <c r="C1157" s="213" t="n"/>
      <c r="D1157" s="55" t="n"/>
      <c r="E1157" s="55" t="n"/>
      <c r="F1157" s="56" t="n"/>
      <c r="G1157" s="196" t="n"/>
      <c r="H1157" s="196" t="n"/>
      <c r="I1157" s="55" t="n"/>
      <c r="J1157" s="55" t="n"/>
      <c r="K1157" s="55" t="n"/>
      <c r="L1157" s="100">
        <f>IF(OR($C1157="",$I1157="Оплачено",$I1157="Отменено",$H1157&lt;&gt;""),"",$C1157-TODAY())</f>
        <v/>
      </c>
      <c r="M1157" s="101">
        <f>IF($C1157="","",INDEX(Настройки!$V$6:$V$17,MONTH($C1157))&amp;" "&amp;YEAR($C1157))</f>
        <v/>
      </c>
      <c r="N1157" s="57">
        <f>IF($F1157="","",IF(COUNTIF(Постоянные!$C$8:$C$37,$F1157)&gt;0,"есть в Постоянных",IF(COUNTIF(Покупки!$C$7:$C$18,$F1157)&gt;0,"есть в Покупках","")))</f>
        <v/>
      </c>
      <c r="P1157">
        <f>IF($H1157&lt;&gt;"",$H1157,IF($I1157="Оплачено",N($G1157),0))</f>
        <v/>
      </c>
      <c r="Q1157">
        <f>IF($I1157="Отменено",0,IF($G1157&lt;&gt;"",$G1157,N($H1157)))</f>
        <v/>
      </c>
      <c r="R1157">
        <f>IF($C1157="","",IFERROR(DATE(Настройки!$C$8,Настройки!$D$9+MATCH($M1157,Настройки!$X$6:$X$17,0)-1,1),DATE(YEAR($C1157),MONTH($C1157),1)))</f>
        <v/>
      </c>
      <c r="S1157">
        <f>IF(OR($I1157="Оплачено",$H1157&lt;&gt;""),$P1157,$Q1157)</f>
        <v/>
      </c>
      <c r="T1157">
        <f>IF(OR($C1157="",$D1157="Доход",$I1157="Оплачено",$I1157="Отменено",$H1157&lt;&gt;"",$C1157&lt;TODAY()),"",$C1157)</f>
        <v/>
      </c>
      <c r="U1157">
        <f>IF(AND($D1157&lt;&gt;"Доход",COUNTIFS(Счета!$B$10:$B$21,$J1157,Счета!$C$10:$C$21,"Кредитная")&gt;0),1,0)</f>
        <v/>
      </c>
    </row>
    <row r="1158" ht="19" customHeight="1">
      <c r="B1158" s="53">
        <f>IF(AND($C1158="",$F1158=""),"",ROW()-9)</f>
        <v/>
      </c>
      <c r="C1158" s="213" t="n"/>
      <c r="D1158" s="55" t="n"/>
      <c r="E1158" s="55" t="n"/>
      <c r="F1158" s="56" t="n"/>
      <c r="G1158" s="196" t="n"/>
      <c r="H1158" s="196" t="n"/>
      <c r="I1158" s="55" t="n"/>
      <c r="J1158" s="55" t="n"/>
      <c r="K1158" s="55" t="n"/>
      <c r="L1158" s="100">
        <f>IF(OR($C1158="",$I1158="Оплачено",$I1158="Отменено",$H1158&lt;&gt;""),"",$C1158-TODAY())</f>
        <v/>
      </c>
      <c r="M1158" s="101">
        <f>IF($C1158="","",INDEX(Настройки!$V$6:$V$17,MONTH($C1158))&amp;" "&amp;YEAR($C1158))</f>
        <v/>
      </c>
      <c r="N1158" s="57">
        <f>IF($F1158="","",IF(COUNTIF(Постоянные!$C$8:$C$37,$F1158)&gt;0,"есть в Постоянных",IF(COUNTIF(Покупки!$C$7:$C$18,$F1158)&gt;0,"есть в Покупках","")))</f>
        <v/>
      </c>
      <c r="P1158">
        <f>IF($H1158&lt;&gt;"",$H1158,IF($I1158="Оплачено",N($G1158),0))</f>
        <v/>
      </c>
      <c r="Q1158">
        <f>IF($I1158="Отменено",0,IF($G1158&lt;&gt;"",$G1158,N($H1158)))</f>
        <v/>
      </c>
      <c r="R1158">
        <f>IF($C1158="","",IFERROR(DATE(Настройки!$C$8,Настройки!$D$9+MATCH($M1158,Настройки!$X$6:$X$17,0)-1,1),DATE(YEAR($C1158),MONTH($C1158),1)))</f>
        <v/>
      </c>
      <c r="S1158">
        <f>IF(OR($I1158="Оплачено",$H1158&lt;&gt;""),$P1158,$Q1158)</f>
        <v/>
      </c>
      <c r="T1158">
        <f>IF(OR($C1158="",$D1158="Доход",$I1158="Оплачено",$I1158="Отменено",$H1158&lt;&gt;"",$C1158&lt;TODAY()),"",$C1158)</f>
        <v/>
      </c>
      <c r="U1158">
        <f>IF(AND($D1158&lt;&gt;"Доход",COUNTIFS(Счета!$B$10:$B$21,$J1158,Счета!$C$10:$C$21,"Кредитная")&gt;0),1,0)</f>
        <v/>
      </c>
    </row>
    <row r="1159" ht="19" customHeight="1">
      <c r="B1159" s="53">
        <f>IF(AND($C1159="",$F1159=""),"",ROW()-9)</f>
        <v/>
      </c>
      <c r="C1159" s="213" t="n"/>
      <c r="D1159" s="55" t="n"/>
      <c r="E1159" s="55" t="n"/>
      <c r="F1159" s="56" t="n"/>
      <c r="G1159" s="196" t="n"/>
      <c r="H1159" s="196" t="n"/>
      <c r="I1159" s="55" t="n"/>
      <c r="J1159" s="55" t="n"/>
      <c r="K1159" s="55" t="n"/>
      <c r="L1159" s="100">
        <f>IF(OR($C1159="",$I1159="Оплачено",$I1159="Отменено",$H1159&lt;&gt;""),"",$C1159-TODAY())</f>
        <v/>
      </c>
      <c r="M1159" s="101">
        <f>IF($C1159="","",INDEX(Настройки!$V$6:$V$17,MONTH($C1159))&amp;" "&amp;YEAR($C1159))</f>
        <v/>
      </c>
      <c r="N1159" s="57">
        <f>IF($F1159="","",IF(COUNTIF(Постоянные!$C$8:$C$37,$F1159)&gt;0,"есть в Постоянных",IF(COUNTIF(Покупки!$C$7:$C$18,$F1159)&gt;0,"есть в Покупках","")))</f>
        <v/>
      </c>
      <c r="P1159">
        <f>IF($H1159&lt;&gt;"",$H1159,IF($I1159="Оплачено",N($G1159),0))</f>
        <v/>
      </c>
      <c r="Q1159">
        <f>IF($I1159="Отменено",0,IF($G1159&lt;&gt;"",$G1159,N($H1159)))</f>
        <v/>
      </c>
      <c r="R1159">
        <f>IF($C1159="","",IFERROR(DATE(Настройки!$C$8,Настройки!$D$9+MATCH($M1159,Настройки!$X$6:$X$17,0)-1,1),DATE(YEAR($C1159),MONTH($C1159),1)))</f>
        <v/>
      </c>
      <c r="S1159">
        <f>IF(OR($I1159="Оплачено",$H1159&lt;&gt;""),$P1159,$Q1159)</f>
        <v/>
      </c>
      <c r="T1159">
        <f>IF(OR($C1159="",$D1159="Доход",$I1159="Оплачено",$I1159="Отменено",$H1159&lt;&gt;"",$C1159&lt;TODAY()),"",$C1159)</f>
        <v/>
      </c>
      <c r="U1159">
        <f>IF(AND($D1159&lt;&gt;"Доход",COUNTIFS(Счета!$B$10:$B$21,$J1159,Счета!$C$10:$C$21,"Кредитная")&gt;0),1,0)</f>
        <v/>
      </c>
    </row>
    <row r="1160" ht="19" customHeight="1">
      <c r="B1160" s="53">
        <f>IF(AND($C1160="",$F1160=""),"",ROW()-9)</f>
        <v/>
      </c>
      <c r="C1160" s="213" t="n"/>
      <c r="D1160" s="55" t="n"/>
      <c r="E1160" s="55" t="n"/>
      <c r="F1160" s="56" t="n"/>
      <c r="G1160" s="196" t="n"/>
      <c r="H1160" s="196" t="n"/>
      <c r="I1160" s="55" t="n"/>
      <c r="J1160" s="55" t="n"/>
      <c r="K1160" s="55" t="n"/>
      <c r="L1160" s="100">
        <f>IF(OR($C1160="",$I1160="Оплачено",$I1160="Отменено",$H1160&lt;&gt;""),"",$C1160-TODAY())</f>
        <v/>
      </c>
      <c r="M1160" s="101">
        <f>IF($C1160="","",INDEX(Настройки!$V$6:$V$17,MONTH($C1160))&amp;" "&amp;YEAR($C1160))</f>
        <v/>
      </c>
      <c r="N1160" s="57">
        <f>IF($F1160="","",IF(COUNTIF(Постоянные!$C$8:$C$37,$F1160)&gt;0,"есть в Постоянных",IF(COUNTIF(Покупки!$C$7:$C$18,$F1160)&gt;0,"есть в Покупках","")))</f>
        <v/>
      </c>
      <c r="P1160">
        <f>IF($H1160&lt;&gt;"",$H1160,IF($I1160="Оплачено",N($G1160),0))</f>
        <v/>
      </c>
      <c r="Q1160">
        <f>IF($I1160="Отменено",0,IF($G1160&lt;&gt;"",$G1160,N($H1160)))</f>
        <v/>
      </c>
      <c r="R1160">
        <f>IF($C1160="","",IFERROR(DATE(Настройки!$C$8,Настройки!$D$9+MATCH($M1160,Настройки!$X$6:$X$17,0)-1,1),DATE(YEAR($C1160),MONTH($C1160),1)))</f>
        <v/>
      </c>
      <c r="S1160">
        <f>IF(OR($I1160="Оплачено",$H1160&lt;&gt;""),$P1160,$Q1160)</f>
        <v/>
      </c>
      <c r="T1160">
        <f>IF(OR($C1160="",$D1160="Доход",$I1160="Оплачено",$I1160="Отменено",$H1160&lt;&gt;"",$C1160&lt;TODAY()),"",$C1160)</f>
        <v/>
      </c>
      <c r="U1160">
        <f>IF(AND($D1160&lt;&gt;"Доход",COUNTIFS(Счета!$B$10:$B$21,$J1160,Счета!$C$10:$C$21,"Кредитная")&gt;0),1,0)</f>
        <v/>
      </c>
    </row>
    <row r="1161" ht="19" customHeight="1">
      <c r="B1161" s="53">
        <f>IF(AND($C1161="",$F1161=""),"",ROW()-9)</f>
        <v/>
      </c>
      <c r="C1161" s="213" t="n"/>
      <c r="D1161" s="55" t="n"/>
      <c r="E1161" s="55" t="n"/>
      <c r="F1161" s="56" t="n"/>
      <c r="G1161" s="196" t="n"/>
      <c r="H1161" s="196" t="n"/>
      <c r="I1161" s="55" t="n"/>
      <c r="J1161" s="55" t="n"/>
      <c r="K1161" s="55" t="n"/>
      <c r="L1161" s="100">
        <f>IF(OR($C1161="",$I1161="Оплачено",$I1161="Отменено",$H1161&lt;&gt;""),"",$C1161-TODAY())</f>
        <v/>
      </c>
      <c r="M1161" s="101">
        <f>IF($C1161="","",INDEX(Настройки!$V$6:$V$17,MONTH($C1161))&amp;" "&amp;YEAR($C1161))</f>
        <v/>
      </c>
      <c r="N1161" s="57">
        <f>IF($F1161="","",IF(COUNTIF(Постоянные!$C$8:$C$37,$F1161)&gt;0,"есть в Постоянных",IF(COUNTIF(Покупки!$C$7:$C$18,$F1161)&gt;0,"есть в Покупках","")))</f>
        <v/>
      </c>
      <c r="P1161">
        <f>IF($H1161&lt;&gt;"",$H1161,IF($I1161="Оплачено",N($G1161),0))</f>
        <v/>
      </c>
      <c r="Q1161">
        <f>IF($I1161="Отменено",0,IF($G1161&lt;&gt;"",$G1161,N($H1161)))</f>
        <v/>
      </c>
      <c r="R1161">
        <f>IF($C1161="","",IFERROR(DATE(Настройки!$C$8,Настройки!$D$9+MATCH($M1161,Настройки!$X$6:$X$17,0)-1,1),DATE(YEAR($C1161),MONTH($C1161),1)))</f>
        <v/>
      </c>
      <c r="S1161">
        <f>IF(OR($I1161="Оплачено",$H1161&lt;&gt;""),$P1161,$Q1161)</f>
        <v/>
      </c>
      <c r="T1161">
        <f>IF(OR($C1161="",$D1161="Доход",$I1161="Оплачено",$I1161="Отменено",$H1161&lt;&gt;"",$C1161&lt;TODAY()),"",$C1161)</f>
        <v/>
      </c>
      <c r="U1161">
        <f>IF(AND($D1161&lt;&gt;"Доход",COUNTIFS(Счета!$B$10:$B$21,$J1161,Счета!$C$10:$C$21,"Кредитная")&gt;0),1,0)</f>
        <v/>
      </c>
    </row>
    <row r="1162" ht="19" customHeight="1">
      <c r="B1162" s="53">
        <f>IF(AND($C1162="",$F1162=""),"",ROW()-9)</f>
        <v/>
      </c>
      <c r="C1162" s="213" t="n"/>
      <c r="D1162" s="55" t="n"/>
      <c r="E1162" s="55" t="n"/>
      <c r="F1162" s="56" t="n"/>
      <c r="G1162" s="196" t="n"/>
      <c r="H1162" s="196" t="n"/>
      <c r="I1162" s="55" t="n"/>
      <c r="J1162" s="55" t="n"/>
      <c r="K1162" s="55" t="n"/>
      <c r="L1162" s="100">
        <f>IF(OR($C1162="",$I1162="Оплачено",$I1162="Отменено",$H1162&lt;&gt;""),"",$C1162-TODAY())</f>
        <v/>
      </c>
      <c r="M1162" s="101">
        <f>IF($C1162="","",INDEX(Настройки!$V$6:$V$17,MONTH($C1162))&amp;" "&amp;YEAR($C1162))</f>
        <v/>
      </c>
      <c r="N1162" s="57">
        <f>IF($F1162="","",IF(COUNTIF(Постоянные!$C$8:$C$37,$F1162)&gt;0,"есть в Постоянных",IF(COUNTIF(Покупки!$C$7:$C$18,$F1162)&gt;0,"есть в Покупках","")))</f>
        <v/>
      </c>
      <c r="P1162">
        <f>IF($H1162&lt;&gt;"",$H1162,IF($I1162="Оплачено",N($G1162),0))</f>
        <v/>
      </c>
      <c r="Q1162">
        <f>IF($I1162="Отменено",0,IF($G1162&lt;&gt;"",$G1162,N($H1162)))</f>
        <v/>
      </c>
      <c r="R1162">
        <f>IF($C1162="","",IFERROR(DATE(Настройки!$C$8,Настройки!$D$9+MATCH($M1162,Настройки!$X$6:$X$17,0)-1,1),DATE(YEAR($C1162),MONTH($C1162),1)))</f>
        <v/>
      </c>
      <c r="S1162">
        <f>IF(OR($I1162="Оплачено",$H1162&lt;&gt;""),$P1162,$Q1162)</f>
        <v/>
      </c>
      <c r="T1162">
        <f>IF(OR($C1162="",$D1162="Доход",$I1162="Оплачено",$I1162="Отменено",$H1162&lt;&gt;"",$C1162&lt;TODAY()),"",$C1162)</f>
        <v/>
      </c>
      <c r="U1162">
        <f>IF(AND($D1162&lt;&gt;"Доход",COUNTIFS(Счета!$B$10:$B$21,$J1162,Счета!$C$10:$C$21,"Кредитная")&gt;0),1,0)</f>
        <v/>
      </c>
    </row>
    <row r="1163" ht="19" customHeight="1">
      <c r="B1163" s="53">
        <f>IF(AND($C1163="",$F1163=""),"",ROW()-9)</f>
        <v/>
      </c>
      <c r="C1163" s="213" t="n"/>
      <c r="D1163" s="55" t="n"/>
      <c r="E1163" s="55" t="n"/>
      <c r="F1163" s="56" t="n"/>
      <c r="G1163" s="196" t="n"/>
      <c r="H1163" s="196" t="n"/>
      <c r="I1163" s="55" t="n"/>
      <c r="J1163" s="55" t="n"/>
      <c r="K1163" s="55" t="n"/>
      <c r="L1163" s="100">
        <f>IF(OR($C1163="",$I1163="Оплачено",$I1163="Отменено",$H1163&lt;&gt;""),"",$C1163-TODAY())</f>
        <v/>
      </c>
      <c r="M1163" s="101">
        <f>IF($C1163="","",INDEX(Настройки!$V$6:$V$17,MONTH($C1163))&amp;" "&amp;YEAR($C1163))</f>
        <v/>
      </c>
      <c r="N1163" s="57">
        <f>IF($F1163="","",IF(COUNTIF(Постоянные!$C$8:$C$37,$F1163)&gt;0,"есть в Постоянных",IF(COUNTIF(Покупки!$C$7:$C$18,$F1163)&gt;0,"есть в Покупках","")))</f>
        <v/>
      </c>
      <c r="P1163">
        <f>IF($H1163&lt;&gt;"",$H1163,IF($I1163="Оплачено",N($G1163),0))</f>
        <v/>
      </c>
      <c r="Q1163">
        <f>IF($I1163="Отменено",0,IF($G1163&lt;&gt;"",$G1163,N($H1163)))</f>
        <v/>
      </c>
      <c r="R1163">
        <f>IF($C1163="","",IFERROR(DATE(Настройки!$C$8,Настройки!$D$9+MATCH($M1163,Настройки!$X$6:$X$17,0)-1,1),DATE(YEAR($C1163),MONTH($C1163),1)))</f>
        <v/>
      </c>
      <c r="S1163">
        <f>IF(OR($I1163="Оплачено",$H1163&lt;&gt;""),$P1163,$Q1163)</f>
        <v/>
      </c>
      <c r="T1163">
        <f>IF(OR($C1163="",$D1163="Доход",$I1163="Оплачено",$I1163="Отменено",$H1163&lt;&gt;"",$C1163&lt;TODAY()),"",$C1163)</f>
        <v/>
      </c>
      <c r="U1163">
        <f>IF(AND($D1163&lt;&gt;"Доход",COUNTIFS(Счета!$B$10:$B$21,$J1163,Счета!$C$10:$C$21,"Кредитная")&gt;0),1,0)</f>
        <v/>
      </c>
    </row>
    <row r="1164" ht="19" customHeight="1">
      <c r="B1164" s="53">
        <f>IF(AND($C1164="",$F1164=""),"",ROW()-9)</f>
        <v/>
      </c>
      <c r="C1164" s="213" t="n"/>
      <c r="D1164" s="55" t="n"/>
      <c r="E1164" s="55" t="n"/>
      <c r="F1164" s="56" t="n"/>
      <c r="G1164" s="196" t="n"/>
      <c r="H1164" s="196" t="n"/>
      <c r="I1164" s="55" t="n"/>
      <c r="J1164" s="55" t="n"/>
      <c r="K1164" s="55" t="n"/>
      <c r="L1164" s="100">
        <f>IF(OR($C1164="",$I1164="Оплачено",$I1164="Отменено",$H1164&lt;&gt;""),"",$C1164-TODAY())</f>
        <v/>
      </c>
      <c r="M1164" s="101">
        <f>IF($C1164="","",INDEX(Настройки!$V$6:$V$17,MONTH($C1164))&amp;" "&amp;YEAR($C1164))</f>
        <v/>
      </c>
      <c r="N1164" s="57">
        <f>IF($F1164="","",IF(COUNTIF(Постоянные!$C$8:$C$37,$F1164)&gt;0,"есть в Постоянных",IF(COUNTIF(Покупки!$C$7:$C$18,$F1164)&gt;0,"есть в Покупках","")))</f>
        <v/>
      </c>
      <c r="P1164">
        <f>IF($H1164&lt;&gt;"",$H1164,IF($I1164="Оплачено",N($G1164),0))</f>
        <v/>
      </c>
      <c r="Q1164">
        <f>IF($I1164="Отменено",0,IF($G1164&lt;&gt;"",$G1164,N($H1164)))</f>
        <v/>
      </c>
      <c r="R1164">
        <f>IF($C1164="","",IFERROR(DATE(Настройки!$C$8,Настройки!$D$9+MATCH($M1164,Настройки!$X$6:$X$17,0)-1,1),DATE(YEAR($C1164),MONTH($C1164),1)))</f>
        <v/>
      </c>
      <c r="S1164">
        <f>IF(OR($I1164="Оплачено",$H1164&lt;&gt;""),$P1164,$Q1164)</f>
        <v/>
      </c>
      <c r="T1164">
        <f>IF(OR($C1164="",$D1164="Доход",$I1164="Оплачено",$I1164="Отменено",$H1164&lt;&gt;"",$C1164&lt;TODAY()),"",$C1164)</f>
        <v/>
      </c>
      <c r="U1164">
        <f>IF(AND($D1164&lt;&gt;"Доход",COUNTIFS(Счета!$B$10:$B$21,$J1164,Счета!$C$10:$C$21,"Кредитная")&gt;0),1,0)</f>
        <v/>
      </c>
    </row>
    <row r="1165" ht="19" customHeight="1">
      <c r="B1165" s="53">
        <f>IF(AND($C1165="",$F1165=""),"",ROW()-9)</f>
        <v/>
      </c>
      <c r="C1165" s="213" t="n"/>
      <c r="D1165" s="55" t="n"/>
      <c r="E1165" s="55" t="n"/>
      <c r="F1165" s="56" t="n"/>
      <c r="G1165" s="196" t="n"/>
      <c r="H1165" s="196" t="n"/>
      <c r="I1165" s="55" t="n"/>
      <c r="J1165" s="55" t="n"/>
      <c r="K1165" s="55" t="n"/>
      <c r="L1165" s="100">
        <f>IF(OR($C1165="",$I1165="Оплачено",$I1165="Отменено",$H1165&lt;&gt;""),"",$C1165-TODAY())</f>
        <v/>
      </c>
      <c r="M1165" s="101">
        <f>IF($C1165="","",INDEX(Настройки!$V$6:$V$17,MONTH($C1165))&amp;" "&amp;YEAR($C1165))</f>
        <v/>
      </c>
      <c r="N1165" s="57">
        <f>IF($F1165="","",IF(COUNTIF(Постоянные!$C$8:$C$37,$F1165)&gt;0,"есть в Постоянных",IF(COUNTIF(Покупки!$C$7:$C$18,$F1165)&gt;0,"есть в Покупках","")))</f>
        <v/>
      </c>
      <c r="P1165">
        <f>IF($H1165&lt;&gt;"",$H1165,IF($I1165="Оплачено",N($G1165),0))</f>
        <v/>
      </c>
      <c r="Q1165">
        <f>IF($I1165="Отменено",0,IF($G1165&lt;&gt;"",$G1165,N($H1165)))</f>
        <v/>
      </c>
      <c r="R1165">
        <f>IF($C1165="","",IFERROR(DATE(Настройки!$C$8,Настройки!$D$9+MATCH($M1165,Настройки!$X$6:$X$17,0)-1,1),DATE(YEAR($C1165),MONTH($C1165),1)))</f>
        <v/>
      </c>
      <c r="S1165">
        <f>IF(OR($I1165="Оплачено",$H1165&lt;&gt;""),$P1165,$Q1165)</f>
        <v/>
      </c>
      <c r="T1165">
        <f>IF(OR($C1165="",$D1165="Доход",$I1165="Оплачено",$I1165="Отменено",$H1165&lt;&gt;"",$C1165&lt;TODAY()),"",$C1165)</f>
        <v/>
      </c>
      <c r="U1165">
        <f>IF(AND($D1165&lt;&gt;"Доход",COUNTIFS(Счета!$B$10:$B$21,$J1165,Счета!$C$10:$C$21,"Кредитная")&gt;0),1,0)</f>
        <v/>
      </c>
    </row>
    <row r="1166" ht="19" customHeight="1">
      <c r="B1166" s="53">
        <f>IF(AND($C1166="",$F1166=""),"",ROW()-9)</f>
        <v/>
      </c>
      <c r="C1166" s="213" t="n"/>
      <c r="D1166" s="55" t="n"/>
      <c r="E1166" s="55" t="n"/>
      <c r="F1166" s="56" t="n"/>
      <c r="G1166" s="196" t="n"/>
      <c r="H1166" s="196" t="n"/>
      <c r="I1166" s="55" t="n"/>
      <c r="J1166" s="55" t="n"/>
      <c r="K1166" s="55" t="n"/>
      <c r="L1166" s="100">
        <f>IF(OR($C1166="",$I1166="Оплачено",$I1166="Отменено",$H1166&lt;&gt;""),"",$C1166-TODAY())</f>
        <v/>
      </c>
      <c r="M1166" s="101">
        <f>IF($C1166="","",INDEX(Настройки!$V$6:$V$17,MONTH($C1166))&amp;" "&amp;YEAR($C1166))</f>
        <v/>
      </c>
      <c r="N1166" s="57">
        <f>IF($F1166="","",IF(COUNTIF(Постоянные!$C$8:$C$37,$F1166)&gt;0,"есть в Постоянных",IF(COUNTIF(Покупки!$C$7:$C$18,$F1166)&gt;0,"есть в Покупках","")))</f>
        <v/>
      </c>
      <c r="P1166">
        <f>IF($H1166&lt;&gt;"",$H1166,IF($I1166="Оплачено",N($G1166),0))</f>
        <v/>
      </c>
      <c r="Q1166">
        <f>IF($I1166="Отменено",0,IF($G1166&lt;&gt;"",$G1166,N($H1166)))</f>
        <v/>
      </c>
      <c r="R1166">
        <f>IF($C1166="","",IFERROR(DATE(Настройки!$C$8,Настройки!$D$9+MATCH($M1166,Настройки!$X$6:$X$17,0)-1,1),DATE(YEAR($C1166),MONTH($C1166),1)))</f>
        <v/>
      </c>
      <c r="S1166">
        <f>IF(OR($I1166="Оплачено",$H1166&lt;&gt;""),$P1166,$Q1166)</f>
        <v/>
      </c>
      <c r="T1166">
        <f>IF(OR($C1166="",$D1166="Доход",$I1166="Оплачено",$I1166="Отменено",$H1166&lt;&gt;"",$C1166&lt;TODAY()),"",$C1166)</f>
        <v/>
      </c>
      <c r="U1166">
        <f>IF(AND($D1166&lt;&gt;"Доход",COUNTIFS(Счета!$B$10:$B$21,$J1166,Счета!$C$10:$C$21,"Кредитная")&gt;0),1,0)</f>
        <v/>
      </c>
    </row>
    <row r="1167" ht="19" customHeight="1">
      <c r="B1167" s="53">
        <f>IF(AND($C1167="",$F1167=""),"",ROW()-9)</f>
        <v/>
      </c>
      <c r="C1167" s="213" t="n"/>
      <c r="D1167" s="55" t="n"/>
      <c r="E1167" s="55" t="n"/>
      <c r="F1167" s="56" t="n"/>
      <c r="G1167" s="196" t="n"/>
      <c r="H1167" s="196" t="n"/>
      <c r="I1167" s="55" t="n"/>
      <c r="J1167" s="55" t="n"/>
      <c r="K1167" s="55" t="n"/>
      <c r="L1167" s="100">
        <f>IF(OR($C1167="",$I1167="Оплачено",$I1167="Отменено",$H1167&lt;&gt;""),"",$C1167-TODAY())</f>
        <v/>
      </c>
      <c r="M1167" s="101">
        <f>IF($C1167="","",INDEX(Настройки!$V$6:$V$17,MONTH($C1167))&amp;" "&amp;YEAR($C1167))</f>
        <v/>
      </c>
      <c r="N1167" s="57">
        <f>IF($F1167="","",IF(COUNTIF(Постоянные!$C$8:$C$37,$F1167)&gt;0,"есть в Постоянных",IF(COUNTIF(Покупки!$C$7:$C$18,$F1167)&gt;0,"есть в Покупках","")))</f>
        <v/>
      </c>
      <c r="P1167">
        <f>IF($H1167&lt;&gt;"",$H1167,IF($I1167="Оплачено",N($G1167),0))</f>
        <v/>
      </c>
      <c r="Q1167">
        <f>IF($I1167="Отменено",0,IF($G1167&lt;&gt;"",$G1167,N($H1167)))</f>
        <v/>
      </c>
      <c r="R1167">
        <f>IF($C1167="","",IFERROR(DATE(Настройки!$C$8,Настройки!$D$9+MATCH($M1167,Настройки!$X$6:$X$17,0)-1,1),DATE(YEAR($C1167),MONTH($C1167),1)))</f>
        <v/>
      </c>
      <c r="S1167">
        <f>IF(OR($I1167="Оплачено",$H1167&lt;&gt;""),$P1167,$Q1167)</f>
        <v/>
      </c>
      <c r="T1167">
        <f>IF(OR($C1167="",$D1167="Доход",$I1167="Оплачено",$I1167="Отменено",$H1167&lt;&gt;"",$C1167&lt;TODAY()),"",$C1167)</f>
        <v/>
      </c>
      <c r="U1167">
        <f>IF(AND($D1167&lt;&gt;"Доход",COUNTIFS(Счета!$B$10:$B$21,$J1167,Счета!$C$10:$C$21,"Кредитная")&gt;0),1,0)</f>
        <v/>
      </c>
    </row>
    <row r="1168" ht="19" customHeight="1">
      <c r="B1168" s="53">
        <f>IF(AND($C1168="",$F1168=""),"",ROW()-9)</f>
        <v/>
      </c>
      <c r="C1168" s="213" t="n"/>
      <c r="D1168" s="55" t="n"/>
      <c r="E1168" s="55" t="n"/>
      <c r="F1168" s="56" t="n"/>
      <c r="G1168" s="196" t="n"/>
      <c r="H1168" s="196" t="n"/>
      <c r="I1168" s="55" t="n"/>
      <c r="J1168" s="55" t="n"/>
      <c r="K1168" s="55" t="n"/>
      <c r="L1168" s="100">
        <f>IF(OR($C1168="",$I1168="Оплачено",$I1168="Отменено",$H1168&lt;&gt;""),"",$C1168-TODAY())</f>
        <v/>
      </c>
      <c r="M1168" s="101">
        <f>IF($C1168="","",INDEX(Настройки!$V$6:$V$17,MONTH($C1168))&amp;" "&amp;YEAR($C1168))</f>
        <v/>
      </c>
      <c r="N1168" s="57">
        <f>IF($F1168="","",IF(COUNTIF(Постоянные!$C$8:$C$37,$F1168)&gt;0,"есть в Постоянных",IF(COUNTIF(Покупки!$C$7:$C$18,$F1168)&gt;0,"есть в Покупках","")))</f>
        <v/>
      </c>
      <c r="P1168">
        <f>IF($H1168&lt;&gt;"",$H1168,IF($I1168="Оплачено",N($G1168),0))</f>
        <v/>
      </c>
      <c r="Q1168">
        <f>IF($I1168="Отменено",0,IF($G1168&lt;&gt;"",$G1168,N($H1168)))</f>
        <v/>
      </c>
      <c r="R1168">
        <f>IF($C1168="","",IFERROR(DATE(Настройки!$C$8,Настройки!$D$9+MATCH($M1168,Настройки!$X$6:$X$17,0)-1,1),DATE(YEAR($C1168),MONTH($C1168),1)))</f>
        <v/>
      </c>
      <c r="S1168">
        <f>IF(OR($I1168="Оплачено",$H1168&lt;&gt;""),$P1168,$Q1168)</f>
        <v/>
      </c>
      <c r="T1168">
        <f>IF(OR($C1168="",$D1168="Доход",$I1168="Оплачено",$I1168="Отменено",$H1168&lt;&gt;"",$C1168&lt;TODAY()),"",$C1168)</f>
        <v/>
      </c>
      <c r="U1168">
        <f>IF(AND($D1168&lt;&gt;"Доход",COUNTIFS(Счета!$B$10:$B$21,$J1168,Счета!$C$10:$C$21,"Кредитная")&gt;0),1,0)</f>
        <v/>
      </c>
    </row>
    <row r="1169" ht="19" customHeight="1">
      <c r="B1169" s="53">
        <f>IF(AND($C1169="",$F1169=""),"",ROW()-9)</f>
        <v/>
      </c>
      <c r="C1169" s="213" t="n"/>
      <c r="D1169" s="55" t="n"/>
      <c r="E1169" s="55" t="n"/>
      <c r="F1169" s="56" t="n"/>
      <c r="G1169" s="196" t="n"/>
      <c r="H1169" s="196" t="n"/>
      <c r="I1169" s="55" t="n"/>
      <c r="J1169" s="55" t="n"/>
      <c r="K1169" s="55" t="n"/>
      <c r="L1169" s="100">
        <f>IF(OR($C1169="",$I1169="Оплачено",$I1169="Отменено",$H1169&lt;&gt;""),"",$C1169-TODAY())</f>
        <v/>
      </c>
      <c r="M1169" s="101">
        <f>IF($C1169="","",INDEX(Настройки!$V$6:$V$17,MONTH($C1169))&amp;" "&amp;YEAR($C1169))</f>
        <v/>
      </c>
      <c r="N1169" s="57">
        <f>IF($F1169="","",IF(COUNTIF(Постоянные!$C$8:$C$37,$F1169)&gt;0,"есть в Постоянных",IF(COUNTIF(Покупки!$C$7:$C$18,$F1169)&gt;0,"есть в Покупках","")))</f>
        <v/>
      </c>
      <c r="P1169">
        <f>IF($H1169&lt;&gt;"",$H1169,IF($I1169="Оплачено",N($G1169),0))</f>
        <v/>
      </c>
      <c r="Q1169">
        <f>IF($I1169="Отменено",0,IF($G1169&lt;&gt;"",$G1169,N($H1169)))</f>
        <v/>
      </c>
      <c r="R1169">
        <f>IF($C1169="","",IFERROR(DATE(Настройки!$C$8,Настройки!$D$9+MATCH($M1169,Настройки!$X$6:$X$17,0)-1,1),DATE(YEAR($C1169),MONTH($C1169),1)))</f>
        <v/>
      </c>
      <c r="S1169">
        <f>IF(OR($I1169="Оплачено",$H1169&lt;&gt;""),$P1169,$Q1169)</f>
        <v/>
      </c>
      <c r="T1169">
        <f>IF(OR($C1169="",$D1169="Доход",$I1169="Оплачено",$I1169="Отменено",$H1169&lt;&gt;"",$C1169&lt;TODAY()),"",$C1169)</f>
        <v/>
      </c>
      <c r="U1169">
        <f>IF(AND($D1169&lt;&gt;"Доход",COUNTIFS(Счета!$B$10:$B$21,$J1169,Счета!$C$10:$C$21,"Кредитная")&gt;0),1,0)</f>
        <v/>
      </c>
    </row>
    <row r="1170" ht="19" customHeight="1">
      <c r="B1170" s="53">
        <f>IF(AND($C1170="",$F1170=""),"",ROW()-9)</f>
        <v/>
      </c>
      <c r="C1170" s="213" t="n"/>
      <c r="D1170" s="55" t="n"/>
      <c r="E1170" s="55" t="n"/>
      <c r="F1170" s="56" t="n"/>
      <c r="G1170" s="196" t="n"/>
      <c r="H1170" s="196" t="n"/>
      <c r="I1170" s="55" t="n"/>
      <c r="J1170" s="55" t="n"/>
      <c r="K1170" s="55" t="n"/>
      <c r="L1170" s="100">
        <f>IF(OR($C1170="",$I1170="Оплачено",$I1170="Отменено",$H1170&lt;&gt;""),"",$C1170-TODAY())</f>
        <v/>
      </c>
      <c r="M1170" s="101">
        <f>IF($C1170="","",INDEX(Настройки!$V$6:$V$17,MONTH($C1170))&amp;" "&amp;YEAR($C1170))</f>
        <v/>
      </c>
      <c r="N1170" s="57">
        <f>IF($F1170="","",IF(COUNTIF(Постоянные!$C$8:$C$37,$F1170)&gt;0,"есть в Постоянных",IF(COUNTIF(Покупки!$C$7:$C$18,$F1170)&gt;0,"есть в Покупках","")))</f>
        <v/>
      </c>
      <c r="P1170">
        <f>IF($H1170&lt;&gt;"",$H1170,IF($I1170="Оплачено",N($G1170),0))</f>
        <v/>
      </c>
      <c r="Q1170">
        <f>IF($I1170="Отменено",0,IF($G1170&lt;&gt;"",$G1170,N($H1170)))</f>
        <v/>
      </c>
      <c r="R1170">
        <f>IF($C1170="","",IFERROR(DATE(Настройки!$C$8,Настройки!$D$9+MATCH($M1170,Настройки!$X$6:$X$17,0)-1,1),DATE(YEAR($C1170),MONTH($C1170),1)))</f>
        <v/>
      </c>
      <c r="S1170">
        <f>IF(OR($I1170="Оплачено",$H1170&lt;&gt;""),$P1170,$Q1170)</f>
        <v/>
      </c>
      <c r="T1170">
        <f>IF(OR($C1170="",$D1170="Доход",$I1170="Оплачено",$I1170="Отменено",$H1170&lt;&gt;"",$C1170&lt;TODAY()),"",$C1170)</f>
        <v/>
      </c>
      <c r="U1170">
        <f>IF(AND($D1170&lt;&gt;"Доход",COUNTIFS(Счета!$B$10:$B$21,$J1170,Счета!$C$10:$C$21,"Кредитная")&gt;0),1,0)</f>
        <v/>
      </c>
    </row>
    <row r="1171" ht="19" customHeight="1">
      <c r="B1171" s="53">
        <f>IF(AND($C1171="",$F1171=""),"",ROW()-9)</f>
        <v/>
      </c>
      <c r="C1171" s="213" t="n"/>
      <c r="D1171" s="55" t="n"/>
      <c r="E1171" s="55" t="n"/>
      <c r="F1171" s="56" t="n"/>
      <c r="G1171" s="196" t="n"/>
      <c r="H1171" s="196" t="n"/>
      <c r="I1171" s="55" t="n"/>
      <c r="J1171" s="55" t="n"/>
      <c r="K1171" s="55" t="n"/>
      <c r="L1171" s="100">
        <f>IF(OR($C1171="",$I1171="Оплачено",$I1171="Отменено",$H1171&lt;&gt;""),"",$C1171-TODAY())</f>
        <v/>
      </c>
      <c r="M1171" s="101">
        <f>IF($C1171="","",INDEX(Настройки!$V$6:$V$17,MONTH($C1171))&amp;" "&amp;YEAR($C1171))</f>
        <v/>
      </c>
      <c r="N1171" s="57">
        <f>IF($F1171="","",IF(COUNTIF(Постоянные!$C$8:$C$37,$F1171)&gt;0,"есть в Постоянных",IF(COUNTIF(Покупки!$C$7:$C$18,$F1171)&gt;0,"есть в Покупках","")))</f>
        <v/>
      </c>
      <c r="P1171">
        <f>IF($H1171&lt;&gt;"",$H1171,IF($I1171="Оплачено",N($G1171),0))</f>
        <v/>
      </c>
      <c r="Q1171">
        <f>IF($I1171="Отменено",0,IF($G1171&lt;&gt;"",$G1171,N($H1171)))</f>
        <v/>
      </c>
      <c r="R1171">
        <f>IF($C1171="","",IFERROR(DATE(Настройки!$C$8,Настройки!$D$9+MATCH($M1171,Настройки!$X$6:$X$17,0)-1,1),DATE(YEAR($C1171),MONTH($C1171),1)))</f>
        <v/>
      </c>
      <c r="S1171">
        <f>IF(OR($I1171="Оплачено",$H1171&lt;&gt;""),$P1171,$Q1171)</f>
        <v/>
      </c>
      <c r="T1171">
        <f>IF(OR($C1171="",$D1171="Доход",$I1171="Оплачено",$I1171="Отменено",$H1171&lt;&gt;"",$C1171&lt;TODAY()),"",$C1171)</f>
        <v/>
      </c>
      <c r="U1171">
        <f>IF(AND($D1171&lt;&gt;"Доход",COUNTIFS(Счета!$B$10:$B$21,$J1171,Счета!$C$10:$C$21,"Кредитная")&gt;0),1,0)</f>
        <v/>
      </c>
    </row>
    <row r="1172" ht="19" customHeight="1">
      <c r="B1172" s="53">
        <f>IF(AND($C1172="",$F1172=""),"",ROW()-9)</f>
        <v/>
      </c>
      <c r="C1172" s="213" t="n"/>
      <c r="D1172" s="55" t="n"/>
      <c r="E1172" s="55" t="n"/>
      <c r="F1172" s="56" t="n"/>
      <c r="G1172" s="196" t="n"/>
      <c r="H1172" s="196" t="n"/>
      <c r="I1172" s="55" t="n"/>
      <c r="J1172" s="55" t="n"/>
      <c r="K1172" s="55" t="n"/>
      <c r="L1172" s="100">
        <f>IF(OR($C1172="",$I1172="Оплачено",$I1172="Отменено",$H1172&lt;&gt;""),"",$C1172-TODAY())</f>
        <v/>
      </c>
      <c r="M1172" s="101">
        <f>IF($C1172="","",INDEX(Настройки!$V$6:$V$17,MONTH($C1172))&amp;" "&amp;YEAR($C1172))</f>
        <v/>
      </c>
      <c r="N1172" s="57">
        <f>IF($F1172="","",IF(COUNTIF(Постоянные!$C$8:$C$37,$F1172)&gt;0,"есть в Постоянных",IF(COUNTIF(Покупки!$C$7:$C$18,$F1172)&gt;0,"есть в Покупках","")))</f>
        <v/>
      </c>
      <c r="P1172">
        <f>IF($H1172&lt;&gt;"",$H1172,IF($I1172="Оплачено",N($G1172),0))</f>
        <v/>
      </c>
      <c r="Q1172">
        <f>IF($I1172="Отменено",0,IF($G1172&lt;&gt;"",$G1172,N($H1172)))</f>
        <v/>
      </c>
      <c r="R1172">
        <f>IF($C1172="","",IFERROR(DATE(Настройки!$C$8,Настройки!$D$9+MATCH($M1172,Настройки!$X$6:$X$17,0)-1,1),DATE(YEAR($C1172),MONTH($C1172),1)))</f>
        <v/>
      </c>
      <c r="S1172">
        <f>IF(OR($I1172="Оплачено",$H1172&lt;&gt;""),$P1172,$Q1172)</f>
        <v/>
      </c>
      <c r="T1172">
        <f>IF(OR($C1172="",$D1172="Доход",$I1172="Оплачено",$I1172="Отменено",$H1172&lt;&gt;"",$C1172&lt;TODAY()),"",$C1172)</f>
        <v/>
      </c>
      <c r="U1172">
        <f>IF(AND($D1172&lt;&gt;"Доход",COUNTIFS(Счета!$B$10:$B$21,$J1172,Счета!$C$10:$C$21,"Кредитная")&gt;0),1,0)</f>
        <v/>
      </c>
    </row>
    <row r="1173" ht="19" customHeight="1">
      <c r="B1173" s="53">
        <f>IF(AND($C1173="",$F1173=""),"",ROW()-9)</f>
        <v/>
      </c>
      <c r="C1173" s="213" t="n"/>
      <c r="D1173" s="55" t="n"/>
      <c r="E1173" s="55" t="n"/>
      <c r="F1173" s="56" t="n"/>
      <c r="G1173" s="196" t="n"/>
      <c r="H1173" s="196" t="n"/>
      <c r="I1173" s="55" t="n"/>
      <c r="J1173" s="55" t="n"/>
      <c r="K1173" s="55" t="n"/>
      <c r="L1173" s="100">
        <f>IF(OR($C1173="",$I1173="Оплачено",$I1173="Отменено",$H1173&lt;&gt;""),"",$C1173-TODAY())</f>
        <v/>
      </c>
      <c r="M1173" s="101">
        <f>IF($C1173="","",INDEX(Настройки!$V$6:$V$17,MONTH($C1173))&amp;" "&amp;YEAR($C1173))</f>
        <v/>
      </c>
      <c r="N1173" s="57">
        <f>IF($F1173="","",IF(COUNTIF(Постоянные!$C$8:$C$37,$F1173)&gt;0,"есть в Постоянных",IF(COUNTIF(Покупки!$C$7:$C$18,$F1173)&gt;0,"есть в Покупках","")))</f>
        <v/>
      </c>
      <c r="P1173">
        <f>IF($H1173&lt;&gt;"",$H1173,IF($I1173="Оплачено",N($G1173),0))</f>
        <v/>
      </c>
      <c r="Q1173">
        <f>IF($I1173="Отменено",0,IF($G1173&lt;&gt;"",$G1173,N($H1173)))</f>
        <v/>
      </c>
      <c r="R1173">
        <f>IF($C1173="","",IFERROR(DATE(Настройки!$C$8,Настройки!$D$9+MATCH($M1173,Настройки!$X$6:$X$17,0)-1,1),DATE(YEAR($C1173),MONTH($C1173),1)))</f>
        <v/>
      </c>
      <c r="S1173">
        <f>IF(OR($I1173="Оплачено",$H1173&lt;&gt;""),$P1173,$Q1173)</f>
        <v/>
      </c>
      <c r="T1173">
        <f>IF(OR($C1173="",$D1173="Доход",$I1173="Оплачено",$I1173="Отменено",$H1173&lt;&gt;"",$C1173&lt;TODAY()),"",$C1173)</f>
        <v/>
      </c>
      <c r="U1173">
        <f>IF(AND($D1173&lt;&gt;"Доход",COUNTIFS(Счета!$B$10:$B$21,$J1173,Счета!$C$10:$C$21,"Кредитная")&gt;0),1,0)</f>
        <v/>
      </c>
    </row>
    <row r="1174" ht="19" customHeight="1">
      <c r="B1174" s="53">
        <f>IF(AND($C1174="",$F1174=""),"",ROW()-9)</f>
        <v/>
      </c>
      <c r="C1174" s="213" t="n"/>
      <c r="D1174" s="55" t="n"/>
      <c r="E1174" s="55" t="n"/>
      <c r="F1174" s="56" t="n"/>
      <c r="G1174" s="196" t="n"/>
      <c r="H1174" s="196" t="n"/>
      <c r="I1174" s="55" t="n"/>
      <c r="J1174" s="55" t="n"/>
      <c r="K1174" s="55" t="n"/>
      <c r="L1174" s="100">
        <f>IF(OR($C1174="",$I1174="Оплачено",$I1174="Отменено",$H1174&lt;&gt;""),"",$C1174-TODAY())</f>
        <v/>
      </c>
      <c r="M1174" s="101">
        <f>IF($C1174="","",INDEX(Настройки!$V$6:$V$17,MONTH($C1174))&amp;" "&amp;YEAR($C1174))</f>
        <v/>
      </c>
      <c r="N1174" s="57">
        <f>IF($F1174="","",IF(COUNTIF(Постоянные!$C$8:$C$37,$F1174)&gt;0,"есть в Постоянных",IF(COUNTIF(Покупки!$C$7:$C$18,$F1174)&gt;0,"есть в Покупках","")))</f>
        <v/>
      </c>
      <c r="P1174">
        <f>IF($H1174&lt;&gt;"",$H1174,IF($I1174="Оплачено",N($G1174),0))</f>
        <v/>
      </c>
      <c r="Q1174">
        <f>IF($I1174="Отменено",0,IF($G1174&lt;&gt;"",$G1174,N($H1174)))</f>
        <v/>
      </c>
      <c r="R1174">
        <f>IF($C1174="","",IFERROR(DATE(Настройки!$C$8,Настройки!$D$9+MATCH($M1174,Настройки!$X$6:$X$17,0)-1,1),DATE(YEAR($C1174),MONTH($C1174),1)))</f>
        <v/>
      </c>
      <c r="S1174">
        <f>IF(OR($I1174="Оплачено",$H1174&lt;&gt;""),$P1174,$Q1174)</f>
        <v/>
      </c>
      <c r="T1174">
        <f>IF(OR($C1174="",$D1174="Доход",$I1174="Оплачено",$I1174="Отменено",$H1174&lt;&gt;"",$C1174&lt;TODAY()),"",$C1174)</f>
        <v/>
      </c>
      <c r="U1174">
        <f>IF(AND($D1174&lt;&gt;"Доход",COUNTIFS(Счета!$B$10:$B$21,$J1174,Счета!$C$10:$C$21,"Кредитная")&gt;0),1,0)</f>
        <v/>
      </c>
    </row>
    <row r="1175" ht="19" customHeight="1">
      <c r="B1175" s="53">
        <f>IF(AND($C1175="",$F1175=""),"",ROW()-9)</f>
        <v/>
      </c>
      <c r="C1175" s="213" t="n"/>
      <c r="D1175" s="55" t="n"/>
      <c r="E1175" s="55" t="n"/>
      <c r="F1175" s="56" t="n"/>
      <c r="G1175" s="196" t="n"/>
      <c r="H1175" s="196" t="n"/>
      <c r="I1175" s="55" t="n"/>
      <c r="J1175" s="55" t="n"/>
      <c r="K1175" s="55" t="n"/>
      <c r="L1175" s="100">
        <f>IF(OR($C1175="",$I1175="Оплачено",$I1175="Отменено",$H1175&lt;&gt;""),"",$C1175-TODAY())</f>
        <v/>
      </c>
      <c r="M1175" s="101">
        <f>IF($C1175="","",INDEX(Настройки!$V$6:$V$17,MONTH($C1175))&amp;" "&amp;YEAR($C1175))</f>
        <v/>
      </c>
      <c r="N1175" s="57">
        <f>IF($F1175="","",IF(COUNTIF(Постоянные!$C$8:$C$37,$F1175)&gt;0,"есть в Постоянных",IF(COUNTIF(Покупки!$C$7:$C$18,$F1175)&gt;0,"есть в Покупках","")))</f>
        <v/>
      </c>
      <c r="P1175">
        <f>IF($H1175&lt;&gt;"",$H1175,IF($I1175="Оплачено",N($G1175),0))</f>
        <v/>
      </c>
      <c r="Q1175">
        <f>IF($I1175="Отменено",0,IF($G1175&lt;&gt;"",$G1175,N($H1175)))</f>
        <v/>
      </c>
      <c r="R1175">
        <f>IF($C1175="","",IFERROR(DATE(Настройки!$C$8,Настройки!$D$9+MATCH($M1175,Настройки!$X$6:$X$17,0)-1,1),DATE(YEAR($C1175),MONTH($C1175),1)))</f>
        <v/>
      </c>
      <c r="S1175">
        <f>IF(OR($I1175="Оплачено",$H1175&lt;&gt;""),$P1175,$Q1175)</f>
        <v/>
      </c>
      <c r="T1175">
        <f>IF(OR($C1175="",$D1175="Доход",$I1175="Оплачено",$I1175="Отменено",$H1175&lt;&gt;"",$C1175&lt;TODAY()),"",$C1175)</f>
        <v/>
      </c>
      <c r="U1175">
        <f>IF(AND($D1175&lt;&gt;"Доход",COUNTIFS(Счета!$B$10:$B$21,$J1175,Счета!$C$10:$C$21,"Кредитная")&gt;0),1,0)</f>
        <v/>
      </c>
    </row>
    <row r="1176" ht="19" customHeight="1">
      <c r="B1176" s="53">
        <f>IF(AND($C1176="",$F1176=""),"",ROW()-9)</f>
        <v/>
      </c>
      <c r="C1176" s="213" t="n"/>
      <c r="D1176" s="55" t="n"/>
      <c r="E1176" s="55" t="n"/>
      <c r="F1176" s="56" t="n"/>
      <c r="G1176" s="196" t="n"/>
      <c r="H1176" s="196" t="n"/>
      <c r="I1176" s="55" t="n"/>
      <c r="J1176" s="55" t="n"/>
      <c r="K1176" s="55" t="n"/>
      <c r="L1176" s="100">
        <f>IF(OR($C1176="",$I1176="Оплачено",$I1176="Отменено",$H1176&lt;&gt;""),"",$C1176-TODAY())</f>
        <v/>
      </c>
      <c r="M1176" s="101">
        <f>IF($C1176="","",INDEX(Настройки!$V$6:$V$17,MONTH($C1176))&amp;" "&amp;YEAR($C1176))</f>
        <v/>
      </c>
      <c r="N1176" s="57">
        <f>IF($F1176="","",IF(COUNTIF(Постоянные!$C$8:$C$37,$F1176)&gt;0,"есть в Постоянных",IF(COUNTIF(Покупки!$C$7:$C$18,$F1176)&gt;0,"есть в Покупках","")))</f>
        <v/>
      </c>
      <c r="P1176">
        <f>IF($H1176&lt;&gt;"",$H1176,IF($I1176="Оплачено",N($G1176),0))</f>
        <v/>
      </c>
      <c r="Q1176">
        <f>IF($I1176="Отменено",0,IF($G1176&lt;&gt;"",$G1176,N($H1176)))</f>
        <v/>
      </c>
      <c r="R1176">
        <f>IF($C1176="","",IFERROR(DATE(Настройки!$C$8,Настройки!$D$9+MATCH($M1176,Настройки!$X$6:$X$17,0)-1,1),DATE(YEAR($C1176),MONTH($C1176),1)))</f>
        <v/>
      </c>
      <c r="S1176">
        <f>IF(OR($I1176="Оплачено",$H1176&lt;&gt;""),$P1176,$Q1176)</f>
        <v/>
      </c>
      <c r="T1176">
        <f>IF(OR($C1176="",$D1176="Доход",$I1176="Оплачено",$I1176="Отменено",$H1176&lt;&gt;"",$C1176&lt;TODAY()),"",$C1176)</f>
        <v/>
      </c>
      <c r="U1176">
        <f>IF(AND($D1176&lt;&gt;"Доход",COUNTIFS(Счета!$B$10:$B$21,$J1176,Счета!$C$10:$C$21,"Кредитная")&gt;0),1,0)</f>
        <v/>
      </c>
    </row>
    <row r="1177" ht="19" customHeight="1">
      <c r="B1177" s="53">
        <f>IF(AND($C1177="",$F1177=""),"",ROW()-9)</f>
        <v/>
      </c>
      <c r="C1177" s="213" t="n"/>
      <c r="D1177" s="55" t="n"/>
      <c r="E1177" s="55" t="n"/>
      <c r="F1177" s="56" t="n"/>
      <c r="G1177" s="196" t="n"/>
      <c r="H1177" s="196" t="n"/>
      <c r="I1177" s="55" t="n"/>
      <c r="J1177" s="55" t="n"/>
      <c r="K1177" s="55" t="n"/>
      <c r="L1177" s="100">
        <f>IF(OR($C1177="",$I1177="Оплачено",$I1177="Отменено",$H1177&lt;&gt;""),"",$C1177-TODAY())</f>
        <v/>
      </c>
      <c r="M1177" s="101">
        <f>IF($C1177="","",INDEX(Настройки!$V$6:$V$17,MONTH($C1177))&amp;" "&amp;YEAR($C1177))</f>
        <v/>
      </c>
      <c r="N1177" s="57">
        <f>IF($F1177="","",IF(COUNTIF(Постоянные!$C$8:$C$37,$F1177)&gt;0,"есть в Постоянных",IF(COUNTIF(Покупки!$C$7:$C$18,$F1177)&gt;0,"есть в Покупках","")))</f>
        <v/>
      </c>
      <c r="P1177">
        <f>IF($H1177&lt;&gt;"",$H1177,IF($I1177="Оплачено",N($G1177),0))</f>
        <v/>
      </c>
      <c r="Q1177">
        <f>IF($I1177="Отменено",0,IF($G1177&lt;&gt;"",$G1177,N($H1177)))</f>
        <v/>
      </c>
      <c r="R1177">
        <f>IF($C1177="","",IFERROR(DATE(Настройки!$C$8,Настройки!$D$9+MATCH($M1177,Настройки!$X$6:$X$17,0)-1,1),DATE(YEAR($C1177),MONTH($C1177),1)))</f>
        <v/>
      </c>
      <c r="S1177">
        <f>IF(OR($I1177="Оплачено",$H1177&lt;&gt;""),$P1177,$Q1177)</f>
        <v/>
      </c>
      <c r="T1177">
        <f>IF(OR($C1177="",$D1177="Доход",$I1177="Оплачено",$I1177="Отменено",$H1177&lt;&gt;"",$C1177&lt;TODAY()),"",$C1177)</f>
        <v/>
      </c>
      <c r="U1177">
        <f>IF(AND($D1177&lt;&gt;"Доход",COUNTIFS(Счета!$B$10:$B$21,$J1177,Счета!$C$10:$C$21,"Кредитная")&gt;0),1,0)</f>
        <v/>
      </c>
    </row>
    <row r="1178" ht="19" customHeight="1">
      <c r="B1178" s="53">
        <f>IF(AND($C1178="",$F1178=""),"",ROW()-9)</f>
        <v/>
      </c>
      <c r="C1178" s="213" t="n"/>
      <c r="D1178" s="55" t="n"/>
      <c r="E1178" s="55" t="n"/>
      <c r="F1178" s="56" t="n"/>
      <c r="G1178" s="196" t="n"/>
      <c r="H1178" s="196" t="n"/>
      <c r="I1178" s="55" t="n"/>
      <c r="J1178" s="55" t="n"/>
      <c r="K1178" s="55" t="n"/>
      <c r="L1178" s="100">
        <f>IF(OR($C1178="",$I1178="Оплачено",$I1178="Отменено",$H1178&lt;&gt;""),"",$C1178-TODAY())</f>
        <v/>
      </c>
      <c r="M1178" s="101">
        <f>IF($C1178="","",INDEX(Настройки!$V$6:$V$17,MONTH($C1178))&amp;" "&amp;YEAR($C1178))</f>
        <v/>
      </c>
      <c r="N1178" s="57">
        <f>IF($F1178="","",IF(COUNTIF(Постоянные!$C$8:$C$37,$F1178)&gt;0,"есть в Постоянных",IF(COUNTIF(Покупки!$C$7:$C$18,$F1178)&gt;0,"есть в Покупках","")))</f>
        <v/>
      </c>
      <c r="P1178">
        <f>IF($H1178&lt;&gt;"",$H1178,IF($I1178="Оплачено",N($G1178),0))</f>
        <v/>
      </c>
      <c r="Q1178">
        <f>IF($I1178="Отменено",0,IF($G1178&lt;&gt;"",$G1178,N($H1178)))</f>
        <v/>
      </c>
      <c r="R1178">
        <f>IF($C1178="","",IFERROR(DATE(Настройки!$C$8,Настройки!$D$9+MATCH($M1178,Настройки!$X$6:$X$17,0)-1,1),DATE(YEAR($C1178),MONTH($C1178),1)))</f>
        <v/>
      </c>
      <c r="S1178">
        <f>IF(OR($I1178="Оплачено",$H1178&lt;&gt;""),$P1178,$Q1178)</f>
        <v/>
      </c>
      <c r="T1178">
        <f>IF(OR($C1178="",$D1178="Доход",$I1178="Оплачено",$I1178="Отменено",$H1178&lt;&gt;"",$C1178&lt;TODAY()),"",$C1178)</f>
        <v/>
      </c>
      <c r="U1178">
        <f>IF(AND($D1178&lt;&gt;"Доход",COUNTIFS(Счета!$B$10:$B$21,$J1178,Счета!$C$10:$C$21,"Кредитная")&gt;0),1,0)</f>
        <v/>
      </c>
    </row>
    <row r="1179" ht="19" customHeight="1">
      <c r="B1179" s="53">
        <f>IF(AND($C1179="",$F1179=""),"",ROW()-9)</f>
        <v/>
      </c>
      <c r="C1179" s="213" t="n"/>
      <c r="D1179" s="55" t="n"/>
      <c r="E1179" s="55" t="n"/>
      <c r="F1179" s="56" t="n"/>
      <c r="G1179" s="196" t="n"/>
      <c r="H1179" s="196" t="n"/>
      <c r="I1179" s="55" t="n"/>
      <c r="J1179" s="55" t="n"/>
      <c r="K1179" s="55" t="n"/>
      <c r="L1179" s="100">
        <f>IF(OR($C1179="",$I1179="Оплачено",$I1179="Отменено",$H1179&lt;&gt;""),"",$C1179-TODAY())</f>
        <v/>
      </c>
      <c r="M1179" s="101">
        <f>IF($C1179="","",INDEX(Настройки!$V$6:$V$17,MONTH($C1179))&amp;" "&amp;YEAR($C1179))</f>
        <v/>
      </c>
      <c r="N1179" s="57">
        <f>IF($F1179="","",IF(COUNTIF(Постоянные!$C$8:$C$37,$F1179)&gt;0,"есть в Постоянных",IF(COUNTIF(Покупки!$C$7:$C$18,$F1179)&gt;0,"есть в Покупках","")))</f>
        <v/>
      </c>
      <c r="P1179">
        <f>IF($H1179&lt;&gt;"",$H1179,IF($I1179="Оплачено",N($G1179),0))</f>
        <v/>
      </c>
      <c r="Q1179">
        <f>IF($I1179="Отменено",0,IF($G1179&lt;&gt;"",$G1179,N($H1179)))</f>
        <v/>
      </c>
      <c r="R1179">
        <f>IF($C1179="","",IFERROR(DATE(Настройки!$C$8,Настройки!$D$9+MATCH($M1179,Настройки!$X$6:$X$17,0)-1,1),DATE(YEAR($C1179),MONTH($C1179),1)))</f>
        <v/>
      </c>
      <c r="S1179">
        <f>IF(OR($I1179="Оплачено",$H1179&lt;&gt;""),$P1179,$Q1179)</f>
        <v/>
      </c>
      <c r="T1179">
        <f>IF(OR($C1179="",$D1179="Доход",$I1179="Оплачено",$I1179="Отменено",$H1179&lt;&gt;"",$C1179&lt;TODAY()),"",$C1179)</f>
        <v/>
      </c>
      <c r="U1179">
        <f>IF(AND($D1179&lt;&gt;"Доход",COUNTIFS(Счета!$B$10:$B$21,$J1179,Счета!$C$10:$C$21,"Кредитная")&gt;0),1,0)</f>
        <v/>
      </c>
    </row>
    <row r="1180" ht="19" customHeight="1">
      <c r="B1180" s="53">
        <f>IF(AND($C1180="",$F1180=""),"",ROW()-9)</f>
        <v/>
      </c>
      <c r="C1180" s="213" t="n"/>
      <c r="D1180" s="55" t="n"/>
      <c r="E1180" s="55" t="n"/>
      <c r="F1180" s="56" t="n"/>
      <c r="G1180" s="196" t="n"/>
      <c r="H1180" s="196" t="n"/>
      <c r="I1180" s="55" t="n"/>
      <c r="J1180" s="55" t="n"/>
      <c r="K1180" s="55" t="n"/>
      <c r="L1180" s="100">
        <f>IF(OR($C1180="",$I1180="Оплачено",$I1180="Отменено",$H1180&lt;&gt;""),"",$C1180-TODAY())</f>
        <v/>
      </c>
      <c r="M1180" s="101">
        <f>IF($C1180="","",INDEX(Настройки!$V$6:$V$17,MONTH($C1180))&amp;" "&amp;YEAR($C1180))</f>
        <v/>
      </c>
      <c r="N1180" s="57">
        <f>IF($F1180="","",IF(COUNTIF(Постоянные!$C$8:$C$37,$F1180)&gt;0,"есть в Постоянных",IF(COUNTIF(Покупки!$C$7:$C$18,$F1180)&gt;0,"есть в Покупках","")))</f>
        <v/>
      </c>
      <c r="P1180">
        <f>IF($H1180&lt;&gt;"",$H1180,IF($I1180="Оплачено",N($G1180),0))</f>
        <v/>
      </c>
      <c r="Q1180">
        <f>IF($I1180="Отменено",0,IF($G1180&lt;&gt;"",$G1180,N($H1180)))</f>
        <v/>
      </c>
      <c r="R1180">
        <f>IF($C1180="","",IFERROR(DATE(Настройки!$C$8,Настройки!$D$9+MATCH($M1180,Настройки!$X$6:$X$17,0)-1,1),DATE(YEAR($C1180),MONTH($C1180),1)))</f>
        <v/>
      </c>
      <c r="S1180">
        <f>IF(OR($I1180="Оплачено",$H1180&lt;&gt;""),$P1180,$Q1180)</f>
        <v/>
      </c>
      <c r="T1180">
        <f>IF(OR($C1180="",$D1180="Доход",$I1180="Оплачено",$I1180="Отменено",$H1180&lt;&gt;"",$C1180&lt;TODAY()),"",$C1180)</f>
        <v/>
      </c>
      <c r="U1180">
        <f>IF(AND($D1180&lt;&gt;"Доход",COUNTIFS(Счета!$B$10:$B$21,$J1180,Счета!$C$10:$C$21,"Кредитная")&gt;0),1,0)</f>
        <v/>
      </c>
    </row>
    <row r="1181" ht="19" customHeight="1">
      <c r="B1181" s="53">
        <f>IF(AND($C1181="",$F1181=""),"",ROW()-9)</f>
        <v/>
      </c>
      <c r="C1181" s="213" t="n"/>
      <c r="D1181" s="55" t="n"/>
      <c r="E1181" s="55" t="n"/>
      <c r="F1181" s="56" t="n"/>
      <c r="G1181" s="196" t="n"/>
      <c r="H1181" s="196" t="n"/>
      <c r="I1181" s="55" t="n"/>
      <c r="J1181" s="55" t="n"/>
      <c r="K1181" s="55" t="n"/>
      <c r="L1181" s="100">
        <f>IF(OR($C1181="",$I1181="Оплачено",$I1181="Отменено",$H1181&lt;&gt;""),"",$C1181-TODAY())</f>
        <v/>
      </c>
      <c r="M1181" s="101">
        <f>IF($C1181="","",INDEX(Настройки!$V$6:$V$17,MONTH($C1181))&amp;" "&amp;YEAR($C1181))</f>
        <v/>
      </c>
      <c r="N1181" s="57">
        <f>IF($F1181="","",IF(COUNTIF(Постоянные!$C$8:$C$37,$F1181)&gt;0,"есть в Постоянных",IF(COUNTIF(Покупки!$C$7:$C$18,$F1181)&gt;0,"есть в Покупках","")))</f>
        <v/>
      </c>
      <c r="P1181">
        <f>IF($H1181&lt;&gt;"",$H1181,IF($I1181="Оплачено",N($G1181),0))</f>
        <v/>
      </c>
      <c r="Q1181">
        <f>IF($I1181="Отменено",0,IF($G1181&lt;&gt;"",$G1181,N($H1181)))</f>
        <v/>
      </c>
      <c r="R1181">
        <f>IF($C1181="","",IFERROR(DATE(Настройки!$C$8,Настройки!$D$9+MATCH($M1181,Настройки!$X$6:$X$17,0)-1,1),DATE(YEAR($C1181),MONTH($C1181),1)))</f>
        <v/>
      </c>
      <c r="S1181">
        <f>IF(OR($I1181="Оплачено",$H1181&lt;&gt;""),$P1181,$Q1181)</f>
        <v/>
      </c>
      <c r="T1181">
        <f>IF(OR($C1181="",$D1181="Доход",$I1181="Оплачено",$I1181="Отменено",$H1181&lt;&gt;"",$C1181&lt;TODAY()),"",$C1181)</f>
        <v/>
      </c>
      <c r="U1181">
        <f>IF(AND($D1181&lt;&gt;"Доход",COUNTIFS(Счета!$B$10:$B$21,$J1181,Счета!$C$10:$C$21,"Кредитная")&gt;0),1,0)</f>
        <v/>
      </c>
    </row>
    <row r="1182" ht="19" customHeight="1">
      <c r="B1182" s="53">
        <f>IF(AND($C1182="",$F1182=""),"",ROW()-9)</f>
        <v/>
      </c>
      <c r="C1182" s="213" t="n"/>
      <c r="D1182" s="55" t="n"/>
      <c r="E1182" s="55" t="n"/>
      <c r="F1182" s="56" t="n"/>
      <c r="G1182" s="196" t="n"/>
      <c r="H1182" s="196" t="n"/>
      <c r="I1182" s="55" t="n"/>
      <c r="J1182" s="55" t="n"/>
      <c r="K1182" s="55" t="n"/>
      <c r="L1182" s="100">
        <f>IF(OR($C1182="",$I1182="Оплачено",$I1182="Отменено",$H1182&lt;&gt;""),"",$C1182-TODAY())</f>
        <v/>
      </c>
      <c r="M1182" s="101">
        <f>IF($C1182="","",INDEX(Настройки!$V$6:$V$17,MONTH($C1182))&amp;" "&amp;YEAR($C1182))</f>
        <v/>
      </c>
      <c r="N1182" s="57">
        <f>IF($F1182="","",IF(COUNTIF(Постоянные!$C$8:$C$37,$F1182)&gt;0,"есть в Постоянных",IF(COUNTIF(Покупки!$C$7:$C$18,$F1182)&gt;0,"есть в Покупках","")))</f>
        <v/>
      </c>
      <c r="P1182">
        <f>IF($H1182&lt;&gt;"",$H1182,IF($I1182="Оплачено",N($G1182),0))</f>
        <v/>
      </c>
      <c r="Q1182">
        <f>IF($I1182="Отменено",0,IF($G1182&lt;&gt;"",$G1182,N($H1182)))</f>
        <v/>
      </c>
      <c r="R1182">
        <f>IF($C1182="","",IFERROR(DATE(Настройки!$C$8,Настройки!$D$9+MATCH($M1182,Настройки!$X$6:$X$17,0)-1,1),DATE(YEAR($C1182),MONTH($C1182),1)))</f>
        <v/>
      </c>
      <c r="S1182">
        <f>IF(OR($I1182="Оплачено",$H1182&lt;&gt;""),$P1182,$Q1182)</f>
        <v/>
      </c>
      <c r="T1182">
        <f>IF(OR($C1182="",$D1182="Доход",$I1182="Оплачено",$I1182="Отменено",$H1182&lt;&gt;"",$C1182&lt;TODAY()),"",$C1182)</f>
        <v/>
      </c>
      <c r="U1182">
        <f>IF(AND($D1182&lt;&gt;"Доход",COUNTIFS(Счета!$B$10:$B$21,$J1182,Счета!$C$10:$C$21,"Кредитная")&gt;0),1,0)</f>
        <v/>
      </c>
    </row>
    <row r="1183" ht="19" customHeight="1">
      <c r="B1183" s="53">
        <f>IF(AND($C1183="",$F1183=""),"",ROW()-9)</f>
        <v/>
      </c>
      <c r="C1183" s="213" t="n"/>
      <c r="D1183" s="55" t="n"/>
      <c r="E1183" s="55" t="n"/>
      <c r="F1183" s="56" t="n"/>
      <c r="G1183" s="196" t="n"/>
      <c r="H1183" s="196" t="n"/>
      <c r="I1183" s="55" t="n"/>
      <c r="J1183" s="55" t="n"/>
      <c r="K1183" s="55" t="n"/>
      <c r="L1183" s="100">
        <f>IF(OR($C1183="",$I1183="Оплачено",$I1183="Отменено",$H1183&lt;&gt;""),"",$C1183-TODAY())</f>
        <v/>
      </c>
      <c r="M1183" s="101">
        <f>IF($C1183="","",INDEX(Настройки!$V$6:$V$17,MONTH($C1183))&amp;" "&amp;YEAR($C1183))</f>
        <v/>
      </c>
      <c r="N1183" s="57">
        <f>IF($F1183="","",IF(COUNTIF(Постоянные!$C$8:$C$37,$F1183)&gt;0,"есть в Постоянных",IF(COUNTIF(Покупки!$C$7:$C$18,$F1183)&gt;0,"есть в Покупках","")))</f>
        <v/>
      </c>
      <c r="P1183">
        <f>IF($H1183&lt;&gt;"",$H1183,IF($I1183="Оплачено",N($G1183),0))</f>
        <v/>
      </c>
      <c r="Q1183">
        <f>IF($I1183="Отменено",0,IF($G1183&lt;&gt;"",$G1183,N($H1183)))</f>
        <v/>
      </c>
      <c r="R1183">
        <f>IF($C1183="","",IFERROR(DATE(Настройки!$C$8,Настройки!$D$9+MATCH($M1183,Настройки!$X$6:$X$17,0)-1,1),DATE(YEAR($C1183),MONTH($C1183),1)))</f>
        <v/>
      </c>
      <c r="S1183">
        <f>IF(OR($I1183="Оплачено",$H1183&lt;&gt;""),$P1183,$Q1183)</f>
        <v/>
      </c>
      <c r="T1183">
        <f>IF(OR($C1183="",$D1183="Доход",$I1183="Оплачено",$I1183="Отменено",$H1183&lt;&gt;"",$C1183&lt;TODAY()),"",$C1183)</f>
        <v/>
      </c>
      <c r="U1183">
        <f>IF(AND($D1183&lt;&gt;"Доход",COUNTIFS(Счета!$B$10:$B$21,$J1183,Счета!$C$10:$C$21,"Кредитная")&gt;0),1,0)</f>
        <v/>
      </c>
    </row>
    <row r="1184" ht="19" customHeight="1">
      <c r="B1184" s="53">
        <f>IF(AND($C1184="",$F1184=""),"",ROW()-9)</f>
        <v/>
      </c>
      <c r="C1184" s="213" t="n"/>
      <c r="D1184" s="55" t="n"/>
      <c r="E1184" s="55" t="n"/>
      <c r="F1184" s="56" t="n"/>
      <c r="G1184" s="196" t="n"/>
      <c r="H1184" s="196" t="n"/>
      <c r="I1184" s="55" t="n"/>
      <c r="J1184" s="55" t="n"/>
      <c r="K1184" s="55" t="n"/>
      <c r="L1184" s="100">
        <f>IF(OR($C1184="",$I1184="Оплачено",$I1184="Отменено",$H1184&lt;&gt;""),"",$C1184-TODAY())</f>
        <v/>
      </c>
      <c r="M1184" s="101">
        <f>IF($C1184="","",INDEX(Настройки!$V$6:$V$17,MONTH($C1184))&amp;" "&amp;YEAR($C1184))</f>
        <v/>
      </c>
      <c r="N1184" s="57">
        <f>IF($F1184="","",IF(COUNTIF(Постоянные!$C$8:$C$37,$F1184)&gt;0,"есть в Постоянных",IF(COUNTIF(Покупки!$C$7:$C$18,$F1184)&gt;0,"есть в Покупках","")))</f>
        <v/>
      </c>
      <c r="P1184">
        <f>IF($H1184&lt;&gt;"",$H1184,IF($I1184="Оплачено",N($G1184),0))</f>
        <v/>
      </c>
      <c r="Q1184">
        <f>IF($I1184="Отменено",0,IF($G1184&lt;&gt;"",$G1184,N($H1184)))</f>
        <v/>
      </c>
      <c r="R1184">
        <f>IF($C1184="","",IFERROR(DATE(Настройки!$C$8,Настройки!$D$9+MATCH($M1184,Настройки!$X$6:$X$17,0)-1,1),DATE(YEAR($C1184),MONTH($C1184),1)))</f>
        <v/>
      </c>
      <c r="S1184">
        <f>IF(OR($I1184="Оплачено",$H1184&lt;&gt;""),$P1184,$Q1184)</f>
        <v/>
      </c>
      <c r="T1184">
        <f>IF(OR($C1184="",$D1184="Доход",$I1184="Оплачено",$I1184="Отменено",$H1184&lt;&gt;"",$C1184&lt;TODAY()),"",$C1184)</f>
        <v/>
      </c>
      <c r="U1184">
        <f>IF(AND($D1184&lt;&gt;"Доход",COUNTIFS(Счета!$B$10:$B$21,$J1184,Счета!$C$10:$C$21,"Кредитная")&gt;0),1,0)</f>
        <v/>
      </c>
    </row>
    <row r="1185" ht="19" customHeight="1">
      <c r="B1185" s="53">
        <f>IF(AND($C1185="",$F1185=""),"",ROW()-9)</f>
        <v/>
      </c>
      <c r="C1185" s="213" t="n"/>
      <c r="D1185" s="55" t="n"/>
      <c r="E1185" s="55" t="n"/>
      <c r="F1185" s="56" t="n"/>
      <c r="G1185" s="196" t="n"/>
      <c r="H1185" s="196" t="n"/>
      <c r="I1185" s="55" t="n"/>
      <c r="J1185" s="55" t="n"/>
      <c r="K1185" s="55" t="n"/>
      <c r="L1185" s="100">
        <f>IF(OR($C1185="",$I1185="Оплачено",$I1185="Отменено",$H1185&lt;&gt;""),"",$C1185-TODAY())</f>
        <v/>
      </c>
      <c r="M1185" s="101">
        <f>IF($C1185="","",INDEX(Настройки!$V$6:$V$17,MONTH($C1185))&amp;" "&amp;YEAR($C1185))</f>
        <v/>
      </c>
      <c r="N1185" s="57">
        <f>IF($F1185="","",IF(COUNTIF(Постоянные!$C$8:$C$37,$F1185)&gt;0,"есть в Постоянных",IF(COUNTIF(Покупки!$C$7:$C$18,$F1185)&gt;0,"есть в Покупках","")))</f>
        <v/>
      </c>
      <c r="P1185">
        <f>IF($H1185&lt;&gt;"",$H1185,IF($I1185="Оплачено",N($G1185),0))</f>
        <v/>
      </c>
      <c r="Q1185">
        <f>IF($I1185="Отменено",0,IF($G1185&lt;&gt;"",$G1185,N($H1185)))</f>
        <v/>
      </c>
      <c r="R1185">
        <f>IF($C1185="","",IFERROR(DATE(Настройки!$C$8,Настройки!$D$9+MATCH($M1185,Настройки!$X$6:$X$17,0)-1,1),DATE(YEAR($C1185),MONTH($C1185),1)))</f>
        <v/>
      </c>
      <c r="S1185">
        <f>IF(OR($I1185="Оплачено",$H1185&lt;&gt;""),$P1185,$Q1185)</f>
        <v/>
      </c>
      <c r="T1185">
        <f>IF(OR($C1185="",$D1185="Доход",$I1185="Оплачено",$I1185="Отменено",$H1185&lt;&gt;"",$C1185&lt;TODAY()),"",$C1185)</f>
        <v/>
      </c>
      <c r="U1185">
        <f>IF(AND($D1185&lt;&gt;"Доход",COUNTIFS(Счета!$B$10:$B$21,$J1185,Счета!$C$10:$C$21,"Кредитная")&gt;0),1,0)</f>
        <v/>
      </c>
    </row>
    <row r="1186" ht="19" customHeight="1">
      <c r="B1186" s="53">
        <f>IF(AND($C1186="",$F1186=""),"",ROW()-9)</f>
        <v/>
      </c>
      <c r="C1186" s="213" t="n"/>
      <c r="D1186" s="55" t="n"/>
      <c r="E1186" s="55" t="n"/>
      <c r="F1186" s="56" t="n"/>
      <c r="G1186" s="196" t="n"/>
      <c r="H1186" s="196" t="n"/>
      <c r="I1186" s="55" t="n"/>
      <c r="J1186" s="55" t="n"/>
      <c r="K1186" s="55" t="n"/>
      <c r="L1186" s="100">
        <f>IF(OR($C1186="",$I1186="Оплачено",$I1186="Отменено",$H1186&lt;&gt;""),"",$C1186-TODAY())</f>
        <v/>
      </c>
      <c r="M1186" s="101">
        <f>IF($C1186="","",INDEX(Настройки!$V$6:$V$17,MONTH($C1186))&amp;" "&amp;YEAR($C1186))</f>
        <v/>
      </c>
      <c r="N1186" s="57">
        <f>IF($F1186="","",IF(COUNTIF(Постоянные!$C$8:$C$37,$F1186)&gt;0,"есть в Постоянных",IF(COUNTIF(Покупки!$C$7:$C$18,$F1186)&gt;0,"есть в Покупках","")))</f>
        <v/>
      </c>
      <c r="P1186">
        <f>IF($H1186&lt;&gt;"",$H1186,IF($I1186="Оплачено",N($G1186),0))</f>
        <v/>
      </c>
      <c r="Q1186">
        <f>IF($I1186="Отменено",0,IF($G1186&lt;&gt;"",$G1186,N($H1186)))</f>
        <v/>
      </c>
      <c r="R1186">
        <f>IF($C1186="","",IFERROR(DATE(Настройки!$C$8,Настройки!$D$9+MATCH($M1186,Настройки!$X$6:$X$17,0)-1,1),DATE(YEAR($C1186),MONTH($C1186),1)))</f>
        <v/>
      </c>
      <c r="S1186">
        <f>IF(OR($I1186="Оплачено",$H1186&lt;&gt;""),$P1186,$Q1186)</f>
        <v/>
      </c>
      <c r="T1186">
        <f>IF(OR($C1186="",$D1186="Доход",$I1186="Оплачено",$I1186="Отменено",$H1186&lt;&gt;"",$C1186&lt;TODAY()),"",$C1186)</f>
        <v/>
      </c>
      <c r="U1186">
        <f>IF(AND($D1186&lt;&gt;"Доход",COUNTIFS(Счета!$B$10:$B$21,$J1186,Счета!$C$10:$C$21,"Кредитная")&gt;0),1,0)</f>
        <v/>
      </c>
    </row>
    <row r="1187" ht="19" customHeight="1">
      <c r="B1187" s="53">
        <f>IF(AND($C1187="",$F1187=""),"",ROW()-9)</f>
        <v/>
      </c>
      <c r="C1187" s="213" t="n"/>
      <c r="D1187" s="55" t="n"/>
      <c r="E1187" s="55" t="n"/>
      <c r="F1187" s="56" t="n"/>
      <c r="G1187" s="196" t="n"/>
      <c r="H1187" s="196" t="n"/>
      <c r="I1187" s="55" t="n"/>
      <c r="J1187" s="55" t="n"/>
      <c r="K1187" s="55" t="n"/>
      <c r="L1187" s="100">
        <f>IF(OR($C1187="",$I1187="Оплачено",$I1187="Отменено",$H1187&lt;&gt;""),"",$C1187-TODAY())</f>
        <v/>
      </c>
      <c r="M1187" s="101">
        <f>IF($C1187="","",INDEX(Настройки!$V$6:$V$17,MONTH($C1187))&amp;" "&amp;YEAR($C1187))</f>
        <v/>
      </c>
      <c r="N1187" s="57">
        <f>IF($F1187="","",IF(COUNTIF(Постоянные!$C$8:$C$37,$F1187)&gt;0,"есть в Постоянных",IF(COUNTIF(Покупки!$C$7:$C$18,$F1187)&gt;0,"есть в Покупках","")))</f>
        <v/>
      </c>
      <c r="P1187">
        <f>IF($H1187&lt;&gt;"",$H1187,IF($I1187="Оплачено",N($G1187),0))</f>
        <v/>
      </c>
      <c r="Q1187">
        <f>IF($I1187="Отменено",0,IF($G1187&lt;&gt;"",$G1187,N($H1187)))</f>
        <v/>
      </c>
      <c r="R1187">
        <f>IF($C1187="","",IFERROR(DATE(Настройки!$C$8,Настройки!$D$9+MATCH($M1187,Настройки!$X$6:$X$17,0)-1,1),DATE(YEAR($C1187),MONTH($C1187),1)))</f>
        <v/>
      </c>
      <c r="S1187">
        <f>IF(OR($I1187="Оплачено",$H1187&lt;&gt;""),$P1187,$Q1187)</f>
        <v/>
      </c>
      <c r="T1187">
        <f>IF(OR($C1187="",$D1187="Доход",$I1187="Оплачено",$I1187="Отменено",$H1187&lt;&gt;"",$C1187&lt;TODAY()),"",$C1187)</f>
        <v/>
      </c>
      <c r="U1187">
        <f>IF(AND($D1187&lt;&gt;"Доход",COUNTIFS(Счета!$B$10:$B$21,$J1187,Счета!$C$10:$C$21,"Кредитная")&gt;0),1,0)</f>
        <v/>
      </c>
    </row>
    <row r="1188" ht="19" customHeight="1">
      <c r="B1188" s="53">
        <f>IF(AND($C1188="",$F1188=""),"",ROW()-9)</f>
        <v/>
      </c>
      <c r="C1188" s="213" t="n"/>
      <c r="D1188" s="55" t="n"/>
      <c r="E1188" s="55" t="n"/>
      <c r="F1188" s="56" t="n"/>
      <c r="G1188" s="196" t="n"/>
      <c r="H1188" s="196" t="n"/>
      <c r="I1188" s="55" t="n"/>
      <c r="J1188" s="55" t="n"/>
      <c r="K1188" s="55" t="n"/>
      <c r="L1188" s="100">
        <f>IF(OR($C1188="",$I1188="Оплачено",$I1188="Отменено",$H1188&lt;&gt;""),"",$C1188-TODAY())</f>
        <v/>
      </c>
      <c r="M1188" s="101">
        <f>IF($C1188="","",INDEX(Настройки!$V$6:$V$17,MONTH($C1188))&amp;" "&amp;YEAR($C1188))</f>
        <v/>
      </c>
      <c r="N1188" s="57">
        <f>IF($F1188="","",IF(COUNTIF(Постоянные!$C$8:$C$37,$F1188)&gt;0,"есть в Постоянных",IF(COUNTIF(Покупки!$C$7:$C$18,$F1188)&gt;0,"есть в Покупках","")))</f>
        <v/>
      </c>
      <c r="P1188">
        <f>IF($H1188&lt;&gt;"",$H1188,IF($I1188="Оплачено",N($G1188),0))</f>
        <v/>
      </c>
      <c r="Q1188">
        <f>IF($I1188="Отменено",0,IF($G1188&lt;&gt;"",$G1188,N($H1188)))</f>
        <v/>
      </c>
      <c r="R1188">
        <f>IF($C1188="","",IFERROR(DATE(Настройки!$C$8,Настройки!$D$9+MATCH($M1188,Настройки!$X$6:$X$17,0)-1,1),DATE(YEAR($C1188),MONTH($C1188),1)))</f>
        <v/>
      </c>
      <c r="S1188">
        <f>IF(OR($I1188="Оплачено",$H1188&lt;&gt;""),$P1188,$Q1188)</f>
        <v/>
      </c>
      <c r="T1188">
        <f>IF(OR($C1188="",$D1188="Доход",$I1188="Оплачено",$I1188="Отменено",$H1188&lt;&gt;"",$C1188&lt;TODAY()),"",$C1188)</f>
        <v/>
      </c>
      <c r="U1188">
        <f>IF(AND($D1188&lt;&gt;"Доход",COUNTIFS(Счета!$B$10:$B$21,$J1188,Счета!$C$10:$C$21,"Кредитная")&gt;0),1,0)</f>
        <v/>
      </c>
    </row>
    <row r="1189" ht="19" customHeight="1">
      <c r="B1189" s="53">
        <f>IF(AND($C1189="",$F1189=""),"",ROW()-9)</f>
        <v/>
      </c>
      <c r="C1189" s="213" t="n"/>
      <c r="D1189" s="55" t="n"/>
      <c r="E1189" s="55" t="n"/>
      <c r="F1189" s="56" t="n"/>
      <c r="G1189" s="196" t="n"/>
      <c r="H1189" s="196" t="n"/>
      <c r="I1189" s="55" t="n"/>
      <c r="J1189" s="55" t="n"/>
      <c r="K1189" s="55" t="n"/>
      <c r="L1189" s="100">
        <f>IF(OR($C1189="",$I1189="Оплачено",$I1189="Отменено",$H1189&lt;&gt;""),"",$C1189-TODAY())</f>
        <v/>
      </c>
      <c r="M1189" s="101">
        <f>IF($C1189="","",INDEX(Настройки!$V$6:$V$17,MONTH($C1189))&amp;" "&amp;YEAR($C1189))</f>
        <v/>
      </c>
      <c r="N1189" s="57">
        <f>IF($F1189="","",IF(COUNTIF(Постоянные!$C$8:$C$37,$F1189)&gt;0,"есть в Постоянных",IF(COUNTIF(Покупки!$C$7:$C$18,$F1189)&gt;0,"есть в Покупках","")))</f>
        <v/>
      </c>
      <c r="P1189">
        <f>IF($H1189&lt;&gt;"",$H1189,IF($I1189="Оплачено",N($G1189),0))</f>
        <v/>
      </c>
      <c r="Q1189">
        <f>IF($I1189="Отменено",0,IF($G1189&lt;&gt;"",$G1189,N($H1189)))</f>
        <v/>
      </c>
      <c r="R1189">
        <f>IF($C1189="","",IFERROR(DATE(Настройки!$C$8,Настройки!$D$9+MATCH($M1189,Настройки!$X$6:$X$17,0)-1,1),DATE(YEAR($C1189),MONTH($C1189),1)))</f>
        <v/>
      </c>
      <c r="S1189">
        <f>IF(OR($I1189="Оплачено",$H1189&lt;&gt;""),$P1189,$Q1189)</f>
        <v/>
      </c>
      <c r="T1189">
        <f>IF(OR($C1189="",$D1189="Доход",$I1189="Оплачено",$I1189="Отменено",$H1189&lt;&gt;"",$C1189&lt;TODAY()),"",$C1189)</f>
        <v/>
      </c>
      <c r="U1189">
        <f>IF(AND($D1189&lt;&gt;"Доход",COUNTIFS(Счета!$B$10:$B$21,$J1189,Счета!$C$10:$C$21,"Кредитная")&gt;0),1,0)</f>
        <v/>
      </c>
    </row>
    <row r="1190" ht="19" customHeight="1">
      <c r="B1190" s="53">
        <f>IF(AND($C1190="",$F1190=""),"",ROW()-9)</f>
        <v/>
      </c>
      <c r="C1190" s="213" t="n"/>
      <c r="D1190" s="55" t="n"/>
      <c r="E1190" s="55" t="n"/>
      <c r="F1190" s="56" t="n"/>
      <c r="G1190" s="196" t="n"/>
      <c r="H1190" s="196" t="n"/>
      <c r="I1190" s="55" t="n"/>
      <c r="J1190" s="55" t="n"/>
      <c r="K1190" s="55" t="n"/>
      <c r="L1190" s="100">
        <f>IF(OR($C1190="",$I1190="Оплачено",$I1190="Отменено",$H1190&lt;&gt;""),"",$C1190-TODAY())</f>
        <v/>
      </c>
      <c r="M1190" s="101">
        <f>IF($C1190="","",INDEX(Настройки!$V$6:$V$17,MONTH($C1190))&amp;" "&amp;YEAR($C1190))</f>
        <v/>
      </c>
      <c r="N1190" s="57">
        <f>IF($F1190="","",IF(COUNTIF(Постоянные!$C$8:$C$37,$F1190)&gt;0,"есть в Постоянных",IF(COUNTIF(Покупки!$C$7:$C$18,$F1190)&gt;0,"есть в Покупках","")))</f>
        <v/>
      </c>
      <c r="P1190">
        <f>IF($H1190&lt;&gt;"",$H1190,IF($I1190="Оплачено",N($G1190),0))</f>
        <v/>
      </c>
      <c r="Q1190">
        <f>IF($I1190="Отменено",0,IF($G1190&lt;&gt;"",$G1190,N($H1190)))</f>
        <v/>
      </c>
      <c r="R1190">
        <f>IF($C1190="","",IFERROR(DATE(Настройки!$C$8,Настройки!$D$9+MATCH($M1190,Настройки!$X$6:$X$17,0)-1,1),DATE(YEAR($C1190),MONTH($C1190),1)))</f>
        <v/>
      </c>
      <c r="S1190">
        <f>IF(OR($I1190="Оплачено",$H1190&lt;&gt;""),$P1190,$Q1190)</f>
        <v/>
      </c>
      <c r="T1190">
        <f>IF(OR($C1190="",$D1190="Доход",$I1190="Оплачено",$I1190="Отменено",$H1190&lt;&gt;"",$C1190&lt;TODAY()),"",$C1190)</f>
        <v/>
      </c>
      <c r="U1190">
        <f>IF(AND($D1190&lt;&gt;"Доход",COUNTIFS(Счета!$B$10:$B$21,$J1190,Счета!$C$10:$C$21,"Кредитная")&gt;0),1,0)</f>
        <v/>
      </c>
    </row>
    <row r="1191" ht="19" customHeight="1">
      <c r="B1191" s="53">
        <f>IF(AND($C1191="",$F1191=""),"",ROW()-9)</f>
        <v/>
      </c>
      <c r="C1191" s="213" t="n"/>
      <c r="D1191" s="55" t="n"/>
      <c r="E1191" s="55" t="n"/>
      <c r="F1191" s="56" t="n"/>
      <c r="G1191" s="196" t="n"/>
      <c r="H1191" s="196" t="n"/>
      <c r="I1191" s="55" t="n"/>
      <c r="J1191" s="55" t="n"/>
      <c r="K1191" s="55" t="n"/>
      <c r="L1191" s="100">
        <f>IF(OR($C1191="",$I1191="Оплачено",$I1191="Отменено",$H1191&lt;&gt;""),"",$C1191-TODAY())</f>
        <v/>
      </c>
      <c r="M1191" s="101">
        <f>IF($C1191="","",INDEX(Настройки!$V$6:$V$17,MONTH($C1191))&amp;" "&amp;YEAR($C1191))</f>
        <v/>
      </c>
      <c r="N1191" s="57">
        <f>IF($F1191="","",IF(COUNTIF(Постоянные!$C$8:$C$37,$F1191)&gt;0,"есть в Постоянных",IF(COUNTIF(Покупки!$C$7:$C$18,$F1191)&gt;0,"есть в Покупках","")))</f>
        <v/>
      </c>
      <c r="P1191">
        <f>IF($H1191&lt;&gt;"",$H1191,IF($I1191="Оплачено",N($G1191),0))</f>
        <v/>
      </c>
      <c r="Q1191">
        <f>IF($I1191="Отменено",0,IF($G1191&lt;&gt;"",$G1191,N($H1191)))</f>
        <v/>
      </c>
      <c r="R1191">
        <f>IF($C1191="","",IFERROR(DATE(Настройки!$C$8,Настройки!$D$9+MATCH($M1191,Настройки!$X$6:$X$17,0)-1,1),DATE(YEAR($C1191),MONTH($C1191),1)))</f>
        <v/>
      </c>
      <c r="S1191">
        <f>IF(OR($I1191="Оплачено",$H1191&lt;&gt;""),$P1191,$Q1191)</f>
        <v/>
      </c>
      <c r="T1191">
        <f>IF(OR($C1191="",$D1191="Доход",$I1191="Оплачено",$I1191="Отменено",$H1191&lt;&gt;"",$C1191&lt;TODAY()),"",$C1191)</f>
        <v/>
      </c>
      <c r="U1191">
        <f>IF(AND($D1191&lt;&gt;"Доход",COUNTIFS(Счета!$B$10:$B$21,$J1191,Счета!$C$10:$C$21,"Кредитная")&gt;0),1,0)</f>
        <v/>
      </c>
    </row>
    <row r="1192" ht="19" customHeight="1">
      <c r="B1192" s="53">
        <f>IF(AND($C1192="",$F1192=""),"",ROW()-9)</f>
        <v/>
      </c>
      <c r="C1192" s="213" t="n"/>
      <c r="D1192" s="55" t="n"/>
      <c r="E1192" s="55" t="n"/>
      <c r="F1192" s="56" t="n"/>
      <c r="G1192" s="196" t="n"/>
      <c r="H1192" s="196" t="n"/>
      <c r="I1192" s="55" t="n"/>
      <c r="J1192" s="55" t="n"/>
      <c r="K1192" s="55" t="n"/>
      <c r="L1192" s="100">
        <f>IF(OR($C1192="",$I1192="Оплачено",$I1192="Отменено",$H1192&lt;&gt;""),"",$C1192-TODAY())</f>
        <v/>
      </c>
      <c r="M1192" s="101">
        <f>IF($C1192="","",INDEX(Настройки!$V$6:$V$17,MONTH($C1192))&amp;" "&amp;YEAR($C1192))</f>
        <v/>
      </c>
      <c r="N1192" s="57">
        <f>IF($F1192="","",IF(COUNTIF(Постоянные!$C$8:$C$37,$F1192)&gt;0,"есть в Постоянных",IF(COUNTIF(Покупки!$C$7:$C$18,$F1192)&gt;0,"есть в Покупках","")))</f>
        <v/>
      </c>
      <c r="P1192">
        <f>IF($H1192&lt;&gt;"",$H1192,IF($I1192="Оплачено",N($G1192),0))</f>
        <v/>
      </c>
      <c r="Q1192">
        <f>IF($I1192="Отменено",0,IF($G1192&lt;&gt;"",$G1192,N($H1192)))</f>
        <v/>
      </c>
      <c r="R1192">
        <f>IF($C1192="","",IFERROR(DATE(Настройки!$C$8,Настройки!$D$9+MATCH($M1192,Настройки!$X$6:$X$17,0)-1,1),DATE(YEAR($C1192),MONTH($C1192),1)))</f>
        <v/>
      </c>
      <c r="S1192">
        <f>IF(OR($I1192="Оплачено",$H1192&lt;&gt;""),$P1192,$Q1192)</f>
        <v/>
      </c>
      <c r="T1192">
        <f>IF(OR($C1192="",$D1192="Доход",$I1192="Оплачено",$I1192="Отменено",$H1192&lt;&gt;"",$C1192&lt;TODAY()),"",$C1192)</f>
        <v/>
      </c>
      <c r="U1192">
        <f>IF(AND($D1192&lt;&gt;"Доход",COUNTIFS(Счета!$B$10:$B$21,$J1192,Счета!$C$10:$C$21,"Кредитная")&gt;0),1,0)</f>
        <v/>
      </c>
    </row>
    <row r="1193" ht="19" customHeight="1">
      <c r="B1193" s="53">
        <f>IF(AND($C1193="",$F1193=""),"",ROW()-9)</f>
        <v/>
      </c>
      <c r="C1193" s="213" t="n"/>
      <c r="D1193" s="55" t="n"/>
      <c r="E1193" s="55" t="n"/>
      <c r="F1193" s="56" t="n"/>
      <c r="G1193" s="196" t="n"/>
      <c r="H1193" s="196" t="n"/>
      <c r="I1193" s="55" t="n"/>
      <c r="J1193" s="55" t="n"/>
      <c r="K1193" s="55" t="n"/>
      <c r="L1193" s="100">
        <f>IF(OR($C1193="",$I1193="Оплачено",$I1193="Отменено",$H1193&lt;&gt;""),"",$C1193-TODAY())</f>
        <v/>
      </c>
      <c r="M1193" s="101">
        <f>IF($C1193="","",INDEX(Настройки!$V$6:$V$17,MONTH($C1193))&amp;" "&amp;YEAR($C1193))</f>
        <v/>
      </c>
      <c r="N1193" s="57">
        <f>IF($F1193="","",IF(COUNTIF(Постоянные!$C$8:$C$37,$F1193)&gt;0,"есть в Постоянных",IF(COUNTIF(Покупки!$C$7:$C$18,$F1193)&gt;0,"есть в Покупках","")))</f>
        <v/>
      </c>
      <c r="P1193">
        <f>IF($H1193&lt;&gt;"",$H1193,IF($I1193="Оплачено",N($G1193),0))</f>
        <v/>
      </c>
      <c r="Q1193">
        <f>IF($I1193="Отменено",0,IF($G1193&lt;&gt;"",$G1193,N($H1193)))</f>
        <v/>
      </c>
      <c r="R1193">
        <f>IF($C1193="","",IFERROR(DATE(Настройки!$C$8,Настройки!$D$9+MATCH($M1193,Настройки!$X$6:$X$17,0)-1,1),DATE(YEAR($C1193),MONTH($C1193),1)))</f>
        <v/>
      </c>
      <c r="S1193">
        <f>IF(OR($I1193="Оплачено",$H1193&lt;&gt;""),$P1193,$Q1193)</f>
        <v/>
      </c>
      <c r="T1193">
        <f>IF(OR($C1193="",$D1193="Доход",$I1193="Оплачено",$I1193="Отменено",$H1193&lt;&gt;"",$C1193&lt;TODAY()),"",$C1193)</f>
        <v/>
      </c>
      <c r="U1193">
        <f>IF(AND($D1193&lt;&gt;"Доход",COUNTIFS(Счета!$B$10:$B$21,$J1193,Счета!$C$10:$C$21,"Кредитная")&gt;0),1,0)</f>
        <v/>
      </c>
    </row>
    <row r="1194" ht="19" customHeight="1">
      <c r="B1194" s="53">
        <f>IF(AND($C1194="",$F1194=""),"",ROW()-9)</f>
        <v/>
      </c>
      <c r="C1194" s="213" t="n"/>
      <c r="D1194" s="55" t="n"/>
      <c r="E1194" s="55" t="n"/>
      <c r="F1194" s="56" t="n"/>
      <c r="G1194" s="196" t="n"/>
      <c r="H1194" s="196" t="n"/>
      <c r="I1194" s="55" t="n"/>
      <c r="J1194" s="55" t="n"/>
      <c r="K1194" s="55" t="n"/>
      <c r="L1194" s="100">
        <f>IF(OR($C1194="",$I1194="Оплачено",$I1194="Отменено",$H1194&lt;&gt;""),"",$C1194-TODAY())</f>
        <v/>
      </c>
      <c r="M1194" s="101">
        <f>IF($C1194="","",INDEX(Настройки!$V$6:$V$17,MONTH($C1194))&amp;" "&amp;YEAR($C1194))</f>
        <v/>
      </c>
      <c r="N1194" s="57">
        <f>IF($F1194="","",IF(COUNTIF(Постоянные!$C$8:$C$37,$F1194)&gt;0,"есть в Постоянных",IF(COUNTIF(Покупки!$C$7:$C$18,$F1194)&gt;0,"есть в Покупках","")))</f>
        <v/>
      </c>
      <c r="P1194">
        <f>IF($H1194&lt;&gt;"",$H1194,IF($I1194="Оплачено",N($G1194),0))</f>
        <v/>
      </c>
      <c r="Q1194">
        <f>IF($I1194="Отменено",0,IF($G1194&lt;&gt;"",$G1194,N($H1194)))</f>
        <v/>
      </c>
      <c r="R1194">
        <f>IF($C1194="","",IFERROR(DATE(Настройки!$C$8,Настройки!$D$9+MATCH($M1194,Настройки!$X$6:$X$17,0)-1,1),DATE(YEAR($C1194),MONTH($C1194),1)))</f>
        <v/>
      </c>
      <c r="S1194">
        <f>IF(OR($I1194="Оплачено",$H1194&lt;&gt;""),$P1194,$Q1194)</f>
        <v/>
      </c>
      <c r="T1194">
        <f>IF(OR($C1194="",$D1194="Доход",$I1194="Оплачено",$I1194="Отменено",$H1194&lt;&gt;"",$C1194&lt;TODAY()),"",$C1194)</f>
        <v/>
      </c>
      <c r="U1194">
        <f>IF(AND($D1194&lt;&gt;"Доход",COUNTIFS(Счета!$B$10:$B$21,$J1194,Счета!$C$10:$C$21,"Кредитная")&gt;0),1,0)</f>
        <v/>
      </c>
    </row>
    <row r="1195" ht="19" customHeight="1">
      <c r="B1195" s="53">
        <f>IF(AND($C1195="",$F1195=""),"",ROW()-9)</f>
        <v/>
      </c>
      <c r="C1195" s="213" t="n"/>
      <c r="D1195" s="55" t="n"/>
      <c r="E1195" s="55" t="n"/>
      <c r="F1195" s="56" t="n"/>
      <c r="G1195" s="196" t="n"/>
      <c r="H1195" s="196" t="n"/>
      <c r="I1195" s="55" t="n"/>
      <c r="J1195" s="55" t="n"/>
      <c r="K1195" s="55" t="n"/>
      <c r="L1195" s="100">
        <f>IF(OR($C1195="",$I1195="Оплачено",$I1195="Отменено",$H1195&lt;&gt;""),"",$C1195-TODAY())</f>
        <v/>
      </c>
      <c r="M1195" s="101">
        <f>IF($C1195="","",INDEX(Настройки!$V$6:$V$17,MONTH($C1195))&amp;" "&amp;YEAR($C1195))</f>
        <v/>
      </c>
      <c r="N1195" s="57">
        <f>IF($F1195="","",IF(COUNTIF(Постоянные!$C$8:$C$37,$F1195)&gt;0,"есть в Постоянных",IF(COUNTIF(Покупки!$C$7:$C$18,$F1195)&gt;0,"есть в Покупках","")))</f>
        <v/>
      </c>
      <c r="P1195">
        <f>IF($H1195&lt;&gt;"",$H1195,IF($I1195="Оплачено",N($G1195),0))</f>
        <v/>
      </c>
      <c r="Q1195">
        <f>IF($I1195="Отменено",0,IF($G1195&lt;&gt;"",$G1195,N($H1195)))</f>
        <v/>
      </c>
      <c r="R1195">
        <f>IF($C1195="","",IFERROR(DATE(Настройки!$C$8,Настройки!$D$9+MATCH($M1195,Настройки!$X$6:$X$17,0)-1,1),DATE(YEAR($C1195),MONTH($C1195),1)))</f>
        <v/>
      </c>
      <c r="S1195">
        <f>IF(OR($I1195="Оплачено",$H1195&lt;&gt;""),$P1195,$Q1195)</f>
        <v/>
      </c>
      <c r="T1195">
        <f>IF(OR($C1195="",$D1195="Доход",$I1195="Оплачено",$I1195="Отменено",$H1195&lt;&gt;"",$C1195&lt;TODAY()),"",$C1195)</f>
        <v/>
      </c>
      <c r="U1195">
        <f>IF(AND($D1195&lt;&gt;"Доход",COUNTIFS(Счета!$B$10:$B$21,$J1195,Счета!$C$10:$C$21,"Кредитная")&gt;0),1,0)</f>
        <v/>
      </c>
    </row>
    <row r="1196" ht="19" customHeight="1">
      <c r="B1196" s="53">
        <f>IF(AND($C1196="",$F1196=""),"",ROW()-9)</f>
        <v/>
      </c>
      <c r="C1196" s="213" t="n"/>
      <c r="D1196" s="55" t="n"/>
      <c r="E1196" s="55" t="n"/>
      <c r="F1196" s="56" t="n"/>
      <c r="G1196" s="196" t="n"/>
      <c r="H1196" s="196" t="n"/>
      <c r="I1196" s="55" t="n"/>
      <c r="J1196" s="55" t="n"/>
      <c r="K1196" s="55" t="n"/>
      <c r="L1196" s="100">
        <f>IF(OR($C1196="",$I1196="Оплачено",$I1196="Отменено",$H1196&lt;&gt;""),"",$C1196-TODAY())</f>
        <v/>
      </c>
      <c r="M1196" s="101">
        <f>IF($C1196="","",INDEX(Настройки!$V$6:$V$17,MONTH($C1196))&amp;" "&amp;YEAR($C1196))</f>
        <v/>
      </c>
      <c r="N1196" s="57">
        <f>IF($F1196="","",IF(COUNTIF(Постоянные!$C$8:$C$37,$F1196)&gt;0,"есть в Постоянных",IF(COUNTIF(Покупки!$C$7:$C$18,$F1196)&gt;0,"есть в Покупках","")))</f>
        <v/>
      </c>
      <c r="P1196">
        <f>IF($H1196&lt;&gt;"",$H1196,IF($I1196="Оплачено",N($G1196),0))</f>
        <v/>
      </c>
      <c r="Q1196">
        <f>IF($I1196="Отменено",0,IF($G1196&lt;&gt;"",$G1196,N($H1196)))</f>
        <v/>
      </c>
      <c r="R1196">
        <f>IF($C1196="","",IFERROR(DATE(Настройки!$C$8,Настройки!$D$9+MATCH($M1196,Настройки!$X$6:$X$17,0)-1,1),DATE(YEAR($C1196),MONTH($C1196),1)))</f>
        <v/>
      </c>
      <c r="S1196">
        <f>IF(OR($I1196="Оплачено",$H1196&lt;&gt;""),$P1196,$Q1196)</f>
        <v/>
      </c>
      <c r="T1196">
        <f>IF(OR($C1196="",$D1196="Доход",$I1196="Оплачено",$I1196="Отменено",$H1196&lt;&gt;"",$C1196&lt;TODAY()),"",$C1196)</f>
        <v/>
      </c>
      <c r="U1196">
        <f>IF(AND($D1196&lt;&gt;"Доход",COUNTIFS(Счета!$B$10:$B$21,$J1196,Счета!$C$10:$C$21,"Кредитная")&gt;0),1,0)</f>
        <v/>
      </c>
    </row>
    <row r="1197" ht="19" customHeight="1">
      <c r="B1197" s="53">
        <f>IF(AND($C1197="",$F1197=""),"",ROW()-9)</f>
        <v/>
      </c>
      <c r="C1197" s="213" t="n"/>
      <c r="D1197" s="55" t="n"/>
      <c r="E1197" s="55" t="n"/>
      <c r="F1197" s="56" t="n"/>
      <c r="G1197" s="196" t="n"/>
      <c r="H1197" s="196" t="n"/>
      <c r="I1197" s="55" t="n"/>
      <c r="J1197" s="55" t="n"/>
      <c r="K1197" s="55" t="n"/>
      <c r="L1197" s="100">
        <f>IF(OR($C1197="",$I1197="Оплачено",$I1197="Отменено",$H1197&lt;&gt;""),"",$C1197-TODAY())</f>
        <v/>
      </c>
      <c r="M1197" s="101">
        <f>IF($C1197="","",INDEX(Настройки!$V$6:$V$17,MONTH($C1197))&amp;" "&amp;YEAR($C1197))</f>
        <v/>
      </c>
      <c r="N1197" s="57">
        <f>IF($F1197="","",IF(COUNTIF(Постоянные!$C$8:$C$37,$F1197)&gt;0,"есть в Постоянных",IF(COUNTIF(Покупки!$C$7:$C$18,$F1197)&gt;0,"есть в Покупках","")))</f>
        <v/>
      </c>
      <c r="P1197">
        <f>IF($H1197&lt;&gt;"",$H1197,IF($I1197="Оплачено",N($G1197),0))</f>
        <v/>
      </c>
      <c r="Q1197">
        <f>IF($I1197="Отменено",0,IF($G1197&lt;&gt;"",$G1197,N($H1197)))</f>
        <v/>
      </c>
      <c r="R1197">
        <f>IF($C1197="","",IFERROR(DATE(Настройки!$C$8,Настройки!$D$9+MATCH($M1197,Настройки!$X$6:$X$17,0)-1,1),DATE(YEAR($C1197),MONTH($C1197),1)))</f>
        <v/>
      </c>
      <c r="S1197">
        <f>IF(OR($I1197="Оплачено",$H1197&lt;&gt;""),$P1197,$Q1197)</f>
        <v/>
      </c>
      <c r="T1197">
        <f>IF(OR($C1197="",$D1197="Доход",$I1197="Оплачено",$I1197="Отменено",$H1197&lt;&gt;"",$C1197&lt;TODAY()),"",$C1197)</f>
        <v/>
      </c>
      <c r="U1197">
        <f>IF(AND($D1197&lt;&gt;"Доход",COUNTIFS(Счета!$B$10:$B$21,$J1197,Счета!$C$10:$C$21,"Кредитная")&gt;0),1,0)</f>
        <v/>
      </c>
    </row>
    <row r="1198" ht="19" customHeight="1">
      <c r="B1198" s="53">
        <f>IF(AND($C1198="",$F1198=""),"",ROW()-9)</f>
        <v/>
      </c>
      <c r="C1198" s="213" t="n"/>
      <c r="D1198" s="55" t="n"/>
      <c r="E1198" s="55" t="n"/>
      <c r="F1198" s="56" t="n"/>
      <c r="G1198" s="196" t="n"/>
      <c r="H1198" s="196" t="n"/>
      <c r="I1198" s="55" t="n"/>
      <c r="J1198" s="55" t="n"/>
      <c r="K1198" s="55" t="n"/>
      <c r="L1198" s="100">
        <f>IF(OR($C1198="",$I1198="Оплачено",$I1198="Отменено",$H1198&lt;&gt;""),"",$C1198-TODAY())</f>
        <v/>
      </c>
      <c r="M1198" s="101">
        <f>IF($C1198="","",INDEX(Настройки!$V$6:$V$17,MONTH($C1198))&amp;" "&amp;YEAR($C1198))</f>
        <v/>
      </c>
      <c r="N1198" s="57">
        <f>IF($F1198="","",IF(COUNTIF(Постоянные!$C$8:$C$37,$F1198)&gt;0,"есть в Постоянных",IF(COUNTIF(Покупки!$C$7:$C$18,$F1198)&gt;0,"есть в Покупках","")))</f>
        <v/>
      </c>
      <c r="P1198">
        <f>IF($H1198&lt;&gt;"",$H1198,IF($I1198="Оплачено",N($G1198),0))</f>
        <v/>
      </c>
      <c r="Q1198">
        <f>IF($I1198="Отменено",0,IF($G1198&lt;&gt;"",$G1198,N($H1198)))</f>
        <v/>
      </c>
      <c r="R1198">
        <f>IF($C1198="","",IFERROR(DATE(Настройки!$C$8,Настройки!$D$9+MATCH($M1198,Настройки!$X$6:$X$17,0)-1,1),DATE(YEAR($C1198),MONTH($C1198),1)))</f>
        <v/>
      </c>
      <c r="S1198">
        <f>IF(OR($I1198="Оплачено",$H1198&lt;&gt;""),$P1198,$Q1198)</f>
        <v/>
      </c>
      <c r="T1198">
        <f>IF(OR($C1198="",$D1198="Доход",$I1198="Оплачено",$I1198="Отменено",$H1198&lt;&gt;"",$C1198&lt;TODAY()),"",$C1198)</f>
        <v/>
      </c>
      <c r="U1198">
        <f>IF(AND($D1198&lt;&gt;"Доход",COUNTIFS(Счета!$B$10:$B$21,$J1198,Счета!$C$10:$C$21,"Кредитная")&gt;0),1,0)</f>
        <v/>
      </c>
    </row>
    <row r="1199" ht="19" customHeight="1">
      <c r="B1199" s="53">
        <f>IF(AND($C1199="",$F1199=""),"",ROW()-9)</f>
        <v/>
      </c>
      <c r="C1199" s="213" t="n"/>
      <c r="D1199" s="55" t="n"/>
      <c r="E1199" s="55" t="n"/>
      <c r="F1199" s="56" t="n"/>
      <c r="G1199" s="196" t="n"/>
      <c r="H1199" s="196" t="n"/>
      <c r="I1199" s="55" t="n"/>
      <c r="J1199" s="55" t="n"/>
      <c r="K1199" s="55" t="n"/>
      <c r="L1199" s="100">
        <f>IF(OR($C1199="",$I1199="Оплачено",$I1199="Отменено",$H1199&lt;&gt;""),"",$C1199-TODAY())</f>
        <v/>
      </c>
      <c r="M1199" s="101">
        <f>IF($C1199="","",INDEX(Настройки!$V$6:$V$17,MONTH($C1199))&amp;" "&amp;YEAR($C1199))</f>
        <v/>
      </c>
      <c r="N1199" s="57">
        <f>IF($F1199="","",IF(COUNTIF(Постоянные!$C$8:$C$37,$F1199)&gt;0,"есть в Постоянных",IF(COUNTIF(Покупки!$C$7:$C$18,$F1199)&gt;0,"есть в Покупках","")))</f>
        <v/>
      </c>
      <c r="P1199">
        <f>IF($H1199&lt;&gt;"",$H1199,IF($I1199="Оплачено",N($G1199),0))</f>
        <v/>
      </c>
      <c r="Q1199">
        <f>IF($I1199="Отменено",0,IF($G1199&lt;&gt;"",$G1199,N($H1199)))</f>
        <v/>
      </c>
      <c r="R1199">
        <f>IF($C1199="","",IFERROR(DATE(Настройки!$C$8,Настройки!$D$9+MATCH($M1199,Настройки!$X$6:$X$17,0)-1,1),DATE(YEAR($C1199),MONTH($C1199),1)))</f>
        <v/>
      </c>
      <c r="S1199">
        <f>IF(OR($I1199="Оплачено",$H1199&lt;&gt;""),$P1199,$Q1199)</f>
        <v/>
      </c>
      <c r="T1199">
        <f>IF(OR($C1199="",$D1199="Доход",$I1199="Оплачено",$I1199="Отменено",$H1199&lt;&gt;"",$C1199&lt;TODAY()),"",$C1199)</f>
        <v/>
      </c>
      <c r="U1199">
        <f>IF(AND($D1199&lt;&gt;"Доход",COUNTIFS(Счета!$B$10:$B$21,$J1199,Счета!$C$10:$C$21,"Кредитная")&gt;0),1,0)</f>
        <v/>
      </c>
    </row>
    <row r="1200" ht="19" customHeight="1">
      <c r="B1200" s="53">
        <f>IF(AND($C1200="",$F1200=""),"",ROW()-9)</f>
        <v/>
      </c>
      <c r="C1200" s="213" t="n"/>
      <c r="D1200" s="55" t="n"/>
      <c r="E1200" s="55" t="n"/>
      <c r="F1200" s="56" t="n"/>
      <c r="G1200" s="196" t="n"/>
      <c r="H1200" s="196" t="n"/>
      <c r="I1200" s="55" t="n"/>
      <c r="J1200" s="55" t="n"/>
      <c r="K1200" s="55" t="n"/>
      <c r="L1200" s="100">
        <f>IF(OR($C1200="",$I1200="Оплачено",$I1200="Отменено",$H1200&lt;&gt;""),"",$C1200-TODAY())</f>
        <v/>
      </c>
      <c r="M1200" s="101">
        <f>IF($C1200="","",INDEX(Настройки!$V$6:$V$17,MONTH($C1200))&amp;" "&amp;YEAR($C1200))</f>
        <v/>
      </c>
      <c r="N1200" s="57">
        <f>IF($F1200="","",IF(COUNTIF(Постоянные!$C$8:$C$37,$F1200)&gt;0,"есть в Постоянных",IF(COUNTIF(Покупки!$C$7:$C$18,$F1200)&gt;0,"есть в Покупках","")))</f>
        <v/>
      </c>
      <c r="P1200">
        <f>IF($H1200&lt;&gt;"",$H1200,IF($I1200="Оплачено",N($G1200),0))</f>
        <v/>
      </c>
      <c r="Q1200">
        <f>IF($I1200="Отменено",0,IF($G1200&lt;&gt;"",$G1200,N($H1200)))</f>
        <v/>
      </c>
      <c r="R1200">
        <f>IF($C1200="","",IFERROR(DATE(Настройки!$C$8,Настройки!$D$9+MATCH($M1200,Настройки!$X$6:$X$17,0)-1,1),DATE(YEAR($C1200),MONTH($C1200),1)))</f>
        <v/>
      </c>
      <c r="S1200">
        <f>IF(OR($I1200="Оплачено",$H1200&lt;&gt;""),$P1200,$Q1200)</f>
        <v/>
      </c>
      <c r="T1200">
        <f>IF(OR($C1200="",$D1200="Доход",$I1200="Оплачено",$I1200="Отменено",$H1200&lt;&gt;"",$C1200&lt;TODAY()),"",$C1200)</f>
        <v/>
      </c>
      <c r="U1200">
        <f>IF(AND($D1200&lt;&gt;"Доход",COUNTIFS(Счета!$B$10:$B$21,$J1200,Счета!$C$10:$C$21,"Кредитная")&gt;0),1,0)</f>
        <v/>
      </c>
    </row>
    <row r="1201" ht="19" customHeight="1">
      <c r="B1201" s="53">
        <f>IF(AND($C1201="",$F1201=""),"",ROW()-9)</f>
        <v/>
      </c>
      <c r="C1201" s="213" t="n"/>
      <c r="D1201" s="55" t="n"/>
      <c r="E1201" s="55" t="n"/>
      <c r="F1201" s="56" t="n"/>
      <c r="G1201" s="196" t="n"/>
      <c r="H1201" s="196" t="n"/>
      <c r="I1201" s="55" t="n"/>
      <c r="J1201" s="55" t="n"/>
      <c r="K1201" s="55" t="n"/>
      <c r="L1201" s="100">
        <f>IF(OR($C1201="",$I1201="Оплачено",$I1201="Отменено",$H1201&lt;&gt;""),"",$C1201-TODAY())</f>
        <v/>
      </c>
      <c r="M1201" s="101">
        <f>IF($C1201="","",INDEX(Настройки!$V$6:$V$17,MONTH($C1201))&amp;" "&amp;YEAR($C1201))</f>
        <v/>
      </c>
      <c r="N1201" s="57">
        <f>IF($F1201="","",IF(COUNTIF(Постоянные!$C$8:$C$37,$F1201)&gt;0,"есть в Постоянных",IF(COUNTIF(Покупки!$C$7:$C$18,$F1201)&gt;0,"есть в Покупках","")))</f>
        <v/>
      </c>
      <c r="P1201">
        <f>IF($H1201&lt;&gt;"",$H1201,IF($I1201="Оплачено",N($G1201),0))</f>
        <v/>
      </c>
      <c r="Q1201">
        <f>IF($I1201="Отменено",0,IF($G1201&lt;&gt;"",$G1201,N($H1201)))</f>
        <v/>
      </c>
      <c r="R1201">
        <f>IF($C1201="","",IFERROR(DATE(Настройки!$C$8,Настройки!$D$9+MATCH($M1201,Настройки!$X$6:$X$17,0)-1,1),DATE(YEAR($C1201),MONTH($C1201),1)))</f>
        <v/>
      </c>
      <c r="S1201">
        <f>IF(OR($I1201="Оплачено",$H1201&lt;&gt;""),$P1201,$Q1201)</f>
        <v/>
      </c>
      <c r="T1201">
        <f>IF(OR($C1201="",$D1201="Доход",$I1201="Оплачено",$I1201="Отменено",$H1201&lt;&gt;"",$C1201&lt;TODAY()),"",$C1201)</f>
        <v/>
      </c>
      <c r="U1201">
        <f>IF(AND($D1201&lt;&gt;"Доход",COUNTIFS(Счета!$B$10:$B$21,$J1201,Счета!$C$10:$C$21,"Кредитная")&gt;0),1,0)</f>
        <v/>
      </c>
    </row>
    <row r="1202" ht="19" customHeight="1">
      <c r="B1202" s="53">
        <f>IF(AND($C1202="",$F1202=""),"",ROW()-9)</f>
        <v/>
      </c>
      <c r="C1202" s="213" t="n"/>
      <c r="D1202" s="55" t="n"/>
      <c r="E1202" s="55" t="n"/>
      <c r="F1202" s="56" t="n"/>
      <c r="G1202" s="196" t="n"/>
      <c r="H1202" s="196" t="n"/>
      <c r="I1202" s="55" t="n"/>
      <c r="J1202" s="55" t="n"/>
      <c r="K1202" s="55" t="n"/>
      <c r="L1202" s="100">
        <f>IF(OR($C1202="",$I1202="Оплачено",$I1202="Отменено",$H1202&lt;&gt;""),"",$C1202-TODAY())</f>
        <v/>
      </c>
      <c r="M1202" s="101">
        <f>IF($C1202="","",INDEX(Настройки!$V$6:$V$17,MONTH($C1202))&amp;" "&amp;YEAR($C1202))</f>
        <v/>
      </c>
      <c r="N1202" s="57">
        <f>IF($F1202="","",IF(COUNTIF(Постоянные!$C$8:$C$37,$F1202)&gt;0,"есть в Постоянных",IF(COUNTIF(Покупки!$C$7:$C$18,$F1202)&gt;0,"есть в Покупках","")))</f>
        <v/>
      </c>
      <c r="P1202">
        <f>IF($H1202&lt;&gt;"",$H1202,IF($I1202="Оплачено",N($G1202),0))</f>
        <v/>
      </c>
      <c r="Q1202">
        <f>IF($I1202="Отменено",0,IF($G1202&lt;&gt;"",$G1202,N($H1202)))</f>
        <v/>
      </c>
      <c r="R1202">
        <f>IF($C1202="","",IFERROR(DATE(Настройки!$C$8,Настройки!$D$9+MATCH($M1202,Настройки!$X$6:$X$17,0)-1,1),DATE(YEAR($C1202),MONTH($C1202),1)))</f>
        <v/>
      </c>
      <c r="S1202">
        <f>IF(OR($I1202="Оплачено",$H1202&lt;&gt;""),$P1202,$Q1202)</f>
        <v/>
      </c>
      <c r="T1202">
        <f>IF(OR($C1202="",$D1202="Доход",$I1202="Оплачено",$I1202="Отменено",$H1202&lt;&gt;"",$C1202&lt;TODAY()),"",$C1202)</f>
        <v/>
      </c>
      <c r="U1202">
        <f>IF(AND($D1202&lt;&gt;"Доход",COUNTIFS(Счета!$B$10:$B$21,$J1202,Счета!$C$10:$C$21,"Кредитная")&gt;0),1,0)</f>
        <v/>
      </c>
    </row>
    <row r="1203" ht="19" customHeight="1">
      <c r="B1203" s="53">
        <f>IF(AND($C1203="",$F1203=""),"",ROW()-9)</f>
        <v/>
      </c>
      <c r="C1203" s="213" t="n"/>
      <c r="D1203" s="55" t="n"/>
      <c r="E1203" s="55" t="n"/>
      <c r="F1203" s="56" t="n"/>
      <c r="G1203" s="196" t="n"/>
      <c r="H1203" s="196" t="n"/>
      <c r="I1203" s="55" t="n"/>
      <c r="J1203" s="55" t="n"/>
      <c r="K1203" s="55" t="n"/>
      <c r="L1203" s="100">
        <f>IF(OR($C1203="",$I1203="Оплачено",$I1203="Отменено",$H1203&lt;&gt;""),"",$C1203-TODAY())</f>
        <v/>
      </c>
      <c r="M1203" s="101">
        <f>IF($C1203="","",INDEX(Настройки!$V$6:$V$17,MONTH($C1203))&amp;" "&amp;YEAR($C1203))</f>
        <v/>
      </c>
      <c r="N1203" s="57">
        <f>IF($F1203="","",IF(COUNTIF(Постоянные!$C$8:$C$37,$F1203)&gt;0,"есть в Постоянных",IF(COUNTIF(Покупки!$C$7:$C$18,$F1203)&gt;0,"есть в Покупках","")))</f>
        <v/>
      </c>
      <c r="P1203">
        <f>IF($H1203&lt;&gt;"",$H1203,IF($I1203="Оплачено",N($G1203),0))</f>
        <v/>
      </c>
      <c r="Q1203">
        <f>IF($I1203="Отменено",0,IF($G1203&lt;&gt;"",$G1203,N($H1203)))</f>
        <v/>
      </c>
      <c r="R1203">
        <f>IF($C1203="","",IFERROR(DATE(Настройки!$C$8,Настройки!$D$9+MATCH($M1203,Настройки!$X$6:$X$17,0)-1,1),DATE(YEAR($C1203),MONTH($C1203),1)))</f>
        <v/>
      </c>
      <c r="S1203">
        <f>IF(OR($I1203="Оплачено",$H1203&lt;&gt;""),$P1203,$Q1203)</f>
        <v/>
      </c>
      <c r="T1203">
        <f>IF(OR($C1203="",$D1203="Доход",$I1203="Оплачено",$I1203="Отменено",$H1203&lt;&gt;"",$C1203&lt;TODAY()),"",$C1203)</f>
        <v/>
      </c>
      <c r="U1203">
        <f>IF(AND($D1203&lt;&gt;"Доход",COUNTIFS(Счета!$B$10:$B$21,$J1203,Счета!$C$10:$C$21,"Кредитная")&gt;0),1,0)</f>
        <v/>
      </c>
    </row>
    <row r="1204" ht="19" customHeight="1">
      <c r="B1204" s="53">
        <f>IF(AND($C1204="",$F1204=""),"",ROW()-9)</f>
        <v/>
      </c>
      <c r="C1204" s="213" t="n"/>
      <c r="D1204" s="55" t="n"/>
      <c r="E1204" s="55" t="n"/>
      <c r="F1204" s="56" t="n"/>
      <c r="G1204" s="196" t="n"/>
      <c r="H1204" s="196" t="n"/>
      <c r="I1204" s="55" t="n"/>
      <c r="J1204" s="55" t="n"/>
      <c r="K1204" s="55" t="n"/>
      <c r="L1204" s="100">
        <f>IF(OR($C1204="",$I1204="Оплачено",$I1204="Отменено",$H1204&lt;&gt;""),"",$C1204-TODAY())</f>
        <v/>
      </c>
      <c r="M1204" s="101">
        <f>IF($C1204="","",INDEX(Настройки!$V$6:$V$17,MONTH($C1204))&amp;" "&amp;YEAR($C1204))</f>
        <v/>
      </c>
      <c r="N1204" s="57">
        <f>IF($F1204="","",IF(COUNTIF(Постоянные!$C$8:$C$37,$F1204)&gt;0,"есть в Постоянных",IF(COUNTIF(Покупки!$C$7:$C$18,$F1204)&gt;0,"есть в Покупках","")))</f>
        <v/>
      </c>
      <c r="P1204">
        <f>IF($H1204&lt;&gt;"",$H1204,IF($I1204="Оплачено",N($G1204),0))</f>
        <v/>
      </c>
      <c r="Q1204">
        <f>IF($I1204="Отменено",0,IF($G1204&lt;&gt;"",$G1204,N($H1204)))</f>
        <v/>
      </c>
      <c r="R1204">
        <f>IF($C1204="","",IFERROR(DATE(Настройки!$C$8,Настройки!$D$9+MATCH($M1204,Настройки!$X$6:$X$17,0)-1,1),DATE(YEAR($C1204),MONTH($C1204),1)))</f>
        <v/>
      </c>
      <c r="S1204">
        <f>IF(OR($I1204="Оплачено",$H1204&lt;&gt;""),$P1204,$Q1204)</f>
        <v/>
      </c>
      <c r="T1204">
        <f>IF(OR($C1204="",$D1204="Доход",$I1204="Оплачено",$I1204="Отменено",$H1204&lt;&gt;"",$C1204&lt;TODAY()),"",$C1204)</f>
        <v/>
      </c>
      <c r="U1204">
        <f>IF(AND($D1204&lt;&gt;"Доход",COUNTIFS(Счета!$B$10:$B$21,$J1204,Счета!$C$10:$C$21,"Кредитная")&gt;0),1,0)</f>
        <v/>
      </c>
    </row>
    <row r="1205" ht="19" customHeight="1">
      <c r="B1205" s="53">
        <f>IF(AND($C1205="",$F1205=""),"",ROW()-9)</f>
        <v/>
      </c>
      <c r="C1205" s="213" t="n"/>
      <c r="D1205" s="55" t="n"/>
      <c r="E1205" s="55" t="n"/>
      <c r="F1205" s="56" t="n"/>
      <c r="G1205" s="196" t="n"/>
      <c r="H1205" s="196" t="n"/>
      <c r="I1205" s="55" t="n"/>
      <c r="J1205" s="55" t="n"/>
      <c r="K1205" s="55" t="n"/>
      <c r="L1205" s="100">
        <f>IF(OR($C1205="",$I1205="Оплачено",$I1205="Отменено",$H1205&lt;&gt;""),"",$C1205-TODAY())</f>
        <v/>
      </c>
      <c r="M1205" s="101">
        <f>IF($C1205="","",INDEX(Настройки!$V$6:$V$17,MONTH($C1205))&amp;" "&amp;YEAR($C1205))</f>
        <v/>
      </c>
      <c r="N1205" s="57">
        <f>IF($F1205="","",IF(COUNTIF(Постоянные!$C$8:$C$37,$F1205)&gt;0,"есть в Постоянных",IF(COUNTIF(Покупки!$C$7:$C$18,$F1205)&gt;0,"есть в Покупках","")))</f>
        <v/>
      </c>
      <c r="P1205">
        <f>IF($H1205&lt;&gt;"",$H1205,IF($I1205="Оплачено",N($G1205),0))</f>
        <v/>
      </c>
      <c r="Q1205">
        <f>IF($I1205="Отменено",0,IF($G1205&lt;&gt;"",$G1205,N($H1205)))</f>
        <v/>
      </c>
      <c r="R1205">
        <f>IF($C1205="","",IFERROR(DATE(Настройки!$C$8,Настройки!$D$9+MATCH($M1205,Настройки!$X$6:$X$17,0)-1,1),DATE(YEAR($C1205),MONTH($C1205),1)))</f>
        <v/>
      </c>
      <c r="S1205">
        <f>IF(OR($I1205="Оплачено",$H1205&lt;&gt;""),$P1205,$Q1205)</f>
        <v/>
      </c>
      <c r="T1205">
        <f>IF(OR($C1205="",$D1205="Доход",$I1205="Оплачено",$I1205="Отменено",$H1205&lt;&gt;"",$C1205&lt;TODAY()),"",$C1205)</f>
        <v/>
      </c>
      <c r="U1205">
        <f>IF(AND($D1205&lt;&gt;"Доход",COUNTIFS(Счета!$B$10:$B$21,$J1205,Счета!$C$10:$C$21,"Кредитная")&gt;0),1,0)</f>
        <v/>
      </c>
    </row>
    <row r="1206" ht="19" customHeight="1">
      <c r="B1206" s="53">
        <f>IF(AND($C1206="",$F1206=""),"",ROW()-9)</f>
        <v/>
      </c>
      <c r="C1206" s="213" t="n"/>
      <c r="D1206" s="55" t="n"/>
      <c r="E1206" s="55" t="n"/>
      <c r="F1206" s="56" t="n"/>
      <c r="G1206" s="196" t="n"/>
      <c r="H1206" s="196" t="n"/>
      <c r="I1206" s="55" t="n"/>
      <c r="J1206" s="55" t="n"/>
      <c r="K1206" s="55" t="n"/>
      <c r="L1206" s="100">
        <f>IF(OR($C1206="",$I1206="Оплачено",$I1206="Отменено",$H1206&lt;&gt;""),"",$C1206-TODAY())</f>
        <v/>
      </c>
      <c r="M1206" s="101">
        <f>IF($C1206="","",INDEX(Настройки!$V$6:$V$17,MONTH($C1206))&amp;" "&amp;YEAR($C1206))</f>
        <v/>
      </c>
      <c r="N1206" s="57">
        <f>IF($F1206="","",IF(COUNTIF(Постоянные!$C$8:$C$37,$F1206)&gt;0,"есть в Постоянных",IF(COUNTIF(Покупки!$C$7:$C$18,$F1206)&gt;0,"есть в Покупках","")))</f>
        <v/>
      </c>
      <c r="P1206">
        <f>IF($H1206&lt;&gt;"",$H1206,IF($I1206="Оплачено",N($G1206),0))</f>
        <v/>
      </c>
      <c r="Q1206">
        <f>IF($I1206="Отменено",0,IF($G1206&lt;&gt;"",$G1206,N($H1206)))</f>
        <v/>
      </c>
      <c r="R1206">
        <f>IF($C1206="","",IFERROR(DATE(Настройки!$C$8,Настройки!$D$9+MATCH($M1206,Настройки!$X$6:$X$17,0)-1,1),DATE(YEAR($C1206),MONTH($C1206),1)))</f>
        <v/>
      </c>
      <c r="S1206">
        <f>IF(OR($I1206="Оплачено",$H1206&lt;&gt;""),$P1206,$Q1206)</f>
        <v/>
      </c>
      <c r="T1206">
        <f>IF(OR($C1206="",$D1206="Доход",$I1206="Оплачено",$I1206="Отменено",$H1206&lt;&gt;"",$C1206&lt;TODAY()),"",$C1206)</f>
        <v/>
      </c>
      <c r="U1206">
        <f>IF(AND($D1206&lt;&gt;"Доход",COUNTIFS(Счета!$B$10:$B$21,$J1206,Счета!$C$10:$C$21,"Кредитная")&gt;0),1,0)</f>
        <v/>
      </c>
    </row>
    <row r="1207" ht="19" customHeight="1">
      <c r="B1207" s="53">
        <f>IF(AND($C1207="",$F1207=""),"",ROW()-9)</f>
        <v/>
      </c>
      <c r="C1207" s="213" t="n"/>
      <c r="D1207" s="55" t="n"/>
      <c r="E1207" s="55" t="n"/>
      <c r="F1207" s="56" t="n"/>
      <c r="G1207" s="196" t="n"/>
      <c r="H1207" s="196" t="n"/>
      <c r="I1207" s="55" t="n"/>
      <c r="J1207" s="55" t="n"/>
      <c r="K1207" s="55" t="n"/>
      <c r="L1207" s="100">
        <f>IF(OR($C1207="",$I1207="Оплачено",$I1207="Отменено",$H1207&lt;&gt;""),"",$C1207-TODAY())</f>
        <v/>
      </c>
      <c r="M1207" s="101">
        <f>IF($C1207="","",INDEX(Настройки!$V$6:$V$17,MONTH($C1207))&amp;" "&amp;YEAR($C1207))</f>
        <v/>
      </c>
      <c r="N1207" s="57">
        <f>IF($F1207="","",IF(COUNTIF(Постоянные!$C$8:$C$37,$F1207)&gt;0,"есть в Постоянных",IF(COUNTIF(Покупки!$C$7:$C$18,$F1207)&gt;0,"есть в Покупках","")))</f>
        <v/>
      </c>
      <c r="P1207">
        <f>IF($H1207&lt;&gt;"",$H1207,IF($I1207="Оплачено",N($G1207),0))</f>
        <v/>
      </c>
      <c r="Q1207">
        <f>IF($I1207="Отменено",0,IF($G1207&lt;&gt;"",$G1207,N($H1207)))</f>
        <v/>
      </c>
      <c r="R1207">
        <f>IF($C1207="","",IFERROR(DATE(Настройки!$C$8,Настройки!$D$9+MATCH($M1207,Настройки!$X$6:$X$17,0)-1,1),DATE(YEAR($C1207),MONTH($C1207),1)))</f>
        <v/>
      </c>
      <c r="S1207">
        <f>IF(OR($I1207="Оплачено",$H1207&lt;&gt;""),$P1207,$Q1207)</f>
        <v/>
      </c>
      <c r="T1207">
        <f>IF(OR($C1207="",$D1207="Доход",$I1207="Оплачено",$I1207="Отменено",$H1207&lt;&gt;"",$C1207&lt;TODAY()),"",$C1207)</f>
        <v/>
      </c>
      <c r="U1207">
        <f>IF(AND($D1207&lt;&gt;"Доход",COUNTIFS(Счета!$B$10:$B$21,$J1207,Счета!$C$10:$C$21,"Кредитная")&gt;0),1,0)</f>
        <v/>
      </c>
    </row>
    <row r="1208" ht="19" customHeight="1">
      <c r="B1208" s="53">
        <f>IF(AND($C1208="",$F1208=""),"",ROW()-9)</f>
        <v/>
      </c>
      <c r="C1208" s="213" t="n"/>
      <c r="D1208" s="55" t="n"/>
      <c r="E1208" s="55" t="n"/>
      <c r="F1208" s="56" t="n"/>
      <c r="G1208" s="196" t="n"/>
      <c r="H1208" s="196" t="n"/>
      <c r="I1208" s="55" t="n"/>
      <c r="J1208" s="55" t="n"/>
      <c r="K1208" s="55" t="n"/>
      <c r="L1208" s="100">
        <f>IF(OR($C1208="",$I1208="Оплачено",$I1208="Отменено",$H1208&lt;&gt;""),"",$C1208-TODAY())</f>
        <v/>
      </c>
      <c r="M1208" s="101">
        <f>IF($C1208="","",INDEX(Настройки!$V$6:$V$17,MONTH($C1208))&amp;" "&amp;YEAR($C1208))</f>
        <v/>
      </c>
      <c r="N1208" s="57">
        <f>IF($F1208="","",IF(COUNTIF(Постоянные!$C$8:$C$37,$F1208)&gt;0,"есть в Постоянных",IF(COUNTIF(Покупки!$C$7:$C$18,$F1208)&gt;0,"есть в Покупках","")))</f>
        <v/>
      </c>
      <c r="P1208">
        <f>IF($H1208&lt;&gt;"",$H1208,IF($I1208="Оплачено",N($G1208),0))</f>
        <v/>
      </c>
      <c r="Q1208">
        <f>IF($I1208="Отменено",0,IF($G1208&lt;&gt;"",$G1208,N($H1208)))</f>
        <v/>
      </c>
      <c r="R1208">
        <f>IF($C1208="","",IFERROR(DATE(Настройки!$C$8,Настройки!$D$9+MATCH($M1208,Настройки!$X$6:$X$17,0)-1,1),DATE(YEAR($C1208),MONTH($C1208),1)))</f>
        <v/>
      </c>
      <c r="S1208">
        <f>IF(OR($I1208="Оплачено",$H1208&lt;&gt;""),$P1208,$Q1208)</f>
        <v/>
      </c>
      <c r="T1208">
        <f>IF(OR($C1208="",$D1208="Доход",$I1208="Оплачено",$I1208="Отменено",$H1208&lt;&gt;"",$C1208&lt;TODAY()),"",$C1208)</f>
        <v/>
      </c>
      <c r="U1208">
        <f>IF(AND($D1208&lt;&gt;"Доход",COUNTIFS(Счета!$B$10:$B$21,$J1208,Счета!$C$10:$C$21,"Кредитная")&gt;0),1,0)</f>
        <v/>
      </c>
    </row>
    <row r="1209" ht="19" customHeight="1">
      <c r="B1209" s="53">
        <f>IF(AND($C1209="",$F1209=""),"",ROW()-9)</f>
        <v/>
      </c>
      <c r="C1209" s="213" t="n"/>
      <c r="D1209" s="55" t="n"/>
      <c r="E1209" s="55" t="n"/>
      <c r="F1209" s="56" t="n"/>
      <c r="G1209" s="196" t="n"/>
      <c r="H1209" s="196" t="n"/>
      <c r="I1209" s="55" t="n"/>
      <c r="J1209" s="55" t="n"/>
      <c r="K1209" s="55" t="n"/>
      <c r="L1209" s="100">
        <f>IF(OR($C1209="",$I1209="Оплачено",$I1209="Отменено",$H1209&lt;&gt;""),"",$C1209-TODAY())</f>
        <v/>
      </c>
      <c r="M1209" s="101">
        <f>IF($C1209="","",INDEX(Настройки!$V$6:$V$17,MONTH($C1209))&amp;" "&amp;YEAR($C1209))</f>
        <v/>
      </c>
      <c r="N1209" s="57">
        <f>IF($F1209="","",IF(COUNTIF(Постоянные!$C$8:$C$37,$F1209)&gt;0,"есть в Постоянных",IF(COUNTIF(Покупки!$C$7:$C$18,$F1209)&gt;0,"есть в Покупках","")))</f>
        <v/>
      </c>
      <c r="P1209">
        <f>IF($H1209&lt;&gt;"",$H1209,IF($I1209="Оплачено",N($G1209),0))</f>
        <v/>
      </c>
      <c r="Q1209">
        <f>IF($I1209="Отменено",0,IF($G1209&lt;&gt;"",$G1209,N($H1209)))</f>
        <v/>
      </c>
      <c r="R1209">
        <f>IF($C1209="","",IFERROR(DATE(Настройки!$C$8,Настройки!$D$9+MATCH($M1209,Настройки!$X$6:$X$17,0)-1,1),DATE(YEAR($C1209),MONTH($C1209),1)))</f>
        <v/>
      </c>
      <c r="S1209">
        <f>IF(OR($I1209="Оплачено",$H1209&lt;&gt;""),$P1209,$Q1209)</f>
        <v/>
      </c>
      <c r="T1209">
        <f>IF(OR($C1209="",$D1209="Доход",$I1209="Оплачено",$I1209="Отменено",$H1209&lt;&gt;"",$C1209&lt;TODAY()),"",$C1209)</f>
        <v/>
      </c>
      <c r="U1209">
        <f>IF(AND($D1209&lt;&gt;"Доход",COUNTIFS(Счета!$B$10:$B$21,$J1209,Счета!$C$10:$C$21,"Кредитная")&gt;0),1,0)</f>
        <v/>
      </c>
    </row>
    <row r="1210" ht="19" customHeight="1">
      <c r="B1210" s="53">
        <f>IF(AND($C1210="",$F1210=""),"",ROW()-9)</f>
        <v/>
      </c>
      <c r="C1210" s="213" t="n"/>
      <c r="D1210" s="55" t="n"/>
      <c r="E1210" s="55" t="n"/>
      <c r="F1210" s="56" t="n"/>
      <c r="G1210" s="196" t="n"/>
      <c r="H1210" s="196" t="n"/>
      <c r="I1210" s="55" t="n"/>
      <c r="J1210" s="55" t="n"/>
      <c r="K1210" s="55" t="n"/>
      <c r="L1210" s="100">
        <f>IF(OR($C1210="",$I1210="Оплачено",$I1210="Отменено",$H1210&lt;&gt;""),"",$C1210-TODAY())</f>
        <v/>
      </c>
      <c r="M1210" s="101">
        <f>IF($C1210="","",INDEX(Настройки!$V$6:$V$17,MONTH($C1210))&amp;" "&amp;YEAR($C1210))</f>
        <v/>
      </c>
      <c r="N1210" s="57">
        <f>IF($F1210="","",IF(COUNTIF(Постоянные!$C$8:$C$37,$F1210)&gt;0,"есть в Постоянных",IF(COUNTIF(Покупки!$C$7:$C$18,$F1210)&gt;0,"есть в Покупках","")))</f>
        <v/>
      </c>
      <c r="P1210">
        <f>IF($H1210&lt;&gt;"",$H1210,IF($I1210="Оплачено",N($G1210),0))</f>
        <v/>
      </c>
      <c r="Q1210">
        <f>IF($I1210="Отменено",0,IF($G1210&lt;&gt;"",$G1210,N($H1210)))</f>
        <v/>
      </c>
      <c r="R1210">
        <f>IF($C1210="","",IFERROR(DATE(Настройки!$C$8,Настройки!$D$9+MATCH($M1210,Настройки!$X$6:$X$17,0)-1,1),DATE(YEAR($C1210),MONTH($C1210),1)))</f>
        <v/>
      </c>
      <c r="S1210">
        <f>IF(OR($I1210="Оплачено",$H1210&lt;&gt;""),$P1210,$Q1210)</f>
        <v/>
      </c>
      <c r="T1210">
        <f>IF(OR($C1210="",$D1210="Доход",$I1210="Оплачено",$I1210="Отменено",$H1210&lt;&gt;"",$C1210&lt;TODAY()),"",$C1210)</f>
        <v/>
      </c>
      <c r="U1210">
        <f>IF(AND($D1210&lt;&gt;"Доход",COUNTIFS(Счета!$B$10:$B$21,$J1210,Счета!$C$10:$C$21,"Кредитная")&gt;0),1,0)</f>
        <v/>
      </c>
    </row>
    <row r="1211" ht="19" customHeight="1">
      <c r="B1211" s="53">
        <f>IF(AND($C1211="",$F1211=""),"",ROW()-9)</f>
        <v/>
      </c>
      <c r="C1211" s="213" t="n"/>
      <c r="D1211" s="55" t="n"/>
      <c r="E1211" s="55" t="n"/>
      <c r="F1211" s="56" t="n"/>
      <c r="G1211" s="196" t="n"/>
      <c r="H1211" s="196" t="n"/>
      <c r="I1211" s="55" t="n"/>
      <c r="J1211" s="55" t="n"/>
      <c r="K1211" s="55" t="n"/>
      <c r="L1211" s="100">
        <f>IF(OR($C1211="",$I1211="Оплачено",$I1211="Отменено",$H1211&lt;&gt;""),"",$C1211-TODAY())</f>
        <v/>
      </c>
      <c r="M1211" s="101">
        <f>IF($C1211="","",INDEX(Настройки!$V$6:$V$17,MONTH($C1211))&amp;" "&amp;YEAR($C1211))</f>
        <v/>
      </c>
      <c r="N1211" s="57">
        <f>IF($F1211="","",IF(COUNTIF(Постоянные!$C$8:$C$37,$F1211)&gt;0,"есть в Постоянных",IF(COUNTIF(Покупки!$C$7:$C$18,$F1211)&gt;0,"есть в Покупках","")))</f>
        <v/>
      </c>
      <c r="P1211">
        <f>IF($H1211&lt;&gt;"",$H1211,IF($I1211="Оплачено",N($G1211),0))</f>
        <v/>
      </c>
      <c r="Q1211">
        <f>IF($I1211="Отменено",0,IF($G1211&lt;&gt;"",$G1211,N($H1211)))</f>
        <v/>
      </c>
      <c r="R1211">
        <f>IF($C1211="","",IFERROR(DATE(Настройки!$C$8,Настройки!$D$9+MATCH($M1211,Настройки!$X$6:$X$17,0)-1,1),DATE(YEAR($C1211),MONTH($C1211),1)))</f>
        <v/>
      </c>
      <c r="S1211">
        <f>IF(OR($I1211="Оплачено",$H1211&lt;&gt;""),$P1211,$Q1211)</f>
        <v/>
      </c>
      <c r="T1211">
        <f>IF(OR($C1211="",$D1211="Доход",$I1211="Оплачено",$I1211="Отменено",$H1211&lt;&gt;"",$C1211&lt;TODAY()),"",$C1211)</f>
        <v/>
      </c>
      <c r="U1211">
        <f>IF(AND($D1211&lt;&gt;"Доход",COUNTIFS(Счета!$B$10:$B$21,$J1211,Счета!$C$10:$C$21,"Кредитная")&gt;0),1,0)</f>
        <v/>
      </c>
    </row>
    <row r="1212" ht="19" customHeight="1">
      <c r="B1212" s="53">
        <f>IF(AND($C1212="",$F1212=""),"",ROW()-9)</f>
        <v/>
      </c>
      <c r="C1212" s="213" t="n"/>
      <c r="D1212" s="55" t="n"/>
      <c r="E1212" s="55" t="n"/>
      <c r="F1212" s="56" t="n"/>
      <c r="G1212" s="196" t="n"/>
      <c r="H1212" s="196" t="n"/>
      <c r="I1212" s="55" t="n"/>
      <c r="J1212" s="55" t="n"/>
      <c r="K1212" s="55" t="n"/>
      <c r="L1212" s="100">
        <f>IF(OR($C1212="",$I1212="Оплачено",$I1212="Отменено",$H1212&lt;&gt;""),"",$C1212-TODAY())</f>
        <v/>
      </c>
      <c r="M1212" s="101">
        <f>IF($C1212="","",INDEX(Настройки!$V$6:$V$17,MONTH($C1212))&amp;" "&amp;YEAR($C1212))</f>
        <v/>
      </c>
      <c r="N1212" s="57">
        <f>IF($F1212="","",IF(COUNTIF(Постоянные!$C$8:$C$37,$F1212)&gt;0,"есть в Постоянных",IF(COUNTIF(Покупки!$C$7:$C$18,$F1212)&gt;0,"есть в Покупках","")))</f>
        <v/>
      </c>
      <c r="P1212">
        <f>IF($H1212&lt;&gt;"",$H1212,IF($I1212="Оплачено",N($G1212),0))</f>
        <v/>
      </c>
      <c r="Q1212">
        <f>IF($I1212="Отменено",0,IF($G1212&lt;&gt;"",$G1212,N($H1212)))</f>
        <v/>
      </c>
      <c r="R1212">
        <f>IF($C1212="","",IFERROR(DATE(Настройки!$C$8,Настройки!$D$9+MATCH($M1212,Настройки!$X$6:$X$17,0)-1,1),DATE(YEAR($C1212),MONTH($C1212),1)))</f>
        <v/>
      </c>
      <c r="S1212">
        <f>IF(OR($I1212="Оплачено",$H1212&lt;&gt;""),$P1212,$Q1212)</f>
        <v/>
      </c>
      <c r="T1212">
        <f>IF(OR($C1212="",$D1212="Доход",$I1212="Оплачено",$I1212="Отменено",$H1212&lt;&gt;"",$C1212&lt;TODAY()),"",$C1212)</f>
        <v/>
      </c>
      <c r="U1212">
        <f>IF(AND($D1212&lt;&gt;"Доход",COUNTIFS(Счета!$B$10:$B$21,$J1212,Счета!$C$10:$C$21,"Кредитная")&gt;0),1,0)</f>
        <v/>
      </c>
    </row>
    <row r="1213" ht="19" customHeight="1">
      <c r="B1213" s="53">
        <f>IF(AND($C1213="",$F1213=""),"",ROW()-9)</f>
        <v/>
      </c>
      <c r="C1213" s="213" t="n"/>
      <c r="D1213" s="55" t="n"/>
      <c r="E1213" s="55" t="n"/>
      <c r="F1213" s="56" t="n"/>
      <c r="G1213" s="196" t="n"/>
      <c r="H1213" s="196" t="n"/>
      <c r="I1213" s="55" t="n"/>
      <c r="J1213" s="55" t="n"/>
      <c r="K1213" s="55" t="n"/>
      <c r="L1213" s="100">
        <f>IF(OR($C1213="",$I1213="Оплачено",$I1213="Отменено",$H1213&lt;&gt;""),"",$C1213-TODAY())</f>
        <v/>
      </c>
      <c r="M1213" s="101">
        <f>IF($C1213="","",INDEX(Настройки!$V$6:$V$17,MONTH($C1213))&amp;" "&amp;YEAR($C1213))</f>
        <v/>
      </c>
      <c r="N1213" s="57">
        <f>IF($F1213="","",IF(COUNTIF(Постоянные!$C$8:$C$37,$F1213)&gt;0,"есть в Постоянных",IF(COUNTIF(Покупки!$C$7:$C$18,$F1213)&gt;0,"есть в Покупках","")))</f>
        <v/>
      </c>
      <c r="P1213">
        <f>IF($H1213&lt;&gt;"",$H1213,IF($I1213="Оплачено",N($G1213),0))</f>
        <v/>
      </c>
      <c r="Q1213">
        <f>IF($I1213="Отменено",0,IF($G1213&lt;&gt;"",$G1213,N($H1213)))</f>
        <v/>
      </c>
      <c r="R1213">
        <f>IF($C1213="","",IFERROR(DATE(Настройки!$C$8,Настройки!$D$9+MATCH($M1213,Настройки!$X$6:$X$17,0)-1,1),DATE(YEAR($C1213),MONTH($C1213),1)))</f>
        <v/>
      </c>
      <c r="S1213">
        <f>IF(OR($I1213="Оплачено",$H1213&lt;&gt;""),$P1213,$Q1213)</f>
        <v/>
      </c>
      <c r="T1213">
        <f>IF(OR($C1213="",$D1213="Доход",$I1213="Оплачено",$I1213="Отменено",$H1213&lt;&gt;"",$C1213&lt;TODAY()),"",$C1213)</f>
        <v/>
      </c>
      <c r="U1213">
        <f>IF(AND($D1213&lt;&gt;"Доход",COUNTIFS(Счета!$B$10:$B$21,$J1213,Счета!$C$10:$C$21,"Кредитная")&gt;0),1,0)</f>
        <v/>
      </c>
    </row>
    <row r="1214" ht="19" customHeight="1">
      <c r="B1214" s="53">
        <f>IF(AND($C1214="",$F1214=""),"",ROW()-9)</f>
        <v/>
      </c>
      <c r="C1214" s="213" t="n"/>
      <c r="D1214" s="55" t="n"/>
      <c r="E1214" s="55" t="n"/>
      <c r="F1214" s="56" t="n"/>
      <c r="G1214" s="196" t="n"/>
      <c r="H1214" s="196" t="n"/>
      <c r="I1214" s="55" t="n"/>
      <c r="J1214" s="55" t="n"/>
      <c r="K1214" s="55" t="n"/>
      <c r="L1214" s="100">
        <f>IF(OR($C1214="",$I1214="Оплачено",$I1214="Отменено",$H1214&lt;&gt;""),"",$C1214-TODAY())</f>
        <v/>
      </c>
      <c r="M1214" s="101">
        <f>IF($C1214="","",INDEX(Настройки!$V$6:$V$17,MONTH($C1214))&amp;" "&amp;YEAR($C1214))</f>
        <v/>
      </c>
      <c r="N1214" s="57">
        <f>IF($F1214="","",IF(COUNTIF(Постоянные!$C$8:$C$37,$F1214)&gt;0,"есть в Постоянных",IF(COUNTIF(Покупки!$C$7:$C$18,$F1214)&gt;0,"есть в Покупках","")))</f>
        <v/>
      </c>
      <c r="P1214">
        <f>IF($H1214&lt;&gt;"",$H1214,IF($I1214="Оплачено",N($G1214),0))</f>
        <v/>
      </c>
      <c r="Q1214">
        <f>IF($I1214="Отменено",0,IF($G1214&lt;&gt;"",$G1214,N($H1214)))</f>
        <v/>
      </c>
      <c r="R1214">
        <f>IF($C1214="","",IFERROR(DATE(Настройки!$C$8,Настройки!$D$9+MATCH($M1214,Настройки!$X$6:$X$17,0)-1,1),DATE(YEAR($C1214),MONTH($C1214),1)))</f>
        <v/>
      </c>
      <c r="S1214">
        <f>IF(OR($I1214="Оплачено",$H1214&lt;&gt;""),$P1214,$Q1214)</f>
        <v/>
      </c>
      <c r="T1214">
        <f>IF(OR($C1214="",$D1214="Доход",$I1214="Оплачено",$I1214="Отменено",$H1214&lt;&gt;"",$C1214&lt;TODAY()),"",$C1214)</f>
        <v/>
      </c>
      <c r="U1214">
        <f>IF(AND($D1214&lt;&gt;"Доход",COUNTIFS(Счета!$B$10:$B$21,$J1214,Счета!$C$10:$C$21,"Кредитная")&gt;0),1,0)</f>
        <v/>
      </c>
    </row>
    <row r="1215" ht="19" customHeight="1">
      <c r="B1215" s="53">
        <f>IF(AND($C1215="",$F1215=""),"",ROW()-9)</f>
        <v/>
      </c>
      <c r="C1215" s="213" t="n"/>
      <c r="D1215" s="55" t="n"/>
      <c r="E1215" s="55" t="n"/>
      <c r="F1215" s="56" t="n"/>
      <c r="G1215" s="196" t="n"/>
      <c r="H1215" s="196" t="n"/>
      <c r="I1215" s="55" t="n"/>
      <c r="J1215" s="55" t="n"/>
      <c r="K1215" s="55" t="n"/>
      <c r="L1215" s="100">
        <f>IF(OR($C1215="",$I1215="Оплачено",$I1215="Отменено",$H1215&lt;&gt;""),"",$C1215-TODAY())</f>
        <v/>
      </c>
      <c r="M1215" s="101">
        <f>IF($C1215="","",INDEX(Настройки!$V$6:$V$17,MONTH($C1215))&amp;" "&amp;YEAR($C1215))</f>
        <v/>
      </c>
      <c r="N1215" s="57">
        <f>IF($F1215="","",IF(COUNTIF(Постоянные!$C$8:$C$37,$F1215)&gt;0,"есть в Постоянных",IF(COUNTIF(Покупки!$C$7:$C$18,$F1215)&gt;0,"есть в Покупках","")))</f>
        <v/>
      </c>
      <c r="P1215">
        <f>IF($H1215&lt;&gt;"",$H1215,IF($I1215="Оплачено",N($G1215),0))</f>
        <v/>
      </c>
      <c r="Q1215">
        <f>IF($I1215="Отменено",0,IF($G1215&lt;&gt;"",$G1215,N($H1215)))</f>
        <v/>
      </c>
      <c r="R1215">
        <f>IF($C1215="","",IFERROR(DATE(Настройки!$C$8,Настройки!$D$9+MATCH($M1215,Настройки!$X$6:$X$17,0)-1,1),DATE(YEAR($C1215),MONTH($C1215),1)))</f>
        <v/>
      </c>
      <c r="S1215">
        <f>IF(OR($I1215="Оплачено",$H1215&lt;&gt;""),$P1215,$Q1215)</f>
        <v/>
      </c>
      <c r="T1215">
        <f>IF(OR($C1215="",$D1215="Доход",$I1215="Оплачено",$I1215="Отменено",$H1215&lt;&gt;"",$C1215&lt;TODAY()),"",$C1215)</f>
        <v/>
      </c>
      <c r="U1215">
        <f>IF(AND($D1215&lt;&gt;"Доход",COUNTIFS(Счета!$B$10:$B$21,$J1215,Счета!$C$10:$C$21,"Кредитная")&gt;0),1,0)</f>
        <v/>
      </c>
    </row>
    <row r="1216" ht="19" customHeight="1">
      <c r="B1216" s="53">
        <f>IF(AND($C1216="",$F1216=""),"",ROW()-9)</f>
        <v/>
      </c>
      <c r="C1216" s="213" t="n"/>
      <c r="D1216" s="55" t="n"/>
      <c r="E1216" s="55" t="n"/>
      <c r="F1216" s="56" t="n"/>
      <c r="G1216" s="196" t="n"/>
      <c r="H1216" s="196" t="n"/>
      <c r="I1216" s="55" t="n"/>
      <c r="J1216" s="55" t="n"/>
      <c r="K1216" s="55" t="n"/>
      <c r="L1216" s="100">
        <f>IF(OR($C1216="",$I1216="Оплачено",$I1216="Отменено",$H1216&lt;&gt;""),"",$C1216-TODAY())</f>
        <v/>
      </c>
      <c r="M1216" s="101">
        <f>IF($C1216="","",INDEX(Настройки!$V$6:$V$17,MONTH($C1216))&amp;" "&amp;YEAR($C1216))</f>
        <v/>
      </c>
      <c r="N1216" s="57">
        <f>IF($F1216="","",IF(COUNTIF(Постоянные!$C$8:$C$37,$F1216)&gt;0,"есть в Постоянных",IF(COUNTIF(Покупки!$C$7:$C$18,$F1216)&gt;0,"есть в Покупках","")))</f>
        <v/>
      </c>
      <c r="P1216">
        <f>IF($H1216&lt;&gt;"",$H1216,IF($I1216="Оплачено",N($G1216),0))</f>
        <v/>
      </c>
      <c r="Q1216">
        <f>IF($I1216="Отменено",0,IF($G1216&lt;&gt;"",$G1216,N($H1216)))</f>
        <v/>
      </c>
      <c r="R1216">
        <f>IF($C1216="","",IFERROR(DATE(Настройки!$C$8,Настройки!$D$9+MATCH($M1216,Настройки!$X$6:$X$17,0)-1,1),DATE(YEAR($C1216),MONTH($C1216),1)))</f>
        <v/>
      </c>
      <c r="S1216">
        <f>IF(OR($I1216="Оплачено",$H1216&lt;&gt;""),$P1216,$Q1216)</f>
        <v/>
      </c>
      <c r="T1216">
        <f>IF(OR($C1216="",$D1216="Доход",$I1216="Оплачено",$I1216="Отменено",$H1216&lt;&gt;"",$C1216&lt;TODAY()),"",$C1216)</f>
        <v/>
      </c>
      <c r="U1216">
        <f>IF(AND($D1216&lt;&gt;"Доход",COUNTIFS(Счета!$B$10:$B$21,$J1216,Счета!$C$10:$C$21,"Кредитная")&gt;0),1,0)</f>
        <v/>
      </c>
    </row>
    <row r="1217" ht="19" customHeight="1">
      <c r="B1217" s="53">
        <f>IF(AND($C1217="",$F1217=""),"",ROW()-9)</f>
        <v/>
      </c>
      <c r="C1217" s="213" t="n"/>
      <c r="D1217" s="55" t="n"/>
      <c r="E1217" s="55" t="n"/>
      <c r="F1217" s="56" t="n"/>
      <c r="G1217" s="196" t="n"/>
      <c r="H1217" s="196" t="n"/>
      <c r="I1217" s="55" t="n"/>
      <c r="J1217" s="55" t="n"/>
      <c r="K1217" s="55" t="n"/>
      <c r="L1217" s="100">
        <f>IF(OR($C1217="",$I1217="Оплачено",$I1217="Отменено",$H1217&lt;&gt;""),"",$C1217-TODAY())</f>
        <v/>
      </c>
      <c r="M1217" s="101">
        <f>IF($C1217="","",INDEX(Настройки!$V$6:$V$17,MONTH($C1217))&amp;" "&amp;YEAR($C1217))</f>
        <v/>
      </c>
      <c r="N1217" s="57">
        <f>IF($F1217="","",IF(COUNTIF(Постоянные!$C$8:$C$37,$F1217)&gt;0,"есть в Постоянных",IF(COUNTIF(Покупки!$C$7:$C$18,$F1217)&gt;0,"есть в Покупках","")))</f>
        <v/>
      </c>
      <c r="P1217">
        <f>IF($H1217&lt;&gt;"",$H1217,IF($I1217="Оплачено",N($G1217),0))</f>
        <v/>
      </c>
      <c r="Q1217">
        <f>IF($I1217="Отменено",0,IF($G1217&lt;&gt;"",$G1217,N($H1217)))</f>
        <v/>
      </c>
      <c r="R1217">
        <f>IF($C1217="","",IFERROR(DATE(Настройки!$C$8,Настройки!$D$9+MATCH($M1217,Настройки!$X$6:$X$17,0)-1,1),DATE(YEAR($C1217),MONTH($C1217),1)))</f>
        <v/>
      </c>
      <c r="S1217">
        <f>IF(OR($I1217="Оплачено",$H1217&lt;&gt;""),$P1217,$Q1217)</f>
        <v/>
      </c>
      <c r="T1217">
        <f>IF(OR($C1217="",$D1217="Доход",$I1217="Оплачено",$I1217="Отменено",$H1217&lt;&gt;"",$C1217&lt;TODAY()),"",$C1217)</f>
        <v/>
      </c>
      <c r="U1217">
        <f>IF(AND($D1217&lt;&gt;"Доход",COUNTIFS(Счета!$B$10:$B$21,$J1217,Счета!$C$10:$C$21,"Кредитная")&gt;0),1,0)</f>
        <v/>
      </c>
    </row>
    <row r="1218" ht="19" customHeight="1">
      <c r="B1218" s="53">
        <f>IF(AND($C1218="",$F1218=""),"",ROW()-9)</f>
        <v/>
      </c>
      <c r="C1218" s="213" t="n"/>
      <c r="D1218" s="55" t="n"/>
      <c r="E1218" s="55" t="n"/>
      <c r="F1218" s="56" t="n"/>
      <c r="G1218" s="196" t="n"/>
      <c r="H1218" s="196" t="n"/>
      <c r="I1218" s="55" t="n"/>
      <c r="J1218" s="55" t="n"/>
      <c r="K1218" s="55" t="n"/>
      <c r="L1218" s="100">
        <f>IF(OR($C1218="",$I1218="Оплачено",$I1218="Отменено",$H1218&lt;&gt;""),"",$C1218-TODAY())</f>
        <v/>
      </c>
      <c r="M1218" s="101">
        <f>IF($C1218="","",INDEX(Настройки!$V$6:$V$17,MONTH($C1218))&amp;" "&amp;YEAR($C1218))</f>
        <v/>
      </c>
      <c r="N1218" s="57">
        <f>IF($F1218="","",IF(COUNTIF(Постоянные!$C$8:$C$37,$F1218)&gt;0,"есть в Постоянных",IF(COUNTIF(Покупки!$C$7:$C$18,$F1218)&gt;0,"есть в Покупках","")))</f>
        <v/>
      </c>
      <c r="P1218">
        <f>IF($H1218&lt;&gt;"",$H1218,IF($I1218="Оплачено",N($G1218),0))</f>
        <v/>
      </c>
      <c r="Q1218">
        <f>IF($I1218="Отменено",0,IF($G1218&lt;&gt;"",$G1218,N($H1218)))</f>
        <v/>
      </c>
      <c r="R1218">
        <f>IF($C1218="","",IFERROR(DATE(Настройки!$C$8,Настройки!$D$9+MATCH($M1218,Настройки!$X$6:$X$17,0)-1,1),DATE(YEAR($C1218),MONTH($C1218),1)))</f>
        <v/>
      </c>
      <c r="S1218">
        <f>IF(OR($I1218="Оплачено",$H1218&lt;&gt;""),$P1218,$Q1218)</f>
        <v/>
      </c>
      <c r="T1218">
        <f>IF(OR($C1218="",$D1218="Доход",$I1218="Оплачено",$I1218="Отменено",$H1218&lt;&gt;"",$C1218&lt;TODAY()),"",$C1218)</f>
        <v/>
      </c>
      <c r="U1218">
        <f>IF(AND($D1218&lt;&gt;"Доход",COUNTIFS(Счета!$B$10:$B$21,$J1218,Счета!$C$10:$C$21,"Кредитная")&gt;0),1,0)</f>
        <v/>
      </c>
    </row>
    <row r="1219" ht="19" customHeight="1">
      <c r="B1219" s="53">
        <f>IF(AND($C1219="",$F1219=""),"",ROW()-9)</f>
        <v/>
      </c>
      <c r="C1219" s="213" t="n"/>
      <c r="D1219" s="55" t="n"/>
      <c r="E1219" s="55" t="n"/>
      <c r="F1219" s="56" t="n"/>
      <c r="G1219" s="196" t="n"/>
      <c r="H1219" s="196" t="n"/>
      <c r="I1219" s="55" t="n"/>
      <c r="J1219" s="55" t="n"/>
      <c r="K1219" s="55" t="n"/>
      <c r="L1219" s="100">
        <f>IF(OR($C1219="",$I1219="Оплачено",$I1219="Отменено",$H1219&lt;&gt;""),"",$C1219-TODAY())</f>
        <v/>
      </c>
      <c r="M1219" s="101">
        <f>IF($C1219="","",INDEX(Настройки!$V$6:$V$17,MONTH($C1219))&amp;" "&amp;YEAR($C1219))</f>
        <v/>
      </c>
      <c r="N1219" s="57">
        <f>IF($F1219="","",IF(COUNTIF(Постоянные!$C$8:$C$37,$F1219)&gt;0,"есть в Постоянных",IF(COUNTIF(Покупки!$C$7:$C$18,$F1219)&gt;0,"есть в Покупках","")))</f>
        <v/>
      </c>
      <c r="P1219">
        <f>IF($H1219&lt;&gt;"",$H1219,IF($I1219="Оплачено",N($G1219),0))</f>
        <v/>
      </c>
      <c r="Q1219">
        <f>IF($I1219="Отменено",0,IF($G1219&lt;&gt;"",$G1219,N($H1219)))</f>
        <v/>
      </c>
      <c r="R1219">
        <f>IF($C1219="","",IFERROR(DATE(Настройки!$C$8,Настройки!$D$9+MATCH($M1219,Настройки!$X$6:$X$17,0)-1,1),DATE(YEAR($C1219),MONTH($C1219),1)))</f>
        <v/>
      </c>
      <c r="S1219">
        <f>IF(OR($I1219="Оплачено",$H1219&lt;&gt;""),$P1219,$Q1219)</f>
        <v/>
      </c>
      <c r="T1219">
        <f>IF(OR($C1219="",$D1219="Доход",$I1219="Оплачено",$I1219="Отменено",$H1219&lt;&gt;"",$C1219&lt;TODAY()),"",$C1219)</f>
        <v/>
      </c>
      <c r="U1219">
        <f>IF(AND($D1219&lt;&gt;"Доход",COUNTIFS(Счета!$B$10:$B$21,$J1219,Счета!$C$10:$C$21,"Кредитная")&gt;0),1,0)</f>
        <v/>
      </c>
    </row>
    <row r="1220" ht="19" customHeight="1">
      <c r="B1220" s="53">
        <f>IF(AND($C1220="",$F1220=""),"",ROW()-9)</f>
        <v/>
      </c>
      <c r="C1220" s="213" t="n"/>
      <c r="D1220" s="55" t="n"/>
      <c r="E1220" s="55" t="n"/>
      <c r="F1220" s="56" t="n"/>
      <c r="G1220" s="196" t="n"/>
      <c r="H1220" s="196" t="n"/>
      <c r="I1220" s="55" t="n"/>
      <c r="J1220" s="55" t="n"/>
      <c r="K1220" s="55" t="n"/>
      <c r="L1220" s="100">
        <f>IF(OR($C1220="",$I1220="Оплачено",$I1220="Отменено",$H1220&lt;&gt;""),"",$C1220-TODAY())</f>
        <v/>
      </c>
      <c r="M1220" s="101">
        <f>IF($C1220="","",INDEX(Настройки!$V$6:$V$17,MONTH($C1220))&amp;" "&amp;YEAR($C1220))</f>
        <v/>
      </c>
      <c r="N1220" s="57">
        <f>IF($F1220="","",IF(COUNTIF(Постоянные!$C$8:$C$37,$F1220)&gt;0,"есть в Постоянных",IF(COUNTIF(Покупки!$C$7:$C$18,$F1220)&gt;0,"есть в Покупках","")))</f>
        <v/>
      </c>
      <c r="P1220">
        <f>IF($H1220&lt;&gt;"",$H1220,IF($I1220="Оплачено",N($G1220),0))</f>
        <v/>
      </c>
      <c r="Q1220">
        <f>IF($I1220="Отменено",0,IF($G1220&lt;&gt;"",$G1220,N($H1220)))</f>
        <v/>
      </c>
      <c r="R1220">
        <f>IF($C1220="","",IFERROR(DATE(Настройки!$C$8,Настройки!$D$9+MATCH($M1220,Настройки!$X$6:$X$17,0)-1,1),DATE(YEAR($C1220),MONTH($C1220),1)))</f>
        <v/>
      </c>
      <c r="S1220">
        <f>IF(OR($I1220="Оплачено",$H1220&lt;&gt;""),$P1220,$Q1220)</f>
        <v/>
      </c>
      <c r="T1220">
        <f>IF(OR($C1220="",$D1220="Доход",$I1220="Оплачено",$I1220="Отменено",$H1220&lt;&gt;"",$C1220&lt;TODAY()),"",$C1220)</f>
        <v/>
      </c>
      <c r="U1220">
        <f>IF(AND($D1220&lt;&gt;"Доход",COUNTIFS(Счета!$B$10:$B$21,$J1220,Счета!$C$10:$C$21,"Кредитная")&gt;0),1,0)</f>
        <v/>
      </c>
    </row>
    <row r="1221" ht="19" customHeight="1">
      <c r="B1221" s="53">
        <f>IF(AND($C1221="",$F1221=""),"",ROW()-9)</f>
        <v/>
      </c>
      <c r="C1221" s="213" t="n"/>
      <c r="D1221" s="55" t="n"/>
      <c r="E1221" s="55" t="n"/>
      <c r="F1221" s="56" t="n"/>
      <c r="G1221" s="196" t="n"/>
      <c r="H1221" s="196" t="n"/>
      <c r="I1221" s="55" t="n"/>
      <c r="J1221" s="55" t="n"/>
      <c r="K1221" s="55" t="n"/>
      <c r="L1221" s="100">
        <f>IF(OR($C1221="",$I1221="Оплачено",$I1221="Отменено",$H1221&lt;&gt;""),"",$C1221-TODAY())</f>
        <v/>
      </c>
      <c r="M1221" s="101">
        <f>IF($C1221="","",INDEX(Настройки!$V$6:$V$17,MONTH($C1221))&amp;" "&amp;YEAR($C1221))</f>
        <v/>
      </c>
      <c r="N1221" s="57">
        <f>IF($F1221="","",IF(COUNTIF(Постоянные!$C$8:$C$37,$F1221)&gt;0,"есть в Постоянных",IF(COUNTIF(Покупки!$C$7:$C$18,$F1221)&gt;0,"есть в Покупках","")))</f>
        <v/>
      </c>
      <c r="P1221">
        <f>IF($H1221&lt;&gt;"",$H1221,IF($I1221="Оплачено",N($G1221),0))</f>
        <v/>
      </c>
      <c r="Q1221">
        <f>IF($I1221="Отменено",0,IF($G1221&lt;&gt;"",$G1221,N($H1221)))</f>
        <v/>
      </c>
      <c r="R1221">
        <f>IF($C1221="","",IFERROR(DATE(Настройки!$C$8,Настройки!$D$9+MATCH($M1221,Настройки!$X$6:$X$17,0)-1,1),DATE(YEAR($C1221),MONTH($C1221),1)))</f>
        <v/>
      </c>
      <c r="S1221">
        <f>IF(OR($I1221="Оплачено",$H1221&lt;&gt;""),$P1221,$Q1221)</f>
        <v/>
      </c>
      <c r="T1221">
        <f>IF(OR($C1221="",$D1221="Доход",$I1221="Оплачено",$I1221="Отменено",$H1221&lt;&gt;"",$C1221&lt;TODAY()),"",$C1221)</f>
        <v/>
      </c>
      <c r="U1221">
        <f>IF(AND($D1221&lt;&gt;"Доход",COUNTIFS(Счета!$B$10:$B$21,$J1221,Счета!$C$10:$C$21,"Кредитная")&gt;0),1,0)</f>
        <v/>
      </c>
    </row>
    <row r="1222" ht="19" customHeight="1">
      <c r="B1222" s="53">
        <f>IF(AND($C1222="",$F1222=""),"",ROW()-9)</f>
        <v/>
      </c>
      <c r="C1222" s="213" t="n"/>
      <c r="D1222" s="55" t="n"/>
      <c r="E1222" s="55" t="n"/>
      <c r="F1222" s="56" t="n"/>
      <c r="G1222" s="196" t="n"/>
      <c r="H1222" s="196" t="n"/>
      <c r="I1222" s="55" t="n"/>
      <c r="J1222" s="55" t="n"/>
      <c r="K1222" s="55" t="n"/>
      <c r="L1222" s="100">
        <f>IF(OR($C1222="",$I1222="Оплачено",$I1222="Отменено",$H1222&lt;&gt;""),"",$C1222-TODAY())</f>
        <v/>
      </c>
      <c r="M1222" s="101">
        <f>IF($C1222="","",INDEX(Настройки!$V$6:$V$17,MONTH($C1222))&amp;" "&amp;YEAR($C1222))</f>
        <v/>
      </c>
      <c r="N1222" s="57">
        <f>IF($F1222="","",IF(COUNTIF(Постоянные!$C$8:$C$37,$F1222)&gt;0,"есть в Постоянных",IF(COUNTIF(Покупки!$C$7:$C$18,$F1222)&gt;0,"есть в Покупках","")))</f>
        <v/>
      </c>
      <c r="P1222">
        <f>IF($H1222&lt;&gt;"",$H1222,IF($I1222="Оплачено",N($G1222),0))</f>
        <v/>
      </c>
      <c r="Q1222">
        <f>IF($I1222="Отменено",0,IF($G1222&lt;&gt;"",$G1222,N($H1222)))</f>
        <v/>
      </c>
      <c r="R1222">
        <f>IF($C1222="","",IFERROR(DATE(Настройки!$C$8,Настройки!$D$9+MATCH($M1222,Настройки!$X$6:$X$17,0)-1,1),DATE(YEAR($C1222),MONTH($C1222),1)))</f>
        <v/>
      </c>
      <c r="S1222">
        <f>IF(OR($I1222="Оплачено",$H1222&lt;&gt;""),$P1222,$Q1222)</f>
        <v/>
      </c>
      <c r="T1222">
        <f>IF(OR($C1222="",$D1222="Доход",$I1222="Оплачено",$I1222="Отменено",$H1222&lt;&gt;"",$C1222&lt;TODAY()),"",$C1222)</f>
        <v/>
      </c>
      <c r="U1222">
        <f>IF(AND($D1222&lt;&gt;"Доход",COUNTIFS(Счета!$B$10:$B$21,$J1222,Счета!$C$10:$C$21,"Кредитная")&gt;0),1,0)</f>
        <v/>
      </c>
    </row>
    <row r="1223" ht="19" customHeight="1">
      <c r="B1223" s="53">
        <f>IF(AND($C1223="",$F1223=""),"",ROW()-9)</f>
        <v/>
      </c>
      <c r="C1223" s="213" t="n"/>
      <c r="D1223" s="55" t="n"/>
      <c r="E1223" s="55" t="n"/>
      <c r="F1223" s="56" t="n"/>
      <c r="G1223" s="196" t="n"/>
      <c r="H1223" s="196" t="n"/>
      <c r="I1223" s="55" t="n"/>
      <c r="J1223" s="55" t="n"/>
      <c r="K1223" s="55" t="n"/>
      <c r="L1223" s="100">
        <f>IF(OR($C1223="",$I1223="Оплачено",$I1223="Отменено",$H1223&lt;&gt;""),"",$C1223-TODAY())</f>
        <v/>
      </c>
      <c r="M1223" s="101">
        <f>IF($C1223="","",INDEX(Настройки!$V$6:$V$17,MONTH($C1223))&amp;" "&amp;YEAR($C1223))</f>
        <v/>
      </c>
      <c r="N1223" s="57">
        <f>IF($F1223="","",IF(COUNTIF(Постоянные!$C$8:$C$37,$F1223)&gt;0,"есть в Постоянных",IF(COUNTIF(Покупки!$C$7:$C$18,$F1223)&gt;0,"есть в Покупках","")))</f>
        <v/>
      </c>
      <c r="P1223">
        <f>IF($H1223&lt;&gt;"",$H1223,IF($I1223="Оплачено",N($G1223),0))</f>
        <v/>
      </c>
      <c r="Q1223">
        <f>IF($I1223="Отменено",0,IF($G1223&lt;&gt;"",$G1223,N($H1223)))</f>
        <v/>
      </c>
      <c r="R1223">
        <f>IF($C1223="","",IFERROR(DATE(Настройки!$C$8,Настройки!$D$9+MATCH($M1223,Настройки!$X$6:$X$17,0)-1,1),DATE(YEAR($C1223),MONTH($C1223),1)))</f>
        <v/>
      </c>
      <c r="S1223">
        <f>IF(OR($I1223="Оплачено",$H1223&lt;&gt;""),$P1223,$Q1223)</f>
        <v/>
      </c>
      <c r="T1223">
        <f>IF(OR($C1223="",$D1223="Доход",$I1223="Оплачено",$I1223="Отменено",$H1223&lt;&gt;"",$C1223&lt;TODAY()),"",$C1223)</f>
        <v/>
      </c>
      <c r="U1223">
        <f>IF(AND($D1223&lt;&gt;"Доход",COUNTIFS(Счета!$B$10:$B$21,$J1223,Счета!$C$10:$C$21,"Кредитная")&gt;0),1,0)</f>
        <v/>
      </c>
    </row>
    <row r="1224" ht="19" customHeight="1">
      <c r="B1224" s="53">
        <f>IF(AND($C1224="",$F1224=""),"",ROW()-9)</f>
        <v/>
      </c>
      <c r="C1224" s="213" t="n"/>
      <c r="D1224" s="55" t="n"/>
      <c r="E1224" s="55" t="n"/>
      <c r="F1224" s="56" t="n"/>
      <c r="G1224" s="196" t="n"/>
      <c r="H1224" s="196" t="n"/>
      <c r="I1224" s="55" t="n"/>
      <c r="J1224" s="55" t="n"/>
      <c r="K1224" s="55" t="n"/>
      <c r="L1224" s="100">
        <f>IF(OR($C1224="",$I1224="Оплачено",$I1224="Отменено",$H1224&lt;&gt;""),"",$C1224-TODAY())</f>
        <v/>
      </c>
      <c r="M1224" s="101">
        <f>IF($C1224="","",INDEX(Настройки!$V$6:$V$17,MONTH($C1224))&amp;" "&amp;YEAR($C1224))</f>
        <v/>
      </c>
      <c r="N1224" s="57">
        <f>IF($F1224="","",IF(COUNTIF(Постоянные!$C$8:$C$37,$F1224)&gt;0,"есть в Постоянных",IF(COUNTIF(Покупки!$C$7:$C$18,$F1224)&gt;0,"есть в Покупках","")))</f>
        <v/>
      </c>
      <c r="P1224">
        <f>IF($H1224&lt;&gt;"",$H1224,IF($I1224="Оплачено",N($G1224),0))</f>
        <v/>
      </c>
      <c r="Q1224">
        <f>IF($I1224="Отменено",0,IF($G1224&lt;&gt;"",$G1224,N($H1224)))</f>
        <v/>
      </c>
      <c r="R1224">
        <f>IF($C1224="","",IFERROR(DATE(Настройки!$C$8,Настройки!$D$9+MATCH($M1224,Настройки!$X$6:$X$17,0)-1,1),DATE(YEAR($C1224),MONTH($C1224),1)))</f>
        <v/>
      </c>
      <c r="S1224">
        <f>IF(OR($I1224="Оплачено",$H1224&lt;&gt;""),$P1224,$Q1224)</f>
        <v/>
      </c>
      <c r="T1224">
        <f>IF(OR($C1224="",$D1224="Доход",$I1224="Оплачено",$I1224="Отменено",$H1224&lt;&gt;"",$C1224&lt;TODAY()),"",$C1224)</f>
        <v/>
      </c>
      <c r="U1224">
        <f>IF(AND($D1224&lt;&gt;"Доход",COUNTIFS(Счета!$B$10:$B$21,$J1224,Счета!$C$10:$C$21,"Кредитная")&gt;0),1,0)</f>
        <v/>
      </c>
    </row>
    <row r="1225" ht="19" customHeight="1">
      <c r="B1225" s="53">
        <f>IF(AND($C1225="",$F1225=""),"",ROW()-9)</f>
        <v/>
      </c>
      <c r="C1225" s="213" t="n"/>
      <c r="D1225" s="55" t="n"/>
      <c r="E1225" s="55" t="n"/>
      <c r="F1225" s="56" t="n"/>
      <c r="G1225" s="196" t="n"/>
      <c r="H1225" s="196" t="n"/>
      <c r="I1225" s="55" t="n"/>
      <c r="J1225" s="55" t="n"/>
      <c r="K1225" s="55" t="n"/>
      <c r="L1225" s="100">
        <f>IF(OR($C1225="",$I1225="Оплачено",$I1225="Отменено",$H1225&lt;&gt;""),"",$C1225-TODAY())</f>
        <v/>
      </c>
      <c r="M1225" s="101">
        <f>IF($C1225="","",INDEX(Настройки!$V$6:$V$17,MONTH($C1225))&amp;" "&amp;YEAR($C1225))</f>
        <v/>
      </c>
      <c r="N1225" s="57">
        <f>IF($F1225="","",IF(COUNTIF(Постоянные!$C$8:$C$37,$F1225)&gt;0,"есть в Постоянных",IF(COUNTIF(Покупки!$C$7:$C$18,$F1225)&gt;0,"есть в Покупках","")))</f>
        <v/>
      </c>
      <c r="P1225">
        <f>IF($H1225&lt;&gt;"",$H1225,IF($I1225="Оплачено",N($G1225),0))</f>
        <v/>
      </c>
      <c r="Q1225">
        <f>IF($I1225="Отменено",0,IF($G1225&lt;&gt;"",$G1225,N($H1225)))</f>
        <v/>
      </c>
      <c r="R1225">
        <f>IF($C1225="","",IFERROR(DATE(Настройки!$C$8,Настройки!$D$9+MATCH($M1225,Настройки!$X$6:$X$17,0)-1,1),DATE(YEAR($C1225),MONTH($C1225),1)))</f>
        <v/>
      </c>
      <c r="S1225">
        <f>IF(OR($I1225="Оплачено",$H1225&lt;&gt;""),$P1225,$Q1225)</f>
        <v/>
      </c>
      <c r="T1225">
        <f>IF(OR($C1225="",$D1225="Доход",$I1225="Оплачено",$I1225="Отменено",$H1225&lt;&gt;"",$C1225&lt;TODAY()),"",$C1225)</f>
        <v/>
      </c>
      <c r="U1225">
        <f>IF(AND($D1225&lt;&gt;"Доход",COUNTIFS(Счета!$B$10:$B$21,$J1225,Счета!$C$10:$C$21,"Кредитная")&gt;0),1,0)</f>
        <v/>
      </c>
    </row>
    <row r="1226" ht="19" customHeight="1">
      <c r="B1226" s="53">
        <f>IF(AND($C1226="",$F1226=""),"",ROW()-9)</f>
        <v/>
      </c>
      <c r="C1226" s="213" t="n"/>
      <c r="D1226" s="55" t="n"/>
      <c r="E1226" s="55" t="n"/>
      <c r="F1226" s="56" t="n"/>
      <c r="G1226" s="196" t="n"/>
      <c r="H1226" s="196" t="n"/>
      <c r="I1226" s="55" t="n"/>
      <c r="J1226" s="55" t="n"/>
      <c r="K1226" s="55" t="n"/>
      <c r="L1226" s="100">
        <f>IF(OR($C1226="",$I1226="Оплачено",$I1226="Отменено",$H1226&lt;&gt;""),"",$C1226-TODAY())</f>
        <v/>
      </c>
      <c r="M1226" s="101">
        <f>IF($C1226="","",INDEX(Настройки!$V$6:$V$17,MONTH($C1226))&amp;" "&amp;YEAR($C1226))</f>
        <v/>
      </c>
      <c r="N1226" s="57">
        <f>IF($F1226="","",IF(COUNTIF(Постоянные!$C$8:$C$37,$F1226)&gt;0,"есть в Постоянных",IF(COUNTIF(Покупки!$C$7:$C$18,$F1226)&gt;0,"есть в Покупках","")))</f>
        <v/>
      </c>
      <c r="P1226">
        <f>IF($H1226&lt;&gt;"",$H1226,IF($I1226="Оплачено",N($G1226),0))</f>
        <v/>
      </c>
      <c r="Q1226">
        <f>IF($I1226="Отменено",0,IF($G1226&lt;&gt;"",$G1226,N($H1226)))</f>
        <v/>
      </c>
      <c r="R1226">
        <f>IF($C1226="","",IFERROR(DATE(Настройки!$C$8,Настройки!$D$9+MATCH($M1226,Настройки!$X$6:$X$17,0)-1,1),DATE(YEAR($C1226),MONTH($C1226),1)))</f>
        <v/>
      </c>
      <c r="S1226">
        <f>IF(OR($I1226="Оплачено",$H1226&lt;&gt;""),$P1226,$Q1226)</f>
        <v/>
      </c>
      <c r="T1226">
        <f>IF(OR($C1226="",$D1226="Доход",$I1226="Оплачено",$I1226="Отменено",$H1226&lt;&gt;"",$C1226&lt;TODAY()),"",$C1226)</f>
        <v/>
      </c>
      <c r="U1226">
        <f>IF(AND($D1226&lt;&gt;"Доход",COUNTIFS(Счета!$B$10:$B$21,$J1226,Счета!$C$10:$C$21,"Кредитная")&gt;0),1,0)</f>
        <v/>
      </c>
    </row>
    <row r="1227" ht="19" customHeight="1">
      <c r="B1227" s="53">
        <f>IF(AND($C1227="",$F1227=""),"",ROW()-9)</f>
        <v/>
      </c>
      <c r="C1227" s="213" t="n"/>
      <c r="D1227" s="55" t="n"/>
      <c r="E1227" s="55" t="n"/>
      <c r="F1227" s="56" t="n"/>
      <c r="G1227" s="196" t="n"/>
      <c r="H1227" s="196" t="n"/>
      <c r="I1227" s="55" t="n"/>
      <c r="J1227" s="55" t="n"/>
      <c r="K1227" s="55" t="n"/>
      <c r="L1227" s="100">
        <f>IF(OR($C1227="",$I1227="Оплачено",$I1227="Отменено",$H1227&lt;&gt;""),"",$C1227-TODAY())</f>
        <v/>
      </c>
      <c r="M1227" s="101">
        <f>IF($C1227="","",INDEX(Настройки!$V$6:$V$17,MONTH($C1227))&amp;" "&amp;YEAR($C1227))</f>
        <v/>
      </c>
      <c r="N1227" s="57">
        <f>IF($F1227="","",IF(COUNTIF(Постоянные!$C$8:$C$37,$F1227)&gt;0,"есть в Постоянных",IF(COUNTIF(Покупки!$C$7:$C$18,$F1227)&gt;0,"есть в Покупках","")))</f>
        <v/>
      </c>
      <c r="P1227">
        <f>IF($H1227&lt;&gt;"",$H1227,IF($I1227="Оплачено",N($G1227),0))</f>
        <v/>
      </c>
      <c r="Q1227">
        <f>IF($I1227="Отменено",0,IF($G1227&lt;&gt;"",$G1227,N($H1227)))</f>
        <v/>
      </c>
      <c r="R1227">
        <f>IF($C1227="","",IFERROR(DATE(Настройки!$C$8,Настройки!$D$9+MATCH($M1227,Настройки!$X$6:$X$17,0)-1,1),DATE(YEAR($C1227),MONTH($C1227),1)))</f>
        <v/>
      </c>
      <c r="S1227">
        <f>IF(OR($I1227="Оплачено",$H1227&lt;&gt;""),$P1227,$Q1227)</f>
        <v/>
      </c>
      <c r="T1227">
        <f>IF(OR($C1227="",$D1227="Доход",$I1227="Оплачено",$I1227="Отменено",$H1227&lt;&gt;"",$C1227&lt;TODAY()),"",$C1227)</f>
        <v/>
      </c>
      <c r="U1227">
        <f>IF(AND($D1227&lt;&gt;"Доход",COUNTIFS(Счета!$B$10:$B$21,$J1227,Счета!$C$10:$C$21,"Кредитная")&gt;0),1,0)</f>
        <v/>
      </c>
    </row>
    <row r="1228" ht="19" customHeight="1">
      <c r="B1228" s="53">
        <f>IF(AND($C1228="",$F1228=""),"",ROW()-9)</f>
        <v/>
      </c>
      <c r="C1228" s="213" t="n"/>
      <c r="D1228" s="55" t="n"/>
      <c r="E1228" s="55" t="n"/>
      <c r="F1228" s="56" t="n"/>
      <c r="G1228" s="196" t="n"/>
      <c r="H1228" s="196" t="n"/>
      <c r="I1228" s="55" t="n"/>
      <c r="J1228" s="55" t="n"/>
      <c r="K1228" s="55" t="n"/>
      <c r="L1228" s="100">
        <f>IF(OR($C1228="",$I1228="Оплачено",$I1228="Отменено",$H1228&lt;&gt;""),"",$C1228-TODAY())</f>
        <v/>
      </c>
      <c r="M1228" s="101">
        <f>IF($C1228="","",INDEX(Настройки!$V$6:$V$17,MONTH($C1228))&amp;" "&amp;YEAR($C1228))</f>
        <v/>
      </c>
      <c r="N1228" s="57">
        <f>IF($F1228="","",IF(COUNTIF(Постоянные!$C$8:$C$37,$F1228)&gt;0,"есть в Постоянных",IF(COUNTIF(Покупки!$C$7:$C$18,$F1228)&gt;0,"есть в Покупках","")))</f>
        <v/>
      </c>
      <c r="P1228">
        <f>IF($H1228&lt;&gt;"",$H1228,IF($I1228="Оплачено",N($G1228),0))</f>
        <v/>
      </c>
      <c r="Q1228">
        <f>IF($I1228="Отменено",0,IF($G1228&lt;&gt;"",$G1228,N($H1228)))</f>
        <v/>
      </c>
      <c r="R1228">
        <f>IF($C1228="","",IFERROR(DATE(Настройки!$C$8,Настройки!$D$9+MATCH($M1228,Настройки!$X$6:$X$17,0)-1,1),DATE(YEAR($C1228),MONTH($C1228),1)))</f>
        <v/>
      </c>
      <c r="S1228">
        <f>IF(OR($I1228="Оплачено",$H1228&lt;&gt;""),$P1228,$Q1228)</f>
        <v/>
      </c>
      <c r="T1228">
        <f>IF(OR($C1228="",$D1228="Доход",$I1228="Оплачено",$I1228="Отменено",$H1228&lt;&gt;"",$C1228&lt;TODAY()),"",$C1228)</f>
        <v/>
      </c>
      <c r="U1228">
        <f>IF(AND($D1228&lt;&gt;"Доход",COUNTIFS(Счета!$B$10:$B$21,$J1228,Счета!$C$10:$C$21,"Кредитная")&gt;0),1,0)</f>
        <v/>
      </c>
    </row>
    <row r="1229" ht="19" customHeight="1">
      <c r="B1229" s="53">
        <f>IF(AND($C1229="",$F1229=""),"",ROW()-9)</f>
        <v/>
      </c>
      <c r="C1229" s="213" t="n"/>
      <c r="D1229" s="55" t="n"/>
      <c r="E1229" s="55" t="n"/>
      <c r="F1229" s="56" t="n"/>
      <c r="G1229" s="196" t="n"/>
      <c r="H1229" s="196" t="n"/>
      <c r="I1229" s="55" t="n"/>
      <c r="J1229" s="55" t="n"/>
      <c r="K1229" s="55" t="n"/>
      <c r="L1229" s="100">
        <f>IF(OR($C1229="",$I1229="Оплачено",$I1229="Отменено",$H1229&lt;&gt;""),"",$C1229-TODAY())</f>
        <v/>
      </c>
      <c r="M1229" s="101">
        <f>IF($C1229="","",INDEX(Настройки!$V$6:$V$17,MONTH($C1229))&amp;" "&amp;YEAR($C1229))</f>
        <v/>
      </c>
      <c r="N1229" s="57">
        <f>IF($F1229="","",IF(COUNTIF(Постоянные!$C$8:$C$37,$F1229)&gt;0,"есть в Постоянных",IF(COUNTIF(Покупки!$C$7:$C$18,$F1229)&gt;0,"есть в Покупках","")))</f>
        <v/>
      </c>
      <c r="P1229">
        <f>IF($H1229&lt;&gt;"",$H1229,IF($I1229="Оплачено",N($G1229),0))</f>
        <v/>
      </c>
      <c r="Q1229">
        <f>IF($I1229="Отменено",0,IF($G1229&lt;&gt;"",$G1229,N($H1229)))</f>
        <v/>
      </c>
      <c r="R1229">
        <f>IF($C1229="","",IFERROR(DATE(Настройки!$C$8,Настройки!$D$9+MATCH($M1229,Настройки!$X$6:$X$17,0)-1,1),DATE(YEAR($C1229),MONTH($C1229),1)))</f>
        <v/>
      </c>
      <c r="S1229">
        <f>IF(OR($I1229="Оплачено",$H1229&lt;&gt;""),$P1229,$Q1229)</f>
        <v/>
      </c>
      <c r="T1229">
        <f>IF(OR($C1229="",$D1229="Доход",$I1229="Оплачено",$I1229="Отменено",$H1229&lt;&gt;"",$C1229&lt;TODAY()),"",$C1229)</f>
        <v/>
      </c>
      <c r="U1229">
        <f>IF(AND($D1229&lt;&gt;"Доход",COUNTIFS(Счета!$B$10:$B$21,$J1229,Счета!$C$10:$C$21,"Кредитная")&gt;0),1,0)</f>
        <v/>
      </c>
    </row>
    <row r="1230" ht="19" customHeight="1">
      <c r="B1230" s="53">
        <f>IF(AND($C1230="",$F1230=""),"",ROW()-9)</f>
        <v/>
      </c>
      <c r="C1230" s="213" t="n"/>
      <c r="D1230" s="55" t="n"/>
      <c r="E1230" s="55" t="n"/>
      <c r="F1230" s="56" t="n"/>
      <c r="G1230" s="196" t="n"/>
      <c r="H1230" s="196" t="n"/>
      <c r="I1230" s="55" t="n"/>
      <c r="J1230" s="55" t="n"/>
      <c r="K1230" s="55" t="n"/>
      <c r="L1230" s="100">
        <f>IF(OR($C1230="",$I1230="Оплачено",$I1230="Отменено",$H1230&lt;&gt;""),"",$C1230-TODAY())</f>
        <v/>
      </c>
      <c r="M1230" s="101">
        <f>IF($C1230="","",INDEX(Настройки!$V$6:$V$17,MONTH($C1230))&amp;" "&amp;YEAR($C1230))</f>
        <v/>
      </c>
      <c r="N1230" s="57">
        <f>IF($F1230="","",IF(COUNTIF(Постоянные!$C$8:$C$37,$F1230)&gt;0,"есть в Постоянных",IF(COUNTIF(Покупки!$C$7:$C$18,$F1230)&gt;0,"есть в Покупках","")))</f>
        <v/>
      </c>
      <c r="P1230">
        <f>IF($H1230&lt;&gt;"",$H1230,IF($I1230="Оплачено",N($G1230),0))</f>
        <v/>
      </c>
      <c r="Q1230">
        <f>IF($I1230="Отменено",0,IF($G1230&lt;&gt;"",$G1230,N($H1230)))</f>
        <v/>
      </c>
      <c r="R1230">
        <f>IF($C1230="","",IFERROR(DATE(Настройки!$C$8,Настройки!$D$9+MATCH($M1230,Настройки!$X$6:$X$17,0)-1,1),DATE(YEAR($C1230),MONTH($C1230),1)))</f>
        <v/>
      </c>
      <c r="S1230">
        <f>IF(OR($I1230="Оплачено",$H1230&lt;&gt;""),$P1230,$Q1230)</f>
        <v/>
      </c>
      <c r="T1230">
        <f>IF(OR($C1230="",$D1230="Доход",$I1230="Оплачено",$I1230="Отменено",$H1230&lt;&gt;"",$C1230&lt;TODAY()),"",$C1230)</f>
        <v/>
      </c>
      <c r="U1230">
        <f>IF(AND($D1230&lt;&gt;"Доход",COUNTIFS(Счета!$B$10:$B$21,$J1230,Счета!$C$10:$C$21,"Кредитная")&gt;0),1,0)</f>
        <v/>
      </c>
    </row>
    <row r="1231" ht="19" customHeight="1">
      <c r="B1231" s="53">
        <f>IF(AND($C1231="",$F1231=""),"",ROW()-9)</f>
        <v/>
      </c>
      <c r="C1231" s="213" t="n"/>
      <c r="D1231" s="55" t="n"/>
      <c r="E1231" s="55" t="n"/>
      <c r="F1231" s="56" t="n"/>
      <c r="G1231" s="196" t="n"/>
      <c r="H1231" s="196" t="n"/>
      <c r="I1231" s="55" t="n"/>
      <c r="J1231" s="55" t="n"/>
      <c r="K1231" s="55" t="n"/>
      <c r="L1231" s="100">
        <f>IF(OR($C1231="",$I1231="Оплачено",$I1231="Отменено",$H1231&lt;&gt;""),"",$C1231-TODAY())</f>
        <v/>
      </c>
      <c r="M1231" s="101">
        <f>IF($C1231="","",INDEX(Настройки!$V$6:$V$17,MONTH($C1231))&amp;" "&amp;YEAR($C1231))</f>
        <v/>
      </c>
      <c r="N1231" s="57">
        <f>IF($F1231="","",IF(COUNTIF(Постоянные!$C$8:$C$37,$F1231)&gt;0,"есть в Постоянных",IF(COUNTIF(Покупки!$C$7:$C$18,$F1231)&gt;0,"есть в Покупках","")))</f>
        <v/>
      </c>
      <c r="P1231">
        <f>IF($H1231&lt;&gt;"",$H1231,IF($I1231="Оплачено",N($G1231),0))</f>
        <v/>
      </c>
      <c r="Q1231">
        <f>IF($I1231="Отменено",0,IF($G1231&lt;&gt;"",$G1231,N($H1231)))</f>
        <v/>
      </c>
      <c r="R1231">
        <f>IF($C1231="","",IFERROR(DATE(Настройки!$C$8,Настройки!$D$9+MATCH($M1231,Настройки!$X$6:$X$17,0)-1,1),DATE(YEAR($C1231),MONTH($C1231),1)))</f>
        <v/>
      </c>
      <c r="S1231">
        <f>IF(OR($I1231="Оплачено",$H1231&lt;&gt;""),$P1231,$Q1231)</f>
        <v/>
      </c>
      <c r="T1231">
        <f>IF(OR($C1231="",$D1231="Доход",$I1231="Оплачено",$I1231="Отменено",$H1231&lt;&gt;"",$C1231&lt;TODAY()),"",$C1231)</f>
        <v/>
      </c>
      <c r="U1231">
        <f>IF(AND($D1231&lt;&gt;"Доход",COUNTIFS(Счета!$B$10:$B$21,$J1231,Счета!$C$10:$C$21,"Кредитная")&gt;0),1,0)</f>
        <v/>
      </c>
    </row>
    <row r="1232" ht="19" customHeight="1">
      <c r="B1232" s="53">
        <f>IF(AND($C1232="",$F1232=""),"",ROW()-9)</f>
        <v/>
      </c>
      <c r="C1232" s="213" t="n"/>
      <c r="D1232" s="55" t="n"/>
      <c r="E1232" s="55" t="n"/>
      <c r="F1232" s="56" t="n"/>
      <c r="G1232" s="196" t="n"/>
      <c r="H1232" s="196" t="n"/>
      <c r="I1232" s="55" t="n"/>
      <c r="J1232" s="55" t="n"/>
      <c r="K1232" s="55" t="n"/>
      <c r="L1232" s="100">
        <f>IF(OR($C1232="",$I1232="Оплачено",$I1232="Отменено",$H1232&lt;&gt;""),"",$C1232-TODAY())</f>
        <v/>
      </c>
      <c r="M1232" s="101">
        <f>IF($C1232="","",INDEX(Настройки!$V$6:$V$17,MONTH($C1232))&amp;" "&amp;YEAR($C1232))</f>
        <v/>
      </c>
      <c r="N1232" s="57">
        <f>IF($F1232="","",IF(COUNTIF(Постоянные!$C$8:$C$37,$F1232)&gt;0,"есть в Постоянных",IF(COUNTIF(Покупки!$C$7:$C$18,$F1232)&gt;0,"есть в Покупках","")))</f>
        <v/>
      </c>
      <c r="P1232">
        <f>IF($H1232&lt;&gt;"",$H1232,IF($I1232="Оплачено",N($G1232),0))</f>
        <v/>
      </c>
      <c r="Q1232">
        <f>IF($I1232="Отменено",0,IF($G1232&lt;&gt;"",$G1232,N($H1232)))</f>
        <v/>
      </c>
      <c r="R1232">
        <f>IF($C1232="","",IFERROR(DATE(Настройки!$C$8,Настройки!$D$9+MATCH($M1232,Настройки!$X$6:$X$17,0)-1,1),DATE(YEAR($C1232),MONTH($C1232),1)))</f>
        <v/>
      </c>
      <c r="S1232">
        <f>IF(OR($I1232="Оплачено",$H1232&lt;&gt;""),$P1232,$Q1232)</f>
        <v/>
      </c>
      <c r="T1232">
        <f>IF(OR($C1232="",$D1232="Доход",$I1232="Оплачено",$I1232="Отменено",$H1232&lt;&gt;"",$C1232&lt;TODAY()),"",$C1232)</f>
        <v/>
      </c>
      <c r="U1232">
        <f>IF(AND($D1232&lt;&gt;"Доход",COUNTIFS(Счета!$B$10:$B$21,$J1232,Счета!$C$10:$C$21,"Кредитная")&gt;0),1,0)</f>
        <v/>
      </c>
    </row>
    <row r="1233" ht="19" customHeight="1">
      <c r="B1233" s="53">
        <f>IF(AND($C1233="",$F1233=""),"",ROW()-9)</f>
        <v/>
      </c>
      <c r="C1233" s="213" t="n"/>
      <c r="D1233" s="55" t="n"/>
      <c r="E1233" s="55" t="n"/>
      <c r="F1233" s="56" t="n"/>
      <c r="G1233" s="196" t="n"/>
      <c r="H1233" s="196" t="n"/>
      <c r="I1233" s="55" t="n"/>
      <c r="J1233" s="55" t="n"/>
      <c r="K1233" s="55" t="n"/>
      <c r="L1233" s="100">
        <f>IF(OR($C1233="",$I1233="Оплачено",$I1233="Отменено",$H1233&lt;&gt;""),"",$C1233-TODAY())</f>
        <v/>
      </c>
      <c r="M1233" s="101">
        <f>IF($C1233="","",INDEX(Настройки!$V$6:$V$17,MONTH($C1233))&amp;" "&amp;YEAR($C1233))</f>
        <v/>
      </c>
      <c r="N1233" s="57">
        <f>IF($F1233="","",IF(COUNTIF(Постоянные!$C$8:$C$37,$F1233)&gt;0,"есть в Постоянных",IF(COUNTIF(Покупки!$C$7:$C$18,$F1233)&gt;0,"есть в Покупках","")))</f>
        <v/>
      </c>
      <c r="P1233">
        <f>IF($H1233&lt;&gt;"",$H1233,IF($I1233="Оплачено",N($G1233),0))</f>
        <v/>
      </c>
      <c r="Q1233">
        <f>IF($I1233="Отменено",0,IF($G1233&lt;&gt;"",$G1233,N($H1233)))</f>
        <v/>
      </c>
      <c r="R1233">
        <f>IF($C1233="","",IFERROR(DATE(Настройки!$C$8,Настройки!$D$9+MATCH($M1233,Настройки!$X$6:$X$17,0)-1,1),DATE(YEAR($C1233),MONTH($C1233),1)))</f>
        <v/>
      </c>
      <c r="S1233">
        <f>IF(OR($I1233="Оплачено",$H1233&lt;&gt;""),$P1233,$Q1233)</f>
        <v/>
      </c>
      <c r="T1233">
        <f>IF(OR($C1233="",$D1233="Доход",$I1233="Оплачено",$I1233="Отменено",$H1233&lt;&gt;"",$C1233&lt;TODAY()),"",$C1233)</f>
        <v/>
      </c>
      <c r="U1233">
        <f>IF(AND($D1233&lt;&gt;"Доход",COUNTIFS(Счета!$B$10:$B$21,$J1233,Счета!$C$10:$C$21,"Кредитная")&gt;0),1,0)</f>
        <v/>
      </c>
    </row>
    <row r="1234" ht="19" customHeight="1">
      <c r="B1234" s="53">
        <f>IF(AND($C1234="",$F1234=""),"",ROW()-9)</f>
        <v/>
      </c>
      <c r="C1234" s="213" t="n"/>
      <c r="D1234" s="55" t="n"/>
      <c r="E1234" s="55" t="n"/>
      <c r="F1234" s="56" t="n"/>
      <c r="G1234" s="196" t="n"/>
      <c r="H1234" s="196" t="n"/>
      <c r="I1234" s="55" t="n"/>
      <c r="J1234" s="55" t="n"/>
      <c r="K1234" s="55" t="n"/>
      <c r="L1234" s="100">
        <f>IF(OR($C1234="",$I1234="Оплачено",$I1234="Отменено",$H1234&lt;&gt;""),"",$C1234-TODAY())</f>
        <v/>
      </c>
      <c r="M1234" s="101">
        <f>IF($C1234="","",INDEX(Настройки!$V$6:$V$17,MONTH($C1234))&amp;" "&amp;YEAR($C1234))</f>
        <v/>
      </c>
      <c r="N1234" s="57">
        <f>IF($F1234="","",IF(COUNTIF(Постоянные!$C$8:$C$37,$F1234)&gt;0,"есть в Постоянных",IF(COUNTIF(Покупки!$C$7:$C$18,$F1234)&gt;0,"есть в Покупках","")))</f>
        <v/>
      </c>
      <c r="P1234">
        <f>IF($H1234&lt;&gt;"",$H1234,IF($I1234="Оплачено",N($G1234),0))</f>
        <v/>
      </c>
      <c r="Q1234">
        <f>IF($I1234="Отменено",0,IF($G1234&lt;&gt;"",$G1234,N($H1234)))</f>
        <v/>
      </c>
      <c r="R1234">
        <f>IF($C1234="","",IFERROR(DATE(Настройки!$C$8,Настройки!$D$9+MATCH($M1234,Настройки!$X$6:$X$17,0)-1,1),DATE(YEAR($C1234),MONTH($C1234),1)))</f>
        <v/>
      </c>
      <c r="S1234">
        <f>IF(OR($I1234="Оплачено",$H1234&lt;&gt;""),$P1234,$Q1234)</f>
        <v/>
      </c>
      <c r="T1234">
        <f>IF(OR($C1234="",$D1234="Доход",$I1234="Оплачено",$I1234="Отменено",$H1234&lt;&gt;"",$C1234&lt;TODAY()),"",$C1234)</f>
        <v/>
      </c>
      <c r="U1234">
        <f>IF(AND($D1234&lt;&gt;"Доход",COUNTIFS(Счета!$B$10:$B$21,$J1234,Счета!$C$10:$C$21,"Кредитная")&gt;0),1,0)</f>
        <v/>
      </c>
    </row>
    <row r="1235" ht="19" customHeight="1">
      <c r="B1235" s="53">
        <f>IF(AND($C1235="",$F1235=""),"",ROW()-9)</f>
        <v/>
      </c>
      <c r="C1235" s="213" t="n"/>
      <c r="D1235" s="55" t="n"/>
      <c r="E1235" s="55" t="n"/>
      <c r="F1235" s="56" t="n"/>
      <c r="G1235" s="196" t="n"/>
      <c r="H1235" s="196" t="n"/>
      <c r="I1235" s="55" t="n"/>
      <c r="J1235" s="55" t="n"/>
      <c r="K1235" s="55" t="n"/>
      <c r="L1235" s="100">
        <f>IF(OR($C1235="",$I1235="Оплачено",$I1235="Отменено",$H1235&lt;&gt;""),"",$C1235-TODAY())</f>
        <v/>
      </c>
      <c r="M1235" s="101">
        <f>IF($C1235="","",INDEX(Настройки!$V$6:$V$17,MONTH($C1235))&amp;" "&amp;YEAR($C1235))</f>
        <v/>
      </c>
      <c r="N1235" s="57">
        <f>IF($F1235="","",IF(COUNTIF(Постоянные!$C$8:$C$37,$F1235)&gt;0,"есть в Постоянных",IF(COUNTIF(Покупки!$C$7:$C$18,$F1235)&gt;0,"есть в Покупках","")))</f>
        <v/>
      </c>
      <c r="P1235">
        <f>IF($H1235&lt;&gt;"",$H1235,IF($I1235="Оплачено",N($G1235),0))</f>
        <v/>
      </c>
      <c r="Q1235">
        <f>IF($I1235="Отменено",0,IF($G1235&lt;&gt;"",$G1235,N($H1235)))</f>
        <v/>
      </c>
      <c r="R1235">
        <f>IF($C1235="","",IFERROR(DATE(Настройки!$C$8,Настройки!$D$9+MATCH($M1235,Настройки!$X$6:$X$17,0)-1,1),DATE(YEAR($C1235),MONTH($C1235),1)))</f>
        <v/>
      </c>
      <c r="S1235">
        <f>IF(OR($I1235="Оплачено",$H1235&lt;&gt;""),$P1235,$Q1235)</f>
        <v/>
      </c>
      <c r="T1235">
        <f>IF(OR($C1235="",$D1235="Доход",$I1235="Оплачено",$I1235="Отменено",$H1235&lt;&gt;"",$C1235&lt;TODAY()),"",$C1235)</f>
        <v/>
      </c>
      <c r="U1235">
        <f>IF(AND($D1235&lt;&gt;"Доход",COUNTIFS(Счета!$B$10:$B$21,$J1235,Счета!$C$10:$C$21,"Кредитная")&gt;0),1,0)</f>
        <v/>
      </c>
    </row>
    <row r="1236" ht="19" customHeight="1">
      <c r="B1236" s="53">
        <f>IF(AND($C1236="",$F1236=""),"",ROW()-9)</f>
        <v/>
      </c>
      <c r="C1236" s="213" t="n"/>
      <c r="D1236" s="55" t="n"/>
      <c r="E1236" s="55" t="n"/>
      <c r="F1236" s="56" t="n"/>
      <c r="G1236" s="196" t="n"/>
      <c r="H1236" s="196" t="n"/>
      <c r="I1236" s="55" t="n"/>
      <c r="J1236" s="55" t="n"/>
      <c r="K1236" s="55" t="n"/>
      <c r="L1236" s="100">
        <f>IF(OR($C1236="",$I1236="Оплачено",$I1236="Отменено",$H1236&lt;&gt;""),"",$C1236-TODAY())</f>
        <v/>
      </c>
      <c r="M1236" s="101">
        <f>IF($C1236="","",INDEX(Настройки!$V$6:$V$17,MONTH($C1236))&amp;" "&amp;YEAR($C1236))</f>
        <v/>
      </c>
      <c r="N1236" s="57">
        <f>IF($F1236="","",IF(COUNTIF(Постоянные!$C$8:$C$37,$F1236)&gt;0,"есть в Постоянных",IF(COUNTIF(Покупки!$C$7:$C$18,$F1236)&gt;0,"есть в Покупках","")))</f>
        <v/>
      </c>
      <c r="P1236">
        <f>IF($H1236&lt;&gt;"",$H1236,IF($I1236="Оплачено",N($G1236),0))</f>
        <v/>
      </c>
      <c r="Q1236">
        <f>IF($I1236="Отменено",0,IF($G1236&lt;&gt;"",$G1236,N($H1236)))</f>
        <v/>
      </c>
      <c r="R1236">
        <f>IF($C1236="","",IFERROR(DATE(Настройки!$C$8,Настройки!$D$9+MATCH($M1236,Настройки!$X$6:$X$17,0)-1,1),DATE(YEAR($C1236),MONTH($C1236),1)))</f>
        <v/>
      </c>
      <c r="S1236">
        <f>IF(OR($I1236="Оплачено",$H1236&lt;&gt;""),$P1236,$Q1236)</f>
        <v/>
      </c>
      <c r="T1236">
        <f>IF(OR($C1236="",$D1236="Доход",$I1236="Оплачено",$I1236="Отменено",$H1236&lt;&gt;"",$C1236&lt;TODAY()),"",$C1236)</f>
        <v/>
      </c>
      <c r="U1236">
        <f>IF(AND($D1236&lt;&gt;"Доход",COUNTIFS(Счета!$B$10:$B$21,$J1236,Счета!$C$10:$C$21,"Кредитная")&gt;0),1,0)</f>
        <v/>
      </c>
    </row>
    <row r="1237" ht="19" customHeight="1">
      <c r="B1237" s="53">
        <f>IF(AND($C1237="",$F1237=""),"",ROW()-9)</f>
        <v/>
      </c>
      <c r="C1237" s="213" t="n"/>
      <c r="D1237" s="55" t="n"/>
      <c r="E1237" s="55" t="n"/>
      <c r="F1237" s="56" t="n"/>
      <c r="G1237" s="196" t="n"/>
      <c r="H1237" s="196" t="n"/>
      <c r="I1237" s="55" t="n"/>
      <c r="J1237" s="55" t="n"/>
      <c r="K1237" s="55" t="n"/>
      <c r="L1237" s="100">
        <f>IF(OR($C1237="",$I1237="Оплачено",$I1237="Отменено",$H1237&lt;&gt;""),"",$C1237-TODAY())</f>
        <v/>
      </c>
      <c r="M1237" s="101">
        <f>IF($C1237="","",INDEX(Настройки!$V$6:$V$17,MONTH($C1237))&amp;" "&amp;YEAR($C1237))</f>
        <v/>
      </c>
      <c r="N1237" s="57">
        <f>IF($F1237="","",IF(COUNTIF(Постоянные!$C$8:$C$37,$F1237)&gt;0,"есть в Постоянных",IF(COUNTIF(Покупки!$C$7:$C$18,$F1237)&gt;0,"есть в Покупках","")))</f>
        <v/>
      </c>
      <c r="P1237">
        <f>IF($H1237&lt;&gt;"",$H1237,IF($I1237="Оплачено",N($G1237),0))</f>
        <v/>
      </c>
      <c r="Q1237">
        <f>IF($I1237="Отменено",0,IF($G1237&lt;&gt;"",$G1237,N($H1237)))</f>
        <v/>
      </c>
      <c r="R1237">
        <f>IF($C1237="","",IFERROR(DATE(Настройки!$C$8,Настройки!$D$9+MATCH($M1237,Настройки!$X$6:$X$17,0)-1,1),DATE(YEAR($C1237),MONTH($C1237),1)))</f>
        <v/>
      </c>
      <c r="S1237">
        <f>IF(OR($I1237="Оплачено",$H1237&lt;&gt;""),$P1237,$Q1237)</f>
        <v/>
      </c>
      <c r="T1237">
        <f>IF(OR($C1237="",$D1237="Доход",$I1237="Оплачено",$I1237="Отменено",$H1237&lt;&gt;"",$C1237&lt;TODAY()),"",$C1237)</f>
        <v/>
      </c>
      <c r="U1237">
        <f>IF(AND($D1237&lt;&gt;"Доход",COUNTIFS(Счета!$B$10:$B$21,$J1237,Счета!$C$10:$C$21,"Кредитная")&gt;0),1,0)</f>
        <v/>
      </c>
    </row>
    <row r="1238" ht="19" customHeight="1">
      <c r="B1238" s="53">
        <f>IF(AND($C1238="",$F1238=""),"",ROW()-9)</f>
        <v/>
      </c>
      <c r="C1238" s="213" t="n"/>
      <c r="D1238" s="55" t="n"/>
      <c r="E1238" s="55" t="n"/>
      <c r="F1238" s="56" t="n"/>
      <c r="G1238" s="196" t="n"/>
      <c r="H1238" s="196" t="n"/>
      <c r="I1238" s="55" t="n"/>
      <c r="J1238" s="55" t="n"/>
      <c r="K1238" s="55" t="n"/>
      <c r="L1238" s="100">
        <f>IF(OR($C1238="",$I1238="Оплачено",$I1238="Отменено",$H1238&lt;&gt;""),"",$C1238-TODAY())</f>
        <v/>
      </c>
      <c r="M1238" s="101">
        <f>IF($C1238="","",INDEX(Настройки!$V$6:$V$17,MONTH($C1238))&amp;" "&amp;YEAR($C1238))</f>
        <v/>
      </c>
      <c r="N1238" s="57">
        <f>IF($F1238="","",IF(COUNTIF(Постоянные!$C$8:$C$37,$F1238)&gt;0,"есть в Постоянных",IF(COUNTIF(Покупки!$C$7:$C$18,$F1238)&gt;0,"есть в Покупках","")))</f>
        <v/>
      </c>
      <c r="P1238">
        <f>IF($H1238&lt;&gt;"",$H1238,IF($I1238="Оплачено",N($G1238),0))</f>
        <v/>
      </c>
      <c r="Q1238">
        <f>IF($I1238="Отменено",0,IF($G1238&lt;&gt;"",$G1238,N($H1238)))</f>
        <v/>
      </c>
      <c r="R1238">
        <f>IF($C1238="","",IFERROR(DATE(Настройки!$C$8,Настройки!$D$9+MATCH($M1238,Настройки!$X$6:$X$17,0)-1,1),DATE(YEAR($C1238),MONTH($C1238),1)))</f>
        <v/>
      </c>
      <c r="S1238">
        <f>IF(OR($I1238="Оплачено",$H1238&lt;&gt;""),$P1238,$Q1238)</f>
        <v/>
      </c>
      <c r="T1238">
        <f>IF(OR($C1238="",$D1238="Доход",$I1238="Оплачено",$I1238="Отменено",$H1238&lt;&gt;"",$C1238&lt;TODAY()),"",$C1238)</f>
        <v/>
      </c>
      <c r="U1238">
        <f>IF(AND($D1238&lt;&gt;"Доход",COUNTIFS(Счета!$B$10:$B$21,$J1238,Счета!$C$10:$C$21,"Кредитная")&gt;0),1,0)</f>
        <v/>
      </c>
    </row>
    <row r="1239" ht="19" customHeight="1">
      <c r="B1239" s="53">
        <f>IF(AND($C1239="",$F1239=""),"",ROW()-9)</f>
        <v/>
      </c>
      <c r="C1239" s="213" t="n"/>
      <c r="D1239" s="55" t="n"/>
      <c r="E1239" s="55" t="n"/>
      <c r="F1239" s="56" t="n"/>
      <c r="G1239" s="196" t="n"/>
      <c r="H1239" s="196" t="n"/>
      <c r="I1239" s="55" t="n"/>
      <c r="J1239" s="55" t="n"/>
      <c r="K1239" s="55" t="n"/>
      <c r="L1239" s="100">
        <f>IF(OR($C1239="",$I1239="Оплачено",$I1239="Отменено",$H1239&lt;&gt;""),"",$C1239-TODAY())</f>
        <v/>
      </c>
      <c r="M1239" s="101">
        <f>IF($C1239="","",INDEX(Настройки!$V$6:$V$17,MONTH($C1239))&amp;" "&amp;YEAR($C1239))</f>
        <v/>
      </c>
      <c r="N1239" s="57">
        <f>IF($F1239="","",IF(COUNTIF(Постоянные!$C$8:$C$37,$F1239)&gt;0,"есть в Постоянных",IF(COUNTIF(Покупки!$C$7:$C$18,$F1239)&gt;0,"есть в Покупках","")))</f>
        <v/>
      </c>
      <c r="P1239">
        <f>IF($H1239&lt;&gt;"",$H1239,IF($I1239="Оплачено",N($G1239),0))</f>
        <v/>
      </c>
      <c r="Q1239">
        <f>IF($I1239="Отменено",0,IF($G1239&lt;&gt;"",$G1239,N($H1239)))</f>
        <v/>
      </c>
      <c r="R1239">
        <f>IF($C1239="","",IFERROR(DATE(Настройки!$C$8,Настройки!$D$9+MATCH($M1239,Настройки!$X$6:$X$17,0)-1,1),DATE(YEAR($C1239),MONTH($C1239),1)))</f>
        <v/>
      </c>
      <c r="S1239">
        <f>IF(OR($I1239="Оплачено",$H1239&lt;&gt;""),$P1239,$Q1239)</f>
        <v/>
      </c>
      <c r="T1239">
        <f>IF(OR($C1239="",$D1239="Доход",$I1239="Оплачено",$I1239="Отменено",$H1239&lt;&gt;"",$C1239&lt;TODAY()),"",$C1239)</f>
        <v/>
      </c>
      <c r="U1239">
        <f>IF(AND($D1239&lt;&gt;"Доход",COUNTIFS(Счета!$B$10:$B$21,$J1239,Счета!$C$10:$C$21,"Кредитная")&gt;0),1,0)</f>
        <v/>
      </c>
    </row>
    <row r="1240" ht="19" customHeight="1">
      <c r="B1240" s="53">
        <f>IF(AND($C1240="",$F1240=""),"",ROW()-9)</f>
        <v/>
      </c>
      <c r="C1240" s="213" t="n"/>
      <c r="D1240" s="55" t="n"/>
      <c r="E1240" s="55" t="n"/>
      <c r="F1240" s="56" t="n"/>
      <c r="G1240" s="196" t="n"/>
      <c r="H1240" s="196" t="n"/>
      <c r="I1240" s="55" t="n"/>
      <c r="J1240" s="55" t="n"/>
      <c r="K1240" s="55" t="n"/>
      <c r="L1240" s="100">
        <f>IF(OR($C1240="",$I1240="Оплачено",$I1240="Отменено",$H1240&lt;&gt;""),"",$C1240-TODAY())</f>
        <v/>
      </c>
      <c r="M1240" s="101">
        <f>IF($C1240="","",INDEX(Настройки!$V$6:$V$17,MONTH($C1240))&amp;" "&amp;YEAR($C1240))</f>
        <v/>
      </c>
      <c r="N1240" s="57">
        <f>IF($F1240="","",IF(COUNTIF(Постоянные!$C$8:$C$37,$F1240)&gt;0,"есть в Постоянных",IF(COUNTIF(Покупки!$C$7:$C$18,$F1240)&gt;0,"есть в Покупках","")))</f>
        <v/>
      </c>
      <c r="P1240">
        <f>IF($H1240&lt;&gt;"",$H1240,IF($I1240="Оплачено",N($G1240),0))</f>
        <v/>
      </c>
      <c r="Q1240">
        <f>IF($I1240="Отменено",0,IF($G1240&lt;&gt;"",$G1240,N($H1240)))</f>
        <v/>
      </c>
      <c r="R1240">
        <f>IF($C1240="","",IFERROR(DATE(Настройки!$C$8,Настройки!$D$9+MATCH($M1240,Настройки!$X$6:$X$17,0)-1,1),DATE(YEAR($C1240),MONTH($C1240),1)))</f>
        <v/>
      </c>
      <c r="S1240">
        <f>IF(OR($I1240="Оплачено",$H1240&lt;&gt;""),$P1240,$Q1240)</f>
        <v/>
      </c>
      <c r="T1240">
        <f>IF(OR($C1240="",$D1240="Доход",$I1240="Оплачено",$I1240="Отменено",$H1240&lt;&gt;"",$C1240&lt;TODAY()),"",$C1240)</f>
        <v/>
      </c>
      <c r="U1240">
        <f>IF(AND($D1240&lt;&gt;"Доход",COUNTIFS(Счета!$B$10:$B$21,$J1240,Счета!$C$10:$C$21,"Кредитная")&gt;0),1,0)</f>
        <v/>
      </c>
    </row>
    <row r="1241" ht="19" customHeight="1">
      <c r="B1241" s="53">
        <f>IF(AND($C1241="",$F1241=""),"",ROW()-9)</f>
        <v/>
      </c>
      <c r="C1241" s="213" t="n"/>
      <c r="D1241" s="55" t="n"/>
      <c r="E1241" s="55" t="n"/>
      <c r="F1241" s="56" t="n"/>
      <c r="G1241" s="196" t="n"/>
      <c r="H1241" s="196" t="n"/>
      <c r="I1241" s="55" t="n"/>
      <c r="J1241" s="55" t="n"/>
      <c r="K1241" s="55" t="n"/>
      <c r="L1241" s="100">
        <f>IF(OR($C1241="",$I1241="Оплачено",$I1241="Отменено",$H1241&lt;&gt;""),"",$C1241-TODAY())</f>
        <v/>
      </c>
      <c r="M1241" s="101">
        <f>IF($C1241="","",INDEX(Настройки!$V$6:$V$17,MONTH($C1241))&amp;" "&amp;YEAR($C1241))</f>
        <v/>
      </c>
      <c r="N1241" s="57">
        <f>IF($F1241="","",IF(COUNTIF(Постоянные!$C$8:$C$37,$F1241)&gt;0,"есть в Постоянных",IF(COUNTIF(Покупки!$C$7:$C$18,$F1241)&gt;0,"есть в Покупках","")))</f>
        <v/>
      </c>
      <c r="P1241">
        <f>IF($H1241&lt;&gt;"",$H1241,IF($I1241="Оплачено",N($G1241),0))</f>
        <v/>
      </c>
      <c r="Q1241">
        <f>IF($I1241="Отменено",0,IF($G1241&lt;&gt;"",$G1241,N($H1241)))</f>
        <v/>
      </c>
      <c r="R1241">
        <f>IF($C1241="","",IFERROR(DATE(Настройки!$C$8,Настройки!$D$9+MATCH($M1241,Настройки!$X$6:$X$17,0)-1,1),DATE(YEAR($C1241),MONTH($C1241),1)))</f>
        <v/>
      </c>
      <c r="S1241">
        <f>IF(OR($I1241="Оплачено",$H1241&lt;&gt;""),$P1241,$Q1241)</f>
        <v/>
      </c>
      <c r="T1241">
        <f>IF(OR($C1241="",$D1241="Доход",$I1241="Оплачено",$I1241="Отменено",$H1241&lt;&gt;"",$C1241&lt;TODAY()),"",$C1241)</f>
        <v/>
      </c>
      <c r="U1241">
        <f>IF(AND($D1241&lt;&gt;"Доход",COUNTIFS(Счета!$B$10:$B$21,$J1241,Счета!$C$10:$C$21,"Кредитная")&gt;0),1,0)</f>
        <v/>
      </c>
    </row>
    <row r="1242" ht="19" customHeight="1">
      <c r="B1242" s="53">
        <f>IF(AND($C1242="",$F1242=""),"",ROW()-9)</f>
        <v/>
      </c>
      <c r="C1242" s="213" t="n"/>
      <c r="D1242" s="55" t="n"/>
      <c r="E1242" s="55" t="n"/>
      <c r="F1242" s="56" t="n"/>
      <c r="G1242" s="196" t="n"/>
      <c r="H1242" s="196" t="n"/>
      <c r="I1242" s="55" t="n"/>
      <c r="J1242" s="55" t="n"/>
      <c r="K1242" s="55" t="n"/>
      <c r="L1242" s="100">
        <f>IF(OR($C1242="",$I1242="Оплачено",$I1242="Отменено",$H1242&lt;&gt;""),"",$C1242-TODAY())</f>
        <v/>
      </c>
      <c r="M1242" s="101">
        <f>IF($C1242="","",INDEX(Настройки!$V$6:$V$17,MONTH($C1242))&amp;" "&amp;YEAR($C1242))</f>
        <v/>
      </c>
      <c r="N1242" s="57">
        <f>IF($F1242="","",IF(COUNTIF(Постоянные!$C$8:$C$37,$F1242)&gt;0,"есть в Постоянных",IF(COUNTIF(Покупки!$C$7:$C$18,$F1242)&gt;0,"есть в Покупках","")))</f>
        <v/>
      </c>
      <c r="P1242">
        <f>IF($H1242&lt;&gt;"",$H1242,IF($I1242="Оплачено",N($G1242),0))</f>
        <v/>
      </c>
      <c r="Q1242">
        <f>IF($I1242="Отменено",0,IF($G1242&lt;&gt;"",$G1242,N($H1242)))</f>
        <v/>
      </c>
      <c r="R1242">
        <f>IF($C1242="","",IFERROR(DATE(Настройки!$C$8,Настройки!$D$9+MATCH($M1242,Настройки!$X$6:$X$17,0)-1,1),DATE(YEAR($C1242),MONTH($C1242),1)))</f>
        <v/>
      </c>
      <c r="S1242">
        <f>IF(OR($I1242="Оплачено",$H1242&lt;&gt;""),$P1242,$Q1242)</f>
        <v/>
      </c>
      <c r="T1242">
        <f>IF(OR($C1242="",$D1242="Доход",$I1242="Оплачено",$I1242="Отменено",$H1242&lt;&gt;"",$C1242&lt;TODAY()),"",$C1242)</f>
        <v/>
      </c>
      <c r="U1242">
        <f>IF(AND($D1242&lt;&gt;"Доход",COUNTIFS(Счета!$B$10:$B$21,$J1242,Счета!$C$10:$C$21,"Кредитная")&gt;0),1,0)</f>
        <v/>
      </c>
    </row>
    <row r="1243" ht="19" customHeight="1">
      <c r="B1243" s="53">
        <f>IF(AND($C1243="",$F1243=""),"",ROW()-9)</f>
        <v/>
      </c>
      <c r="C1243" s="213" t="n"/>
      <c r="D1243" s="55" t="n"/>
      <c r="E1243" s="55" t="n"/>
      <c r="F1243" s="56" t="n"/>
      <c r="G1243" s="196" t="n"/>
      <c r="H1243" s="196" t="n"/>
      <c r="I1243" s="55" t="n"/>
      <c r="J1243" s="55" t="n"/>
      <c r="K1243" s="55" t="n"/>
      <c r="L1243" s="100">
        <f>IF(OR($C1243="",$I1243="Оплачено",$I1243="Отменено",$H1243&lt;&gt;""),"",$C1243-TODAY())</f>
        <v/>
      </c>
      <c r="M1243" s="101">
        <f>IF($C1243="","",INDEX(Настройки!$V$6:$V$17,MONTH($C1243))&amp;" "&amp;YEAR($C1243))</f>
        <v/>
      </c>
      <c r="N1243" s="57">
        <f>IF($F1243="","",IF(COUNTIF(Постоянные!$C$8:$C$37,$F1243)&gt;0,"есть в Постоянных",IF(COUNTIF(Покупки!$C$7:$C$18,$F1243)&gt;0,"есть в Покупках","")))</f>
        <v/>
      </c>
      <c r="P1243">
        <f>IF($H1243&lt;&gt;"",$H1243,IF($I1243="Оплачено",N($G1243),0))</f>
        <v/>
      </c>
      <c r="Q1243">
        <f>IF($I1243="Отменено",0,IF($G1243&lt;&gt;"",$G1243,N($H1243)))</f>
        <v/>
      </c>
      <c r="R1243">
        <f>IF($C1243="","",IFERROR(DATE(Настройки!$C$8,Настройки!$D$9+MATCH($M1243,Настройки!$X$6:$X$17,0)-1,1),DATE(YEAR($C1243),MONTH($C1243),1)))</f>
        <v/>
      </c>
      <c r="S1243">
        <f>IF(OR($I1243="Оплачено",$H1243&lt;&gt;""),$P1243,$Q1243)</f>
        <v/>
      </c>
      <c r="T1243">
        <f>IF(OR($C1243="",$D1243="Доход",$I1243="Оплачено",$I1243="Отменено",$H1243&lt;&gt;"",$C1243&lt;TODAY()),"",$C1243)</f>
        <v/>
      </c>
      <c r="U1243">
        <f>IF(AND($D1243&lt;&gt;"Доход",COUNTIFS(Счета!$B$10:$B$21,$J1243,Счета!$C$10:$C$21,"Кредитная")&gt;0),1,0)</f>
        <v/>
      </c>
    </row>
    <row r="1244" ht="19" customHeight="1">
      <c r="B1244" s="53">
        <f>IF(AND($C1244="",$F1244=""),"",ROW()-9)</f>
        <v/>
      </c>
      <c r="C1244" s="213" t="n"/>
      <c r="D1244" s="55" t="n"/>
      <c r="E1244" s="55" t="n"/>
      <c r="F1244" s="56" t="n"/>
      <c r="G1244" s="196" t="n"/>
      <c r="H1244" s="196" t="n"/>
      <c r="I1244" s="55" t="n"/>
      <c r="J1244" s="55" t="n"/>
      <c r="K1244" s="55" t="n"/>
      <c r="L1244" s="100">
        <f>IF(OR($C1244="",$I1244="Оплачено",$I1244="Отменено",$H1244&lt;&gt;""),"",$C1244-TODAY())</f>
        <v/>
      </c>
      <c r="M1244" s="101">
        <f>IF($C1244="","",INDEX(Настройки!$V$6:$V$17,MONTH($C1244))&amp;" "&amp;YEAR($C1244))</f>
        <v/>
      </c>
      <c r="N1244" s="57">
        <f>IF($F1244="","",IF(COUNTIF(Постоянные!$C$8:$C$37,$F1244)&gt;0,"есть в Постоянных",IF(COUNTIF(Покупки!$C$7:$C$18,$F1244)&gt;0,"есть в Покупках","")))</f>
        <v/>
      </c>
      <c r="P1244">
        <f>IF($H1244&lt;&gt;"",$H1244,IF($I1244="Оплачено",N($G1244),0))</f>
        <v/>
      </c>
      <c r="Q1244">
        <f>IF($I1244="Отменено",0,IF($G1244&lt;&gt;"",$G1244,N($H1244)))</f>
        <v/>
      </c>
      <c r="R1244">
        <f>IF($C1244="","",IFERROR(DATE(Настройки!$C$8,Настройки!$D$9+MATCH($M1244,Настройки!$X$6:$X$17,0)-1,1),DATE(YEAR($C1244),MONTH($C1244),1)))</f>
        <v/>
      </c>
      <c r="S1244">
        <f>IF(OR($I1244="Оплачено",$H1244&lt;&gt;""),$P1244,$Q1244)</f>
        <v/>
      </c>
      <c r="T1244">
        <f>IF(OR($C1244="",$D1244="Доход",$I1244="Оплачено",$I1244="Отменено",$H1244&lt;&gt;"",$C1244&lt;TODAY()),"",$C1244)</f>
        <v/>
      </c>
      <c r="U1244">
        <f>IF(AND($D1244&lt;&gt;"Доход",COUNTIFS(Счета!$B$10:$B$21,$J1244,Счета!$C$10:$C$21,"Кредитная")&gt;0),1,0)</f>
        <v/>
      </c>
    </row>
    <row r="1245" ht="19" customHeight="1">
      <c r="B1245" s="53">
        <f>IF(AND($C1245="",$F1245=""),"",ROW()-9)</f>
        <v/>
      </c>
      <c r="C1245" s="213" t="n"/>
      <c r="D1245" s="55" t="n"/>
      <c r="E1245" s="55" t="n"/>
      <c r="F1245" s="56" t="n"/>
      <c r="G1245" s="196" t="n"/>
      <c r="H1245" s="196" t="n"/>
      <c r="I1245" s="55" t="n"/>
      <c r="J1245" s="55" t="n"/>
      <c r="K1245" s="55" t="n"/>
      <c r="L1245" s="100">
        <f>IF(OR($C1245="",$I1245="Оплачено",$I1245="Отменено",$H1245&lt;&gt;""),"",$C1245-TODAY())</f>
        <v/>
      </c>
      <c r="M1245" s="101">
        <f>IF($C1245="","",INDEX(Настройки!$V$6:$V$17,MONTH($C1245))&amp;" "&amp;YEAR($C1245))</f>
        <v/>
      </c>
      <c r="N1245" s="57">
        <f>IF($F1245="","",IF(COUNTIF(Постоянные!$C$8:$C$37,$F1245)&gt;0,"есть в Постоянных",IF(COUNTIF(Покупки!$C$7:$C$18,$F1245)&gt;0,"есть в Покупках","")))</f>
        <v/>
      </c>
      <c r="P1245">
        <f>IF($H1245&lt;&gt;"",$H1245,IF($I1245="Оплачено",N($G1245),0))</f>
        <v/>
      </c>
      <c r="Q1245">
        <f>IF($I1245="Отменено",0,IF($G1245&lt;&gt;"",$G1245,N($H1245)))</f>
        <v/>
      </c>
      <c r="R1245">
        <f>IF($C1245="","",IFERROR(DATE(Настройки!$C$8,Настройки!$D$9+MATCH($M1245,Настройки!$X$6:$X$17,0)-1,1),DATE(YEAR($C1245),MONTH($C1245),1)))</f>
        <v/>
      </c>
      <c r="S1245">
        <f>IF(OR($I1245="Оплачено",$H1245&lt;&gt;""),$P1245,$Q1245)</f>
        <v/>
      </c>
      <c r="T1245">
        <f>IF(OR($C1245="",$D1245="Доход",$I1245="Оплачено",$I1245="Отменено",$H1245&lt;&gt;"",$C1245&lt;TODAY()),"",$C1245)</f>
        <v/>
      </c>
      <c r="U1245">
        <f>IF(AND($D1245&lt;&gt;"Доход",COUNTIFS(Счета!$B$10:$B$21,$J1245,Счета!$C$10:$C$21,"Кредитная")&gt;0),1,0)</f>
        <v/>
      </c>
    </row>
    <row r="1246" ht="19" customHeight="1">
      <c r="B1246" s="53">
        <f>IF(AND($C1246="",$F1246=""),"",ROW()-9)</f>
        <v/>
      </c>
      <c r="C1246" s="213" t="n"/>
      <c r="D1246" s="55" t="n"/>
      <c r="E1246" s="55" t="n"/>
      <c r="F1246" s="56" t="n"/>
      <c r="G1246" s="196" t="n"/>
      <c r="H1246" s="196" t="n"/>
      <c r="I1246" s="55" t="n"/>
      <c r="J1246" s="55" t="n"/>
      <c r="K1246" s="55" t="n"/>
      <c r="L1246" s="100">
        <f>IF(OR($C1246="",$I1246="Оплачено",$I1246="Отменено",$H1246&lt;&gt;""),"",$C1246-TODAY())</f>
        <v/>
      </c>
      <c r="M1246" s="101">
        <f>IF($C1246="","",INDEX(Настройки!$V$6:$V$17,MONTH($C1246))&amp;" "&amp;YEAR($C1246))</f>
        <v/>
      </c>
      <c r="N1246" s="57">
        <f>IF($F1246="","",IF(COUNTIF(Постоянные!$C$8:$C$37,$F1246)&gt;0,"есть в Постоянных",IF(COUNTIF(Покупки!$C$7:$C$18,$F1246)&gt;0,"есть в Покупках","")))</f>
        <v/>
      </c>
      <c r="P1246">
        <f>IF($H1246&lt;&gt;"",$H1246,IF($I1246="Оплачено",N($G1246),0))</f>
        <v/>
      </c>
      <c r="Q1246">
        <f>IF($I1246="Отменено",0,IF($G1246&lt;&gt;"",$G1246,N($H1246)))</f>
        <v/>
      </c>
      <c r="R1246">
        <f>IF($C1246="","",IFERROR(DATE(Настройки!$C$8,Настройки!$D$9+MATCH($M1246,Настройки!$X$6:$X$17,0)-1,1),DATE(YEAR($C1246),MONTH($C1246),1)))</f>
        <v/>
      </c>
      <c r="S1246">
        <f>IF(OR($I1246="Оплачено",$H1246&lt;&gt;""),$P1246,$Q1246)</f>
        <v/>
      </c>
      <c r="T1246">
        <f>IF(OR($C1246="",$D1246="Доход",$I1246="Оплачено",$I1246="Отменено",$H1246&lt;&gt;"",$C1246&lt;TODAY()),"",$C1246)</f>
        <v/>
      </c>
      <c r="U1246">
        <f>IF(AND($D1246&lt;&gt;"Доход",COUNTIFS(Счета!$B$10:$B$21,$J1246,Счета!$C$10:$C$21,"Кредитная")&gt;0),1,0)</f>
        <v/>
      </c>
    </row>
    <row r="1247" ht="19" customHeight="1">
      <c r="B1247" s="53">
        <f>IF(AND($C1247="",$F1247=""),"",ROW()-9)</f>
        <v/>
      </c>
      <c r="C1247" s="213" t="n"/>
      <c r="D1247" s="55" t="n"/>
      <c r="E1247" s="55" t="n"/>
      <c r="F1247" s="56" t="n"/>
      <c r="G1247" s="196" t="n"/>
      <c r="H1247" s="196" t="n"/>
      <c r="I1247" s="55" t="n"/>
      <c r="J1247" s="55" t="n"/>
      <c r="K1247" s="55" t="n"/>
      <c r="L1247" s="100">
        <f>IF(OR($C1247="",$I1247="Оплачено",$I1247="Отменено",$H1247&lt;&gt;""),"",$C1247-TODAY())</f>
        <v/>
      </c>
      <c r="M1247" s="101">
        <f>IF($C1247="","",INDEX(Настройки!$V$6:$V$17,MONTH($C1247))&amp;" "&amp;YEAR($C1247))</f>
        <v/>
      </c>
      <c r="N1247" s="57">
        <f>IF($F1247="","",IF(COUNTIF(Постоянные!$C$8:$C$37,$F1247)&gt;0,"есть в Постоянных",IF(COUNTIF(Покупки!$C$7:$C$18,$F1247)&gt;0,"есть в Покупках","")))</f>
        <v/>
      </c>
      <c r="P1247">
        <f>IF($H1247&lt;&gt;"",$H1247,IF($I1247="Оплачено",N($G1247),0))</f>
        <v/>
      </c>
      <c r="Q1247">
        <f>IF($I1247="Отменено",0,IF($G1247&lt;&gt;"",$G1247,N($H1247)))</f>
        <v/>
      </c>
      <c r="R1247">
        <f>IF($C1247="","",IFERROR(DATE(Настройки!$C$8,Настройки!$D$9+MATCH($M1247,Настройки!$X$6:$X$17,0)-1,1),DATE(YEAR($C1247),MONTH($C1247),1)))</f>
        <v/>
      </c>
      <c r="S1247">
        <f>IF(OR($I1247="Оплачено",$H1247&lt;&gt;""),$P1247,$Q1247)</f>
        <v/>
      </c>
      <c r="T1247">
        <f>IF(OR($C1247="",$D1247="Доход",$I1247="Оплачено",$I1247="Отменено",$H1247&lt;&gt;"",$C1247&lt;TODAY()),"",$C1247)</f>
        <v/>
      </c>
      <c r="U1247">
        <f>IF(AND($D1247&lt;&gt;"Доход",COUNTIFS(Счета!$B$10:$B$21,$J1247,Счета!$C$10:$C$21,"Кредитная")&gt;0),1,0)</f>
        <v/>
      </c>
    </row>
    <row r="1248" ht="19" customHeight="1">
      <c r="B1248" s="53">
        <f>IF(AND($C1248="",$F1248=""),"",ROW()-9)</f>
        <v/>
      </c>
      <c r="C1248" s="213" t="n"/>
      <c r="D1248" s="55" t="n"/>
      <c r="E1248" s="55" t="n"/>
      <c r="F1248" s="56" t="n"/>
      <c r="G1248" s="196" t="n"/>
      <c r="H1248" s="196" t="n"/>
      <c r="I1248" s="55" t="n"/>
      <c r="J1248" s="55" t="n"/>
      <c r="K1248" s="55" t="n"/>
      <c r="L1248" s="100">
        <f>IF(OR($C1248="",$I1248="Оплачено",$I1248="Отменено",$H1248&lt;&gt;""),"",$C1248-TODAY())</f>
        <v/>
      </c>
      <c r="M1248" s="101">
        <f>IF($C1248="","",INDEX(Настройки!$V$6:$V$17,MONTH($C1248))&amp;" "&amp;YEAR($C1248))</f>
        <v/>
      </c>
      <c r="N1248" s="57">
        <f>IF($F1248="","",IF(COUNTIF(Постоянные!$C$8:$C$37,$F1248)&gt;0,"есть в Постоянных",IF(COUNTIF(Покупки!$C$7:$C$18,$F1248)&gt;0,"есть в Покупках","")))</f>
        <v/>
      </c>
      <c r="P1248">
        <f>IF($H1248&lt;&gt;"",$H1248,IF($I1248="Оплачено",N($G1248),0))</f>
        <v/>
      </c>
      <c r="Q1248">
        <f>IF($I1248="Отменено",0,IF($G1248&lt;&gt;"",$G1248,N($H1248)))</f>
        <v/>
      </c>
      <c r="R1248">
        <f>IF($C1248="","",IFERROR(DATE(Настройки!$C$8,Настройки!$D$9+MATCH($M1248,Настройки!$X$6:$X$17,0)-1,1),DATE(YEAR($C1248),MONTH($C1248),1)))</f>
        <v/>
      </c>
      <c r="S1248">
        <f>IF(OR($I1248="Оплачено",$H1248&lt;&gt;""),$P1248,$Q1248)</f>
        <v/>
      </c>
      <c r="T1248">
        <f>IF(OR($C1248="",$D1248="Доход",$I1248="Оплачено",$I1248="Отменено",$H1248&lt;&gt;"",$C1248&lt;TODAY()),"",$C1248)</f>
        <v/>
      </c>
      <c r="U1248">
        <f>IF(AND($D1248&lt;&gt;"Доход",COUNTIFS(Счета!$B$10:$B$21,$J1248,Счета!$C$10:$C$21,"Кредитная")&gt;0),1,0)</f>
        <v/>
      </c>
    </row>
    <row r="1249" ht="19" customHeight="1">
      <c r="B1249" s="53">
        <f>IF(AND($C1249="",$F1249=""),"",ROW()-9)</f>
        <v/>
      </c>
      <c r="C1249" s="213" t="n"/>
      <c r="D1249" s="55" t="n"/>
      <c r="E1249" s="55" t="n"/>
      <c r="F1249" s="56" t="n"/>
      <c r="G1249" s="196" t="n"/>
      <c r="H1249" s="196" t="n"/>
      <c r="I1249" s="55" t="n"/>
      <c r="J1249" s="55" t="n"/>
      <c r="K1249" s="55" t="n"/>
      <c r="L1249" s="100">
        <f>IF(OR($C1249="",$I1249="Оплачено",$I1249="Отменено",$H1249&lt;&gt;""),"",$C1249-TODAY())</f>
        <v/>
      </c>
      <c r="M1249" s="101">
        <f>IF($C1249="","",INDEX(Настройки!$V$6:$V$17,MONTH($C1249))&amp;" "&amp;YEAR($C1249))</f>
        <v/>
      </c>
      <c r="N1249" s="57">
        <f>IF($F1249="","",IF(COUNTIF(Постоянные!$C$8:$C$37,$F1249)&gt;0,"есть в Постоянных",IF(COUNTIF(Покупки!$C$7:$C$18,$F1249)&gt;0,"есть в Покупках","")))</f>
        <v/>
      </c>
      <c r="P1249">
        <f>IF($H1249&lt;&gt;"",$H1249,IF($I1249="Оплачено",N($G1249),0))</f>
        <v/>
      </c>
      <c r="Q1249">
        <f>IF($I1249="Отменено",0,IF($G1249&lt;&gt;"",$G1249,N($H1249)))</f>
        <v/>
      </c>
      <c r="R1249">
        <f>IF($C1249="","",IFERROR(DATE(Настройки!$C$8,Настройки!$D$9+MATCH($M1249,Настройки!$X$6:$X$17,0)-1,1),DATE(YEAR($C1249),MONTH($C1249),1)))</f>
        <v/>
      </c>
      <c r="S1249">
        <f>IF(OR($I1249="Оплачено",$H1249&lt;&gt;""),$P1249,$Q1249)</f>
        <v/>
      </c>
      <c r="T1249">
        <f>IF(OR($C1249="",$D1249="Доход",$I1249="Оплачено",$I1249="Отменено",$H1249&lt;&gt;"",$C1249&lt;TODAY()),"",$C1249)</f>
        <v/>
      </c>
      <c r="U1249">
        <f>IF(AND($D1249&lt;&gt;"Доход",COUNTIFS(Счета!$B$10:$B$21,$J1249,Счета!$C$10:$C$21,"Кредитная")&gt;0),1,0)</f>
        <v/>
      </c>
    </row>
    <row r="1250" ht="19" customHeight="1">
      <c r="B1250" s="53">
        <f>IF(AND($C1250="",$F1250=""),"",ROW()-9)</f>
        <v/>
      </c>
      <c r="C1250" s="213" t="n"/>
      <c r="D1250" s="55" t="n"/>
      <c r="E1250" s="55" t="n"/>
      <c r="F1250" s="56" t="n"/>
      <c r="G1250" s="196" t="n"/>
      <c r="H1250" s="196" t="n"/>
      <c r="I1250" s="55" t="n"/>
      <c r="J1250" s="55" t="n"/>
      <c r="K1250" s="55" t="n"/>
      <c r="L1250" s="100">
        <f>IF(OR($C1250="",$I1250="Оплачено",$I1250="Отменено",$H1250&lt;&gt;""),"",$C1250-TODAY())</f>
        <v/>
      </c>
      <c r="M1250" s="101">
        <f>IF($C1250="","",INDEX(Настройки!$V$6:$V$17,MONTH($C1250))&amp;" "&amp;YEAR($C1250))</f>
        <v/>
      </c>
      <c r="N1250" s="57">
        <f>IF($F1250="","",IF(COUNTIF(Постоянные!$C$8:$C$37,$F1250)&gt;0,"есть в Постоянных",IF(COUNTIF(Покупки!$C$7:$C$18,$F1250)&gt;0,"есть в Покупках","")))</f>
        <v/>
      </c>
      <c r="P1250">
        <f>IF($H1250&lt;&gt;"",$H1250,IF($I1250="Оплачено",N($G1250),0))</f>
        <v/>
      </c>
      <c r="Q1250">
        <f>IF($I1250="Отменено",0,IF($G1250&lt;&gt;"",$G1250,N($H1250)))</f>
        <v/>
      </c>
      <c r="R1250">
        <f>IF($C1250="","",IFERROR(DATE(Настройки!$C$8,Настройки!$D$9+MATCH($M1250,Настройки!$X$6:$X$17,0)-1,1),DATE(YEAR($C1250),MONTH($C1250),1)))</f>
        <v/>
      </c>
      <c r="S1250">
        <f>IF(OR($I1250="Оплачено",$H1250&lt;&gt;""),$P1250,$Q1250)</f>
        <v/>
      </c>
      <c r="T1250">
        <f>IF(OR($C1250="",$D1250="Доход",$I1250="Оплачено",$I1250="Отменено",$H1250&lt;&gt;"",$C1250&lt;TODAY()),"",$C1250)</f>
        <v/>
      </c>
      <c r="U1250">
        <f>IF(AND($D1250&lt;&gt;"Доход",COUNTIFS(Счета!$B$10:$B$21,$J1250,Счета!$C$10:$C$21,"Кредитная")&gt;0),1,0)</f>
        <v/>
      </c>
    </row>
    <row r="1251" ht="19" customHeight="1">
      <c r="B1251" s="53">
        <f>IF(AND($C1251="",$F1251=""),"",ROW()-9)</f>
        <v/>
      </c>
      <c r="C1251" s="213" t="n"/>
      <c r="D1251" s="55" t="n"/>
      <c r="E1251" s="55" t="n"/>
      <c r="F1251" s="56" t="n"/>
      <c r="G1251" s="196" t="n"/>
      <c r="H1251" s="196" t="n"/>
      <c r="I1251" s="55" t="n"/>
      <c r="J1251" s="55" t="n"/>
      <c r="K1251" s="55" t="n"/>
      <c r="L1251" s="100">
        <f>IF(OR($C1251="",$I1251="Оплачено",$I1251="Отменено",$H1251&lt;&gt;""),"",$C1251-TODAY())</f>
        <v/>
      </c>
      <c r="M1251" s="101">
        <f>IF($C1251="","",INDEX(Настройки!$V$6:$V$17,MONTH($C1251))&amp;" "&amp;YEAR($C1251))</f>
        <v/>
      </c>
      <c r="N1251" s="57">
        <f>IF($F1251="","",IF(COUNTIF(Постоянные!$C$8:$C$37,$F1251)&gt;0,"есть в Постоянных",IF(COUNTIF(Покупки!$C$7:$C$18,$F1251)&gt;0,"есть в Покупках","")))</f>
        <v/>
      </c>
      <c r="P1251">
        <f>IF($H1251&lt;&gt;"",$H1251,IF($I1251="Оплачено",N($G1251),0))</f>
        <v/>
      </c>
      <c r="Q1251">
        <f>IF($I1251="Отменено",0,IF($G1251&lt;&gt;"",$G1251,N($H1251)))</f>
        <v/>
      </c>
      <c r="R1251">
        <f>IF($C1251="","",IFERROR(DATE(Настройки!$C$8,Настройки!$D$9+MATCH($M1251,Настройки!$X$6:$X$17,0)-1,1),DATE(YEAR($C1251),MONTH($C1251),1)))</f>
        <v/>
      </c>
      <c r="S1251">
        <f>IF(OR($I1251="Оплачено",$H1251&lt;&gt;""),$P1251,$Q1251)</f>
        <v/>
      </c>
      <c r="T1251">
        <f>IF(OR($C1251="",$D1251="Доход",$I1251="Оплачено",$I1251="Отменено",$H1251&lt;&gt;"",$C1251&lt;TODAY()),"",$C1251)</f>
        <v/>
      </c>
      <c r="U1251">
        <f>IF(AND($D1251&lt;&gt;"Доход",COUNTIFS(Счета!$B$10:$B$21,$J1251,Счета!$C$10:$C$21,"Кредитная")&gt;0),1,0)</f>
        <v/>
      </c>
    </row>
    <row r="1252" ht="19" customHeight="1">
      <c r="B1252" s="53">
        <f>IF(AND($C1252="",$F1252=""),"",ROW()-9)</f>
        <v/>
      </c>
      <c r="C1252" s="213" t="n"/>
      <c r="D1252" s="55" t="n"/>
      <c r="E1252" s="55" t="n"/>
      <c r="F1252" s="56" t="n"/>
      <c r="G1252" s="196" t="n"/>
      <c r="H1252" s="196" t="n"/>
      <c r="I1252" s="55" t="n"/>
      <c r="J1252" s="55" t="n"/>
      <c r="K1252" s="55" t="n"/>
      <c r="L1252" s="100">
        <f>IF(OR($C1252="",$I1252="Оплачено",$I1252="Отменено",$H1252&lt;&gt;""),"",$C1252-TODAY())</f>
        <v/>
      </c>
      <c r="M1252" s="101">
        <f>IF($C1252="","",INDEX(Настройки!$V$6:$V$17,MONTH($C1252))&amp;" "&amp;YEAR($C1252))</f>
        <v/>
      </c>
      <c r="N1252" s="57">
        <f>IF($F1252="","",IF(COUNTIF(Постоянные!$C$8:$C$37,$F1252)&gt;0,"есть в Постоянных",IF(COUNTIF(Покупки!$C$7:$C$18,$F1252)&gt;0,"есть в Покупках","")))</f>
        <v/>
      </c>
      <c r="P1252">
        <f>IF($H1252&lt;&gt;"",$H1252,IF($I1252="Оплачено",N($G1252),0))</f>
        <v/>
      </c>
      <c r="Q1252">
        <f>IF($I1252="Отменено",0,IF($G1252&lt;&gt;"",$G1252,N($H1252)))</f>
        <v/>
      </c>
      <c r="R1252">
        <f>IF($C1252="","",IFERROR(DATE(Настройки!$C$8,Настройки!$D$9+MATCH($M1252,Настройки!$X$6:$X$17,0)-1,1),DATE(YEAR($C1252),MONTH($C1252),1)))</f>
        <v/>
      </c>
      <c r="S1252">
        <f>IF(OR($I1252="Оплачено",$H1252&lt;&gt;""),$P1252,$Q1252)</f>
        <v/>
      </c>
      <c r="T1252">
        <f>IF(OR($C1252="",$D1252="Доход",$I1252="Оплачено",$I1252="Отменено",$H1252&lt;&gt;"",$C1252&lt;TODAY()),"",$C1252)</f>
        <v/>
      </c>
      <c r="U1252">
        <f>IF(AND($D1252&lt;&gt;"Доход",COUNTIFS(Счета!$B$10:$B$21,$J1252,Счета!$C$10:$C$21,"Кредитная")&gt;0),1,0)</f>
        <v/>
      </c>
    </row>
    <row r="1253" ht="19" customHeight="1">
      <c r="B1253" s="53">
        <f>IF(AND($C1253="",$F1253=""),"",ROW()-9)</f>
        <v/>
      </c>
      <c r="C1253" s="213" t="n"/>
      <c r="D1253" s="55" t="n"/>
      <c r="E1253" s="55" t="n"/>
      <c r="F1253" s="56" t="n"/>
      <c r="G1253" s="196" t="n"/>
      <c r="H1253" s="196" t="n"/>
      <c r="I1253" s="55" t="n"/>
      <c r="J1253" s="55" t="n"/>
      <c r="K1253" s="55" t="n"/>
      <c r="L1253" s="100">
        <f>IF(OR($C1253="",$I1253="Оплачено",$I1253="Отменено",$H1253&lt;&gt;""),"",$C1253-TODAY())</f>
        <v/>
      </c>
      <c r="M1253" s="101">
        <f>IF($C1253="","",INDEX(Настройки!$V$6:$V$17,MONTH($C1253))&amp;" "&amp;YEAR($C1253))</f>
        <v/>
      </c>
      <c r="N1253" s="57">
        <f>IF($F1253="","",IF(COUNTIF(Постоянные!$C$8:$C$37,$F1253)&gt;0,"есть в Постоянных",IF(COUNTIF(Покупки!$C$7:$C$18,$F1253)&gt;0,"есть в Покупках","")))</f>
        <v/>
      </c>
      <c r="P1253">
        <f>IF($H1253&lt;&gt;"",$H1253,IF($I1253="Оплачено",N($G1253),0))</f>
        <v/>
      </c>
      <c r="Q1253">
        <f>IF($I1253="Отменено",0,IF($G1253&lt;&gt;"",$G1253,N($H1253)))</f>
        <v/>
      </c>
      <c r="R1253">
        <f>IF($C1253="","",IFERROR(DATE(Настройки!$C$8,Настройки!$D$9+MATCH($M1253,Настройки!$X$6:$X$17,0)-1,1),DATE(YEAR($C1253),MONTH($C1253),1)))</f>
        <v/>
      </c>
      <c r="S1253">
        <f>IF(OR($I1253="Оплачено",$H1253&lt;&gt;""),$P1253,$Q1253)</f>
        <v/>
      </c>
      <c r="T1253">
        <f>IF(OR($C1253="",$D1253="Доход",$I1253="Оплачено",$I1253="Отменено",$H1253&lt;&gt;"",$C1253&lt;TODAY()),"",$C1253)</f>
        <v/>
      </c>
      <c r="U1253">
        <f>IF(AND($D1253&lt;&gt;"Доход",COUNTIFS(Счета!$B$10:$B$21,$J1253,Счета!$C$10:$C$21,"Кредитная")&gt;0),1,0)</f>
        <v/>
      </c>
    </row>
    <row r="1254" ht="19" customHeight="1">
      <c r="B1254" s="53">
        <f>IF(AND($C1254="",$F1254=""),"",ROW()-9)</f>
        <v/>
      </c>
      <c r="C1254" s="213" t="n"/>
      <c r="D1254" s="55" t="n"/>
      <c r="E1254" s="55" t="n"/>
      <c r="F1254" s="56" t="n"/>
      <c r="G1254" s="196" t="n"/>
      <c r="H1254" s="196" t="n"/>
      <c r="I1254" s="55" t="n"/>
      <c r="J1254" s="55" t="n"/>
      <c r="K1254" s="55" t="n"/>
      <c r="L1254" s="100">
        <f>IF(OR($C1254="",$I1254="Оплачено",$I1254="Отменено",$H1254&lt;&gt;""),"",$C1254-TODAY())</f>
        <v/>
      </c>
      <c r="M1254" s="101">
        <f>IF($C1254="","",INDEX(Настройки!$V$6:$V$17,MONTH($C1254))&amp;" "&amp;YEAR($C1254))</f>
        <v/>
      </c>
      <c r="N1254" s="57">
        <f>IF($F1254="","",IF(COUNTIF(Постоянные!$C$8:$C$37,$F1254)&gt;0,"есть в Постоянных",IF(COUNTIF(Покупки!$C$7:$C$18,$F1254)&gt;0,"есть в Покупках","")))</f>
        <v/>
      </c>
      <c r="P1254">
        <f>IF($H1254&lt;&gt;"",$H1254,IF($I1254="Оплачено",N($G1254),0))</f>
        <v/>
      </c>
      <c r="Q1254">
        <f>IF($I1254="Отменено",0,IF($G1254&lt;&gt;"",$G1254,N($H1254)))</f>
        <v/>
      </c>
      <c r="R1254">
        <f>IF($C1254="","",IFERROR(DATE(Настройки!$C$8,Настройки!$D$9+MATCH($M1254,Настройки!$X$6:$X$17,0)-1,1),DATE(YEAR($C1254),MONTH($C1254),1)))</f>
        <v/>
      </c>
      <c r="S1254">
        <f>IF(OR($I1254="Оплачено",$H1254&lt;&gt;""),$P1254,$Q1254)</f>
        <v/>
      </c>
      <c r="T1254">
        <f>IF(OR($C1254="",$D1254="Доход",$I1254="Оплачено",$I1254="Отменено",$H1254&lt;&gt;"",$C1254&lt;TODAY()),"",$C1254)</f>
        <v/>
      </c>
      <c r="U1254">
        <f>IF(AND($D1254&lt;&gt;"Доход",COUNTIFS(Счета!$B$10:$B$21,$J1254,Счета!$C$10:$C$21,"Кредитная")&gt;0),1,0)</f>
        <v/>
      </c>
    </row>
    <row r="1255" ht="19" customHeight="1">
      <c r="B1255" s="53">
        <f>IF(AND($C1255="",$F1255=""),"",ROW()-9)</f>
        <v/>
      </c>
      <c r="C1255" s="213" t="n"/>
      <c r="D1255" s="55" t="n"/>
      <c r="E1255" s="55" t="n"/>
      <c r="F1255" s="56" t="n"/>
      <c r="G1255" s="196" t="n"/>
      <c r="H1255" s="196" t="n"/>
      <c r="I1255" s="55" t="n"/>
      <c r="J1255" s="55" t="n"/>
      <c r="K1255" s="55" t="n"/>
      <c r="L1255" s="100">
        <f>IF(OR($C1255="",$I1255="Оплачено",$I1255="Отменено",$H1255&lt;&gt;""),"",$C1255-TODAY())</f>
        <v/>
      </c>
      <c r="M1255" s="101">
        <f>IF($C1255="","",INDEX(Настройки!$V$6:$V$17,MONTH($C1255))&amp;" "&amp;YEAR($C1255))</f>
        <v/>
      </c>
      <c r="N1255" s="57">
        <f>IF($F1255="","",IF(COUNTIF(Постоянные!$C$8:$C$37,$F1255)&gt;0,"есть в Постоянных",IF(COUNTIF(Покупки!$C$7:$C$18,$F1255)&gt;0,"есть в Покупках","")))</f>
        <v/>
      </c>
      <c r="P1255">
        <f>IF($H1255&lt;&gt;"",$H1255,IF($I1255="Оплачено",N($G1255),0))</f>
        <v/>
      </c>
      <c r="Q1255">
        <f>IF($I1255="Отменено",0,IF($G1255&lt;&gt;"",$G1255,N($H1255)))</f>
        <v/>
      </c>
      <c r="R1255">
        <f>IF($C1255="","",IFERROR(DATE(Настройки!$C$8,Настройки!$D$9+MATCH($M1255,Настройки!$X$6:$X$17,0)-1,1),DATE(YEAR($C1255),MONTH($C1255),1)))</f>
        <v/>
      </c>
      <c r="S1255">
        <f>IF(OR($I1255="Оплачено",$H1255&lt;&gt;""),$P1255,$Q1255)</f>
        <v/>
      </c>
      <c r="T1255">
        <f>IF(OR($C1255="",$D1255="Доход",$I1255="Оплачено",$I1255="Отменено",$H1255&lt;&gt;"",$C1255&lt;TODAY()),"",$C1255)</f>
        <v/>
      </c>
      <c r="U1255">
        <f>IF(AND($D1255&lt;&gt;"Доход",COUNTIFS(Счета!$B$10:$B$21,$J1255,Счета!$C$10:$C$21,"Кредитная")&gt;0),1,0)</f>
        <v/>
      </c>
    </row>
    <row r="1256" ht="19" customHeight="1">
      <c r="B1256" s="53">
        <f>IF(AND($C1256="",$F1256=""),"",ROW()-9)</f>
        <v/>
      </c>
      <c r="C1256" s="213" t="n"/>
      <c r="D1256" s="55" t="n"/>
      <c r="E1256" s="55" t="n"/>
      <c r="F1256" s="56" t="n"/>
      <c r="G1256" s="196" t="n"/>
      <c r="H1256" s="196" t="n"/>
      <c r="I1256" s="55" t="n"/>
      <c r="J1256" s="55" t="n"/>
      <c r="K1256" s="55" t="n"/>
      <c r="L1256" s="100">
        <f>IF(OR($C1256="",$I1256="Оплачено",$I1256="Отменено",$H1256&lt;&gt;""),"",$C1256-TODAY())</f>
        <v/>
      </c>
      <c r="M1256" s="101">
        <f>IF($C1256="","",INDEX(Настройки!$V$6:$V$17,MONTH($C1256))&amp;" "&amp;YEAR($C1256))</f>
        <v/>
      </c>
      <c r="N1256" s="57">
        <f>IF($F1256="","",IF(COUNTIF(Постоянные!$C$8:$C$37,$F1256)&gt;0,"есть в Постоянных",IF(COUNTIF(Покупки!$C$7:$C$18,$F1256)&gt;0,"есть в Покупках","")))</f>
        <v/>
      </c>
      <c r="P1256">
        <f>IF($H1256&lt;&gt;"",$H1256,IF($I1256="Оплачено",N($G1256),0))</f>
        <v/>
      </c>
      <c r="Q1256">
        <f>IF($I1256="Отменено",0,IF($G1256&lt;&gt;"",$G1256,N($H1256)))</f>
        <v/>
      </c>
      <c r="R1256">
        <f>IF($C1256="","",IFERROR(DATE(Настройки!$C$8,Настройки!$D$9+MATCH($M1256,Настройки!$X$6:$X$17,0)-1,1),DATE(YEAR($C1256),MONTH($C1256),1)))</f>
        <v/>
      </c>
      <c r="S1256">
        <f>IF(OR($I1256="Оплачено",$H1256&lt;&gt;""),$P1256,$Q1256)</f>
        <v/>
      </c>
      <c r="T1256">
        <f>IF(OR($C1256="",$D1256="Доход",$I1256="Оплачено",$I1256="Отменено",$H1256&lt;&gt;"",$C1256&lt;TODAY()),"",$C1256)</f>
        <v/>
      </c>
      <c r="U1256">
        <f>IF(AND($D1256&lt;&gt;"Доход",COUNTIFS(Счета!$B$10:$B$21,$J1256,Счета!$C$10:$C$21,"Кредитная")&gt;0),1,0)</f>
        <v/>
      </c>
    </row>
    <row r="1257" ht="19" customHeight="1">
      <c r="B1257" s="53">
        <f>IF(AND($C1257="",$F1257=""),"",ROW()-9)</f>
        <v/>
      </c>
      <c r="C1257" s="213" t="n"/>
      <c r="D1257" s="55" t="n"/>
      <c r="E1257" s="55" t="n"/>
      <c r="F1257" s="56" t="n"/>
      <c r="G1257" s="196" t="n"/>
      <c r="H1257" s="196" t="n"/>
      <c r="I1257" s="55" t="n"/>
      <c r="J1257" s="55" t="n"/>
      <c r="K1257" s="55" t="n"/>
      <c r="L1257" s="100">
        <f>IF(OR($C1257="",$I1257="Оплачено",$I1257="Отменено",$H1257&lt;&gt;""),"",$C1257-TODAY())</f>
        <v/>
      </c>
      <c r="M1257" s="101">
        <f>IF($C1257="","",INDEX(Настройки!$V$6:$V$17,MONTH($C1257))&amp;" "&amp;YEAR($C1257))</f>
        <v/>
      </c>
      <c r="N1257" s="57">
        <f>IF($F1257="","",IF(COUNTIF(Постоянные!$C$8:$C$37,$F1257)&gt;0,"есть в Постоянных",IF(COUNTIF(Покупки!$C$7:$C$18,$F1257)&gt;0,"есть в Покупках","")))</f>
        <v/>
      </c>
      <c r="P1257">
        <f>IF($H1257&lt;&gt;"",$H1257,IF($I1257="Оплачено",N($G1257),0))</f>
        <v/>
      </c>
      <c r="Q1257">
        <f>IF($I1257="Отменено",0,IF($G1257&lt;&gt;"",$G1257,N($H1257)))</f>
        <v/>
      </c>
      <c r="R1257">
        <f>IF($C1257="","",IFERROR(DATE(Настройки!$C$8,Настройки!$D$9+MATCH($M1257,Настройки!$X$6:$X$17,0)-1,1),DATE(YEAR($C1257),MONTH($C1257),1)))</f>
        <v/>
      </c>
      <c r="S1257">
        <f>IF(OR($I1257="Оплачено",$H1257&lt;&gt;""),$P1257,$Q1257)</f>
        <v/>
      </c>
      <c r="T1257">
        <f>IF(OR($C1257="",$D1257="Доход",$I1257="Оплачено",$I1257="Отменено",$H1257&lt;&gt;"",$C1257&lt;TODAY()),"",$C1257)</f>
        <v/>
      </c>
      <c r="U1257">
        <f>IF(AND($D1257&lt;&gt;"Доход",COUNTIFS(Счета!$B$10:$B$21,$J1257,Счета!$C$10:$C$21,"Кредитная")&gt;0),1,0)</f>
        <v/>
      </c>
    </row>
    <row r="1258" ht="19" customHeight="1">
      <c r="B1258" s="53">
        <f>IF(AND($C1258="",$F1258=""),"",ROW()-9)</f>
        <v/>
      </c>
      <c r="C1258" s="213" t="n"/>
      <c r="D1258" s="55" t="n"/>
      <c r="E1258" s="55" t="n"/>
      <c r="F1258" s="56" t="n"/>
      <c r="G1258" s="196" t="n"/>
      <c r="H1258" s="196" t="n"/>
      <c r="I1258" s="55" t="n"/>
      <c r="J1258" s="55" t="n"/>
      <c r="K1258" s="55" t="n"/>
      <c r="L1258" s="100">
        <f>IF(OR($C1258="",$I1258="Оплачено",$I1258="Отменено",$H1258&lt;&gt;""),"",$C1258-TODAY())</f>
        <v/>
      </c>
      <c r="M1258" s="101">
        <f>IF($C1258="","",INDEX(Настройки!$V$6:$V$17,MONTH($C1258))&amp;" "&amp;YEAR($C1258))</f>
        <v/>
      </c>
      <c r="N1258" s="57">
        <f>IF($F1258="","",IF(COUNTIF(Постоянные!$C$8:$C$37,$F1258)&gt;0,"есть в Постоянных",IF(COUNTIF(Покупки!$C$7:$C$18,$F1258)&gt;0,"есть в Покупках","")))</f>
        <v/>
      </c>
      <c r="P1258">
        <f>IF($H1258&lt;&gt;"",$H1258,IF($I1258="Оплачено",N($G1258),0))</f>
        <v/>
      </c>
      <c r="Q1258">
        <f>IF($I1258="Отменено",0,IF($G1258&lt;&gt;"",$G1258,N($H1258)))</f>
        <v/>
      </c>
      <c r="R1258">
        <f>IF($C1258="","",IFERROR(DATE(Настройки!$C$8,Настройки!$D$9+MATCH($M1258,Настройки!$X$6:$X$17,0)-1,1),DATE(YEAR($C1258),MONTH($C1258),1)))</f>
        <v/>
      </c>
      <c r="S1258">
        <f>IF(OR($I1258="Оплачено",$H1258&lt;&gt;""),$P1258,$Q1258)</f>
        <v/>
      </c>
      <c r="T1258">
        <f>IF(OR($C1258="",$D1258="Доход",$I1258="Оплачено",$I1258="Отменено",$H1258&lt;&gt;"",$C1258&lt;TODAY()),"",$C1258)</f>
        <v/>
      </c>
      <c r="U1258">
        <f>IF(AND($D1258&lt;&gt;"Доход",COUNTIFS(Счета!$B$10:$B$21,$J1258,Счета!$C$10:$C$21,"Кредитная")&gt;0),1,0)</f>
        <v/>
      </c>
    </row>
    <row r="1259" ht="19" customHeight="1">
      <c r="B1259" s="53">
        <f>IF(AND($C1259="",$F1259=""),"",ROW()-9)</f>
        <v/>
      </c>
      <c r="C1259" s="213" t="n"/>
      <c r="D1259" s="55" t="n"/>
      <c r="E1259" s="55" t="n"/>
      <c r="F1259" s="56" t="n"/>
      <c r="G1259" s="196" t="n"/>
      <c r="H1259" s="196" t="n"/>
      <c r="I1259" s="55" t="n"/>
      <c r="J1259" s="55" t="n"/>
      <c r="K1259" s="55" t="n"/>
      <c r="L1259" s="100">
        <f>IF(OR($C1259="",$I1259="Оплачено",$I1259="Отменено",$H1259&lt;&gt;""),"",$C1259-TODAY())</f>
        <v/>
      </c>
      <c r="M1259" s="101">
        <f>IF($C1259="","",INDEX(Настройки!$V$6:$V$17,MONTH($C1259))&amp;" "&amp;YEAR($C1259))</f>
        <v/>
      </c>
      <c r="N1259" s="57">
        <f>IF($F1259="","",IF(COUNTIF(Постоянные!$C$8:$C$37,$F1259)&gt;0,"есть в Постоянных",IF(COUNTIF(Покупки!$C$7:$C$18,$F1259)&gt;0,"есть в Покупках","")))</f>
        <v/>
      </c>
      <c r="P1259">
        <f>IF($H1259&lt;&gt;"",$H1259,IF($I1259="Оплачено",N($G1259),0))</f>
        <v/>
      </c>
      <c r="Q1259">
        <f>IF($I1259="Отменено",0,IF($G1259&lt;&gt;"",$G1259,N($H1259)))</f>
        <v/>
      </c>
      <c r="R1259">
        <f>IF($C1259="","",IFERROR(DATE(Настройки!$C$8,Настройки!$D$9+MATCH($M1259,Настройки!$X$6:$X$17,0)-1,1),DATE(YEAR($C1259),MONTH($C1259),1)))</f>
        <v/>
      </c>
      <c r="S1259">
        <f>IF(OR($I1259="Оплачено",$H1259&lt;&gt;""),$P1259,$Q1259)</f>
        <v/>
      </c>
      <c r="T1259">
        <f>IF(OR($C1259="",$D1259="Доход",$I1259="Оплачено",$I1259="Отменено",$H1259&lt;&gt;"",$C1259&lt;TODAY()),"",$C1259)</f>
        <v/>
      </c>
      <c r="U1259">
        <f>IF(AND($D1259&lt;&gt;"Доход",COUNTIFS(Счета!$B$10:$B$21,$J1259,Счета!$C$10:$C$21,"Кредитная")&gt;0),1,0)</f>
        <v/>
      </c>
    </row>
    <row r="1260" ht="19" customHeight="1">
      <c r="B1260" s="53">
        <f>IF(AND($C1260="",$F1260=""),"",ROW()-9)</f>
        <v/>
      </c>
      <c r="C1260" s="213" t="n"/>
      <c r="D1260" s="55" t="n"/>
      <c r="E1260" s="55" t="n"/>
      <c r="F1260" s="56" t="n"/>
      <c r="G1260" s="196" t="n"/>
      <c r="H1260" s="196" t="n"/>
      <c r="I1260" s="55" t="n"/>
      <c r="J1260" s="55" t="n"/>
      <c r="K1260" s="55" t="n"/>
      <c r="L1260" s="100">
        <f>IF(OR($C1260="",$I1260="Оплачено",$I1260="Отменено",$H1260&lt;&gt;""),"",$C1260-TODAY())</f>
        <v/>
      </c>
      <c r="M1260" s="101">
        <f>IF($C1260="","",INDEX(Настройки!$V$6:$V$17,MONTH($C1260))&amp;" "&amp;YEAR($C1260))</f>
        <v/>
      </c>
      <c r="N1260" s="57">
        <f>IF($F1260="","",IF(COUNTIF(Постоянные!$C$8:$C$37,$F1260)&gt;0,"есть в Постоянных",IF(COUNTIF(Покупки!$C$7:$C$18,$F1260)&gt;0,"есть в Покупках","")))</f>
        <v/>
      </c>
      <c r="P1260">
        <f>IF($H1260&lt;&gt;"",$H1260,IF($I1260="Оплачено",N($G1260),0))</f>
        <v/>
      </c>
      <c r="Q1260">
        <f>IF($I1260="Отменено",0,IF($G1260&lt;&gt;"",$G1260,N($H1260)))</f>
        <v/>
      </c>
      <c r="R1260">
        <f>IF($C1260="","",IFERROR(DATE(Настройки!$C$8,Настройки!$D$9+MATCH($M1260,Настройки!$X$6:$X$17,0)-1,1),DATE(YEAR($C1260),MONTH($C1260),1)))</f>
        <v/>
      </c>
      <c r="S1260">
        <f>IF(OR($I1260="Оплачено",$H1260&lt;&gt;""),$P1260,$Q1260)</f>
        <v/>
      </c>
      <c r="T1260">
        <f>IF(OR($C1260="",$D1260="Доход",$I1260="Оплачено",$I1260="Отменено",$H1260&lt;&gt;"",$C1260&lt;TODAY()),"",$C1260)</f>
        <v/>
      </c>
      <c r="U1260">
        <f>IF(AND($D1260&lt;&gt;"Доход",COUNTIFS(Счета!$B$10:$B$21,$J1260,Счета!$C$10:$C$21,"Кредитная")&gt;0),1,0)</f>
        <v/>
      </c>
    </row>
    <row r="1261" ht="19" customHeight="1">
      <c r="B1261" s="53">
        <f>IF(AND($C1261="",$F1261=""),"",ROW()-9)</f>
        <v/>
      </c>
      <c r="C1261" s="213" t="n"/>
      <c r="D1261" s="55" t="n"/>
      <c r="E1261" s="55" t="n"/>
      <c r="F1261" s="56" t="n"/>
      <c r="G1261" s="196" t="n"/>
      <c r="H1261" s="196" t="n"/>
      <c r="I1261" s="55" t="n"/>
      <c r="J1261" s="55" t="n"/>
      <c r="K1261" s="55" t="n"/>
      <c r="L1261" s="100">
        <f>IF(OR($C1261="",$I1261="Оплачено",$I1261="Отменено",$H1261&lt;&gt;""),"",$C1261-TODAY())</f>
        <v/>
      </c>
      <c r="M1261" s="101">
        <f>IF($C1261="","",INDEX(Настройки!$V$6:$V$17,MONTH($C1261))&amp;" "&amp;YEAR($C1261))</f>
        <v/>
      </c>
      <c r="N1261" s="57">
        <f>IF($F1261="","",IF(COUNTIF(Постоянные!$C$8:$C$37,$F1261)&gt;0,"есть в Постоянных",IF(COUNTIF(Покупки!$C$7:$C$18,$F1261)&gt;0,"есть в Покупках","")))</f>
        <v/>
      </c>
      <c r="P1261">
        <f>IF($H1261&lt;&gt;"",$H1261,IF($I1261="Оплачено",N($G1261),0))</f>
        <v/>
      </c>
      <c r="Q1261">
        <f>IF($I1261="Отменено",0,IF($G1261&lt;&gt;"",$G1261,N($H1261)))</f>
        <v/>
      </c>
      <c r="R1261">
        <f>IF($C1261="","",IFERROR(DATE(Настройки!$C$8,Настройки!$D$9+MATCH($M1261,Настройки!$X$6:$X$17,0)-1,1),DATE(YEAR($C1261),MONTH($C1261),1)))</f>
        <v/>
      </c>
      <c r="S1261">
        <f>IF(OR($I1261="Оплачено",$H1261&lt;&gt;""),$P1261,$Q1261)</f>
        <v/>
      </c>
      <c r="T1261">
        <f>IF(OR($C1261="",$D1261="Доход",$I1261="Оплачено",$I1261="Отменено",$H1261&lt;&gt;"",$C1261&lt;TODAY()),"",$C1261)</f>
        <v/>
      </c>
      <c r="U1261">
        <f>IF(AND($D1261&lt;&gt;"Доход",COUNTIFS(Счета!$B$10:$B$21,$J1261,Счета!$C$10:$C$21,"Кредитная")&gt;0),1,0)</f>
        <v/>
      </c>
    </row>
    <row r="1262" ht="19" customHeight="1">
      <c r="B1262" s="53">
        <f>IF(AND($C1262="",$F1262=""),"",ROW()-9)</f>
        <v/>
      </c>
      <c r="C1262" s="213" t="n"/>
      <c r="D1262" s="55" t="n"/>
      <c r="E1262" s="55" t="n"/>
      <c r="F1262" s="56" t="n"/>
      <c r="G1262" s="196" t="n"/>
      <c r="H1262" s="196" t="n"/>
      <c r="I1262" s="55" t="n"/>
      <c r="J1262" s="55" t="n"/>
      <c r="K1262" s="55" t="n"/>
      <c r="L1262" s="100">
        <f>IF(OR($C1262="",$I1262="Оплачено",$I1262="Отменено",$H1262&lt;&gt;""),"",$C1262-TODAY())</f>
        <v/>
      </c>
      <c r="M1262" s="101">
        <f>IF($C1262="","",INDEX(Настройки!$V$6:$V$17,MONTH($C1262))&amp;" "&amp;YEAR($C1262))</f>
        <v/>
      </c>
      <c r="N1262" s="57">
        <f>IF($F1262="","",IF(COUNTIF(Постоянные!$C$8:$C$37,$F1262)&gt;0,"есть в Постоянных",IF(COUNTIF(Покупки!$C$7:$C$18,$F1262)&gt;0,"есть в Покупках","")))</f>
        <v/>
      </c>
      <c r="P1262">
        <f>IF($H1262&lt;&gt;"",$H1262,IF($I1262="Оплачено",N($G1262),0))</f>
        <v/>
      </c>
      <c r="Q1262">
        <f>IF($I1262="Отменено",0,IF($G1262&lt;&gt;"",$G1262,N($H1262)))</f>
        <v/>
      </c>
      <c r="R1262">
        <f>IF($C1262="","",IFERROR(DATE(Настройки!$C$8,Настройки!$D$9+MATCH($M1262,Настройки!$X$6:$X$17,0)-1,1),DATE(YEAR($C1262),MONTH($C1262),1)))</f>
        <v/>
      </c>
      <c r="S1262">
        <f>IF(OR($I1262="Оплачено",$H1262&lt;&gt;""),$P1262,$Q1262)</f>
        <v/>
      </c>
      <c r="T1262">
        <f>IF(OR($C1262="",$D1262="Доход",$I1262="Оплачено",$I1262="Отменено",$H1262&lt;&gt;"",$C1262&lt;TODAY()),"",$C1262)</f>
        <v/>
      </c>
      <c r="U1262">
        <f>IF(AND($D1262&lt;&gt;"Доход",COUNTIFS(Счета!$B$10:$B$21,$J1262,Счета!$C$10:$C$21,"Кредитная")&gt;0),1,0)</f>
        <v/>
      </c>
    </row>
    <row r="1263" ht="19" customHeight="1">
      <c r="B1263" s="53">
        <f>IF(AND($C1263="",$F1263=""),"",ROW()-9)</f>
        <v/>
      </c>
      <c r="C1263" s="213" t="n"/>
      <c r="D1263" s="55" t="n"/>
      <c r="E1263" s="55" t="n"/>
      <c r="F1263" s="56" t="n"/>
      <c r="G1263" s="196" t="n"/>
      <c r="H1263" s="196" t="n"/>
      <c r="I1263" s="55" t="n"/>
      <c r="J1263" s="55" t="n"/>
      <c r="K1263" s="55" t="n"/>
      <c r="L1263" s="100">
        <f>IF(OR($C1263="",$I1263="Оплачено",$I1263="Отменено",$H1263&lt;&gt;""),"",$C1263-TODAY())</f>
        <v/>
      </c>
      <c r="M1263" s="101">
        <f>IF($C1263="","",INDEX(Настройки!$V$6:$V$17,MONTH($C1263))&amp;" "&amp;YEAR($C1263))</f>
        <v/>
      </c>
      <c r="N1263" s="57">
        <f>IF($F1263="","",IF(COUNTIF(Постоянные!$C$8:$C$37,$F1263)&gt;0,"есть в Постоянных",IF(COUNTIF(Покупки!$C$7:$C$18,$F1263)&gt;0,"есть в Покупках","")))</f>
        <v/>
      </c>
      <c r="P1263">
        <f>IF($H1263&lt;&gt;"",$H1263,IF($I1263="Оплачено",N($G1263),0))</f>
        <v/>
      </c>
      <c r="Q1263">
        <f>IF($I1263="Отменено",0,IF($G1263&lt;&gt;"",$G1263,N($H1263)))</f>
        <v/>
      </c>
      <c r="R1263">
        <f>IF($C1263="","",IFERROR(DATE(Настройки!$C$8,Настройки!$D$9+MATCH($M1263,Настройки!$X$6:$X$17,0)-1,1),DATE(YEAR($C1263),MONTH($C1263),1)))</f>
        <v/>
      </c>
      <c r="S1263">
        <f>IF(OR($I1263="Оплачено",$H1263&lt;&gt;""),$P1263,$Q1263)</f>
        <v/>
      </c>
      <c r="T1263">
        <f>IF(OR($C1263="",$D1263="Доход",$I1263="Оплачено",$I1263="Отменено",$H1263&lt;&gt;"",$C1263&lt;TODAY()),"",$C1263)</f>
        <v/>
      </c>
      <c r="U1263">
        <f>IF(AND($D1263&lt;&gt;"Доход",COUNTIFS(Счета!$B$10:$B$21,$J1263,Счета!$C$10:$C$21,"Кредитная")&gt;0),1,0)</f>
        <v/>
      </c>
    </row>
    <row r="1264" ht="19" customHeight="1">
      <c r="B1264" s="53">
        <f>IF(AND($C1264="",$F1264=""),"",ROW()-9)</f>
        <v/>
      </c>
      <c r="C1264" s="213" t="n"/>
      <c r="D1264" s="55" t="n"/>
      <c r="E1264" s="55" t="n"/>
      <c r="F1264" s="56" t="n"/>
      <c r="G1264" s="196" t="n"/>
      <c r="H1264" s="196" t="n"/>
      <c r="I1264" s="55" t="n"/>
      <c r="J1264" s="55" t="n"/>
      <c r="K1264" s="55" t="n"/>
      <c r="L1264" s="100">
        <f>IF(OR($C1264="",$I1264="Оплачено",$I1264="Отменено",$H1264&lt;&gt;""),"",$C1264-TODAY())</f>
        <v/>
      </c>
      <c r="M1264" s="101">
        <f>IF($C1264="","",INDEX(Настройки!$V$6:$V$17,MONTH($C1264))&amp;" "&amp;YEAR($C1264))</f>
        <v/>
      </c>
      <c r="N1264" s="57">
        <f>IF($F1264="","",IF(COUNTIF(Постоянные!$C$8:$C$37,$F1264)&gt;0,"есть в Постоянных",IF(COUNTIF(Покупки!$C$7:$C$18,$F1264)&gt;0,"есть в Покупках","")))</f>
        <v/>
      </c>
      <c r="P1264">
        <f>IF($H1264&lt;&gt;"",$H1264,IF($I1264="Оплачено",N($G1264),0))</f>
        <v/>
      </c>
      <c r="Q1264">
        <f>IF($I1264="Отменено",0,IF($G1264&lt;&gt;"",$G1264,N($H1264)))</f>
        <v/>
      </c>
      <c r="R1264">
        <f>IF($C1264="","",IFERROR(DATE(Настройки!$C$8,Настройки!$D$9+MATCH($M1264,Настройки!$X$6:$X$17,0)-1,1),DATE(YEAR($C1264),MONTH($C1264),1)))</f>
        <v/>
      </c>
      <c r="S1264">
        <f>IF(OR($I1264="Оплачено",$H1264&lt;&gt;""),$P1264,$Q1264)</f>
        <v/>
      </c>
      <c r="T1264">
        <f>IF(OR($C1264="",$D1264="Доход",$I1264="Оплачено",$I1264="Отменено",$H1264&lt;&gt;"",$C1264&lt;TODAY()),"",$C1264)</f>
        <v/>
      </c>
      <c r="U1264">
        <f>IF(AND($D1264&lt;&gt;"Доход",COUNTIFS(Счета!$B$10:$B$21,$J1264,Счета!$C$10:$C$21,"Кредитная")&gt;0),1,0)</f>
        <v/>
      </c>
    </row>
    <row r="1265" ht="19" customHeight="1">
      <c r="B1265" s="53">
        <f>IF(AND($C1265="",$F1265=""),"",ROW()-9)</f>
        <v/>
      </c>
      <c r="C1265" s="213" t="n"/>
      <c r="D1265" s="55" t="n"/>
      <c r="E1265" s="55" t="n"/>
      <c r="F1265" s="56" t="n"/>
      <c r="G1265" s="196" t="n"/>
      <c r="H1265" s="196" t="n"/>
      <c r="I1265" s="55" t="n"/>
      <c r="J1265" s="55" t="n"/>
      <c r="K1265" s="55" t="n"/>
      <c r="L1265" s="100">
        <f>IF(OR($C1265="",$I1265="Оплачено",$I1265="Отменено",$H1265&lt;&gt;""),"",$C1265-TODAY())</f>
        <v/>
      </c>
      <c r="M1265" s="101">
        <f>IF($C1265="","",INDEX(Настройки!$V$6:$V$17,MONTH($C1265))&amp;" "&amp;YEAR($C1265))</f>
        <v/>
      </c>
      <c r="N1265" s="57">
        <f>IF($F1265="","",IF(COUNTIF(Постоянные!$C$8:$C$37,$F1265)&gt;0,"есть в Постоянных",IF(COUNTIF(Покупки!$C$7:$C$18,$F1265)&gt;0,"есть в Покупках","")))</f>
        <v/>
      </c>
      <c r="P1265">
        <f>IF($H1265&lt;&gt;"",$H1265,IF($I1265="Оплачено",N($G1265),0))</f>
        <v/>
      </c>
      <c r="Q1265">
        <f>IF($I1265="Отменено",0,IF($G1265&lt;&gt;"",$G1265,N($H1265)))</f>
        <v/>
      </c>
      <c r="R1265">
        <f>IF($C1265="","",IFERROR(DATE(Настройки!$C$8,Настройки!$D$9+MATCH($M1265,Настройки!$X$6:$X$17,0)-1,1),DATE(YEAR($C1265),MONTH($C1265),1)))</f>
        <v/>
      </c>
      <c r="S1265">
        <f>IF(OR($I1265="Оплачено",$H1265&lt;&gt;""),$P1265,$Q1265)</f>
        <v/>
      </c>
      <c r="T1265">
        <f>IF(OR($C1265="",$D1265="Доход",$I1265="Оплачено",$I1265="Отменено",$H1265&lt;&gt;"",$C1265&lt;TODAY()),"",$C1265)</f>
        <v/>
      </c>
      <c r="U1265">
        <f>IF(AND($D1265&lt;&gt;"Доход",COUNTIFS(Счета!$B$10:$B$21,$J1265,Счета!$C$10:$C$21,"Кредитная")&gt;0),1,0)</f>
        <v/>
      </c>
    </row>
    <row r="1266" ht="19" customHeight="1">
      <c r="B1266" s="53">
        <f>IF(AND($C1266="",$F1266=""),"",ROW()-9)</f>
        <v/>
      </c>
      <c r="C1266" s="213" t="n"/>
      <c r="D1266" s="55" t="n"/>
      <c r="E1266" s="55" t="n"/>
      <c r="F1266" s="56" t="n"/>
      <c r="G1266" s="196" t="n"/>
      <c r="H1266" s="196" t="n"/>
      <c r="I1266" s="55" t="n"/>
      <c r="J1266" s="55" t="n"/>
      <c r="K1266" s="55" t="n"/>
      <c r="L1266" s="100">
        <f>IF(OR($C1266="",$I1266="Оплачено",$I1266="Отменено",$H1266&lt;&gt;""),"",$C1266-TODAY())</f>
        <v/>
      </c>
      <c r="M1266" s="101">
        <f>IF($C1266="","",INDEX(Настройки!$V$6:$V$17,MONTH($C1266))&amp;" "&amp;YEAR($C1266))</f>
        <v/>
      </c>
      <c r="N1266" s="57">
        <f>IF($F1266="","",IF(COUNTIF(Постоянные!$C$8:$C$37,$F1266)&gt;0,"есть в Постоянных",IF(COUNTIF(Покупки!$C$7:$C$18,$F1266)&gt;0,"есть в Покупках","")))</f>
        <v/>
      </c>
      <c r="P1266">
        <f>IF($H1266&lt;&gt;"",$H1266,IF($I1266="Оплачено",N($G1266),0))</f>
        <v/>
      </c>
      <c r="Q1266">
        <f>IF($I1266="Отменено",0,IF($G1266&lt;&gt;"",$G1266,N($H1266)))</f>
        <v/>
      </c>
      <c r="R1266">
        <f>IF($C1266="","",IFERROR(DATE(Настройки!$C$8,Настройки!$D$9+MATCH($M1266,Настройки!$X$6:$X$17,0)-1,1),DATE(YEAR($C1266),MONTH($C1266),1)))</f>
        <v/>
      </c>
      <c r="S1266">
        <f>IF(OR($I1266="Оплачено",$H1266&lt;&gt;""),$P1266,$Q1266)</f>
        <v/>
      </c>
      <c r="T1266">
        <f>IF(OR($C1266="",$D1266="Доход",$I1266="Оплачено",$I1266="Отменено",$H1266&lt;&gt;"",$C1266&lt;TODAY()),"",$C1266)</f>
        <v/>
      </c>
      <c r="U1266">
        <f>IF(AND($D1266&lt;&gt;"Доход",COUNTIFS(Счета!$B$10:$B$21,$J1266,Счета!$C$10:$C$21,"Кредитная")&gt;0),1,0)</f>
        <v/>
      </c>
    </row>
    <row r="1267" ht="19" customHeight="1">
      <c r="B1267" s="53">
        <f>IF(AND($C1267="",$F1267=""),"",ROW()-9)</f>
        <v/>
      </c>
      <c r="C1267" s="213" t="n"/>
      <c r="D1267" s="55" t="n"/>
      <c r="E1267" s="55" t="n"/>
      <c r="F1267" s="56" t="n"/>
      <c r="G1267" s="196" t="n"/>
      <c r="H1267" s="196" t="n"/>
      <c r="I1267" s="55" t="n"/>
      <c r="J1267" s="55" t="n"/>
      <c r="K1267" s="55" t="n"/>
      <c r="L1267" s="100">
        <f>IF(OR($C1267="",$I1267="Оплачено",$I1267="Отменено",$H1267&lt;&gt;""),"",$C1267-TODAY())</f>
        <v/>
      </c>
      <c r="M1267" s="101">
        <f>IF($C1267="","",INDEX(Настройки!$V$6:$V$17,MONTH($C1267))&amp;" "&amp;YEAR($C1267))</f>
        <v/>
      </c>
      <c r="N1267" s="57">
        <f>IF($F1267="","",IF(COUNTIF(Постоянные!$C$8:$C$37,$F1267)&gt;0,"есть в Постоянных",IF(COUNTIF(Покупки!$C$7:$C$18,$F1267)&gt;0,"есть в Покупках","")))</f>
        <v/>
      </c>
      <c r="P1267">
        <f>IF($H1267&lt;&gt;"",$H1267,IF($I1267="Оплачено",N($G1267),0))</f>
        <v/>
      </c>
      <c r="Q1267">
        <f>IF($I1267="Отменено",0,IF($G1267&lt;&gt;"",$G1267,N($H1267)))</f>
        <v/>
      </c>
      <c r="R1267">
        <f>IF($C1267="","",IFERROR(DATE(Настройки!$C$8,Настройки!$D$9+MATCH($M1267,Настройки!$X$6:$X$17,0)-1,1),DATE(YEAR($C1267),MONTH($C1267),1)))</f>
        <v/>
      </c>
      <c r="S1267">
        <f>IF(OR($I1267="Оплачено",$H1267&lt;&gt;""),$P1267,$Q1267)</f>
        <v/>
      </c>
      <c r="T1267">
        <f>IF(OR($C1267="",$D1267="Доход",$I1267="Оплачено",$I1267="Отменено",$H1267&lt;&gt;"",$C1267&lt;TODAY()),"",$C1267)</f>
        <v/>
      </c>
      <c r="U1267">
        <f>IF(AND($D1267&lt;&gt;"Доход",COUNTIFS(Счета!$B$10:$B$21,$J1267,Счета!$C$10:$C$21,"Кредитная")&gt;0),1,0)</f>
        <v/>
      </c>
    </row>
    <row r="1268" ht="19" customHeight="1">
      <c r="B1268" s="53">
        <f>IF(AND($C1268="",$F1268=""),"",ROW()-9)</f>
        <v/>
      </c>
      <c r="C1268" s="213" t="n"/>
      <c r="D1268" s="55" t="n"/>
      <c r="E1268" s="55" t="n"/>
      <c r="F1268" s="56" t="n"/>
      <c r="G1268" s="196" t="n"/>
      <c r="H1268" s="196" t="n"/>
      <c r="I1268" s="55" t="n"/>
      <c r="J1268" s="55" t="n"/>
      <c r="K1268" s="55" t="n"/>
      <c r="L1268" s="100">
        <f>IF(OR($C1268="",$I1268="Оплачено",$I1268="Отменено",$H1268&lt;&gt;""),"",$C1268-TODAY())</f>
        <v/>
      </c>
      <c r="M1268" s="101">
        <f>IF($C1268="","",INDEX(Настройки!$V$6:$V$17,MONTH($C1268))&amp;" "&amp;YEAR($C1268))</f>
        <v/>
      </c>
      <c r="N1268" s="57">
        <f>IF($F1268="","",IF(COUNTIF(Постоянные!$C$8:$C$37,$F1268)&gt;0,"есть в Постоянных",IF(COUNTIF(Покупки!$C$7:$C$18,$F1268)&gt;0,"есть в Покупках","")))</f>
        <v/>
      </c>
      <c r="P1268">
        <f>IF($H1268&lt;&gt;"",$H1268,IF($I1268="Оплачено",N($G1268),0))</f>
        <v/>
      </c>
      <c r="Q1268">
        <f>IF($I1268="Отменено",0,IF($G1268&lt;&gt;"",$G1268,N($H1268)))</f>
        <v/>
      </c>
      <c r="R1268">
        <f>IF($C1268="","",IFERROR(DATE(Настройки!$C$8,Настройки!$D$9+MATCH($M1268,Настройки!$X$6:$X$17,0)-1,1),DATE(YEAR($C1268),MONTH($C1268),1)))</f>
        <v/>
      </c>
      <c r="S1268">
        <f>IF(OR($I1268="Оплачено",$H1268&lt;&gt;""),$P1268,$Q1268)</f>
        <v/>
      </c>
      <c r="T1268">
        <f>IF(OR($C1268="",$D1268="Доход",$I1268="Оплачено",$I1268="Отменено",$H1268&lt;&gt;"",$C1268&lt;TODAY()),"",$C1268)</f>
        <v/>
      </c>
      <c r="U1268">
        <f>IF(AND($D1268&lt;&gt;"Доход",COUNTIFS(Счета!$B$10:$B$21,$J1268,Счета!$C$10:$C$21,"Кредитная")&gt;0),1,0)</f>
        <v/>
      </c>
    </row>
    <row r="1269" ht="19" customHeight="1">
      <c r="B1269" s="53">
        <f>IF(AND($C1269="",$F1269=""),"",ROW()-9)</f>
        <v/>
      </c>
      <c r="C1269" s="213" t="n"/>
      <c r="D1269" s="55" t="n"/>
      <c r="E1269" s="55" t="n"/>
      <c r="F1269" s="56" t="n"/>
      <c r="G1269" s="196" t="n"/>
      <c r="H1269" s="196" t="n"/>
      <c r="I1269" s="55" t="n"/>
      <c r="J1269" s="55" t="n"/>
      <c r="K1269" s="55" t="n"/>
      <c r="L1269" s="100">
        <f>IF(OR($C1269="",$I1269="Оплачено",$I1269="Отменено",$H1269&lt;&gt;""),"",$C1269-TODAY())</f>
        <v/>
      </c>
      <c r="M1269" s="101">
        <f>IF($C1269="","",INDEX(Настройки!$V$6:$V$17,MONTH($C1269))&amp;" "&amp;YEAR($C1269))</f>
        <v/>
      </c>
      <c r="N1269" s="57">
        <f>IF($F1269="","",IF(COUNTIF(Постоянные!$C$8:$C$37,$F1269)&gt;0,"есть в Постоянных",IF(COUNTIF(Покупки!$C$7:$C$18,$F1269)&gt;0,"есть в Покупках","")))</f>
        <v/>
      </c>
      <c r="P1269">
        <f>IF($H1269&lt;&gt;"",$H1269,IF($I1269="Оплачено",N($G1269),0))</f>
        <v/>
      </c>
      <c r="Q1269">
        <f>IF($I1269="Отменено",0,IF($G1269&lt;&gt;"",$G1269,N($H1269)))</f>
        <v/>
      </c>
      <c r="R1269">
        <f>IF($C1269="","",IFERROR(DATE(Настройки!$C$8,Настройки!$D$9+MATCH($M1269,Настройки!$X$6:$X$17,0)-1,1),DATE(YEAR($C1269),MONTH($C1269),1)))</f>
        <v/>
      </c>
      <c r="S1269">
        <f>IF(OR($I1269="Оплачено",$H1269&lt;&gt;""),$P1269,$Q1269)</f>
        <v/>
      </c>
      <c r="T1269">
        <f>IF(OR($C1269="",$D1269="Доход",$I1269="Оплачено",$I1269="Отменено",$H1269&lt;&gt;"",$C1269&lt;TODAY()),"",$C1269)</f>
        <v/>
      </c>
      <c r="U1269">
        <f>IF(AND($D1269&lt;&gt;"Доход",COUNTIFS(Счета!$B$10:$B$21,$J1269,Счета!$C$10:$C$21,"Кредитная")&gt;0),1,0)</f>
        <v/>
      </c>
    </row>
    <row r="1270" ht="19" customHeight="1">
      <c r="B1270" s="53">
        <f>IF(AND($C1270="",$F1270=""),"",ROW()-9)</f>
        <v/>
      </c>
      <c r="C1270" s="213" t="n"/>
      <c r="D1270" s="55" t="n"/>
      <c r="E1270" s="55" t="n"/>
      <c r="F1270" s="56" t="n"/>
      <c r="G1270" s="196" t="n"/>
      <c r="H1270" s="196" t="n"/>
      <c r="I1270" s="55" t="n"/>
      <c r="J1270" s="55" t="n"/>
      <c r="K1270" s="55" t="n"/>
      <c r="L1270" s="100">
        <f>IF(OR($C1270="",$I1270="Оплачено",$I1270="Отменено",$H1270&lt;&gt;""),"",$C1270-TODAY())</f>
        <v/>
      </c>
      <c r="M1270" s="101">
        <f>IF($C1270="","",INDEX(Настройки!$V$6:$V$17,MONTH($C1270))&amp;" "&amp;YEAR($C1270))</f>
        <v/>
      </c>
      <c r="N1270" s="57">
        <f>IF($F1270="","",IF(COUNTIF(Постоянные!$C$8:$C$37,$F1270)&gt;0,"есть в Постоянных",IF(COUNTIF(Покупки!$C$7:$C$18,$F1270)&gt;0,"есть в Покупках","")))</f>
        <v/>
      </c>
      <c r="P1270">
        <f>IF($H1270&lt;&gt;"",$H1270,IF($I1270="Оплачено",N($G1270),0))</f>
        <v/>
      </c>
      <c r="Q1270">
        <f>IF($I1270="Отменено",0,IF($G1270&lt;&gt;"",$G1270,N($H1270)))</f>
        <v/>
      </c>
      <c r="R1270">
        <f>IF($C1270="","",IFERROR(DATE(Настройки!$C$8,Настройки!$D$9+MATCH($M1270,Настройки!$X$6:$X$17,0)-1,1),DATE(YEAR($C1270),MONTH($C1270),1)))</f>
        <v/>
      </c>
      <c r="S1270">
        <f>IF(OR($I1270="Оплачено",$H1270&lt;&gt;""),$P1270,$Q1270)</f>
        <v/>
      </c>
      <c r="T1270">
        <f>IF(OR($C1270="",$D1270="Доход",$I1270="Оплачено",$I1270="Отменено",$H1270&lt;&gt;"",$C1270&lt;TODAY()),"",$C1270)</f>
        <v/>
      </c>
      <c r="U1270">
        <f>IF(AND($D1270&lt;&gt;"Доход",COUNTIFS(Счета!$B$10:$B$21,$J1270,Счета!$C$10:$C$21,"Кредитная")&gt;0),1,0)</f>
        <v/>
      </c>
    </row>
    <row r="1271" ht="19" customHeight="1">
      <c r="B1271" s="53">
        <f>IF(AND($C1271="",$F1271=""),"",ROW()-9)</f>
        <v/>
      </c>
      <c r="C1271" s="213" t="n"/>
      <c r="D1271" s="55" t="n"/>
      <c r="E1271" s="55" t="n"/>
      <c r="F1271" s="56" t="n"/>
      <c r="G1271" s="196" t="n"/>
      <c r="H1271" s="196" t="n"/>
      <c r="I1271" s="55" t="n"/>
      <c r="J1271" s="55" t="n"/>
      <c r="K1271" s="55" t="n"/>
      <c r="L1271" s="100">
        <f>IF(OR($C1271="",$I1271="Оплачено",$I1271="Отменено",$H1271&lt;&gt;""),"",$C1271-TODAY())</f>
        <v/>
      </c>
      <c r="M1271" s="101">
        <f>IF($C1271="","",INDEX(Настройки!$V$6:$V$17,MONTH($C1271))&amp;" "&amp;YEAR($C1271))</f>
        <v/>
      </c>
      <c r="N1271" s="57">
        <f>IF($F1271="","",IF(COUNTIF(Постоянные!$C$8:$C$37,$F1271)&gt;0,"есть в Постоянных",IF(COUNTIF(Покупки!$C$7:$C$18,$F1271)&gt;0,"есть в Покупках","")))</f>
        <v/>
      </c>
      <c r="P1271">
        <f>IF($H1271&lt;&gt;"",$H1271,IF($I1271="Оплачено",N($G1271),0))</f>
        <v/>
      </c>
      <c r="Q1271">
        <f>IF($I1271="Отменено",0,IF($G1271&lt;&gt;"",$G1271,N($H1271)))</f>
        <v/>
      </c>
      <c r="R1271">
        <f>IF($C1271="","",IFERROR(DATE(Настройки!$C$8,Настройки!$D$9+MATCH($M1271,Настройки!$X$6:$X$17,0)-1,1),DATE(YEAR($C1271),MONTH($C1271),1)))</f>
        <v/>
      </c>
      <c r="S1271">
        <f>IF(OR($I1271="Оплачено",$H1271&lt;&gt;""),$P1271,$Q1271)</f>
        <v/>
      </c>
      <c r="T1271">
        <f>IF(OR($C1271="",$D1271="Доход",$I1271="Оплачено",$I1271="Отменено",$H1271&lt;&gt;"",$C1271&lt;TODAY()),"",$C1271)</f>
        <v/>
      </c>
      <c r="U1271">
        <f>IF(AND($D1271&lt;&gt;"Доход",COUNTIFS(Счета!$B$10:$B$21,$J1271,Счета!$C$10:$C$21,"Кредитная")&gt;0),1,0)</f>
        <v/>
      </c>
    </row>
    <row r="1272" ht="19" customHeight="1">
      <c r="B1272" s="53">
        <f>IF(AND($C1272="",$F1272=""),"",ROW()-9)</f>
        <v/>
      </c>
      <c r="C1272" s="213" t="n"/>
      <c r="D1272" s="55" t="n"/>
      <c r="E1272" s="55" t="n"/>
      <c r="F1272" s="56" t="n"/>
      <c r="G1272" s="196" t="n"/>
      <c r="H1272" s="196" t="n"/>
      <c r="I1272" s="55" t="n"/>
      <c r="J1272" s="55" t="n"/>
      <c r="K1272" s="55" t="n"/>
      <c r="L1272" s="100">
        <f>IF(OR($C1272="",$I1272="Оплачено",$I1272="Отменено",$H1272&lt;&gt;""),"",$C1272-TODAY())</f>
        <v/>
      </c>
      <c r="M1272" s="101">
        <f>IF($C1272="","",INDEX(Настройки!$V$6:$V$17,MONTH($C1272))&amp;" "&amp;YEAR($C1272))</f>
        <v/>
      </c>
      <c r="N1272" s="57">
        <f>IF($F1272="","",IF(COUNTIF(Постоянные!$C$8:$C$37,$F1272)&gt;0,"есть в Постоянных",IF(COUNTIF(Покупки!$C$7:$C$18,$F1272)&gt;0,"есть в Покупках","")))</f>
        <v/>
      </c>
      <c r="P1272">
        <f>IF($H1272&lt;&gt;"",$H1272,IF($I1272="Оплачено",N($G1272),0))</f>
        <v/>
      </c>
      <c r="Q1272">
        <f>IF($I1272="Отменено",0,IF($G1272&lt;&gt;"",$G1272,N($H1272)))</f>
        <v/>
      </c>
      <c r="R1272">
        <f>IF($C1272="","",IFERROR(DATE(Настройки!$C$8,Настройки!$D$9+MATCH($M1272,Настройки!$X$6:$X$17,0)-1,1),DATE(YEAR($C1272),MONTH($C1272),1)))</f>
        <v/>
      </c>
      <c r="S1272">
        <f>IF(OR($I1272="Оплачено",$H1272&lt;&gt;""),$P1272,$Q1272)</f>
        <v/>
      </c>
      <c r="T1272">
        <f>IF(OR($C1272="",$D1272="Доход",$I1272="Оплачено",$I1272="Отменено",$H1272&lt;&gt;"",$C1272&lt;TODAY()),"",$C1272)</f>
        <v/>
      </c>
      <c r="U1272">
        <f>IF(AND($D1272&lt;&gt;"Доход",COUNTIFS(Счета!$B$10:$B$21,$J1272,Счета!$C$10:$C$21,"Кредитная")&gt;0),1,0)</f>
        <v/>
      </c>
    </row>
    <row r="1273" ht="19" customHeight="1">
      <c r="B1273" s="53">
        <f>IF(AND($C1273="",$F1273=""),"",ROW()-9)</f>
        <v/>
      </c>
      <c r="C1273" s="213" t="n"/>
      <c r="D1273" s="55" t="n"/>
      <c r="E1273" s="55" t="n"/>
      <c r="F1273" s="56" t="n"/>
      <c r="G1273" s="196" t="n"/>
      <c r="H1273" s="196" t="n"/>
      <c r="I1273" s="55" t="n"/>
      <c r="J1273" s="55" t="n"/>
      <c r="K1273" s="55" t="n"/>
      <c r="L1273" s="100">
        <f>IF(OR($C1273="",$I1273="Оплачено",$I1273="Отменено",$H1273&lt;&gt;""),"",$C1273-TODAY())</f>
        <v/>
      </c>
      <c r="M1273" s="101">
        <f>IF($C1273="","",INDEX(Настройки!$V$6:$V$17,MONTH($C1273))&amp;" "&amp;YEAR($C1273))</f>
        <v/>
      </c>
      <c r="N1273" s="57">
        <f>IF($F1273="","",IF(COUNTIF(Постоянные!$C$8:$C$37,$F1273)&gt;0,"есть в Постоянных",IF(COUNTIF(Покупки!$C$7:$C$18,$F1273)&gt;0,"есть в Покупках","")))</f>
        <v/>
      </c>
      <c r="P1273">
        <f>IF($H1273&lt;&gt;"",$H1273,IF($I1273="Оплачено",N($G1273),0))</f>
        <v/>
      </c>
      <c r="Q1273">
        <f>IF($I1273="Отменено",0,IF($G1273&lt;&gt;"",$G1273,N($H1273)))</f>
        <v/>
      </c>
      <c r="R1273">
        <f>IF($C1273="","",IFERROR(DATE(Настройки!$C$8,Настройки!$D$9+MATCH($M1273,Настройки!$X$6:$X$17,0)-1,1),DATE(YEAR($C1273),MONTH($C1273),1)))</f>
        <v/>
      </c>
      <c r="S1273">
        <f>IF(OR($I1273="Оплачено",$H1273&lt;&gt;""),$P1273,$Q1273)</f>
        <v/>
      </c>
      <c r="T1273">
        <f>IF(OR($C1273="",$D1273="Доход",$I1273="Оплачено",$I1273="Отменено",$H1273&lt;&gt;"",$C1273&lt;TODAY()),"",$C1273)</f>
        <v/>
      </c>
      <c r="U1273">
        <f>IF(AND($D1273&lt;&gt;"Доход",COUNTIFS(Счета!$B$10:$B$21,$J1273,Счета!$C$10:$C$21,"Кредитная")&gt;0),1,0)</f>
        <v/>
      </c>
    </row>
    <row r="1274" ht="19" customHeight="1">
      <c r="B1274" s="53">
        <f>IF(AND($C1274="",$F1274=""),"",ROW()-9)</f>
        <v/>
      </c>
      <c r="C1274" s="213" t="n"/>
      <c r="D1274" s="55" t="n"/>
      <c r="E1274" s="55" t="n"/>
      <c r="F1274" s="56" t="n"/>
      <c r="G1274" s="196" t="n"/>
      <c r="H1274" s="196" t="n"/>
      <c r="I1274" s="55" t="n"/>
      <c r="J1274" s="55" t="n"/>
      <c r="K1274" s="55" t="n"/>
      <c r="L1274" s="100">
        <f>IF(OR($C1274="",$I1274="Оплачено",$I1274="Отменено",$H1274&lt;&gt;""),"",$C1274-TODAY())</f>
        <v/>
      </c>
      <c r="M1274" s="101">
        <f>IF($C1274="","",INDEX(Настройки!$V$6:$V$17,MONTH($C1274))&amp;" "&amp;YEAR($C1274))</f>
        <v/>
      </c>
      <c r="N1274" s="57">
        <f>IF($F1274="","",IF(COUNTIF(Постоянные!$C$8:$C$37,$F1274)&gt;0,"есть в Постоянных",IF(COUNTIF(Покупки!$C$7:$C$18,$F1274)&gt;0,"есть в Покупках","")))</f>
        <v/>
      </c>
      <c r="P1274">
        <f>IF($H1274&lt;&gt;"",$H1274,IF($I1274="Оплачено",N($G1274),0))</f>
        <v/>
      </c>
      <c r="Q1274">
        <f>IF($I1274="Отменено",0,IF($G1274&lt;&gt;"",$G1274,N($H1274)))</f>
        <v/>
      </c>
      <c r="R1274">
        <f>IF($C1274="","",IFERROR(DATE(Настройки!$C$8,Настройки!$D$9+MATCH($M1274,Настройки!$X$6:$X$17,0)-1,1),DATE(YEAR($C1274),MONTH($C1274),1)))</f>
        <v/>
      </c>
      <c r="S1274">
        <f>IF(OR($I1274="Оплачено",$H1274&lt;&gt;""),$P1274,$Q1274)</f>
        <v/>
      </c>
      <c r="T1274">
        <f>IF(OR($C1274="",$D1274="Доход",$I1274="Оплачено",$I1274="Отменено",$H1274&lt;&gt;"",$C1274&lt;TODAY()),"",$C1274)</f>
        <v/>
      </c>
      <c r="U1274">
        <f>IF(AND($D1274&lt;&gt;"Доход",COUNTIFS(Счета!$B$10:$B$21,$J1274,Счета!$C$10:$C$21,"Кредитная")&gt;0),1,0)</f>
        <v/>
      </c>
    </row>
    <row r="1275" ht="19" customHeight="1">
      <c r="B1275" s="53">
        <f>IF(AND($C1275="",$F1275=""),"",ROW()-9)</f>
        <v/>
      </c>
      <c r="C1275" s="213" t="n"/>
      <c r="D1275" s="55" t="n"/>
      <c r="E1275" s="55" t="n"/>
      <c r="F1275" s="56" t="n"/>
      <c r="G1275" s="196" t="n"/>
      <c r="H1275" s="196" t="n"/>
      <c r="I1275" s="55" t="n"/>
      <c r="J1275" s="55" t="n"/>
      <c r="K1275" s="55" t="n"/>
      <c r="L1275" s="100">
        <f>IF(OR($C1275="",$I1275="Оплачено",$I1275="Отменено",$H1275&lt;&gt;""),"",$C1275-TODAY())</f>
        <v/>
      </c>
      <c r="M1275" s="101">
        <f>IF($C1275="","",INDEX(Настройки!$V$6:$V$17,MONTH($C1275))&amp;" "&amp;YEAR($C1275))</f>
        <v/>
      </c>
      <c r="N1275" s="57">
        <f>IF($F1275="","",IF(COUNTIF(Постоянные!$C$8:$C$37,$F1275)&gt;0,"есть в Постоянных",IF(COUNTIF(Покупки!$C$7:$C$18,$F1275)&gt;0,"есть в Покупках","")))</f>
        <v/>
      </c>
      <c r="P1275">
        <f>IF($H1275&lt;&gt;"",$H1275,IF($I1275="Оплачено",N($G1275),0))</f>
        <v/>
      </c>
      <c r="Q1275">
        <f>IF($I1275="Отменено",0,IF($G1275&lt;&gt;"",$G1275,N($H1275)))</f>
        <v/>
      </c>
      <c r="R1275">
        <f>IF($C1275="","",IFERROR(DATE(Настройки!$C$8,Настройки!$D$9+MATCH($M1275,Настройки!$X$6:$X$17,0)-1,1),DATE(YEAR($C1275),MONTH($C1275),1)))</f>
        <v/>
      </c>
      <c r="S1275">
        <f>IF(OR($I1275="Оплачено",$H1275&lt;&gt;""),$P1275,$Q1275)</f>
        <v/>
      </c>
      <c r="T1275">
        <f>IF(OR($C1275="",$D1275="Доход",$I1275="Оплачено",$I1275="Отменено",$H1275&lt;&gt;"",$C1275&lt;TODAY()),"",$C1275)</f>
        <v/>
      </c>
      <c r="U1275">
        <f>IF(AND($D1275&lt;&gt;"Доход",COUNTIFS(Счета!$B$10:$B$21,$J1275,Счета!$C$10:$C$21,"Кредитная")&gt;0),1,0)</f>
        <v/>
      </c>
    </row>
    <row r="1276" ht="19" customHeight="1">
      <c r="B1276" s="53">
        <f>IF(AND($C1276="",$F1276=""),"",ROW()-9)</f>
        <v/>
      </c>
      <c r="C1276" s="213" t="n"/>
      <c r="D1276" s="55" t="n"/>
      <c r="E1276" s="55" t="n"/>
      <c r="F1276" s="56" t="n"/>
      <c r="G1276" s="196" t="n"/>
      <c r="H1276" s="196" t="n"/>
      <c r="I1276" s="55" t="n"/>
      <c r="J1276" s="55" t="n"/>
      <c r="K1276" s="55" t="n"/>
      <c r="L1276" s="100">
        <f>IF(OR($C1276="",$I1276="Оплачено",$I1276="Отменено",$H1276&lt;&gt;""),"",$C1276-TODAY())</f>
        <v/>
      </c>
      <c r="M1276" s="101">
        <f>IF($C1276="","",INDEX(Настройки!$V$6:$V$17,MONTH($C1276))&amp;" "&amp;YEAR($C1276))</f>
        <v/>
      </c>
      <c r="N1276" s="57">
        <f>IF($F1276="","",IF(COUNTIF(Постоянные!$C$8:$C$37,$F1276)&gt;0,"есть в Постоянных",IF(COUNTIF(Покупки!$C$7:$C$18,$F1276)&gt;0,"есть в Покупках","")))</f>
        <v/>
      </c>
      <c r="P1276">
        <f>IF($H1276&lt;&gt;"",$H1276,IF($I1276="Оплачено",N($G1276),0))</f>
        <v/>
      </c>
      <c r="Q1276">
        <f>IF($I1276="Отменено",0,IF($G1276&lt;&gt;"",$G1276,N($H1276)))</f>
        <v/>
      </c>
      <c r="R1276">
        <f>IF($C1276="","",IFERROR(DATE(Настройки!$C$8,Настройки!$D$9+MATCH($M1276,Настройки!$X$6:$X$17,0)-1,1),DATE(YEAR($C1276),MONTH($C1276),1)))</f>
        <v/>
      </c>
      <c r="S1276">
        <f>IF(OR($I1276="Оплачено",$H1276&lt;&gt;""),$P1276,$Q1276)</f>
        <v/>
      </c>
      <c r="T1276">
        <f>IF(OR($C1276="",$D1276="Доход",$I1276="Оплачено",$I1276="Отменено",$H1276&lt;&gt;"",$C1276&lt;TODAY()),"",$C1276)</f>
        <v/>
      </c>
      <c r="U1276">
        <f>IF(AND($D1276&lt;&gt;"Доход",COUNTIFS(Счета!$B$10:$B$21,$J1276,Счета!$C$10:$C$21,"Кредитная")&gt;0),1,0)</f>
        <v/>
      </c>
    </row>
    <row r="1277" ht="19" customHeight="1">
      <c r="B1277" s="53">
        <f>IF(AND($C1277="",$F1277=""),"",ROW()-9)</f>
        <v/>
      </c>
      <c r="C1277" s="213" t="n"/>
      <c r="D1277" s="55" t="n"/>
      <c r="E1277" s="55" t="n"/>
      <c r="F1277" s="56" t="n"/>
      <c r="G1277" s="196" t="n"/>
      <c r="H1277" s="196" t="n"/>
      <c r="I1277" s="55" t="n"/>
      <c r="J1277" s="55" t="n"/>
      <c r="K1277" s="55" t="n"/>
      <c r="L1277" s="100">
        <f>IF(OR($C1277="",$I1277="Оплачено",$I1277="Отменено",$H1277&lt;&gt;""),"",$C1277-TODAY())</f>
        <v/>
      </c>
      <c r="M1277" s="101">
        <f>IF($C1277="","",INDEX(Настройки!$V$6:$V$17,MONTH($C1277))&amp;" "&amp;YEAR($C1277))</f>
        <v/>
      </c>
      <c r="N1277" s="57">
        <f>IF($F1277="","",IF(COUNTIF(Постоянные!$C$8:$C$37,$F1277)&gt;0,"есть в Постоянных",IF(COUNTIF(Покупки!$C$7:$C$18,$F1277)&gt;0,"есть в Покупках","")))</f>
        <v/>
      </c>
      <c r="P1277">
        <f>IF($H1277&lt;&gt;"",$H1277,IF($I1277="Оплачено",N($G1277),0))</f>
        <v/>
      </c>
      <c r="Q1277">
        <f>IF($I1277="Отменено",0,IF($G1277&lt;&gt;"",$G1277,N($H1277)))</f>
        <v/>
      </c>
      <c r="R1277">
        <f>IF($C1277="","",IFERROR(DATE(Настройки!$C$8,Настройки!$D$9+MATCH($M1277,Настройки!$X$6:$X$17,0)-1,1),DATE(YEAR($C1277),MONTH($C1277),1)))</f>
        <v/>
      </c>
      <c r="S1277">
        <f>IF(OR($I1277="Оплачено",$H1277&lt;&gt;""),$P1277,$Q1277)</f>
        <v/>
      </c>
      <c r="T1277">
        <f>IF(OR($C1277="",$D1277="Доход",$I1277="Оплачено",$I1277="Отменено",$H1277&lt;&gt;"",$C1277&lt;TODAY()),"",$C1277)</f>
        <v/>
      </c>
      <c r="U1277">
        <f>IF(AND($D1277&lt;&gt;"Доход",COUNTIFS(Счета!$B$10:$B$21,$J1277,Счета!$C$10:$C$21,"Кредитная")&gt;0),1,0)</f>
        <v/>
      </c>
    </row>
    <row r="1278" ht="19" customHeight="1">
      <c r="B1278" s="53">
        <f>IF(AND($C1278="",$F1278=""),"",ROW()-9)</f>
        <v/>
      </c>
      <c r="C1278" s="213" t="n"/>
      <c r="D1278" s="55" t="n"/>
      <c r="E1278" s="55" t="n"/>
      <c r="F1278" s="56" t="n"/>
      <c r="G1278" s="196" t="n"/>
      <c r="H1278" s="196" t="n"/>
      <c r="I1278" s="55" t="n"/>
      <c r="J1278" s="55" t="n"/>
      <c r="K1278" s="55" t="n"/>
      <c r="L1278" s="100">
        <f>IF(OR($C1278="",$I1278="Оплачено",$I1278="Отменено",$H1278&lt;&gt;""),"",$C1278-TODAY())</f>
        <v/>
      </c>
      <c r="M1278" s="101">
        <f>IF($C1278="","",INDEX(Настройки!$V$6:$V$17,MONTH($C1278))&amp;" "&amp;YEAR($C1278))</f>
        <v/>
      </c>
      <c r="N1278" s="57">
        <f>IF($F1278="","",IF(COUNTIF(Постоянные!$C$8:$C$37,$F1278)&gt;0,"есть в Постоянных",IF(COUNTIF(Покупки!$C$7:$C$18,$F1278)&gt;0,"есть в Покупках","")))</f>
        <v/>
      </c>
      <c r="P1278">
        <f>IF($H1278&lt;&gt;"",$H1278,IF($I1278="Оплачено",N($G1278),0))</f>
        <v/>
      </c>
      <c r="Q1278">
        <f>IF($I1278="Отменено",0,IF($G1278&lt;&gt;"",$G1278,N($H1278)))</f>
        <v/>
      </c>
      <c r="R1278">
        <f>IF($C1278="","",IFERROR(DATE(Настройки!$C$8,Настройки!$D$9+MATCH($M1278,Настройки!$X$6:$X$17,0)-1,1),DATE(YEAR($C1278),MONTH($C1278),1)))</f>
        <v/>
      </c>
      <c r="S1278">
        <f>IF(OR($I1278="Оплачено",$H1278&lt;&gt;""),$P1278,$Q1278)</f>
        <v/>
      </c>
      <c r="T1278">
        <f>IF(OR($C1278="",$D1278="Доход",$I1278="Оплачено",$I1278="Отменено",$H1278&lt;&gt;"",$C1278&lt;TODAY()),"",$C1278)</f>
        <v/>
      </c>
      <c r="U1278">
        <f>IF(AND($D1278&lt;&gt;"Доход",COUNTIFS(Счета!$B$10:$B$21,$J1278,Счета!$C$10:$C$21,"Кредитная")&gt;0),1,0)</f>
        <v/>
      </c>
    </row>
    <row r="1279" ht="19" customHeight="1">
      <c r="B1279" s="53">
        <f>IF(AND($C1279="",$F1279=""),"",ROW()-9)</f>
        <v/>
      </c>
      <c r="C1279" s="213" t="n"/>
      <c r="D1279" s="55" t="n"/>
      <c r="E1279" s="55" t="n"/>
      <c r="F1279" s="56" t="n"/>
      <c r="G1279" s="196" t="n"/>
      <c r="H1279" s="196" t="n"/>
      <c r="I1279" s="55" t="n"/>
      <c r="J1279" s="55" t="n"/>
      <c r="K1279" s="55" t="n"/>
      <c r="L1279" s="100">
        <f>IF(OR($C1279="",$I1279="Оплачено",$I1279="Отменено",$H1279&lt;&gt;""),"",$C1279-TODAY())</f>
        <v/>
      </c>
      <c r="M1279" s="101">
        <f>IF($C1279="","",INDEX(Настройки!$V$6:$V$17,MONTH($C1279))&amp;" "&amp;YEAR($C1279))</f>
        <v/>
      </c>
      <c r="N1279" s="57">
        <f>IF($F1279="","",IF(COUNTIF(Постоянные!$C$8:$C$37,$F1279)&gt;0,"есть в Постоянных",IF(COUNTIF(Покупки!$C$7:$C$18,$F1279)&gt;0,"есть в Покупках","")))</f>
        <v/>
      </c>
      <c r="P1279">
        <f>IF($H1279&lt;&gt;"",$H1279,IF($I1279="Оплачено",N($G1279),0))</f>
        <v/>
      </c>
      <c r="Q1279">
        <f>IF($I1279="Отменено",0,IF($G1279&lt;&gt;"",$G1279,N($H1279)))</f>
        <v/>
      </c>
      <c r="R1279">
        <f>IF($C1279="","",IFERROR(DATE(Настройки!$C$8,Настройки!$D$9+MATCH($M1279,Настройки!$X$6:$X$17,0)-1,1),DATE(YEAR($C1279),MONTH($C1279),1)))</f>
        <v/>
      </c>
      <c r="S1279">
        <f>IF(OR($I1279="Оплачено",$H1279&lt;&gt;""),$P1279,$Q1279)</f>
        <v/>
      </c>
      <c r="T1279">
        <f>IF(OR($C1279="",$D1279="Доход",$I1279="Оплачено",$I1279="Отменено",$H1279&lt;&gt;"",$C1279&lt;TODAY()),"",$C1279)</f>
        <v/>
      </c>
      <c r="U1279">
        <f>IF(AND($D1279&lt;&gt;"Доход",COUNTIFS(Счета!$B$10:$B$21,$J1279,Счета!$C$10:$C$21,"Кредитная")&gt;0),1,0)</f>
        <v/>
      </c>
    </row>
    <row r="1280" ht="19" customHeight="1">
      <c r="B1280" s="53">
        <f>IF(AND($C1280="",$F1280=""),"",ROW()-9)</f>
        <v/>
      </c>
      <c r="C1280" s="213" t="n"/>
      <c r="D1280" s="55" t="n"/>
      <c r="E1280" s="55" t="n"/>
      <c r="F1280" s="56" t="n"/>
      <c r="G1280" s="196" t="n"/>
      <c r="H1280" s="196" t="n"/>
      <c r="I1280" s="55" t="n"/>
      <c r="J1280" s="55" t="n"/>
      <c r="K1280" s="55" t="n"/>
      <c r="L1280" s="100">
        <f>IF(OR($C1280="",$I1280="Оплачено",$I1280="Отменено",$H1280&lt;&gt;""),"",$C1280-TODAY())</f>
        <v/>
      </c>
      <c r="M1280" s="101">
        <f>IF($C1280="","",INDEX(Настройки!$V$6:$V$17,MONTH($C1280))&amp;" "&amp;YEAR($C1280))</f>
        <v/>
      </c>
      <c r="N1280" s="57">
        <f>IF($F1280="","",IF(COUNTIF(Постоянные!$C$8:$C$37,$F1280)&gt;0,"есть в Постоянных",IF(COUNTIF(Покупки!$C$7:$C$18,$F1280)&gt;0,"есть в Покупках","")))</f>
        <v/>
      </c>
      <c r="P1280">
        <f>IF($H1280&lt;&gt;"",$H1280,IF($I1280="Оплачено",N($G1280),0))</f>
        <v/>
      </c>
      <c r="Q1280">
        <f>IF($I1280="Отменено",0,IF($G1280&lt;&gt;"",$G1280,N($H1280)))</f>
        <v/>
      </c>
      <c r="R1280">
        <f>IF($C1280="","",IFERROR(DATE(Настройки!$C$8,Настройки!$D$9+MATCH($M1280,Настройки!$X$6:$X$17,0)-1,1),DATE(YEAR($C1280),MONTH($C1280),1)))</f>
        <v/>
      </c>
      <c r="S1280">
        <f>IF(OR($I1280="Оплачено",$H1280&lt;&gt;""),$P1280,$Q1280)</f>
        <v/>
      </c>
      <c r="T1280">
        <f>IF(OR($C1280="",$D1280="Доход",$I1280="Оплачено",$I1280="Отменено",$H1280&lt;&gt;"",$C1280&lt;TODAY()),"",$C1280)</f>
        <v/>
      </c>
      <c r="U1280">
        <f>IF(AND($D1280&lt;&gt;"Доход",COUNTIFS(Счета!$B$10:$B$21,$J1280,Счета!$C$10:$C$21,"Кредитная")&gt;0),1,0)</f>
        <v/>
      </c>
    </row>
    <row r="1281" ht="19" customHeight="1">
      <c r="B1281" s="53">
        <f>IF(AND($C1281="",$F1281=""),"",ROW()-9)</f>
        <v/>
      </c>
      <c r="C1281" s="213" t="n"/>
      <c r="D1281" s="55" t="n"/>
      <c r="E1281" s="55" t="n"/>
      <c r="F1281" s="56" t="n"/>
      <c r="G1281" s="196" t="n"/>
      <c r="H1281" s="196" t="n"/>
      <c r="I1281" s="55" t="n"/>
      <c r="J1281" s="55" t="n"/>
      <c r="K1281" s="55" t="n"/>
      <c r="L1281" s="100">
        <f>IF(OR($C1281="",$I1281="Оплачено",$I1281="Отменено",$H1281&lt;&gt;""),"",$C1281-TODAY())</f>
        <v/>
      </c>
      <c r="M1281" s="101">
        <f>IF($C1281="","",INDEX(Настройки!$V$6:$V$17,MONTH($C1281))&amp;" "&amp;YEAR($C1281))</f>
        <v/>
      </c>
      <c r="N1281" s="57">
        <f>IF($F1281="","",IF(COUNTIF(Постоянные!$C$8:$C$37,$F1281)&gt;0,"есть в Постоянных",IF(COUNTIF(Покупки!$C$7:$C$18,$F1281)&gt;0,"есть в Покупках","")))</f>
        <v/>
      </c>
      <c r="P1281">
        <f>IF($H1281&lt;&gt;"",$H1281,IF($I1281="Оплачено",N($G1281),0))</f>
        <v/>
      </c>
      <c r="Q1281">
        <f>IF($I1281="Отменено",0,IF($G1281&lt;&gt;"",$G1281,N($H1281)))</f>
        <v/>
      </c>
      <c r="R1281">
        <f>IF($C1281="","",IFERROR(DATE(Настройки!$C$8,Настройки!$D$9+MATCH($M1281,Настройки!$X$6:$X$17,0)-1,1),DATE(YEAR($C1281),MONTH($C1281),1)))</f>
        <v/>
      </c>
      <c r="S1281">
        <f>IF(OR($I1281="Оплачено",$H1281&lt;&gt;""),$P1281,$Q1281)</f>
        <v/>
      </c>
      <c r="T1281">
        <f>IF(OR($C1281="",$D1281="Доход",$I1281="Оплачено",$I1281="Отменено",$H1281&lt;&gt;"",$C1281&lt;TODAY()),"",$C1281)</f>
        <v/>
      </c>
      <c r="U1281">
        <f>IF(AND($D1281&lt;&gt;"Доход",COUNTIFS(Счета!$B$10:$B$21,$J1281,Счета!$C$10:$C$21,"Кредитная")&gt;0),1,0)</f>
        <v/>
      </c>
    </row>
    <row r="1282" ht="19" customHeight="1">
      <c r="B1282" s="53">
        <f>IF(AND($C1282="",$F1282=""),"",ROW()-9)</f>
        <v/>
      </c>
      <c r="C1282" s="213" t="n"/>
      <c r="D1282" s="55" t="n"/>
      <c r="E1282" s="55" t="n"/>
      <c r="F1282" s="56" t="n"/>
      <c r="G1282" s="196" t="n"/>
      <c r="H1282" s="196" t="n"/>
      <c r="I1282" s="55" t="n"/>
      <c r="J1282" s="55" t="n"/>
      <c r="K1282" s="55" t="n"/>
      <c r="L1282" s="100">
        <f>IF(OR($C1282="",$I1282="Оплачено",$I1282="Отменено",$H1282&lt;&gt;""),"",$C1282-TODAY())</f>
        <v/>
      </c>
      <c r="M1282" s="101">
        <f>IF($C1282="","",INDEX(Настройки!$V$6:$V$17,MONTH($C1282))&amp;" "&amp;YEAR($C1282))</f>
        <v/>
      </c>
      <c r="N1282" s="57">
        <f>IF($F1282="","",IF(COUNTIF(Постоянные!$C$8:$C$37,$F1282)&gt;0,"есть в Постоянных",IF(COUNTIF(Покупки!$C$7:$C$18,$F1282)&gt;0,"есть в Покупках","")))</f>
        <v/>
      </c>
      <c r="P1282">
        <f>IF($H1282&lt;&gt;"",$H1282,IF($I1282="Оплачено",N($G1282),0))</f>
        <v/>
      </c>
      <c r="Q1282">
        <f>IF($I1282="Отменено",0,IF($G1282&lt;&gt;"",$G1282,N($H1282)))</f>
        <v/>
      </c>
      <c r="R1282">
        <f>IF($C1282="","",IFERROR(DATE(Настройки!$C$8,Настройки!$D$9+MATCH($M1282,Настройки!$X$6:$X$17,0)-1,1),DATE(YEAR($C1282),MONTH($C1282),1)))</f>
        <v/>
      </c>
      <c r="S1282">
        <f>IF(OR($I1282="Оплачено",$H1282&lt;&gt;""),$P1282,$Q1282)</f>
        <v/>
      </c>
      <c r="T1282">
        <f>IF(OR($C1282="",$D1282="Доход",$I1282="Оплачено",$I1282="Отменено",$H1282&lt;&gt;"",$C1282&lt;TODAY()),"",$C1282)</f>
        <v/>
      </c>
      <c r="U1282">
        <f>IF(AND($D1282&lt;&gt;"Доход",COUNTIFS(Счета!$B$10:$B$21,$J1282,Счета!$C$10:$C$21,"Кредитная")&gt;0),1,0)</f>
        <v/>
      </c>
    </row>
    <row r="1283" ht="19" customHeight="1">
      <c r="B1283" s="53">
        <f>IF(AND($C1283="",$F1283=""),"",ROW()-9)</f>
        <v/>
      </c>
      <c r="C1283" s="213" t="n"/>
      <c r="D1283" s="55" t="n"/>
      <c r="E1283" s="55" t="n"/>
      <c r="F1283" s="56" t="n"/>
      <c r="G1283" s="196" t="n"/>
      <c r="H1283" s="196" t="n"/>
      <c r="I1283" s="55" t="n"/>
      <c r="J1283" s="55" t="n"/>
      <c r="K1283" s="55" t="n"/>
      <c r="L1283" s="100">
        <f>IF(OR($C1283="",$I1283="Оплачено",$I1283="Отменено",$H1283&lt;&gt;""),"",$C1283-TODAY())</f>
        <v/>
      </c>
      <c r="M1283" s="101">
        <f>IF($C1283="","",INDEX(Настройки!$V$6:$V$17,MONTH($C1283))&amp;" "&amp;YEAR($C1283))</f>
        <v/>
      </c>
      <c r="N1283" s="57">
        <f>IF($F1283="","",IF(COUNTIF(Постоянные!$C$8:$C$37,$F1283)&gt;0,"есть в Постоянных",IF(COUNTIF(Покупки!$C$7:$C$18,$F1283)&gt;0,"есть в Покупках","")))</f>
        <v/>
      </c>
      <c r="P1283">
        <f>IF($H1283&lt;&gt;"",$H1283,IF($I1283="Оплачено",N($G1283),0))</f>
        <v/>
      </c>
      <c r="Q1283">
        <f>IF($I1283="Отменено",0,IF($G1283&lt;&gt;"",$G1283,N($H1283)))</f>
        <v/>
      </c>
      <c r="R1283">
        <f>IF($C1283="","",IFERROR(DATE(Настройки!$C$8,Настройки!$D$9+MATCH($M1283,Настройки!$X$6:$X$17,0)-1,1),DATE(YEAR($C1283),MONTH($C1283),1)))</f>
        <v/>
      </c>
      <c r="S1283">
        <f>IF(OR($I1283="Оплачено",$H1283&lt;&gt;""),$P1283,$Q1283)</f>
        <v/>
      </c>
      <c r="T1283">
        <f>IF(OR($C1283="",$D1283="Доход",$I1283="Оплачено",$I1283="Отменено",$H1283&lt;&gt;"",$C1283&lt;TODAY()),"",$C1283)</f>
        <v/>
      </c>
      <c r="U1283">
        <f>IF(AND($D1283&lt;&gt;"Доход",COUNTIFS(Счета!$B$10:$B$21,$J1283,Счета!$C$10:$C$21,"Кредитная")&gt;0),1,0)</f>
        <v/>
      </c>
    </row>
    <row r="1284" ht="19" customHeight="1">
      <c r="B1284" s="53">
        <f>IF(AND($C1284="",$F1284=""),"",ROW()-9)</f>
        <v/>
      </c>
      <c r="C1284" s="213" t="n"/>
      <c r="D1284" s="55" t="n"/>
      <c r="E1284" s="55" t="n"/>
      <c r="F1284" s="56" t="n"/>
      <c r="G1284" s="196" t="n"/>
      <c r="H1284" s="196" t="n"/>
      <c r="I1284" s="55" t="n"/>
      <c r="J1284" s="55" t="n"/>
      <c r="K1284" s="55" t="n"/>
      <c r="L1284" s="100">
        <f>IF(OR($C1284="",$I1284="Оплачено",$I1284="Отменено",$H1284&lt;&gt;""),"",$C1284-TODAY())</f>
        <v/>
      </c>
      <c r="M1284" s="101">
        <f>IF($C1284="","",INDEX(Настройки!$V$6:$V$17,MONTH($C1284))&amp;" "&amp;YEAR($C1284))</f>
        <v/>
      </c>
      <c r="N1284" s="57">
        <f>IF($F1284="","",IF(COUNTIF(Постоянные!$C$8:$C$37,$F1284)&gt;0,"есть в Постоянных",IF(COUNTIF(Покупки!$C$7:$C$18,$F1284)&gt;0,"есть в Покупках","")))</f>
        <v/>
      </c>
      <c r="P1284">
        <f>IF($H1284&lt;&gt;"",$H1284,IF($I1284="Оплачено",N($G1284),0))</f>
        <v/>
      </c>
      <c r="Q1284">
        <f>IF($I1284="Отменено",0,IF($G1284&lt;&gt;"",$G1284,N($H1284)))</f>
        <v/>
      </c>
      <c r="R1284">
        <f>IF($C1284="","",IFERROR(DATE(Настройки!$C$8,Настройки!$D$9+MATCH($M1284,Настройки!$X$6:$X$17,0)-1,1),DATE(YEAR($C1284),MONTH($C1284),1)))</f>
        <v/>
      </c>
      <c r="S1284">
        <f>IF(OR($I1284="Оплачено",$H1284&lt;&gt;""),$P1284,$Q1284)</f>
        <v/>
      </c>
      <c r="T1284">
        <f>IF(OR($C1284="",$D1284="Доход",$I1284="Оплачено",$I1284="Отменено",$H1284&lt;&gt;"",$C1284&lt;TODAY()),"",$C1284)</f>
        <v/>
      </c>
      <c r="U1284">
        <f>IF(AND($D1284&lt;&gt;"Доход",COUNTIFS(Счета!$B$10:$B$21,$J1284,Счета!$C$10:$C$21,"Кредитная")&gt;0),1,0)</f>
        <v/>
      </c>
    </row>
    <row r="1285" ht="19" customHeight="1">
      <c r="B1285" s="53">
        <f>IF(AND($C1285="",$F1285=""),"",ROW()-9)</f>
        <v/>
      </c>
      <c r="C1285" s="213" t="n"/>
      <c r="D1285" s="55" t="n"/>
      <c r="E1285" s="55" t="n"/>
      <c r="F1285" s="56" t="n"/>
      <c r="G1285" s="196" t="n"/>
      <c r="H1285" s="196" t="n"/>
      <c r="I1285" s="55" t="n"/>
      <c r="J1285" s="55" t="n"/>
      <c r="K1285" s="55" t="n"/>
      <c r="L1285" s="100">
        <f>IF(OR($C1285="",$I1285="Оплачено",$I1285="Отменено",$H1285&lt;&gt;""),"",$C1285-TODAY())</f>
        <v/>
      </c>
      <c r="M1285" s="101">
        <f>IF($C1285="","",INDEX(Настройки!$V$6:$V$17,MONTH($C1285))&amp;" "&amp;YEAR($C1285))</f>
        <v/>
      </c>
      <c r="N1285" s="57">
        <f>IF($F1285="","",IF(COUNTIF(Постоянные!$C$8:$C$37,$F1285)&gt;0,"есть в Постоянных",IF(COUNTIF(Покупки!$C$7:$C$18,$F1285)&gt;0,"есть в Покупках","")))</f>
        <v/>
      </c>
      <c r="P1285">
        <f>IF($H1285&lt;&gt;"",$H1285,IF($I1285="Оплачено",N($G1285),0))</f>
        <v/>
      </c>
      <c r="Q1285">
        <f>IF($I1285="Отменено",0,IF($G1285&lt;&gt;"",$G1285,N($H1285)))</f>
        <v/>
      </c>
      <c r="R1285">
        <f>IF($C1285="","",IFERROR(DATE(Настройки!$C$8,Настройки!$D$9+MATCH($M1285,Настройки!$X$6:$X$17,0)-1,1),DATE(YEAR($C1285),MONTH($C1285),1)))</f>
        <v/>
      </c>
      <c r="S1285">
        <f>IF(OR($I1285="Оплачено",$H1285&lt;&gt;""),$P1285,$Q1285)</f>
        <v/>
      </c>
      <c r="T1285">
        <f>IF(OR($C1285="",$D1285="Доход",$I1285="Оплачено",$I1285="Отменено",$H1285&lt;&gt;"",$C1285&lt;TODAY()),"",$C1285)</f>
        <v/>
      </c>
      <c r="U1285">
        <f>IF(AND($D1285&lt;&gt;"Доход",COUNTIFS(Счета!$B$10:$B$21,$J1285,Счета!$C$10:$C$21,"Кредитная")&gt;0),1,0)</f>
        <v/>
      </c>
    </row>
    <row r="1286" ht="19" customHeight="1">
      <c r="B1286" s="53">
        <f>IF(AND($C1286="",$F1286=""),"",ROW()-9)</f>
        <v/>
      </c>
      <c r="C1286" s="213" t="n"/>
      <c r="D1286" s="55" t="n"/>
      <c r="E1286" s="55" t="n"/>
      <c r="F1286" s="56" t="n"/>
      <c r="G1286" s="196" t="n"/>
      <c r="H1286" s="196" t="n"/>
      <c r="I1286" s="55" t="n"/>
      <c r="J1286" s="55" t="n"/>
      <c r="K1286" s="55" t="n"/>
      <c r="L1286" s="100">
        <f>IF(OR($C1286="",$I1286="Оплачено",$I1286="Отменено",$H1286&lt;&gt;""),"",$C1286-TODAY())</f>
        <v/>
      </c>
      <c r="M1286" s="101">
        <f>IF($C1286="","",INDEX(Настройки!$V$6:$V$17,MONTH($C1286))&amp;" "&amp;YEAR($C1286))</f>
        <v/>
      </c>
      <c r="N1286" s="57">
        <f>IF($F1286="","",IF(COUNTIF(Постоянные!$C$8:$C$37,$F1286)&gt;0,"есть в Постоянных",IF(COUNTIF(Покупки!$C$7:$C$18,$F1286)&gt;0,"есть в Покупках","")))</f>
        <v/>
      </c>
      <c r="P1286">
        <f>IF($H1286&lt;&gt;"",$H1286,IF($I1286="Оплачено",N($G1286),0))</f>
        <v/>
      </c>
      <c r="Q1286">
        <f>IF($I1286="Отменено",0,IF($G1286&lt;&gt;"",$G1286,N($H1286)))</f>
        <v/>
      </c>
      <c r="R1286">
        <f>IF($C1286="","",IFERROR(DATE(Настройки!$C$8,Настройки!$D$9+MATCH($M1286,Настройки!$X$6:$X$17,0)-1,1),DATE(YEAR($C1286),MONTH($C1286),1)))</f>
        <v/>
      </c>
      <c r="S1286">
        <f>IF(OR($I1286="Оплачено",$H1286&lt;&gt;""),$P1286,$Q1286)</f>
        <v/>
      </c>
      <c r="T1286">
        <f>IF(OR($C1286="",$D1286="Доход",$I1286="Оплачено",$I1286="Отменено",$H1286&lt;&gt;"",$C1286&lt;TODAY()),"",$C1286)</f>
        <v/>
      </c>
      <c r="U1286">
        <f>IF(AND($D1286&lt;&gt;"Доход",COUNTIFS(Счета!$B$10:$B$21,$J1286,Счета!$C$10:$C$21,"Кредитная")&gt;0),1,0)</f>
        <v/>
      </c>
    </row>
    <row r="1287" ht="19" customHeight="1">
      <c r="B1287" s="53">
        <f>IF(AND($C1287="",$F1287=""),"",ROW()-9)</f>
        <v/>
      </c>
      <c r="C1287" s="213" t="n"/>
      <c r="D1287" s="55" t="n"/>
      <c r="E1287" s="55" t="n"/>
      <c r="F1287" s="56" t="n"/>
      <c r="G1287" s="196" t="n"/>
      <c r="H1287" s="196" t="n"/>
      <c r="I1287" s="55" t="n"/>
      <c r="J1287" s="55" t="n"/>
      <c r="K1287" s="55" t="n"/>
      <c r="L1287" s="100">
        <f>IF(OR($C1287="",$I1287="Оплачено",$I1287="Отменено",$H1287&lt;&gt;""),"",$C1287-TODAY())</f>
        <v/>
      </c>
      <c r="M1287" s="101">
        <f>IF($C1287="","",INDEX(Настройки!$V$6:$V$17,MONTH($C1287))&amp;" "&amp;YEAR($C1287))</f>
        <v/>
      </c>
      <c r="N1287" s="57">
        <f>IF($F1287="","",IF(COUNTIF(Постоянные!$C$8:$C$37,$F1287)&gt;0,"есть в Постоянных",IF(COUNTIF(Покупки!$C$7:$C$18,$F1287)&gt;0,"есть в Покупках","")))</f>
        <v/>
      </c>
      <c r="P1287">
        <f>IF($H1287&lt;&gt;"",$H1287,IF($I1287="Оплачено",N($G1287),0))</f>
        <v/>
      </c>
      <c r="Q1287">
        <f>IF($I1287="Отменено",0,IF($G1287&lt;&gt;"",$G1287,N($H1287)))</f>
        <v/>
      </c>
      <c r="R1287">
        <f>IF($C1287="","",IFERROR(DATE(Настройки!$C$8,Настройки!$D$9+MATCH($M1287,Настройки!$X$6:$X$17,0)-1,1),DATE(YEAR($C1287),MONTH($C1287),1)))</f>
        <v/>
      </c>
      <c r="S1287">
        <f>IF(OR($I1287="Оплачено",$H1287&lt;&gt;""),$P1287,$Q1287)</f>
        <v/>
      </c>
      <c r="T1287">
        <f>IF(OR($C1287="",$D1287="Доход",$I1287="Оплачено",$I1287="Отменено",$H1287&lt;&gt;"",$C1287&lt;TODAY()),"",$C1287)</f>
        <v/>
      </c>
      <c r="U1287">
        <f>IF(AND($D1287&lt;&gt;"Доход",COUNTIFS(Счета!$B$10:$B$21,$J1287,Счета!$C$10:$C$21,"Кредитная")&gt;0),1,0)</f>
        <v/>
      </c>
    </row>
    <row r="1288" ht="19" customHeight="1">
      <c r="B1288" s="53">
        <f>IF(AND($C1288="",$F1288=""),"",ROW()-9)</f>
        <v/>
      </c>
      <c r="C1288" s="213" t="n"/>
      <c r="D1288" s="55" t="n"/>
      <c r="E1288" s="55" t="n"/>
      <c r="F1288" s="56" t="n"/>
      <c r="G1288" s="196" t="n"/>
      <c r="H1288" s="196" t="n"/>
      <c r="I1288" s="55" t="n"/>
      <c r="J1288" s="55" t="n"/>
      <c r="K1288" s="55" t="n"/>
      <c r="L1288" s="100">
        <f>IF(OR($C1288="",$I1288="Оплачено",$I1288="Отменено",$H1288&lt;&gt;""),"",$C1288-TODAY())</f>
        <v/>
      </c>
      <c r="M1288" s="101">
        <f>IF($C1288="","",INDEX(Настройки!$V$6:$V$17,MONTH($C1288))&amp;" "&amp;YEAR($C1288))</f>
        <v/>
      </c>
      <c r="N1288" s="57">
        <f>IF($F1288="","",IF(COUNTIF(Постоянные!$C$8:$C$37,$F1288)&gt;0,"есть в Постоянных",IF(COUNTIF(Покупки!$C$7:$C$18,$F1288)&gt;0,"есть в Покупках","")))</f>
        <v/>
      </c>
      <c r="P1288">
        <f>IF($H1288&lt;&gt;"",$H1288,IF($I1288="Оплачено",N($G1288),0))</f>
        <v/>
      </c>
      <c r="Q1288">
        <f>IF($I1288="Отменено",0,IF($G1288&lt;&gt;"",$G1288,N($H1288)))</f>
        <v/>
      </c>
      <c r="R1288">
        <f>IF($C1288="","",IFERROR(DATE(Настройки!$C$8,Настройки!$D$9+MATCH($M1288,Настройки!$X$6:$X$17,0)-1,1),DATE(YEAR($C1288),MONTH($C1288),1)))</f>
        <v/>
      </c>
      <c r="S1288">
        <f>IF(OR($I1288="Оплачено",$H1288&lt;&gt;""),$P1288,$Q1288)</f>
        <v/>
      </c>
      <c r="T1288">
        <f>IF(OR($C1288="",$D1288="Доход",$I1288="Оплачено",$I1288="Отменено",$H1288&lt;&gt;"",$C1288&lt;TODAY()),"",$C1288)</f>
        <v/>
      </c>
      <c r="U1288">
        <f>IF(AND($D1288&lt;&gt;"Доход",COUNTIFS(Счета!$B$10:$B$21,$J1288,Счета!$C$10:$C$21,"Кредитная")&gt;0),1,0)</f>
        <v/>
      </c>
    </row>
    <row r="1289" ht="19" customHeight="1">
      <c r="B1289" s="53">
        <f>IF(AND($C1289="",$F1289=""),"",ROW()-9)</f>
        <v/>
      </c>
      <c r="C1289" s="213" t="n"/>
      <c r="D1289" s="55" t="n"/>
      <c r="E1289" s="55" t="n"/>
      <c r="F1289" s="56" t="n"/>
      <c r="G1289" s="196" t="n"/>
      <c r="H1289" s="196" t="n"/>
      <c r="I1289" s="55" t="n"/>
      <c r="J1289" s="55" t="n"/>
      <c r="K1289" s="55" t="n"/>
      <c r="L1289" s="100">
        <f>IF(OR($C1289="",$I1289="Оплачено",$I1289="Отменено",$H1289&lt;&gt;""),"",$C1289-TODAY())</f>
        <v/>
      </c>
      <c r="M1289" s="101">
        <f>IF($C1289="","",INDEX(Настройки!$V$6:$V$17,MONTH($C1289))&amp;" "&amp;YEAR($C1289))</f>
        <v/>
      </c>
      <c r="N1289" s="57">
        <f>IF($F1289="","",IF(COUNTIF(Постоянные!$C$8:$C$37,$F1289)&gt;0,"есть в Постоянных",IF(COUNTIF(Покупки!$C$7:$C$18,$F1289)&gt;0,"есть в Покупках","")))</f>
        <v/>
      </c>
      <c r="P1289">
        <f>IF($H1289&lt;&gt;"",$H1289,IF($I1289="Оплачено",N($G1289),0))</f>
        <v/>
      </c>
      <c r="Q1289">
        <f>IF($I1289="Отменено",0,IF($G1289&lt;&gt;"",$G1289,N($H1289)))</f>
        <v/>
      </c>
      <c r="R1289">
        <f>IF($C1289="","",IFERROR(DATE(Настройки!$C$8,Настройки!$D$9+MATCH($M1289,Настройки!$X$6:$X$17,0)-1,1),DATE(YEAR($C1289),MONTH($C1289),1)))</f>
        <v/>
      </c>
      <c r="S1289">
        <f>IF(OR($I1289="Оплачено",$H1289&lt;&gt;""),$P1289,$Q1289)</f>
        <v/>
      </c>
      <c r="T1289">
        <f>IF(OR($C1289="",$D1289="Доход",$I1289="Оплачено",$I1289="Отменено",$H1289&lt;&gt;"",$C1289&lt;TODAY()),"",$C1289)</f>
        <v/>
      </c>
      <c r="U1289">
        <f>IF(AND($D1289&lt;&gt;"Доход",COUNTIFS(Счета!$B$10:$B$21,$J1289,Счета!$C$10:$C$21,"Кредитная")&gt;0),1,0)</f>
        <v/>
      </c>
    </row>
    <row r="1290" ht="19" customHeight="1">
      <c r="B1290" s="53">
        <f>IF(AND($C1290="",$F1290=""),"",ROW()-9)</f>
        <v/>
      </c>
      <c r="C1290" s="213" t="n"/>
      <c r="D1290" s="55" t="n"/>
      <c r="E1290" s="55" t="n"/>
      <c r="F1290" s="56" t="n"/>
      <c r="G1290" s="196" t="n"/>
      <c r="H1290" s="196" t="n"/>
      <c r="I1290" s="55" t="n"/>
      <c r="J1290" s="55" t="n"/>
      <c r="K1290" s="55" t="n"/>
      <c r="L1290" s="100">
        <f>IF(OR($C1290="",$I1290="Оплачено",$I1290="Отменено",$H1290&lt;&gt;""),"",$C1290-TODAY())</f>
        <v/>
      </c>
      <c r="M1290" s="101">
        <f>IF($C1290="","",INDEX(Настройки!$V$6:$V$17,MONTH($C1290))&amp;" "&amp;YEAR($C1290))</f>
        <v/>
      </c>
      <c r="N1290" s="57">
        <f>IF($F1290="","",IF(COUNTIF(Постоянные!$C$8:$C$37,$F1290)&gt;0,"есть в Постоянных",IF(COUNTIF(Покупки!$C$7:$C$18,$F1290)&gt;0,"есть в Покупках","")))</f>
        <v/>
      </c>
      <c r="P1290">
        <f>IF($H1290&lt;&gt;"",$H1290,IF($I1290="Оплачено",N($G1290),0))</f>
        <v/>
      </c>
      <c r="Q1290">
        <f>IF($I1290="Отменено",0,IF($G1290&lt;&gt;"",$G1290,N($H1290)))</f>
        <v/>
      </c>
      <c r="R1290">
        <f>IF($C1290="","",IFERROR(DATE(Настройки!$C$8,Настройки!$D$9+MATCH($M1290,Настройки!$X$6:$X$17,0)-1,1),DATE(YEAR($C1290),MONTH($C1290),1)))</f>
        <v/>
      </c>
      <c r="S1290">
        <f>IF(OR($I1290="Оплачено",$H1290&lt;&gt;""),$P1290,$Q1290)</f>
        <v/>
      </c>
      <c r="T1290">
        <f>IF(OR($C1290="",$D1290="Доход",$I1290="Оплачено",$I1290="Отменено",$H1290&lt;&gt;"",$C1290&lt;TODAY()),"",$C1290)</f>
        <v/>
      </c>
      <c r="U1290">
        <f>IF(AND($D1290&lt;&gt;"Доход",COUNTIFS(Счета!$B$10:$B$21,$J1290,Счета!$C$10:$C$21,"Кредитная")&gt;0),1,0)</f>
        <v/>
      </c>
    </row>
    <row r="1291" ht="19" customHeight="1">
      <c r="B1291" s="53">
        <f>IF(AND($C1291="",$F1291=""),"",ROW()-9)</f>
        <v/>
      </c>
      <c r="C1291" s="213" t="n"/>
      <c r="D1291" s="55" t="n"/>
      <c r="E1291" s="55" t="n"/>
      <c r="F1291" s="56" t="n"/>
      <c r="G1291" s="196" t="n"/>
      <c r="H1291" s="196" t="n"/>
      <c r="I1291" s="55" t="n"/>
      <c r="J1291" s="55" t="n"/>
      <c r="K1291" s="55" t="n"/>
      <c r="L1291" s="100">
        <f>IF(OR($C1291="",$I1291="Оплачено",$I1291="Отменено",$H1291&lt;&gt;""),"",$C1291-TODAY())</f>
        <v/>
      </c>
      <c r="M1291" s="101">
        <f>IF($C1291="","",INDEX(Настройки!$V$6:$V$17,MONTH($C1291))&amp;" "&amp;YEAR($C1291))</f>
        <v/>
      </c>
      <c r="N1291" s="57">
        <f>IF($F1291="","",IF(COUNTIF(Постоянные!$C$8:$C$37,$F1291)&gt;0,"есть в Постоянных",IF(COUNTIF(Покупки!$C$7:$C$18,$F1291)&gt;0,"есть в Покупках","")))</f>
        <v/>
      </c>
      <c r="P1291">
        <f>IF($H1291&lt;&gt;"",$H1291,IF($I1291="Оплачено",N($G1291),0))</f>
        <v/>
      </c>
      <c r="Q1291">
        <f>IF($I1291="Отменено",0,IF($G1291&lt;&gt;"",$G1291,N($H1291)))</f>
        <v/>
      </c>
      <c r="R1291">
        <f>IF($C1291="","",IFERROR(DATE(Настройки!$C$8,Настройки!$D$9+MATCH($M1291,Настройки!$X$6:$X$17,0)-1,1),DATE(YEAR($C1291),MONTH($C1291),1)))</f>
        <v/>
      </c>
      <c r="S1291">
        <f>IF(OR($I1291="Оплачено",$H1291&lt;&gt;""),$P1291,$Q1291)</f>
        <v/>
      </c>
      <c r="T1291">
        <f>IF(OR($C1291="",$D1291="Доход",$I1291="Оплачено",$I1291="Отменено",$H1291&lt;&gt;"",$C1291&lt;TODAY()),"",$C1291)</f>
        <v/>
      </c>
      <c r="U1291">
        <f>IF(AND($D1291&lt;&gt;"Доход",COUNTIFS(Счета!$B$10:$B$21,$J1291,Счета!$C$10:$C$21,"Кредитная")&gt;0),1,0)</f>
        <v/>
      </c>
    </row>
    <row r="1292" ht="19" customHeight="1">
      <c r="B1292" s="53">
        <f>IF(AND($C1292="",$F1292=""),"",ROW()-9)</f>
        <v/>
      </c>
      <c r="C1292" s="213" t="n"/>
      <c r="D1292" s="55" t="n"/>
      <c r="E1292" s="55" t="n"/>
      <c r="F1292" s="56" t="n"/>
      <c r="G1292" s="196" t="n"/>
      <c r="H1292" s="196" t="n"/>
      <c r="I1292" s="55" t="n"/>
      <c r="J1292" s="55" t="n"/>
      <c r="K1292" s="55" t="n"/>
      <c r="L1292" s="100">
        <f>IF(OR($C1292="",$I1292="Оплачено",$I1292="Отменено",$H1292&lt;&gt;""),"",$C1292-TODAY())</f>
        <v/>
      </c>
      <c r="M1292" s="101">
        <f>IF($C1292="","",INDEX(Настройки!$V$6:$V$17,MONTH($C1292))&amp;" "&amp;YEAR($C1292))</f>
        <v/>
      </c>
      <c r="N1292" s="57">
        <f>IF($F1292="","",IF(COUNTIF(Постоянные!$C$8:$C$37,$F1292)&gt;0,"есть в Постоянных",IF(COUNTIF(Покупки!$C$7:$C$18,$F1292)&gt;0,"есть в Покупках","")))</f>
        <v/>
      </c>
      <c r="P1292">
        <f>IF($H1292&lt;&gt;"",$H1292,IF($I1292="Оплачено",N($G1292),0))</f>
        <v/>
      </c>
      <c r="Q1292">
        <f>IF($I1292="Отменено",0,IF($G1292&lt;&gt;"",$G1292,N($H1292)))</f>
        <v/>
      </c>
      <c r="R1292">
        <f>IF($C1292="","",IFERROR(DATE(Настройки!$C$8,Настройки!$D$9+MATCH($M1292,Настройки!$X$6:$X$17,0)-1,1),DATE(YEAR($C1292),MONTH($C1292),1)))</f>
        <v/>
      </c>
      <c r="S1292">
        <f>IF(OR($I1292="Оплачено",$H1292&lt;&gt;""),$P1292,$Q1292)</f>
        <v/>
      </c>
      <c r="T1292">
        <f>IF(OR($C1292="",$D1292="Доход",$I1292="Оплачено",$I1292="Отменено",$H1292&lt;&gt;"",$C1292&lt;TODAY()),"",$C1292)</f>
        <v/>
      </c>
      <c r="U1292">
        <f>IF(AND($D1292&lt;&gt;"Доход",COUNTIFS(Счета!$B$10:$B$21,$J1292,Счета!$C$10:$C$21,"Кредитная")&gt;0),1,0)</f>
        <v/>
      </c>
    </row>
    <row r="1293" ht="19" customHeight="1">
      <c r="B1293" s="53">
        <f>IF(AND($C1293="",$F1293=""),"",ROW()-9)</f>
        <v/>
      </c>
      <c r="C1293" s="213" t="n"/>
      <c r="D1293" s="55" t="n"/>
      <c r="E1293" s="55" t="n"/>
      <c r="F1293" s="56" t="n"/>
      <c r="G1293" s="196" t="n"/>
      <c r="H1293" s="196" t="n"/>
      <c r="I1293" s="55" t="n"/>
      <c r="J1293" s="55" t="n"/>
      <c r="K1293" s="55" t="n"/>
      <c r="L1293" s="100">
        <f>IF(OR($C1293="",$I1293="Оплачено",$I1293="Отменено",$H1293&lt;&gt;""),"",$C1293-TODAY())</f>
        <v/>
      </c>
      <c r="M1293" s="101">
        <f>IF($C1293="","",INDEX(Настройки!$V$6:$V$17,MONTH($C1293))&amp;" "&amp;YEAR($C1293))</f>
        <v/>
      </c>
      <c r="N1293" s="57">
        <f>IF($F1293="","",IF(COUNTIF(Постоянные!$C$8:$C$37,$F1293)&gt;0,"есть в Постоянных",IF(COUNTIF(Покупки!$C$7:$C$18,$F1293)&gt;0,"есть в Покупках","")))</f>
        <v/>
      </c>
      <c r="P1293">
        <f>IF($H1293&lt;&gt;"",$H1293,IF($I1293="Оплачено",N($G1293),0))</f>
        <v/>
      </c>
      <c r="Q1293">
        <f>IF($I1293="Отменено",0,IF($G1293&lt;&gt;"",$G1293,N($H1293)))</f>
        <v/>
      </c>
      <c r="R1293">
        <f>IF($C1293="","",IFERROR(DATE(Настройки!$C$8,Настройки!$D$9+MATCH($M1293,Настройки!$X$6:$X$17,0)-1,1),DATE(YEAR($C1293),MONTH($C1293),1)))</f>
        <v/>
      </c>
      <c r="S1293">
        <f>IF(OR($I1293="Оплачено",$H1293&lt;&gt;""),$P1293,$Q1293)</f>
        <v/>
      </c>
      <c r="T1293">
        <f>IF(OR($C1293="",$D1293="Доход",$I1293="Оплачено",$I1293="Отменено",$H1293&lt;&gt;"",$C1293&lt;TODAY()),"",$C1293)</f>
        <v/>
      </c>
      <c r="U1293">
        <f>IF(AND($D1293&lt;&gt;"Доход",COUNTIFS(Счета!$B$10:$B$21,$J1293,Счета!$C$10:$C$21,"Кредитная")&gt;0),1,0)</f>
        <v/>
      </c>
    </row>
    <row r="1294" ht="19" customHeight="1">
      <c r="B1294" s="53">
        <f>IF(AND($C1294="",$F1294=""),"",ROW()-9)</f>
        <v/>
      </c>
      <c r="C1294" s="213" t="n"/>
      <c r="D1294" s="55" t="n"/>
      <c r="E1294" s="55" t="n"/>
      <c r="F1294" s="56" t="n"/>
      <c r="G1294" s="196" t="n"/>
      <c r="H1294" s="196" t="n"/>
      <c r="I1294" s="55" t="n"/>
      <c r="J1294" s="55" t="n"/>
      <c r="K1294" s="55" t="n"/>
      <c r="L1294" s="100">
        <f>IF(OR($C1294="",$I1294="Оплачено",$I1294="Отменено",$H1294&lt;&gt;""),"",$C1294-TODAY())</f>
        <v/>
      </c>
      <c r="M1294" s="101">
        <f>IF($C1294="","",INDEX(Настройки!$V$6:$V$17,MONTH($C1294))&amp;" "&amp;YEAR($C1294))</f>
        <v/>
      </c>
      <c r="N1294" s="57">
        <f>IF($F1294="","",IF(COUNTIF(Постоянные!$C$8:$C$37,$F1294)&gt;0,"есть в Постоянных",IF(COUNTIF(Покупки!$C$7:$C$18,$F1294)&gt;0,"есть в Покупках","")))</f>
        <v/>
      </c>
      <c r="P1294">
        <f>IF($H1294&lt;&gt;"",$H1294,IF($I1294="Оплачено",N($G1294),0))</f>
        <v/>
      </c>
      <c r="Q1294">
        <f>IF($I1294="Отменено",0,IF($G1294&lt;&gt;"",$G1294,N($H1294)))</f>
        <v/>
      </c>
      <c r="R1294">
        <f>IF($C1294="","",IFERROR(DATE(Настройки!$C$8,Настройки!$D$9+MATCH($M1294,Настройки!$X$6:$X$17,0)-1,1),DATE(YEAR($C1294),MONTH($C1294),1)))</f>
        <v/>
      </c>
      <c r="S1294">
        <f>IF(OR($I1294="Оплачено",$H1294&lt;&gt;""),$P1294,$Q1294)</f>
        <v/>
      </c>
      <c r="T1294">
        <f>IF(OR($C1294="",$D1294="Доход",$I1294="Оплачено",$I1294="Отменено",$H1294&lt;&gt;"",$C1294&lt;TODAY()),"",$C1294)</f>
        <v/>
      </c>
      <c r="U1294">
        <f>IF(AND($D1294&lt;&gt;"Доход",COUNTIFS(Счета!$B$10:$B$21,$J1294,Счета!$C$10:$C$21,"Кредитная")&gt;0),1,0)</f>
        <v/>
      </c>
    </row>
    <row r="1295" ht="19" customHeight="1">
      <c r="B1295" s="53">
        <f>IF(AND($C1295="",$F1295=""),"",ROW()-9)</f>
        <v/>
      </c>
      <c r="C1295" s="213" t="n"/>
      <c r="D1295" s="55" t="n"/>
      <c r="E1295" s="55" t="n"/>
      <c r="F1295" s="56" t="n"/>
      <c r="G1295" s="196" t="n"/>
      <c r="H1295" s="196" t="n"/>
      <c r="I1295" s="55" t="n"/>
      <c r="J1295" s="55" t="n"/>
      <c r="K1295" s="55" t="n"/>
      <c r="L1295" s="100">
        <f>IF(OR($C1295="",$I1295="Оплачено",$I1295="Отменено",$H1295&lt;&gt;""),"",$C1295-TODAY())</f>
        <v/>
      </c>
      <c r="M1295" s="101">
        <f>IF($C1295="","",INDEX(Настройки!$V$6:$V$17,MONTH($C1295))&amp;" "&amp;YEAR($C1295))</f>
        <v/>
      </c>
      <c r="N1295" s="57">
        <f>IF($F1295="","",IF(COUNTIF(Постоянные!$C$8:$C$37,$F1295)&gt;0,"есть в Постоянных",IF(COUNTIF(Покупки!$C$7:$C$18,$F1295)&gt;0,"есть в Покупках","")))</f>
        <v/>
      </c>
      <c r="P1295">
        <f>IF($H1295&lt;&gt;"",$H1295,IF($I1295="Оплачено",N($G1295),0))</f>
        <v/>
      </c>
      <c r="Q1295">
        <f>IF($I1295="Отменено",0,IF($G1295&lt;&gt;"",$G1295,N($H1295)))</f>
        <v/>
      </c>
      <c r="R1295">
        <f>IF($C1295="","",IFERROR(DATE(Настройки!$C$8,Настройки!$D$9+MATCH($M1295,Настройки!$X$6:$X$17,0)-1,1),DATE(YEAR($C1295),MONTH($C1295),1)))</f>
        <v/>
      </c>
      <c r="S1295">
        <f>IF(OR($I1295="Оплачено",$H1295&lt;&gt;""),$P1295,$Q1295)</f>
        <v/>
      </c>
      <c r="T1295">
        <f>IF(OR($C1295="",$D1295="Доход",$I1295="Оплачено",$I1295="Отменено",$H1295&lt;&gt;"",$C1295&lt;TODAY()),"",$C1295)</f>
        <v/>
      </c>
      <c r="U1295">
        <f>IF(AND($D1295&lt;&gt;"Доход",COUNTIFS(Счета!$B$10:$B$21,$J1295,Счета!$C$10:$C$21,"Кредитная")&gt;0),1,0)</f>
        <v/>
      </c>
    </row>
    <row r="1296" ht="19" customHeight="1">
      <c r="B1296" s="53">
        <f>IF(AND($C1296="",$F1296=""),"",ROW()-9)</f>
        <v/>
      </c>
      <c r="C1296" s="213" t="n"/>
      <c r="D1296" s="55" t="n"/>
      <c r="E1296" s="55" t="n"/>
      <c r="F1296" s="56" t="n"/>
      <c r="G1296" s="196" t="n"/>
      <c r="H1296" s="196" t="n"/>
      <c r="I1296" s="55" t="n"/>
      <c r="J1296" s="55" t="n"/>
      <c r="K1296" s="55" t="n"/>
      <c r="L1296" s="100">
        <f>IF(OR($C1296="",$I1296="Оплачено",$I1296="Отменено",$H1296&lt;&gt;""),"",$C1296-TODAY())</f>
        <v/>
      </c>
      <c r="M1296" s="101">
        <f>IF($C1296="","",INDEX(Настройки!$V$6:$V$17,MONTH($C1296))&amp;" "&amp;YEAR($C1296))</f>
        <v/>
      </c>
      <c r="N1296" s="57">
        <f>IF($F1296="","",IF(COUNTIF(Постоянные!$C$8:$C$37,$F1296)&gt;0,"есть в Постоянных",IF(COUNTIF(Покупки!$C$7:$C$18,$F1296)&gt;0,"есть в Покупках","")))</f>
        <v/>
      </c>
      <c r="P1296">
        <f>IF($H1296&lt;&gt;"",$H1296,IF($I1296="Оплачено",N($G1296),0))</f>
        <v/>
      </c>
      <c r="Q1296">
        <f>IF($I1296="Отменено",0,IF($G1296&lt;&gt;"",$G1296,N($H1296)))</f>
        <v/>
      </c>
      <c r="R1296">
        <f>IF($C1296="","",IFERROR(DATE(Настройки!$C$8,Настройки!$D$9+MATCH($M1296,Настройки!$X$6:$X$17,0)-1,1),DATE(YEAR($C1296),MONTH($C1296),1)))</f>
        <v/>
      </c>
      <c r="S1296">
        <f>IF(OR($I1296="Оплачено",$H1296&lt;&gt;""),$P1296,$Q1296)</f>
        <v/>
      </c>
      <c r="T1296">
        <f>IF(OR($C1296="",$D1296="Доход",$I1296="Оплачено",$I1296="Отменено",$H1296&lt;&gt;"",$C1296&lt;TODAY()),"",$C1296)</f>
        <v/>
      </c>
      <c r="U1296">
        <f>IF(AND($D1296&lt;&gt;"Доход",COUNTIFS(Счета!$B$10:$B$21,$J1296,Счета!$C$10:$C$21,"Кредитная")&gt;0),1,0)</f>
        <v/>
      </c>
    </row>
    <row r="1297" ht="19" customHeight="1">
      <c r="B1297" s="53">
        <f>IF(AND($C1297="",$F1297=""),"",ROW()-9)</f>
        <v/>
      </c>
      <c r="C1297" s="213" t="n"/>
      <c r="D1297" s="55" t="n"/>
      <c r="E1297" s="55" t="n"/>
      <c r="F1297" s="56" t="n"/>
      <c r="G1297" s="196" t="n"/>
      <c r="H1297" s="196" t="n"/>
      <c r="I1297" s="55" t="n"/>
      <c r="J1297" s="55" t="n"/>
      <c r="K1297" s="55" t="n"/>
      <c r="L1297" s="100">
        <f>IF(OR($C1297="",$I1297="Оплачено",$I1297="Отменено",$H1297&lt;&gt;""),"",$C1297-TODAY())</f>
        <v/>
      </c>
      <c r="M1297" s="101">
        <f>IF($C1297="","",INDEX(Настройки!$V$6:$V$17,MONTH($C1297))&amp;" "&amp;YEAR($C1297))</f>
        <v/>
      </c>
      <c r="N1297" s="57">
        <f>IF($F1297="","",IF(COUNTIF(Постоянные!$C$8:$C$37,$F1297)&gt;0,"есть в Постоянных",IF(COUNTIF(Покупки!$C$7:$C$18,$F1297)&gt;0,"есть в Покупках","")))</f>
        <v/>
      </c>
      <c r="P1297">
        <f>IF($H1297&lt;&gt;"",$H1297,IF($I1297="Оплачено",N($G1297),0))</f>
        <v/>
      </c>
      <c r="Q1297">
        <f>IF($I1297="Отменено",0,IF($G1297&lt;&gt;"",$G1297,N($H1297)))</f>
        <v/>
      </c>
      <c r="R1297">
        <f>IF($C1297="","",IFERROR(DATE(Настройки!$C$8,Настройки!$D$9+MATCH($M1297,Настройки!$X$6:$X$17,0)-1,1),DATE(YEAR($C1297),MONTH($C1297),1)))</f>
        <v/>
      </c>
      <c r="S1297">
        <f>IF(OR($I1297="Оплачено",$H1297&lt;&gt;""),$P1297,$Q1297)</f>
        <v/>
      </c>
      <c r="T1297">
        <f>IF(OR($C1297="",$D1297="Доход",$I1297="Оплачено",$I1297="Отменено",$H1297&lt;&gt;"",$C1297&lt;TODAY()),"",$C1297)</f>
        <v/>
      </c>
      <c r="U1297">
        <f>IF(AND($D1297&lt;&gt;"Доход",COUNTIFS(Счета!$B$10:$B$21,$J1297,Счета!$C$10:$C$21,"Кредитная")&gt;0),1,0)</f>
        <v/>
      </c>
    </row>
    <row r="1298" ht="19" customHeight="1">
      <c r="B1298" s="53">
        <f>IF(AND($C1298="",$F1298=""),"",ROW()-9)</f>
        <v/>
      </c>
      <c r="C1298" s="213" t="n"/>
      <c r="D1298" s="55" t="n"/>
      <c r="E1298" s="55" t="n"/>
      <c r="F1298" s="56" t="n"/>
      <c r="G1298" s="196" t="n"/>
      <c r="H1298" s="196" t="n"/>
      <c r="I1298" s="55" t="n"/>
      <c r="J1298" s="55" t="n"/>
      <c r="K1298" s="55" t="n"/>
      <c r="L1298" s="100">
        <f>IF(OR($C1298="",$I1298="Оплачено",$I1298="Отменено",$H1298&lt;&gt;""),"",$C1298-TODAY())</f>
        <v/>
      </c>
      <c r="M1298" s="101">
        <f>IF($C1298="","",INDEX(Настройки!$V$6:$V$17,MONTH($C1298))&amp;" "&amp;YEAR($C1298))</f>
        <v/>
      </c>
      <c r="N1298" s="57">
        <f>IF($F1298="","",IF(COUNTIF(Постоянные!$C$8:$C$37,$F1298)&gt;0,"есть в Постоянных",IF(COUNTIF(Покупки!$C$7:$C$18,$F1298)&gt;0,"есть в Покупках","")))</f>
        <v/>
      </c>
      <c r="P1298">
        <f>IF($H1298&lt;&gt;"",$H1298,IF($I1298="Оплачено",N($G1298),0))</f>
        <v/>
      </c>
      <c r="Q1298">
        <f>IF($I1298="Отменено",0,IF($G1298&lt;&gt;"",$G1298,N($H1298)))</f>
        <v/>
      </c>
      <c r="R1298">
        <f>IF($C1298="","",IFERROR(DATE(Настройки!$C$8,Настройки!$D$9+MATCH($M1298,Настройки!$X$6:$X$17,0)-1,1),DATE(YEAR($C1298),MONTH($C1298),1)))</f>
        <v/>
      </c>
      <c r="S1298">
        <f>IF(OR($I1298="Оплачено",$H1298&lt;&gt;""),$P1298,$Q1298)</f>
        <v/>
      </c>
      <c r="T1298">
        <f>IF(OR($C1298="",$D1298="Доход",$I1298="Оплачено",$I1298="Отменено",$H1298&lt;&gt;"",$C1298&lt;TODAY()),"",$C1298)</f>
        <v/>
      </c>
      <c r="U1298">
        <f>IF(AND($D1298&lt;&gt;"Доход",COUNTIFS(Счета!$B$10:$B$21,$J1298,Счета!$C$10:$C$21,"Кредитная")&gt;0),1,0)</f>
        <v/>
      </c>
    </row>
    <row r="1299" ht="19" customHeight="1">
      <c r="B1299" s="53">
        <f>IF(AND($C1299="",$F1299=""),"",ROW()-9)</f>
        <v/>
      </c>
      <c r="C1299" s="213" t="n"/>
      <c r="D1299" s="55" t="n"/>
      <c r="E1299" s="55" t="n"/>
      <c r="F1299" s="56" t="n"/>
      <c r="G1299" s="196" t="n"/>
      <c r="H1299" s="196" t="n"/>
      <c r="I1299" s="55" t="n"/>
      <c r="J1299" s="55" t="n"/>
      <c r="K1299" s="55" t="n"/>
      <c r="L1299" s="100">
        <f>IF(OR($C1299="",$I1299="Оплачено",$I1299="Отменено",$H1299&lt;&gt;""),"",$C1299-TODAY())</f>
        <v/>
      </c>
      <c r="M1299" s="101">
        <f>IF($C1299="","",INDEX(Настройки!$V$6:$V$17,MONTH($C1299))&amp;" "&amp;YEAR($C1299))</f>
        <v/>
      </c>
      <c r="N1299" s="57">
        <f>IF($F1299="","",IF(COUNTIF(Постоянные!$C$8:$C$37,$F1299)&gt;0,"есть в Постоянных",IF(COUNTIF(Покупки!$C$7:$C$18,$F1299)&gt;0,"есть в Покупках","")))</f>
        <v/>
      </c>
      <c r="P1299">
        <f>IF($H1299&lt;&gt;"",$H1299,IF($I1299="Оплачено",N($G1299),0))</f>
        <v/>
      </c>
      <c r="Q1299">
        <f>IF($I1299="Отменено",0,IF($G1299&lt;&gt;"",$G1299,N($H1299)))</f>
        <v/>
      </c>
      <c r="R1299">
        <f>IF($C1299="","",IFERROR(DATE(Настройки!$C$8,Настройки!$D$9+MATCH($M1299,Настройки!$X$6:$X$17,0)-1,1),DATE(YEAR($C1299),MONTH($C1299),1)))</f>
        <v/>
      </c>
      <c r="S1299">
        <f>IF(OR($I1299="Оплачено",$H1299&lt;&gt;""),$P1299,$Q1299)</f>
        <v/>
      </c>
      <c r="T1299">
        <f>IF(OR($C1299="",$D1299="Доход",$I1299="Оплачено",$I1299="Отменено",$H1299&lt;&gt;"",$C1299&lt;TODAY()),"",$C1299)</f>
        <v/>
      </c>
      <c r="U1299">
        <f>IF(AND($D1299&lt;&gt;"Доход",COUNTIFS(Счета!$B$10:$B$21,$J1299,Счета!$C$10:$C$21,"Кредитная")&gt;0),1,0)</f>
        <v/>
      </c>
    </row>
    <row r="1300" ht="19" customHeight="1">
      <c r="B1300" s="53">
        <f>IF(AND($C1300="",$F1300=""),"",ROW()-9)</f>
        <v/>
      </c>
      <c r="C1300" s="213" t="n"/>
      <c r="D1300" s="55" t="n"/>
      <c r="E1300" s="55" t="n"/>
      <c r="F1300" s="56" t="n"/>
      <c r="G1300" s="196" t="n"/>
      <c r="H1300" s="196" t="n"/>
      <c r="I1300" s="55" t="n"/>
      <c r="J1300" s="55" t="n"/>
      <c r="K1300" s="55" t="n"/>
      <c r="L1300" s="100">
        <f>IF(OR($C1300="",$I1300="Оплачено",$I1300="Отменено",$H1300&lt;&gt;""),"",$C1300-TODAY())</f>
        <v/>
      </c>
      <c r="M1300" s="101">
        <f>IF($C1300="","",INDEX(Настройки!$V$6:$V$17,MONTH($C1300))&amp;" "&amp;YEAR($C1300))</f>
        <v/>
      </c>
      <c r="N1300" s="57">
        <f>IF($F1300="","",IF(COUNTIF(Постоянные!$C$8:$C$37,$F1300)&gt;0,"есть в Постоянных",IF(COUNTIF(Покупки!$C$7:$C$18,$F1300)&gt;0,"есть в Покупках","")))</f>
        <v/>
      </c>
      <c r="P1300">
        <f>IF($H1300&lt;&gt;"",$H1300,IF($I1300="Оплачено",N($G1300),0))</f>
        <v/>
      </c>
      <c r="Q1300">
        <f>IF($I1300="Отменено",0,IF($G1300&lt;&gt;"",$G1300,N($H1300)))</f>
        <v/>
      </c>
      <c r="R1300">
        <f>IF($C1300="","",IFERROR(DATE(Настройки!$C$8,Настройки!$D$9+MATCH($M1300,Настройки!$X$6:$X$17,0)-1,1),DATE(YEAR($C1300),MONTH($C1300),1)))</f>
        <v/>
      </c>
      <c r="S1300">
        <f>IF(OR($I1300="Оплачено",$H1300&lt;&gt;""),$P1300,$Q1300)</f>
        <v/>
      </c>
      <c r="T1300">
        <f>IF(OR($C1300="",$D1300="Доход",$I1300="Оплачено",$I1300="Отменено",$H1300&lt;&gt;"",$C1300&lt;TODAY()),"",$C1300)</f>
        <v/>
      </c>
      <c r="U1300">
        <f>IF(AND($D1300&lt;&gt;"Доход",COUNTIFS(Счета!$B$10:$B$21,$J1300,Счета!$C$10:$C$21,"Кредитная")&gt;0),1,0)</f>
        <v/>
      </c>
    </row>
    <row r="1301" ht="19" customHeight="1">
      <c r="B1301" s="53">
        <f>IF(AND($C1301="",$F1301=""),"",ROW()-9)</f>
        <v/>
      </c>
      <c r="C1301" s="213" t="n"/>
      <c r="D1301" s="55" t="n"/>
      <c r="E1301" s="55" t="n"/>
      <c r="F1301" s="56" t="n"/>
      <c r="G1301" s="196" t="n"/>
      <c r="H1301" s="196" t="n"/>
      <c r="I1301" s="55" t="n"/>
      <c r="J1301" s="55" t="n"/>
      <c r="K1301" s="55" t="n"/>
      <c r="L1301" s="100">
        <f>IF(OR($C1301="",$I1301="Оплачено",$I1301="Отменено",$H1301&lt;&gt;""),"",$C1301-TODAY())</f>
        <v/>
      </c>
      <c r="M1301" s="101">
        <f>IF($C1301="","",INDEX(Настройки!$V$6:$V$17,MONTH($C1301))&amp;" "&amp;YEAR($C1301))</f>
        <v/>
      </c>
      <c r="N1301" s="57">
        <f>IF($F1301="","",IF(COUNTIF(Постоянные!$C$8:$C$37,$F1301)&gt;0,"есть в Постоянных",IF(COUNTIF(Покупки!$C$7:$C$18,$F1301)&gt;0,"есть в Покупках","")))</f>
        <v/>
      </c>
      <c r="P1301">
        <f>IF($H1301&lt;&gt;"",$H1301,IF($I1301="Оплачено",N($G1301),0))</f>
        <v/>
      </c>
      <c r="Q1301">
        <f>IF($I1301="Отменено",0,IF($G1301&lt;&gt;"",$G1301,N($H1301)))</f>
        <v/>
      </c>
      <c r="R1301">
        <f>IF($C1301="","",IFERROR(DATE(Настройки!$C$8,Настройки!$D$9+MATCH($M1301,Настройки!$X$6:$X$17,0)-1,1),DATE(YEAR($C1301),MONTH($C1301),1)))</f>
        <v/>
      </c>
      <c r="S1301">
        <f>IF(OR($I1301="Оплачено",$H1301&lt;&gt;""),$P1301,$Q1301)</f>
        <v/>
      </c>
      <c r="T1301">
        <f>IF(OR($C1301="",$D1301="Доход",$I1301="Оплачено",$I1301="Отменено",$H1301&lt;&gt;"",$C1301&lt;TODAY()),"",$C1301)</f>
        <v/>
      </c>
      <c r="U1301">
        <f>IF(AND($D1301&lt;&gt;"Доход",COUNTIFS(Счета!$B$10:$B$21,$J1301,Счета!$C$10:$C$21,"Кредитная")&gt;0),1,0)</f>
        <v/>
      </c>
    </row>
    <row r="1302" ht="19" customHeight="1">
      <c r="B1302" s="53">
        <f>IF(AND($C1302="",$F1302=""),"",ROW()-9)</f>
        <v/>
      </c>
      <c r="C1302" s="213" t="n"/>
      <c r="D1302" s="55" t="n"/>
      <c r="E1302" s="55" t="n"/>
      <c r="F1302" s="56" t="n"/>
      <c r="G1302" s="196" t="n"/>
      <c r="H1302" s="196" t="n"/>
      <c r="I1302" s="55" t="n"/>
      <c r="J1302" s="55" t="n"/>
      <c r="K1302" s="55" t="n"/>
      <c r="L1302" s="100">
        <f>IF(OR($C1302="",$I1302="Оплачено",$I1302="Отменено",$H1302&lt;&gt;""),"",$C1302-TODAY())</f>
        <v/>
      </c>
      <c r="M1302" s="101">
        <f>IF($C1302="","",INDEX(Настройки!$V$6:$V$17,MONTH($C1302))&amp;" "&amp;YEAR($C1302))</f>
        <v/>
      </c>
      <c r="N1302" s="57">
        <f>IF($F1302="","",IF(COUNTIF(Постоянные!$C$8:$C$37,$F1302)&gt;0,"есть в Постоянных",IF(COUNTIF(Покупки!$C$7:$C$18,$F1302)&gt;0,"есть в Покупках","")))</f>
        <v/>
      </c>
      <c r="P1302">
        <f>IF($H1302&lt;&gt;"",$H1302,IF($I1302="Оплачено",N($G1302),0))</f>
        <v/>
      </c>
      <c r="Q1302">
        <f>IF($I1302="Отменено",0,IF($G1302&lt;&gt;"",$G1302,N($H1302)))</f>
        <v/>
      </c>
      <c r="R1302">
        <f>IF($C1302="","",IFERROR(DATE(Настройки!$C$8,Настройки!$D$9+MATCH($M1302,Настройки!$X$6:$X$17,0)-1,1),DATE(YEAR($C1302),MONTH($C1302),1)))</f>
        <v/>
      </c>
      <c r="S1302">
        <f>IF(OR($I1302="Оплачено",$H1302&lt;&gt;""),$P1302,$Q1302)</f>
        <v/>
      </c>
      <c r="T1302">
        <f>IF(OR($C1302="",$D1302="Доход",$I1302="Оплачено",$I1302="Отменено",$H1302&lt;&gt;"",$C1302&lt;TODAY()),"",$C1302)</f>
        <v/>
      </c>
      <c r="U1302">
        <f>IF(AND($D1302&lt;&gt;"Доход",COUNTIFS(Счета!$B$10:$B$21,$J1302,Счета!$C$10:$C$21,"Кредитная")&gt;0),1,0)</f>
        <v/>
      </c>
    </row>
    <row r="1303" ht="19" customHeight="1">
      <c r="B1303" s="53">
        <f>IF(AND($C1303="",$F1303=""),"",ROW()-9)</f>
        <v/>
      </c>
      <c r="C1303" s="213" t="n"/>
      <c r="D1303" s="55" t="n"/>
      <c r="E1303" s="55" t="n"/>
      <c r="F1303" s="56" t="n"/>
      <c r="G1303" s="196" t="n"/>
      <c r="H1303" s="196" t="n"/>
      <c r="I1303" s="55" t="n"/>
      <c r="J1303" s="55" t="n"/>
      <c r="K1303" s="55" t="n"/>
      <c r="L1303" s="100">
        <f>IF(OR($C1303="",$I1303="Оплачено",$I1303="Отменено",$H1303&lt;&gt;""),"",$C1303-TODAY())</f>
        <v/>
      </c>
      <c r="M1303" s="101">
        <f>IF($C1303="","",INDEX(Настройки!$V$6:$V$17,MONTH($C1303))&amp;" "&amp;YEAR($C1303))</f>
        <v/>
      </c>
      <c r="N1303" s="57">
        <f>IF($F1303="","",IF(COUNTIF(Постоянные!$C$8:$C$37,$F1303)&gt;0,"есть в Постоянных",IF(COUNTIF(Покупки!$C$7:$C$18,$F1303)&gt;0,"есть в Покупках","")))</f>
        <v/>
      </c>
      <c r="P1303">
        <f>IF($H1303&lt;&gt;"",$H1303,IF($I1303="Оплачено",N($G1303),0))</f>
        <v/>
      </c>
      <c r="Q1303">
        <f>IF($I1303="Отменено",0,IF($G1303&lt;&gt;"",$G1303,N($H1303)))</f>
        <v/>
      </c>
      <c r="R1303">
        <f>IF($C1303="","",IFERROR(DATE(Настройки!$C$8,Настройки!$D$9+MATCH($M1303,Настройки!$X$6:$X$17,0)-1,1),DATE(YEAR($C1303),MONTH($C1303),1)))</f>
        <v/>
      </c>
      <c r="S1303">
        <f>IF(OR($I1303="Оплачено",$H1303&lt;&gt;""),$P1303,$Q1303)</f>
        <v/>
      </c>
      <c r="T1303">
        <f>IF(OR($C1303="",$D1303="Доход",$I1303="Оплачено",$I1303="Отменено",$H1303&lt;&gt;"",$C1303&lt;TODAY()),"",$C1303)</f>
        <v/>
      </c>
      <c r="U1303">
        <f>IF(AND($D1303&lt;&gt;"Доход",COUNTIFS(Счета!$B$10:$B$21,$J1303,Счета!$C$10:$C$21,"Кредитная")&gt;0),1,0)</f>
        <v/>
      </c>
    </row>
    <row r="1304" ht="19" customHeight="1">
      <c r="B1304" s="53">
        <f>IF(AND($C1304="",$F1304=""),"",ROW()-9)</f>
        <v/>
      </c>
      <c r="C1304" s="213" t="n"/>
      <c r="D1304" s="55" t="n"/>
      <c r="E1304" s="55" t="n"/>
      <c r="F1304" s="56" t="n"/>
      <c r="G1304" s="196" t="n"/>
      <c r="H1304" s="196" t="n"/>
      <c r="I1304" s="55" t="n"/>
      <c r="J1304" s="55" t="n"/>
      <c r="K1304" s="55" t="n"/>
      <c r="L1304" s="100">
        <f>IF(OR($C1304="",$I1304="Оплачено",$I1304="Отменено",$H1304&lt;&gt;""),"",$C1304-TODAY())</f>
        <v/>
      </c>
      <c r="M1304" s="101">
        <f>IF($C1304="","",INDEX(Настройки!$V$6:$V$17,MONTH($C1304))&amp;" "&amp;YEAR($C1304))</f>
        <v/>
      </c>
      <c r="N1304" s="57">
        <f>IF($F1304="","",IF(COUNTIF(Постоянные!$C$8:$C$37,$F1304)&gt;0,"есть в Постоянных",IF(COUNTIF(Покупки!$C$7:$C$18,$F1304)&gt;0,"есть в Покупках","")))</f>
        <v/>
      </c>
      <c r="P1304">
        <f>IF($H1304&lt;&gt;"",$H1304,IF($I1304="Оплачено",N($G1304),0))</f>
        <v/>
      </c>
      <c r="Q1304">
        <f>IF($I1304="Отменено",0,IF($G1304&lt;&gt;"",$G1304,N($H1304)))</f>
        <v/>
      </c>
      <c r="R1304">
        <f>IF($C1304="","",IFERROR(DATE(Настройки!$C$8,Настройки!$D$9+MATCH($M1304,Настройки!$X$6:$X$17,0)-1,1),DATE(YEAR($C1304),MONTH($C1304),1)))</f>
        <v/>
      </c>
      <c r="S1304">
        <f>IF(OR($I1304="Оплачено",$H1304&lt;&gt;""),$P1304,$Q1304)</f>
        <v/>
      </c>
      <c r="T1304">
        <f>IF(OR($C1304="",$D1304="Доход",$I1304="Оплачено",$I1304="Отменено",$H1304&lt;&gt;"",$C1304&lt;TODAY()),"",$C1304)</f>
        <v/>
      </c>
      <c r="U1304">
        <f>IF(AND($D1304&lt;&gt;"Доход",COUNTIFS(Счета!$B$10:$B$21,$J1304,Счета!$C$10:$C$21,"Кредитная")&gt;0),1,0)</f>
        <v/>
      </c>
    </row>
    <row r="1305" ht="19" customHeight="1">
      <c r="B1305" s="53">
        <f>IF(AND($C1305="",$F1305=""),"",ROW()-9)</f>
        <v/>
      </c>
      <c r="C1305" s="213" t="n"/>
      <c r="D1305" s="55" t="n"/>
      <c r="E1305" s="55" t="n"/>
      <c r="F1305" s="56" t="n"/>
      <c r="G1305" s="196" t="n"/>
      <c r="H1305" s="196" t="n"/>
      <c r="I1305" s="55" t="n"/>
      <c r="J1305" s="55" t="n"/>
      <c r="K1305" s="55" t="n"/>
      <c r="L1305" s="100">
        <f>IF(OR($C1305="",$I1305="Оплачено",$I1305="Отменено",$H1305&lt;&gt;""),"",$C1305-TODAY())</f>
        <v/>
      </c>
      <c r="M1305" s="101">
        <f>IF($C1305="","",INDEX(Настройки!$V$6:$V$17,MONTH($C1305))&amp;" "&amp;YEAR($C1305))</f>
        <v/>
      </c>
      <c r="N1305" s="57">
        <f>IF($F1305="","",IF(COUNTIF(Постоянные!$C$8:$C$37,$F1305)&gt;0,"есть в Постоянных",IF(COUNTIF(Покупки!$C$7:$C$18,$F1305)&gt;0,"есть в Покупках","")))</f>
        <v/>
      </c>
      <c r="P1305">
        <f>IF($H1305&lt;&gt;"",$H1305,IF($I1305="Оплачено",N($G1305),0))</f>
        <v/>
      </c>
      <c r="Q1305">
        <f>IF($I1305="Отменено",0,IF($G1305&lt;&gt;"",$G1305,N($H1305)))</f>
        <v/>
      </c>
      <c r="R1305">
        <f>IF($C1305="","",IFERROR(DATE(Настройки!$C$8,Настройки!$D$9+MATCH($M1305,Настройки!$X$6:$X$17,0)-1,1),DATE(YEAR($C1305),MONTH($C1305),1)))</f>
        <v/>
      </c>
      <c r="S1305">
        <f>IF(OR($I1305="Оплачено",$H1305&lt;&gt;""),$P1305,$Q1305)</f>
        <v/>
      </c>
      <c r="T1305">
        <f>IF(OR($C1305="",$D1305="Доход",$I1305="Оплачено",$I1305="Отменено",$H1305&lt;&gt;"",$C1305&lt;TODAY()),"",$C1305)</f>
        <v/>
      </c>
      <c r="U1305">
        <f>IF(AND($D1305&lt;&gt;"Доход",COUNTIFS(Счета!$B$10:$B$21,$J1305,Счета!$C$10:$C$21,"Кредитная")&gt;0),1,0)</f>
        <v/>
      </c>
    </row>
    <row r="1306" ht="19" customHeight="1">
      <c r="B1306" s="53">
        <f>IF(AND($C1306="",$F1306=""),"",ROW()-9)</f>
        <v/>
      </c>
      <c r="C1306" s="213" t="n"/>
      <c r="D1306" s="55" t="n"/>
      <c r="E1306" s="55" t="n"/>
      <c r="F1306" s="56" t="n"/>
      <c r="G1306" s="196" t="n"/>
      <c r="H1306" s="196" t="n"/>
      <c r="I1306" s="55" t="n"/>
      <c r="J1306" s="55" t="n"/>
      <c r="K1306" s="55" t="n"/>
      <c r="L1306" s="100">
        <f>IF(OR($C1306="",$I1306="Оплачено",$I1306="Отменено",$H1306&lt;&gt;""),"",$C1306-TODAY())</f>
        <v/>
      </c>
      <c r="M1306" s="101">
        <f>IF($C1306="","",INDEX(Настройки!$V$6:$V$17,MONTH($C1306))&amp;" "&amp;YEAR($C1306))</f>
        <v/>
      </c>
      <c r="N1306" s="57">
        <f>IF($F1306="","",IF(COUNTIF(Постоянные!$C$8:$C$37,$F1306)&gt;0,"есть в Постоянных",IF(COUNTIF(Покупки!$C$7:$C$18,$F1306)&gt;0,"есть в Покупках","")))</f>
        <v/>
      </c>
      <c r="P1306">
        <f>IF($H1306&lt;&gt;"",$H1306,IF($I1306="Оплачено",N($G1306),0))</f>
        <v/>
      </c>
      <c r="Q1306">
        <f>IF($I1306="Отменено",0,IF($G1306&lt;&gt;"",$G1306,N($H1306)))</f>
        <v/>
      </c>
      <c r="R1306">
        <f>IF($C1306="","",IFERROR(DATE(Настройки!$C$8,Настройки!$D$9+MATCH($M1306,Настройки!$X$6:$X$17,0)-1,1),DATE(YEAR($C1306),MONTH($C1306),1)))</f>
        <v/>
      </c>
      <c r="S1306">
        <f>IF(OR($I1306="Оплачено",$H1306&lt;&gt;""),$P1306,$Q1306)</f>
        <v/>
      </c>
      <c r="T1306">
        <f>IF(OR($C1306="",$D1306="Доход",$I1306="Оплачено",$I1306="Отменено",$H1306&lt;&gt;"",$C1306&lt;TODAY()),"",$C1306)</f>
        <v/>
      </c>
      <c r="U1306">
        <f>IF(AND($D1306&lt;&gt;"Доход",COUNTIFS(Счета!$B$10:$B$21,$J1306,Счета!$C$10:$C$21,"Кредитная")&gt;0),1,0)</f>
        <v/>
      </c>
    </row>
    <row r="1307" ht="19" customHeight="1">
      <c r="B1307" s="53">
        <f>IF(AND($C1307="",$F1307=""),"",ROW()-9)</f>
        <v/>
      </c>
      <c r="C1307" s="213" t="n"/>
      <c r="D1307" s="55" t="n"/>
      <c r="E1307" s="55" t="n"/>
      <c r="F1307" s="56" t="n"/>
      <c r="G1307" s="196" t="n"/>
      <c r="H1307" s="196" t="n"/>
      <c r="I1307" s="55" t="n"/>
      <c r="J1307" s="55" t="n"/>
      <c r="K1307" s="55" t="n"/>
      <c r="L1307" s="100">
        <f>IF(OR($C1307="",$I1307="Оплачено",$I1307="Отменено",$H1307&lt;&gt;""),"",$C1307-TODAY())</f>
        <v/>
      </c>
      <c r="M1307" s="101">
        <f>IF($C1307="","",INDEX(Настройки!$V$6:$V$17,MONTH($C1307))&amp;" "&amp;YEAR($C1307))</f>
        <v/>
      </c>
      <c r="N1307" s="57">
        <f>IF($F1307="","",IF(COUNTIF(Постоянные!$C$8:$C$37,$F1307)&gt;0,"есть в Постоянных",IF(COUNTIF(Покупки!$C$7:$C$18,$F1307)&gt;0,"есть в Покупках","")))</f>
        <v/>
      </c>
      <c r="P1307">
        <f>IF($H1307&lt;&gt;"",$H1307,IF($I1307="Оплачено",N($G1307),0))</f>
        <v/>
      </c>
      <c r="Q1307">
        <f>IF($I1307="Отменено",0,IF($G1307&lt;&gt;"",$G1307,N($H1307)))</f>
        <v/>
      </c>
      <c r="R1307">
        <f>IF($C1307="","",IFERROR(DATE(Настройки!$C$8,Настройки!$D$9+MATCH($M1307,Настройки!$X$6:$X$17,0)-1,1),DATE(YEAR($C1307),MONTH($C1307),1)))</f>
        <v/>
      </c>
      <c r="S1307">
        <f>IF(OR($I1307="Оплачено",$H1307&lt;&gt;""),$P1307,$Q1307)</f>
        <v/>
      </c>
      <c r="T1307">
        <f>IF(OR($C1307="",$D1307="Доход",$I1307="Оплачено",$I1307="Отменено",$H1307&lt;&gt;"",$C1307&lt;TODAY()),"",$C1307)</f>
        <v/>
      </c>
      <c r="U1307">
        <f>IF(AND($D1307&lt;&gt;"Доход",COUNTIFS(Счета!$B$10:$B$21,$J1307,Счета!$C$10:$C$21,"Кредитная")&gt;0),1,0)</f>
        <v/>
      </c>
    </row>
    <row r="1308" ht="19" customHeight="1">
      <c r="B1308" s="53">
        <f>IF(AND($C1308="",$F1308=""),"",ROW()-9)</f>
        <v/>
      </c>
      <c r="C1308" s="213" t="n"/>
      <c r="D1308" s="55" t="n"/>
      <c r="E1308" s="55" t="n"/>
      <c r="F1308" s="56" t="n"/>
      <c r="G1308" s="196" t="n"/>
      <c r="H1308" s="196" t="n"/>
      <c r="I1308" s="55" t="n"/>
      <c r="J1308" s="55" t="n"/>
      <c r="K1308" s="55" t="n"/>
      <c r="L1308" s="100">
        <f>IF(OR($C1308="",$I1308="Оплачено",$I1308="Отменено",$H1308&lt;&gt;""),"",$C1308-TODAY())</f>
        <v/>
      </c>
      <c r="M1308" s="101">
        <f>IF($C1308="","",INDEX(Настройки!$V$6:$V$17,MONTH($C1308))&amp;" "&amp;YEAR($C1308))</f>
        <v/>
      </c>
      <c r="N1308" s="57">
        <f>IF($F1308="","",IF(COUNTIF(Постоянные!$C$8:$C$37,$F1308)&gt;0,"есть в Постоянных",IF(COUNTIF(Покупки!$C$7:$C$18,$F1308)&gt;0,"есть в Покупках","")))</f>
        <v/>
      </c>
      <c r="P1308">
        <f>IF($H1308&lt;&gt;"",$H1308,IF($I1308="Оплачено",N($G1308),0))</f>
        <v/>
      </c>
      <c r="Q1308">
        <f>IF($I1308="Отменено",0,IF($G1308&lt;&gt;"",$G1308,N($H1308)))</f>
        <v/>
      </c>
      <c r="R1308">
        <f>IF($C1308="","",IFERROR(DATE(Настройки!$C$8,Настройки!$D$9+MATCH($M1308,Настройки!$X$6:$X$17,0)-1,1),DATE(YEAR($C1308),MONTH($C1308),1)))</f>
        <v/>
      </c>
      <c r="S1308">
        <f>IF(OR($I1308="Оплачено",$H1308&lt;&gt;""),$P1308,$Q1308)</f>
        <v/>
      </c>
      <c r="T1308">
        <f>IF(OR($C1308="",$D1308="Доход",$I1308="Оплачено",$I1308="Отменено",$H1308&lt;&gt;"",$C1308&lt;TODAY()),"",$C1308)</f>
        <v/>
      </c>
      <c r="U1308">
        <f>IF(AND($D1308&lt;&gt;"Доход",COUNTIFS(Счета!$B$10:$B$21,$J1308,Счета!$C$10:$C$21,"Кредитная")&gt;0),1,0)</f>
        <v/>
      </c>
    </row>
    <row r="1309" ht="19" customHeight="1">
      <c r="B1309" s="53">
        <f>IF(AND($C1309="",$F1309=""),"",ROW()-9)</f>
        <v/>
      </c>
      <c r="C1309" s="213" t="n"/>
      <c r="D1309" s="55" t="n"/>
      <c r="E1309" s="55" t="n"/>
      <c r="F1309" s="56" t="n"/>
      <c r="G1309" s="196" t="n"/>
      <c r="H1309" s="196" t="n"/>
      <c r="I1309" s="55" t="n"/>
      <c r="J1309" s="55" t="n"/>
      <c r="K1309" s="55" t="n"/>
      <c r="L1309" s="100">
        <f>IF(OR($C1309="",$I1309="Оплачено",$I1309="Отменено",$H1309&lt;&gt;""),"",$C1309-TODAY())</f>
        <v/>
      </c>
      <c r="M1309" s="101">
        <f>IF($C1309="","",INDEX(Настройки!$V$6:$V$17,MONTH($C1309))&amp;" "&amp;YEAR($C1309))</f>
        <v/>
      </c>
      <c r="N1309" s="57">
        <f>IF($F1309="","",IF(COUNTIF(Постоянные!$C$8:$C$37,$F1309)&gt;0,"есть в Постоянных",IF(COUNTIF(Покупки!$C$7:$C$18,$F1309)&gt;0,"есть в Покупках","")))</f>
        <v/>
      </c>
      <c r="P1309">
        <f>IF($H1309&lt;&gt;"",$H1309,IF($I1309="Оплачено",N($G1309),0))</f>
        <v/>
      </c>
      <c r="Q1309">
        <f>IF($I1309="Отменено",0,IF($G1309&lt;&gt;"",$G1309,N($H1309)))</f>
        <v/>
      </c>
      <c r="R1309">
        <f>IF($C1309="","",IFERROR(DATE(Настройки!$C$8,Настройки!$D$9+MATCH($M1309,Настройки!$X$6:$X$17,0)-1,1),DATE(YEAR($C1309),MONTH($C1309),1)))</f>
        <v/>
      </c>
      <c r="S1309">
        <f>IF(OR($I1309="Оплачено",$H1309&lt;&gt;""),$P1309,$Q1309)</f>
        <v/>
      </c>
      <c r="T1309">
        <f>IF(OR($C1309="",$D1309="Доход",$I1309="Оплачено",$I1309="Отменено",$H1309&lt;&gt;"",$C1309&lt;TODAY()),"",$C1309)</f>
        <v/>
      </c>
      <c r="U1309">
        <f>IF(AND($D1309&lt;&gt;"Доход",COUNTIFS(Счета!$B$10:$B$21,$J1309,Счета!$C$10:$C$21,"Кредитная")&gt;0),1,0)</f>
        <v/>
      </c>
    </row>
    <row r="1310" ht="19" customHeight="1">
      <c r="B1310" s="53">
        <f>IF(AND($C1310="",$F1310=""),"",ROW()-9)</f>
        <v/>
      </c>
      <c r="C1310" s="213" t="n"/>
      <c r="D1310" s="55" t="n"/>
      <c r="E1310" s="55" t="n"/>
      <c r="F1310" s="56" t="n"/>
      <c r="G1310" s="196" t="n"/>
      <c r="H1310" s="196" t="n"/>
      <c r="I1310" s="55" t="n"/>
      <c r="J1310" s="55" t="n"/>
      <c r="K1310" s="55" t="n"/>
      <c r="L1310" s="100">
        <f>IF(OR($C1310="",$I1310="Оплачено",$I1310="Отменено",$H1310&lt;&gt;""),"",$C1310-TODAY())</f>
        <v/>
      </c>
      <c r="M1310" s="101">
        <f>IF($C1310="","",INDEX(Настройки!$V$6:$V$17,MONTH($C1310))&amp;" "&amp;YEAR($C1310))</f>
        <v/>
      </c>
      <c r="N1310" s="57">
        <f>IF($F1310="","",IF(COUNTIF(Постоянные!$C$8:$C$37,$F1310)&gt;0,"есть в Постоянных",IF(COUNTIF(Покупки!$C$7:$C$18,$F1310)&gt;0,"есть в Покупках","")))</f>
        <v/>
      </c>
      <c r="P1310">
        <f>IF($H1310&lt;&gt;"",$H1310,IF($I1310="Оплачено",N($G1310),0))</f>
        <v/>
      </c>
      <c r="Q1310">
        <f>IF($I1310="Отменено",0,IF($G1310&lt;&gt;"",$G1310,N($H1310)))</f>
        <v/>
      </c>
      <c r="R1310">
        <f>IF($C1310="","",IFERROR(DATE(Настройки!$C$8,Настройки!$D$9+MATCH($M1310,Настройки!$X$6:$X$17,0)-1,1),DATE(YEAR($C1310),MONTH($C1310),1)))</f>
        <v/>
      </c>
      <c r="S1310">
        <f>IF(OR($I1310="Оплачено",$H1310&lt;&gt;""),$P1310,$Q1310)</f>
        <v/>
      </c>
      <c r="T1310">
        <f>IF(OR($C1310="",$D1310="Доход",$I1310="Оплачено",$I1310="Отменено",$H1310&lt;&gt;"",$C1310&lt;TODAY()),"",$C1310)</f>
        <v/>
      </c>
      <c r="U1310">
        <f>IF(AND($D1310&lt;&gt;"Доход",COUNTIFS(Счета!$B$10:$B$21,$J1310,Счета!$C$10:$C$21,"Кредитная")&gt;0),1,0)</f>
        <v/>
      </c>
    </row>
    <row r="1311" ht="19" customHeight="1">
      <c r="B1311" s="53">
        <f>IF(AND($C1311="",$F1311=""),"",ROW()-9)</f>
        <v/>
      </c>
      <c r="C1311" s="213" t="n"/>
      <c r="D1311" s="55" t="n"/>
      <c r="E1311" s="55" t="n"/>
      <c r="F1311" s="56" t="n"/>
      <c r="G1311" s="196" t="n"/>
      <c r="H1311" s="196" t="n"/>
      <c r="I1311" s="55" t="n"/>
      <c r="J1311" s="55" t="n"/>
      <c r="K1311" s="55" t="n"/>
      <c r="L1311" s="100">
        <f>IF(OR($C1311="",$I1311="Оплачено",$I1311="Отменено",$H1311&lt;&gt;""),"",$C1311-TODAY())</f>
        <v/>
      </c>
      <c r="M1311" s="101">
        <f>IF($C1311="","",INDEX(Настройки!$V$6:$V$17,MONTH($C1311))&amp;" "&amp;YEAR($C1311))</f>
        <v/>
      </c>
      <c r="N1311" s="57">
        <f>IF($F1311="","",IF(COUNTIF(Постоянные!$C$8:$C$37,$F1311)&gt;0,"есть в Постоянных",IF(COUNTIF(Покупки!$C$7:$C$18,$F1311)&gt;0,"есть в Покупках","")))</f>
        <v/>
      </c>
      <c r="P1311">
        <f>IF($H1311&lt;&gt;"",$H1311,IF($I1311="Оплачено",N($G1311),0))</f>
        <v/>
      </c>
      <c r="Q1311">
        <f>IF($I1311="Отменено",0,IF($G1311&lt;&gt;"",$G1311,N($H1311)))</f>
        <v/>
      </c>
      <c r="R1311">
        <f>IF($C1311="","",IFERROR(DATE(Настройки!$C$8,Настройки!$D$9+MATCH($M1311,Настройки!$X$6:$X$17,0)-1,1),DATE(YEAR($C1311),MONTH($C1311),1)))</f>
        <v/>
      </c>
      <c r="S1311">
        <f>IF(OR($I1311="Оплачено",$H1311&lt;&gt;""),$P1311,$Q1311)</f>
        <v/>
      </c>
      <c r="T1311">
        <f>IF(OR($C1311="",$D1311="Доход",$I1311="Оплачено",$I1311="Отменено",$H1311&lt;&gt;"",$C1311&lt;TODAY()),"",$C1311)</f>
        <v/>
      </c>
      <c r="U1311">
        <f>IF(AND($D1311&lt;&gt;"Доход",COUNTIFS(Счета!$B$10:$B$21,$J1311,Счета!$C$10:$C$21,"Кредитная")&gt;0),1,0)</f>
        <v/>
      </c>
    </row>
    <row r="1312" ht="19" customHeight="1">
      <c r="B1312" s="53">
        <f>IF(AND($C1312="",$F1312=""),"",ROW()-9)</f>
        <v/>
      </c>
      <c r="C1312" s="213" t="n"/>
      <c r="D1312" s="55" t="n"/>
      <c r="E1312" s="55" t="n"/>
      <c r="F1312" s="56" t="n"/>
      <c r="G1312" s="196" t="n"/>
      <c r="H1312" s="196" t="n"/>
      <c r="I1312" s="55" t="n"/>
      <c r="J1312" s="55" t="n"/>
      <c r="K1312" s="55" t="n"/>
      <c r="L1312" s="100">
        <f>IF(OR($C1312="",$I1312="Оплачено",$I1312="Отменено",$H1312&lt;&gt;""),"",$C1312-TODAY())</f>
        <v/>
      </c>
      <c r="M1312" s="101">
        <f>IF($C1312="","",INDEX(Настройки!$V$6:$V$17,MONTH($C1312))&amp;" "&amp;YEAR($C1312))</f>
        <v/>
      </c>
      <c r="N1312" s="57">
        <f>IF($F1312="","",IF(COUNTIF(Постоянные!$C$8:$C$37,$F1312)&gt;0,"есть в Постоянных",IF(COUNTIF(Покупки!$C$7:$C$18,$F1312)&gt;0,"есть в Покупках","")))</f>
        <v/>
      </c>
      <c r="P1312">
        <f>IF($H1312&lt;&gt;"",$H1312,IF($I1312="Оплачено",N($G1312),0))</f>
        <v/>
      </c>
      <c r="Q1312">
        <f>IF($I1312="Отменено",0,IF($G1312&lt;&gt;"",$G1312,N($H1312)))</f>
        <v/>
      </c>
      <c r="R1312">
        <f>IF($C1312="","",IFERROR(DATE(Настройки!$C$8,Настройки!$D$9+MATCH($M1312,Настройки!$X$6:$X$17,0)-1,1),DATE(YEAR($C1312),MONTH($C1312),1)))</f>
        <v/>
      </c>
      <c r="S1312">
        <f>IF(OR($I1312="Оплачено",$H1312&lt;&gt;""),$P1312,$Q1312)</f>
        <v/>
      </c>
      <c r="T1312">
        <f>IF(OR($C1312="",$D1312="Доход",$I1312="Оплачено",$I1312="Отменено",$H1312&lt;&gt;"",$C1312&lt;TODAY()),"",$C1312)</f>
        <v/>
      </c>
      <c r="U1312">
        <f>IF(AND($D1312&lt;&gt;"Доход",COUNTIFS(Счета!$B$10:$B$21,$J1312,Счета!$C$10:$C$21,"Кредитная")&gt;0),1,0)</f>
        <v/>
      </c>
    </row>
    <row r="1313" ht="19" customHeight="1">
      <c r="B1313" s="53">
        <f>IF(AND($C1313="",$F1313=""),"",ROW()-9)</f>
        <v/>
      </c>
      <c r="C1313" s="213" t="n"/>
      <c r="D1313" s="55" t="n"/>
      <c r="E1313" s="55" t="n"/>
      <c r="F1313" s="56" t="n"/>
      <c r="G1313" s="196" t="n"/>
      <c r="H1313" s="196" t="n"/>
      <c r="I1313" s="55" t="n"/>
      <c r="J1313" s="55" t="n"/>
      <c r="K1313" s="55" t="n"/>
      <c r="L1313" s="100">
        <f>IF(OR($C1313="",$I1313="Оплачено",$I1313="Отменено",$H1313&lt;&gt;""),"",$C1313-TODAY())</f>
        <v/>
      </c>
      <c r="M1313" s="101">
        <f>IF($C1313="","",INDEX(Настройки!$V$6:$V$17,MONTH($C1313))&amp;" "&amp;YEAR($C1313))</f>
        <v/>
      </c>
      <c r="N1313" s="57">
        <f>IF($F1313="","",IF(COUNTIF(Постоянные!$C$8:$C$37,$F1313)&gt;0,"есть в Постоянных",IF(COUNTIF(Покупки!$C$7:$C$18,$F1313)&gt;0,"есть в Покупках","")))</f>
        <v/>
      </c>
      <c r="P1313">
        <f>IF($H1313&lt;&gt;"",$H1313,IF($I1313="Оплачено",N($G1313),0))</f>
        <v/>
      </c>
      <c r="Q1313">
        <f>IF($I1313="Отменено",0,IF($G1313&lt;&gt;"",$G1313,N($H1313)))</f>
        <v/>
      </c>
      <c r="R1313">
        <f>IF($C1313="","",IFERROR(DATE(Настройки!$C$8,Настройки!$D$9+MATCH($M1313,Настройки!$X$6:$X$17,0)-1,1),DATE(YEAR($C1313),MONTH($C1313),1)))</f>
        <v/>
      </c>
      <c r="S1313">
        <f>IF(OR($I1313="Оплачено",$H1313&lt;&gt;""),$P1313,$Q1313)</f>
        <v/>
      </c>
      <c r="T1313">
        <f>IF(OR($C1313="",$D1313="Доход",$I1313="Оплачено",$I1313="Отменено",$H1313&lt;&gt;"",$C1313&lt;TODAY()),"",$C1313)</f>
        <v/>
      </c>
      <c r="U1313">
        <f>IF(AND($D1313&lt;&gt;"Доход",COUNTIFS(Счета!$B$10:$B$21,$J1313,Счета!$C$10:$C$21,"Кредитная")&gt;0),1,0)</f>
        <v/>
      </c>
    </row>
    <row r="1314" ht="19" customHeight="1">
      <c r="B1314" s="53">
        <f>IF(AND($C1314="",$F1314=""),"",ROW()-9)</f>
        <v/>
      </c>
      <c r="C1314" s="213" t="n"/>
      <c r="D1314" s="55" t="n"/>
      <c r="E1314" s="55" t="n"/>
      <c r="F1314" s="56" t="n"/>
      <c r="G1314" s="196" t="n"/>
      <c r="H1314" s="196" t="n"/>
      <c r="I1314" s="55" t="n"/>
      <c r="J1314" s="55" t="n"/>
      <c r="K1314" s="55" t="n"/>
      <c r="L1314" s="100">
        <f>IF(OR($C1314="",$I1314="Оплачено",$I1314="Отменено",$H1314&lt;&gt;""),"",$C1314-TODAY())</f>
        <v/>
      </c>
      <c r="M1314" s="101">
        <f>IF($C1314="","",INDEX(Настройки!$V$6:$V$17,MONTH($C1314))&amp;" "&amp;YEAR($C1314))</f>
        <v/>
      </c>
      <c r="N1314" s="57">
        <f>IF($F1314="","",IF(COUNTIF(Постоянные!$C$8:$C$37,$F1314)&gt;0,"есть в Постоянных",IF(COUNTIF(Покупки!$C$7:$C$18,$F1314)&gt;0,"есть в Покупках","")))</f>
        <v/>
      </c>
      <c r="P1314">
        <f>IF($H1314&lt;&gt;"",$H1314,IF($I1314="Оплачено",N($G1314),0))</f>
        <v/>
      </c>
      <c r="Q1314">
        <f>IF($I1314="Отменено",0,IF($G1314&lt;&gt;"",$G1314,N($H1314)))</f>
        <v/>
      </c>
      <c r="R1314">
        <f>IF($C1314="","",IFERROR(DATE(Настройки!$C$8,Настройки!$D$9+MATCH($M1314,Настройки!$X$6:$X$17,0)-1,1),DATE(YEAR($C1314),MONTH($C1314),1)))</f>
        <v/>
      </c>
      <c r="S1314">
        <f>IF(OR($I1314="Оплачено",$H1314&lt;&gt;""),$P1314,$Q1314)</f>
        <v/>
      </c>
      <c r="T1314">
        <f>IF(OR($C1314="",$D1314="Доход",$I1314="Оплачено",$I1314="Отменено",$H1314&lt;&gt;"",$C1314&lt;TODAY()),"",$C1314)</f>
        <v/>
      </c>
      <c r="U1314">
        <f>IF(AND($D1314&lt;&gt;"Доход",COUNTIFS(Счета!$B$10:$B$21,$J1314,Счета!$C$10:$C$21,"Кредитная")&gt;0),1,0)</f>
        <v/>
      </c>
    </row>
    <row r="1315" ht="19" customHeight="1">
      <c r="B1315" s="53">
        <f>IF(AND($C1315="",$F1315=""),"",ROW()-9)</f>
        <v/>
      </c>
      <c r="C1315" s="213" t="n"/>
      <c r="D1315" s="55" t="n"/>
      <c r="E1315" s="55" t="n"/>
      <c r="F1315" s="56" t="n"/>
      <c r="G1315" s="196" t="n"/>
      <c r="H1315" s="196" t="n"/>
      <c r="I1315" s="55" t="n"/>
      <c r="J1315" s="55" t="n"/>
      <c r="K1315" s="55" t="n"/>
      <c r="L1315" s="100">
        <f>IF(OR($C1315="",$I1315="Оплачено",$I1315="Отменено",$H1315&lt;&gt;""),"",$C1315-TODAY())</f>
        <v/>
      </c>
      <c r="M1315" s="101">
        <f>IF($C1315="","",INDEX(Настройки!$V$6:$V$17,MONTH($C1315))&amp;" "&amp;YEAR($C1315))</f>
        <v/>
      </c>
      <c r="N1315" s="57">
        <f>IF($F1315="","",IF(COUNTIF(Постоянные!$C$8:$C$37,$F1315)&gt;0,"есть в Постоянных",IF(COUNTIF(Покупки!$C$7:$C$18,$F1315)&gt;0,"есть в Покупках","")))</f>
        <v/>
      </c>
      <c r="P1315">
        <f>IF($H1315&lt;&gt;"",$H1315,IF($I1315="Оплачено",N($G1315),0))</f>
        <v/>
      </c>
      <c r="Q1315">
        <f>IF($I1315="Отменено",0,IF($G1315&lt;&gt;"",$G1315,N($H1315)))</f>
        <v/>
      </c>
      <c r="R1315">
        <f>IF($C1315="","",IFERROR(DATE(Настройки!$C$8,Настройки!$D$9+MATCH($M1315,Настройки!$X$6:$X$17,0)-1,1),DATE(YEAR($C1315),MONTH($C1315),1)))</f>
        <v/>
      </c>
      <c r="S1315">
        <f>IF(OR($I1315="Оплачено",$H1315&lt;&gt;""),$P1315,$Q1315)</f>
        <v/>
      </c>
      <c r="T1315">
        <f>IF(OR($C1315="",$D1315="Доход",$I1315="Оплачено",$I1315="Отменено",$H1315&lt;&gt;"",$C1315&lt;TODAY()),"",$C1315)</f>
        <v/>
      </c>
      <c r="U1315">
        <f>IF(AND($D1315&lt;&gt;"Доход",COUNTIFS(Счета!$B$10:$B$21,$J1315,Счета!$C$10:$C$21,"Кредитная")&gt;0),1,0)</f>
        <v/>
      </c>
    </row>
    <row r="1316" ht="19" customHeight="1">
      <c r="B1316" s="53">
        <f>IF(AND($C1316="",$F1316=""),"",ROW()-9)</f>
        <v/>
      </c>
      <c r="C1316" s="213" t="n"/>
      <c r="D1316" s="55" t="n"/>
      <c r="E1316" s="55" t="n"/>
      <c r="F1316" s="56" t="n"/>
      <c r="G1316" s="196" t="n"/>
      <c r="H1316" s="196" t="n"/>
      <c r="I1316" s="55" t="n"/>
      <c r="J1316" s="55" t="n"/>
      <c r="K1316" s="55" t="n"/>
      <c r="L1316" s="100">
        <f>IF(OR($C1316="",$I1316="Оплачено",$I1316="Отменено",$H1316&lt;&gt;""),"",$C1316-TODAY())</f>
        <v/>
      </c>
      <c r="M1316" s="101">
        <f>IF($C1316="","",INDEX(Настройки!$V$6:$V$17,MONTH($C1316))&amp;" "&amp;YEAR($C1316))</f>
        <v/>
      </c>
      <c r="N1316" s="57">
        <f>IF($F1316="","",IF(COUNTIF(Постоянные!$C$8:$C$37,$F1316)&gt;0,"есть в Постоянных",IF(COUNTIF(Покупки!$C$7:$C$18,$F1316)&gt;0,"есть в Покупках","")))</f>
        <v/>
      </c>
      <c r="P1316">
        <f>IF($H1316&lt;&gt;"",$H1316,IF($I1316="Оплачено",N($G1316),0))</f>
        <v/>
      </c>
      <c r="Q1316">
        <f>IF($I1316="Отменено",0,IF($G1316&lt;&gt;"",$G1316,N($H1316)))</f>
        <v/>
      </c>
      <c r="R1316">
        <f>IF($C1316="","",IFERROR(DATE(Настройки!$C$8,Настройки!$D$9+MATCH($M1316,Настройки!$X$6:$X$17,0)-1,1),DATE(YEAR($C1316),MONTH($C1316),1)))</f>
        <v/>
      </c>
      <c r="S1316">
        <f>IF(OR($I1316="Оплачено",$H1316&lt;&gt;""),$P1316,$Q1316)</f>
        <v/>
      </c>
      <c r="T1316">
        <f>IF(OR($C1316="",$D1316="Доход",$I1316="Оплачено",$I1316="Отменено",$H1316&lt;&gt;"",$C1316&lt;TODAY()),"",$C1316)</f>
        <v/>
      </c>
      <c r="U1316">
        <f>IF(AND($D1316&lt;&gt;"Доход",COUNTIFS(Счета!$B$10:$B$21,$J1316,Счета!$C$10:$C$21,"Кредитная")&gt;0),1,0)</f>
        <v/>
      </c>
    </row>
    <row r="1317" ht="19" customHeight="1">
      <c r="B1317" s="53">
        <f>IF(AND($C1317="",$F1317=""),"",ROW()-9)</f>
        <v/>
      </c>
      <c r="C1317" s="213" t="n"/>
      <c r="D1317" s="55" t="n"/>
      <c r="E1317" s="55" t="n"/>
      <c r="F1317" s="56" t="n"/>
      <c r="G1317" s="196" t="n"/>
      <c r="H1317" s="196" t="n"/>
      <c r="I1317" s="55" t="n"/>
      <c r="J1317" s="55" t="n"/>
      <c r="K1317" s="55" t="n"/>
      <c r="L1317" s="100">
        <f>IF(OR($C1317="",$I1317="Оплачено",$I1317="Отменено",$H1317&lt;&gt;""),"",$C1317-TODAY())</f>
        <v/>
      </c>
      <c r="M1317" s="101">
        <f>IF($C1317="","",INDEX(Настройки!$V$6:$V$17,MONTH($C1317))&amp;" "&amp;YEAR($C1317))</f>
        <v/>
      </c>
      <c r="N1317" s="57">
        <f>IF($F1317="","",IF(COUNTIF(Постоянные!$C$8:$C$37,$F1317)&gt;0,"есть в Постоянных",IF(COUNTIF(Покупки!$C$7:$C$18,$F1317)&gt;0,"есть в Покупках","")))</f>
        <v/>
      </c>
      <c r="P1317">
        <f>IF($H1317&lt;&gt;"",$H1317,IF($I1317="Оплачено",N($G1317),0))</f>
        <v/>
      </c>
      <c r="Q1317">
        <f>IF($I1317="Отменено",0,IF($G1317&lt;&gt;"",$G1317,N($H1317)))</f>
        <v/>
      </c>
      <c r="R1317">
        <f>IF($C1317="","",IFERROR(DATE(Настройки!$C$8,Настройки!$D$9+MATCH($M1317,Настройки!$X$6:$X$17,0)-1,1),DATE(YEAR($C1317),MONTH($C1317),1)))</f>
        <v/>
      </c>
      <c r="S1317">
        <f>IF(OR($I1317="Оплачено",$H1317&lt;&gt;""),$P1317,$Q1317)</f>
        <v/>
      </c>
      <c r="T1317">
        <f>IF(OR($C1317="",$D1317="Доход",$I1317="Оплачено",$I1317="Отменено",$H1317&lt;&gt;"",$C1317&lt;TODAY()),"",$C1317)</f>
        <v/>
      </c>
      <c r="U1317">
        <f>IF(AND($D1317&lt;&gt;"Доход",COUNTIFS(Счета!$B$10:$B$21,$J1317,Счета!$C$10:$C$21,"Кредитная")&gt;0),1,0)</f>
        <v/>
      </c>
    </row>
    <row r="1318" ht="19" customHeight="1">
      <c r="B1318" s="53">
        <f>IF(AND($C1318="",$F1318=""),"",ROW()-9)</f>
        <v/>
      </c>
      <c r="C1318" s="213" t="n"/>
      <c r="D1318" s="55" t="n"/>
      <c r="E1318" s="55" t="n"/>
      <c r="F1318" s="56" t="n"/>
      <c r="G1318" s="196" t="n"/>
      <c r="H1318" s="196" t="n"/>
      <c r="I1318" s="55" t="n"/>
      <c r="J1318" s="55" t="n"/>
      <c r="K1318" s="55" t="n"/>
      <c r="L1318" s="100">
        <f>IF(OR($C1318="",$I1318="Оплачено",$I1318="Отменено",$H1318&lt;&gt;""),"",$C1318-TODAY())</f>
        <v/>
      </c>
      <c r="M1318" s="101">
        <f>IF($C1318="","",INDEX(Настройки!$V$6:$V$17,MONTH($C1318))&amp;" "&amp;YEAR($C1318))</f>
        <v/>
      </c>
      <c r="N1318" s="57">
        <f>IF($F1318="","",IF(COUNTIF(Постоянные!$C$8:$C$37,$F1318)&gt;0,"есть в Постоянных",IF(COUNTIF(Покупки!$C$7:$C$18,$F1318)&gt;0,"есть в Покупках","")))</f>
        <v/>
      </c>
      <c r="P1318">
        <f>IF($H1318&lt;&gt;"",$H1318,IF($I1318="Оплачено",N($G1318),0))</f>
        <v/>
      </c>
      <c r="Q1318">
        <f>IF($I1318="Отменено",0,IF($G1318&lt;&gt;"",$G1318,N($H1318)))</f>
        <v/>
      </c>
      <c r="R1318">
        <f>IF($C1318="","",IFERROR(DATE(Настройки!$C$8,Настройки!$D$9+MATCH($M1318,Настройки!$X$6:$X$17,0)-1,1),DATE(YEAR($C1318),MONTH($C1318),1)))</f>
        <v/>
      </c>
      <c r="S1318">
        <f>IF(OR($I1318="Оплачено",$H1318&lt;&gt;""),$P1318,$Q1318)</f>
        <v/>
      </c>
      <c r="T1318">
        <f>IF(OR($C1318="",$D1318="Доход",$I1318="Оплачено",$I1318="Отменено",$H1318&lt;&gt;"",$C1318&lt;TODAY()),"",$C1318)</f>
        <v/>
      </c>
      <c r="U1318">
        <f>IF(AND($D1318&lt;&gt;"Доход",COUNTIFS(Счета!$B$10:$B$21,$J1318,Счета!$C$10:$C$21,"Кредитная")&gt;0),1,0)</f>
        <v/>
      </c>
    </row>
    <row r="1319" ht="19" customHeight="1">
      <c r="B1319" s="53">
        <f>IF(AND($C1319="",$F1319=""),"",ROW()-9)</f>
        <v/>
      </c>
      <c r="C1319" s="213" t="n"/>
      <c r="D1319" s="55" t="n"/>
      <c r="E1319" s="55" t="n"/>
      <c r="F1319" s="56" t="n"/>
      <c r="G1319" s="196" t="n"/>
      <c r="H1319" s="196" t="n"/>
      <c r="I1319" s="55" t="n"/>
      <c r="J1319" s="55" t="n"/>
      <c r="K1319" s="55" t="n"/>
      <c r="L1319" s="100">
        <f>IF(OR($C1319="",$I1319="Оплачено",$I1319="Отменено",$H1319&lt;&gt;""),"",$C1319-TODAY())</f>
        <v/>
      </c>
      <c r="M1319" s="101">
        <f>IF($C1319="","",INDEX(Настройки!$V$6:$V$17,MONTH($C1319))&amp;" "&amp;YEAR($C1319))</f>
        <v/>
      </c>
      <c r="N1319" s="57">
        <f>IF($F1319="","",IF(COUNTIF(Постоянные!$C$8:$C$37,$F1319)&gt;0,"есть в Постоянных",IF(COUNTIF(Покупки!$C$7:$C$18,$F1319)&gt;0,"есть в Покупках","")))</f>
        <v/>
      </c>
      <c r="P1319">
        <f>IF($H1319&lt;&gt;"",$H1319,IF($I1319="Оплачено",N($G1319),0))</f>
        <v/>
      </c>
      <c r="Q1319">
        <f>IF($I1319="Отменено",0,IF($G1319&lt;&gt;"",$G1319,N($H1319)))</f>
        <v/>
      </c>
      <c r="R1319">
        <f>IF($C1319="","",IFERROR(DATE(Настройки!$C$8,Настройки!$D$9+MATCH($M1319,Настройки!$X$6:$X$17,0)-1,1),DATE(YEAR($C1319),MONTH($C1319),1)))</f>
        <v/>
      </c>
      <c r="S1319">
        <f>IF(OR($I1319="Оплачено",$H1319&lt;&gt;""),$P1319,$Q1319)</f>
        <v/>
      </c>
      <c r="T1319">
        <f>IF(OR($C1319="",$D1319="Доход",$I1319="Оплачено",$I1319="Отменено",$H1319&lt;&gt;"",$C1319&lt;TODAY()),"",$C1319)</f>
        <v/>
      </c>
      <c r="U1319">
        <f>IF(AND($D1319&lt;&gt;"Доход",COUNTIFS(Счета!$B$10:$B$21,$J1319,Счета!$C$10:$C$21,"Кредитная")&gt;0),1,0)</f>
        <v/>
      </c>
    </row>
    <row r="1320" ht="19" customHeight="1">
      <c r="B1320" s="53">
        <f>IF(AND($C1320="",$F1320=""),"",ROW()-9)</f>
        <v/>
      </c>
      <c r="C1320" s="213" t="n"/>
      <c r="D1320" s="55" t="n"/>
      <c r="E1320" s="55" t="n"/>
      <c r="F1320" s="56" t="n"/>
      <c r="G1320" s="196" t="n"/>
      <c r="H1320" s="196" t="n"/>
      <c r="I1320" s="55" t="n"/>
      <c r="J1320" s="55" t="n"/>
      <c r="K1320" s="55" t="n"/>
      <c r="L1320" s="100">
        <f>IF(OR($C1320="",$I1320="Оплачено",$I1320="Отменено",$H1320&lt;&gt;""),"",$C1320-TODAY())</f>
        <v/>
      </c>
      <c r="M1320" s="101">
        <f>IF($C1320="","",INDEX(Настройки!$V$6:$V$17,MONTH($C1320))&amp;" "&amp;YEAR($C1320))</f>
        <v/>
      </c>
      <c r="N1320" s="57">
        <f>IF($F1320="","",IF(COUNTIF(Постоянные!$C$8:$C$37,$F1320)&gt;0,"есть в Постоянных",IF(COUNTIF(Покупки!$C$7:$C$18,$F1320)&gt;0,"есть в Покупках","")))</f>
        <v/>
      </c>
      <c r="P1320">
        <f>IF($H1320&lt;&gt;"",$H1320,IF($I1320="Оплачено",N($G1320),0))</f>
        <v/>
      </c>
      <c r="Q1320">
        <f>IF($I1320="Отменено",0,IF($G1320&lt;&gt;"",$G1320,N($H1320)))</f>
        <v/>
      </c>
      <c r="R1320">
        <f>IF($C1320="","",IFERROR(DATE(Настройки!$C$8,Настройки!$D$9+MATCH($M1320,Настройки!$X$6:$X$17,0)-1,1),DATE(YEAR($C1320),MONTH($C1320),1)))</f>
        <v/>
      </c>
      <c r="S1320">
        <f>IF(OR($I1320="Оплачено",$H1320&lt;&gt;""),$P1320,$Q1320)</f>
        <v/>
      </c>
      <c r="T1320">
        <f>IF(OR($C1320="",$D1320="Доход",$I1320="Оплачено",$I1320="Отменено",$H1320&lt;&gt;"",$C1320&lt;TODAY()),"",$C1320)</f>
        <v/>
      </c>
      <c r="U1320">
        <f>IF(AND($D1320&lt;&gt;"Доход",COUNTIFS(Счета!$B$10:$B$21,$J1320,Счета!$C$10:$C$21,"Кредитная")&gt;0),1,0)</f>
        <v/>
      </c>
    </row>
    <row r="1321" ht="19" customHeight="1">
      <c r="B1321" s="53">
        <f>IF(AND($C1321="",$F1321=""),"",ROW()-9)</f>
        <v/>
      </c>
      <c r="C1321" s="213" t="n"/>
      <c r="D1321" s="55" t="n"/>
      <c r="E1321" s="55" t="n"/>
      <c r="F1321" s="56" t="n"/>
      <c r="G1321" s="196" t="n"/>
      <c r="H1321" s="196" t="n"/>
      <c r="I1321" s="55" t="n"/>
      <c r="J1321" s="55" t="n"/>
      <c r="K1321" s="55" t="n"/>
      <c r="L1321" s="100">
        <f>IF(OR($C1321="",$I1321="Оплачено",$I1321="Отменено",$H1321&lt;&gt;""),"",$C1321-TODAY())</f>
        <v/>
      </c>
      <c r="M1321" s="101">
        <f>IF($C1321="","",INDEX(Настройки!$V$6:$V$17,MONTH($C1321))&amp;" "&amp;YEAR($C1321))</f>
        <v/>
      </c>
      <c r="N1321" s="57">
        <f>IF($F1321="","",IF(COUNTIF(Постоянные!$C$8:$C$37,$F1321)&gt;0,"есть в Постоянных",IF(COUNTIF(Покупки!$C$7:$C$18,$F1321)&gt;0,"есть в Покупках","")))</f>
        <v/>
      </c>
      <c r="P1321">
        <f>IF($H1321&lt;&gt;"",$H1321,IF($I1321="Оплачено",N($G1321),0))</f>
        <v/>
      </c>
      <c r="Q1321">
        <f>IF($I1321="Отменено",0,IF($G1321&lt;&gt;"",$G1321,N($H1321)))</f>
        <v/>
      </c>
      <c r="R1321">
        <f>IF($C1321="","",IFERROR(DATE(Настройки!$C$8,Настройки!$D$9+MATCH($M1321,Настройки!$X$6:$X$17,0)-1,1),DATE(YEAR($C1321),MONTH($C1321),1)))</f>
        <v/>
      </c>
      <c r="S1321">
        <f>IF(OR($I1321="Оплачено",$H1321&lt;&gt;""),$P1321,$Q1321)</f>
        <v/>
      </c>
      <c r="T1321">
        <f>IF(OR($C1321="",$D1321="Доход",$I1321="Оплачено",$I1321="Отменено",$H1321&lt;&gt;"",$C1321&lt;TODAY()),"",$C1321)</f>
        <v/>
      </c>
      <c r="U1321">
        <f>IF(AND($D1321&lt;&gt;"Доход",COUNTIFS(Счета!$B$10:$B$21,$J1321,Счета!$C$10:$C$21,"Кредитная")&gt;0),1,0)</f>
        <v/>
      </c>
    </row>
    <row r="1322" ht="19" customHeight="1">
      <c r="B1322" s="53">
        <f>IF(AND($C1322="",$F1322=""),"",ROW()-9)</f>
        <v/>
      </c>
      <c r="C1322" s="213" t="n"/>
      <c r="D1322" s="55" t="n"/>
      <c r="E1322" s="55" t="n"/>
      <c r="F1322" s="56" t="n"/>
      <c r="G1322" s="196" t="n"/>
      <c r="H1322" s="196" t="n"/>
      <c r="I1322" s="55" t="n"/>
      <c r="J1322" s="55" t="n"/>
      <c r="K1322" s="55" t="n"/>
      <c r="L1322" s="100">
        <f>IF(OR($C1322="",$I1322="Оплачено",$I1322="Отменено",$H1322&lt;&gt;""),"",$C1322-TODAY())</f>
        <v/>
      </c>
      <c r="M1322" s="101">
        <f>IF($C1322="","",INDEX(Настройки!$V$6:$V$17,MONTH($C1322))&amp;" "&amp;YEAR($C1322))</f>
        <v/>
      </c>
      <c r="N1322" s="57">
        <f>IF($F1322="","",IF(COUNTIF(Постоянные!$C$8:$C$37,$F1322)&gt;0,"есть в Постоянных",IF(COUNTIF(Покупки!$C$7:$C$18,$F1322)&gt;0,"есть в Покупках","")))</f>
        <v/>
      </c>
      <c r="P1322">
        <f>IF($H1322&lt;&gt;"",$H1322,IF($I1322="Оплачено",N($G1322),0))</f>
        <v/>
      </c>
      <c r="Q1322">
        <f>IF($I1322="Отменено",0,IF($G1322&lt;&gt;"",$G1322,N($H1322)))</f>
        <v/>
      </c>
      <c r="R1322">
        <f>IF($C1322="","",IFERROR(DATE(Настройки!$C$8,Настройки!$D$9+MATCH($M1322,Настройки!$X$6:$X$17,0)-1,1),DATE(YEAR($C1322),MONTH($C1322),1)))</f>
        <v/>
      </c>
      <c r="S1322">
        <f>IF(OR($I1322="Оплачено",$H1322&lt;&gt;""),$P1322,$Q1322)</f>
        <v/>
      </c>
      <c r="T1322">
        <f>IF(OR($C1322="",$D1322="Доход",$I1322="Оплачено",$I1322="Отменено",$H1322&lt;&gt;"",$C1322&lt;TODAY()),"",$C1322)</f>
        <v/>
      </c>
      <c r="U1322">
        <f>IF(AND($D1322&lt;&gt;"Доход",COUNTIFS(Счета!$B$10:$B$21,$J1322,Счета!$C$10:$C$21,"Кредитная")&gt;0),1,0)</f>
        <v/>
      </c>
    </row>
    <row r="1323" ht="19" customHeight="1">
      <c r="B1323" s="53">
        <f>IF(AND($C1323="",$F1323=""),"",ROW()-9)</f>
        <v/>
      </c>
      <c r="C1323" s="213" t="n"/>
      <c r="D1323" s="55" t="n"/>
      <c r="E1323" s="55" t="n"/>
      <c r="F1323" s="56" t="n"/>
      <c r="G1323" s="196" t="n"/>
      <c r="H1323" s="196" t="n"/>
      <c r="I1323" s="55" t="n"/>
      <c r="J1323" s="55" t="n"/>
      <c r="K1323" s="55" t="n"/>
      <c r="L1323" s="100">
        <f>IF(OR($C1323="",$I1323="Оплачено",$I1323="Отменено",$H1323&lt;&gt;""),"",$C1323-TODAY())</f>
        <v/>
      </c>
      <c r="M1323" s="101">
        <f>IF($C1323="","",INDEX(Настройки!$V$6:$V$17,MONTH($C1323))&amp;" "&amp;YEAR($C1323))</f>
        <v/>
      </c>
      <c r="N1323" s="57">
        <f>IF($F1323="","",IF(COUNTIF(Постоянные!$C$8:$C$37,$F1323)&gt;0,"есть в Постоянных",IF(COUNTIF(Покупки!$C$7:$C$18,$F1323)&gt;0,"есть в Покупках","")))</f>
        <v/>
      </c>
      <c r="P1323">
        <f>IF($H1323&lt;&gt;"",$H1323,IF($I1323="Оплачено",N($G1323),0))</f>
        <v/>
      </c>
      <c r="Q1323">
        <f>IF($I1323="Отменено",0,IF($G1323&lt;&gt;"",$G1323,N($H1323)))</f>
        <v/>
      </c>
      <c r="R1323">
        <f>IF($C1323="","",IFERROR(DATE(Настройки!$C$8,Настройки!$D$9+MATCH($M1323,Настройки!$X$6:$X$17,0)-1,1),DATE(YEAR($C1323),MONTH($C1323),1)))</f>
        <v/>
      </c>
      <c r="S1323">
        <f>IF(OR($I1323="Оплачено",$H1323&lt;&gt;""),$P1323,$Q1323)</f>
        <v/>
      </c>
      <c r="T1323">
        <f>IF(OR($C1323="",$D1323="Доход",$I1323="Оплачено",$I1323="Отменено",$H1323&lt;&gt;"",$C1323&lt;TODAY()),"",$C1323)</f>
        <v/>
      </c>
      <c r="U1323">
        <f>IF(AND($D1323&lt;&gt;"Доход",COUNTIFS(Счета!$B$10:$B$21,$J1323,Счета!$C$10:$C$21,"Кредитная")&gt;0),1,0)</f>
        <v/>
      </c>
    </row>
    <row r="1324" ht="19" customHeight="1">
      <c r="B1324" s="53">
        <f>IF(AND($C1324="",$F1324=""),"",ROW()-9)</f>
        <v/>
      </c>
      <c r="C1324" s="213" t="n"/>
      <c r="D1324" s="55" t="n"/>
      <c r="E1324" s="55" t="n"/>
      <c r="F1324" s="56" t="n"/>
      <c r="G1324" s="196" t="n"/>
      <c r="H1324" s="196" t="n"/>
      <c r="I1324" s="55" t="n"/>
      <c r="J1324" s="55" t="n"/>
      <c r="K1324" s="55" t="n"/>
      <c r="L1324" s="100">
        <f>IF(OR($C1324="",$I1324="Оплачено",$I1324="Отменено",$H1324&lt;&gt;""),"",$C1324-TODAY())</f>
        <v/>
      </c>
      <c r="M1324" s="101">
        <f>IF($C1324="","",INDEX(Настройки!$V$6:$V$17,MONTH($C1324))&amp;" "&amp;YEAR($C1324))</f>
        <v/>
      </c>
      <c r="N1324" s="57">
        <f>IF($F1324="","",IF(COUNTIF(Постоянные!$C$8:$C$37,$F1324)&gt;0,"есть в Постоянных",IF(COUNTIF(Покупки!$C$7:$C$18,$F1324)&gt;0,"есть в Покупках","")))</f>
        <v/>
      </c>
      <c r="P1324">
        <f>IF($H1324&lt;&gt;"",$H1324,IF($I1324="Оплачено",N($G1324),0))</f>
        <v/>
      </c>
      <c r="Q1324">
        <f>IF($I1324="Отменено",0,IF($G1324&lt;&gt;"",$G1324,N($H1324)))</f>
        <v/>
      </c>
      <c r="R1324">
        <f>IF($C1324="","",IFERROR(DATE(Настройки!$C$8,Настройки!$D$9+MATCH($M1324,Настройки!$X$6:$X$17,0)-1,1),DATE(YEAR($C1324),MONTH($C1324),1)))</f>
        <v/>
      </c>
      <c r="S1324">
        <f>IF(OR($I1324="Оплачено",$H1324&lt;&gt;""),$P1324,$Q1324)</f>
        <v/>
      </c>
      <c r="T1324">
        <f>IF(OR($C1324="",$D1324="Доход",$I1324="Оплачено",$I1324="Отменено",$H1324&lt;&gt;"",$C1324&lt;TODAY()),"",$C1324)</f>
        <v/>
      </c>
      <c r="U1324">
        <f>IF(AND($D1324&lt;&gt;"Доход",COUNTIFS(Счета!$B$10:$B$21,$J1324,Счета!$C$10:$C$21,"Кредитная")&gt;0),1,0)</f>
        <v/>
      </c>
    </row>
    <row r="1325" ht="19" customHeight="1">
      <c r="B1325" s="53">
        <f>IF(AND($C1325="",$F1325=""),"",ROW()-9)</f>
        <v/>
      </c>
      <c r="C1325" s="213" t="n"/>
      <c r="D1325" s="55" t="n"/>
      <c r="E1325" s="55" t="n"/>
      <c r="F1325" s="56" t="n"/>
      <c r="G1325" s="196" t="n"/>
      <c r="H1325" s="196" t="n"/>
      <c r="I1325" s="55" t="n"/>
      <c r="J1325" s="55" t="n"/>
      <c r="K1325" s="55" t="n"/>
      <c r="L1325" s="100">
        <f>IF(OR($C1325="",$I1325="Оплачено",$I1325="Отменено",$H1325&lt;&gt;""),"",$C1325-TODAY())</f>
        <v/>
      </c>
      <c r="M1325" s="101">
        <f>IF($C1325="","",INDEX(Настройки!$V$6:$V$17,MONTH($C1325))&amp;" "&amp;YEAR($C1325))</f>
        <v/>
      </c>
      <c r="N1325" s="57">
        <f>IF($F1325="","",IF(COUNTIF(Постоянные!$C$8:$C$37,$F1325)&gt;0,"есть в Постоянных",IF(COUNTIF(Покупки!$C$7:$C$18,$F1325)&gt;0,"есть в Покупках","")))</f>
        <v/>
      </c>
      <c r="P1325">
        <f>IF($H1325&lt;&gt;"",$H1325,IF($I1325="Оплачено",N($G1325),0))</f>
        <v/>
      </c>
      <c r="Q1325">
        <f>IF($I1325="Отменено",0,IF($G1325&lt;&gt;"",$G1325,N($H1325)))</f>
        <v/>
      </c>
      <c r="R1325">
        <f>IF($C1325="","",IFERROR(DATE(Настройки!$C$8,Настройки!$D$9+MATCH($M1325,Настройки!$X$6:$X$17,0)-1,1),DATE(YEAR($C1325),MONTH($C1325),1)))</f>
        <v/>
      </c>
      <c r="S1325">
        <f>IF(OR($I1325="Оплачено",$H1325&lt;&gt;""),$P1325,$Q1325)</f>
        <v/>
      </c>
      <c r="T1325">
        <f>IF(OR($C1325="",$D1325="Доход",$I1325="Оплачено",$I1325="Отменено",$H1325&lt;&gt;"",$C1325&lt;TODAY()),"",$C1325)</f>
        <v/>
      </c>
      <c r="U1325">
        <f>IF(AND($D1325&lt;&gt;"Доход",COUNTIFS(Счета!$B$10:$B$21,$J1325,Счета!$C$10:$C$21,"Кредитная")&gt;0),1,0)</f>
        <v/>
      </c>
    </row>
    <row r="1326" ht="19" customHeight="1">
      <c r="B1326" s="53">
        <f>IF(AND($C1326="",$F1326=""),"",ROW()-9)</f>
        <v/>
      </c>
      <c r="C1326" s="213" t="n"/>
      <c r="D1326" s="55" t="n"/>
      <c r="E1326" s="55" t="n"/>
      <c r="F1326" s="56" t="n"/>
      <c r="G1326" s="196" t="n"/>
      <c r="H1326" s="196" t="n"/>
      <c r="I1326" s="55" t="n"/>
      <c r="J1326" s="55" t="n"/>
      <c r="K1326" s="55" t="n"/>
      <c r="L1326" s="100">
        <f>IF(OR($C1326="",$I1326="Оплачено",$I1326="Отменено",$H1326&lt;&gt;""),"",$C1326-TODAY())</f>
        <v/>
      </c>
      <c r="M1326" s="101">
        <f>IF($C1326="","",INDEX(Настройки!$V$6:$V$17,MONTH($C1326))&amp;" "&amp;YEAR($C1326))</f>
        <v/>
      </c>
      <c r="N1326" s="57">
        <f>IF($F1326="","",IF(COUNTIF(Постоянные!$C$8:$C$37,$F1326)&gt;0,"есть в Постоянных",IF(COUNTIF(Покупки!$C$7:$C$18,$F1326)&gt;0,"есть в Покупках","")))</f>
        <v/>
      </c>
      <c r="P1326">
        <f>IF($H1326&lt;&gt;"",$H1326,IF($I1326="Оплачено",N($G1326),0))</f>
        <v/>
      </c>
      <c r="Q1326">
        <f>IF($I1326="Отменено",0,IF($G1326&lt;&gt;"",$G1326,N($H1326)))</f>
        <v/>
      </c>
      <c r="R1326">
        <f>IF($C1326="","",IFERROR(DATE(Настройки!$C$8,Настройки!$D$9+MATCH($M1326,Настройки!$X$6:$X$17,0)-1,1),DATE(YEAR($C1326),MONTH($C1326),1)))</f>
        <v/>
      </c>
      <c r="S1326">
        <f>IF(OR($I1326="Оплачено",$H1326&lt;&gt;""),$P1326,$Q1326)</f>
        <v/>
      </c>
      <c r="T1326">
        <f>IF(OR($C1326="",$D1326="Доход",$I1326="Оплачено",$I1326="Отменено",$H1326&lt;&gt;"",$C1326&lt;TODAY()),"",$C1326)</f>
        <v/>
      </c>
      <c r="U1326">
        <f>IF(AND($D1326&lt;&gt;"Доход",COUNTIFS(Счета!$B$10:$B$21,$J1326,Счета!$C$10:$C$21,"Кредитная")&gt;0),1,0)</f>
        <v/>
      </c>
    </row>
    <row r="1327" ht="19" customHeight="1">
      <c r="B1327" s="53">
        <f>IF(AND($C1327="",$F1327=""),"",ROW()-9)</f>
        <v/>
      </c>
      <c r="C1327" s="213" t="n"/>
      <c r="D1327" s="55" t="n"/>
      <c r="E1327" s="55" t="n"/>
      <c r="F1327" s="56" t="n"/>
      <c r="G1327" s="196" t="n"/>
      <c r="H1327" s="196" t="n"/>
      <c r="I1327" s="55" t="n"/>
      <c r="J1327" s="55" t="n"/>
      <c r="K1327" s="55" t="n"/>
      <c r="L1327" s="100">
        <f>IF(OR($C1327="",$I1327="Оплачено",$I1327="Отменено",$H1327&lt;&gt;""),"",$C1327-TODAY())</f>
        <v/>
      </c>
      <c r="M1327" s="101">
        <f>IF($C1327="","",INDEX(Настройки!$V$6:$V$17,MONTH($C1327))&amp;" "&amp;YEAR($C1327))</f>
        <v/>
      </c>
      <c r="N1327" s="57">
        <f>IF($F1327="","",IF(COUNTIF(Постоянные!$C$8:$C$37,$F1327)&gt;0,"есть в Постоянных",IF(COUNTIF(Покупки!$C$7:$C$18,$F1327)&gt;0,"есть в Покупках","")))</f>
        <v/>
      </c>
      <c r="P1327">
        <f>IF($H1327&lt;&gt;"",$H1327,IF($I1327="Оплачено",N($G1327),0))</f>
        <v/>
      </c>
      <c r="Q1327">
        <f>IF($I1327="Отменено",0,IF($G1327&lt;&gt;"",$G1327,N($H1327)))</f>
        <v/>
      </c>
      <c r="R1327">
        <f>IF($C1327="","",IFERROR(DATE(Настройки!$C$8,Настройки!$D$9+MATCH($M1327,Настройки!$X$6:$X$17,0)-1,1),DATE(YEAR($C1327),MONTH($C1327),1)))</f>
        <v/>
      </c>
      <c r="S1327">
        <f>IF(OR($I1327="Оплачено",$H1327&lt;&gt;""),$P1327,$Q1327)</f>
        <v/>
      </c>
      <c r="T1327">
        <f>IF(OR($C1327="",$D1327="Доход",$I1327="Оплачено",$I1327="Отменено",$H1327&lt;&gt;"",$C1327&lt;TODAY()),"",$C1327)</f>
        <v/>
      </c>
      <c r="U1327">
        <f>IF(AND($D1327&lt;&gt;"Доход",COUNTIFS(Счета!$B$10:$B$21,$J1327,Счета!$C$10:$C$21,"Кредитная")&gt;0),1,0)</f>
        <v/>
      </c>
    </row>
    <row r="1328" ht="19" customHeight="1">
      <c r="B1328" s="53">
        <f>IF(AND($C1328="",$F1328=""),"",ROW()-9)</f>
        <v/>
      </c>
      <c r="C1328" s="213" t="n"/>
      <c r="D1328" s="55" t="n"/>
      <c r="E1328" s="55" t="n"/>
      <c r="F1328" s="56" t="n"/>
      <c r="G1328" s="196" t="n"/>
      <c r="H1328" s="196" t="n"/>
      <c r="I1328" s="55" t="n"/>
      <c r="J1328" s="55" t="n"/>
      <c r="K1328" s="55" t="n"/>
      <c r="L1328" s="100">
        <f>IF(OR($C1328="",$I1328="Оплачено",$I1328="Отменено",$H1328&lt;&gt;""),"",$C1328-TODAY())</f>
        <v/>
      </c>
      <c r="M1328" s="101">
        <f>IF($C1328="","",INDEX(Настройки!$V$6:$V$17,MONTH($C1328))&amp;" "&amp;YEAR($C1328))</f>
        <v/>
      </c>
      <c r="N1328" s="57">
        <f>IF($F1328="","",IF(COUNTIF(Постоянные!$C$8:$C$37,$F1328)&gt;0,"есть в Постоянных",IF(COUNTIF(Покупки!$C$7:$C$18,$F1328)&gt;0,"есть в Покупках","")))</f>
        <v/>
      </c>
      <c r="P1328">
        <f>IF($H1328&lt;&gt;"",$H1328,IF($I1328="Оплачено",N($G1328),0))</f>
        <v/>
      </c>
      <c r="Q1328">
        <f>IF($I1328="Отменено",0,IF($G1328&lt;&gt;"",$G1328,N($H1328)))</f>
        <v/>
      </c>
      <c r="R1328">
        <f>IF($C1328="","",IFERROR(DATE(Настройки!$C$8,Настройки!$D$9+MATCH($M1328,Настройки!$X$6:$X$17,0)-1,1),DATE(YEAR($C1328),MONTH($C1328),1)))</f>
        <v/>
      </c>
      <c r="S1328">
        <f>IF(OR($I1328="Оплачено",$H1328&lt;&gt;""),$P1328,$Q1328)</f>
        <v/>
      </c>
      <c r="T1328">
        <f>IF(OR($C1328="",$D1328="Доход",$I1328="Оплачено",$I1328="Отменено",$H1328&lt;&gt;"",$C1328&lt;TODAY()),"",$C1328)</f>
        <v/>
      </c>
      <c r="U1328">
        <f>IF(AND($D1328&lt;&gt;"Доход",COUNTIFS(Счета!$B$10:$B$21,$J1328,Счета!$C$10:$C$21,"Кредитная")&gt;0),1,0)</f>
        <v/>
      </c>
    </row>
    <row r="1329" ht="19" customHeight="1">
      <c r="B1329" s="53">
        <f>IF(AND($C1329="",$F1329=""),"",ROW()-9)</f>
        <v/>
      </c>
      <c r="C1329" s="213" t="n"/>
      <c r="D1329" s="55" t="n"/>
      <c r="E1329" s="55" t="n"/>
      <c r="F1329" s="56" t="n"/>
      <c r="G1329" s="196" t="n"/>
      <c r="H1329" s="196" t="n"/>
      <c r="I1329" s="55" t="n"/>
      <c r="J1329" s="55" t="n"/>
      <c r="K1329" s="55" t="n"/>
      <c r="L1329" s="100">
        <f>IF(OR($C1329="",$I1329="Оплачено",$I1329="Отменено",$H1329&lt;&gt;""),"",$C1329-TODAY())</f>
        <v/>
      </c>
      <c r="M1329" s="101">
        <f>IF($C1329="","",INDEX(Настройки!$V$6:$V$17,MONTH($C1329))&amp;" "&amp;YEAR($C1329))</f>
        <v/>
      </c>
      <c r="N1329" s="57">
        <f>IF($F1329="","",IF(COUNTIF(Постоянные!$C$8:$C$37,$F1329)&gt;0,"есть в Постоянных",IF(COUNTIF(Покупки!$C$7:$C$18,$F1329)&gt;0,"есть в Покупках","")))</f>
        <v/>
      </c>
      <c r="P1329">
        <f>IF($H1329&lt;&gt;"",$H1329,IF($I1329="Оплачено",N($G1329),0))</f>
        <v/>
      </c>
      <c r="Q1329">
        <f>IF($I1329="Отменено",0,IF($G1329&lt;&gt;"",$G1329,N($H1329)))</f>
        <v/>
      </c>
      <c r="R1329">
        <f>IF($C1329="","",IFERROR(DATE(Настройки!$C$8,Настройки!$D$9+MATCH($M1329,Настройки!$X$6:$X$17,0)-1,1),DATE(YEAR($C1329),MONTH($C1329),1)))</f>
        <v/>
      </c>
      <c r="S1329">
        <f>IF(OR($I1329="Оплачено",$H1329&lt;&gt;""),$P1329,$Q1329)</f>
        <v/>
      </c>
      <c r="T1329">
        <f>IF(OR($C1329="",$D1329="Доход",$I1329="Оплачено",$I1329="Отменено",$H1329&lt;&gt;"",$C1329&lt;TODAY()),"",$C1329)</f>
        <v/>
      </c>
      <c r="U1329">
        <f>IF(AND($D1329&lt;&gt;"Доход",COUNTIFS(Счета!$B$10:$B$21,$J1329,Счета!$C$10:$C$21,"Кредитная")&gt;0),1,0)</f>
        <v/>
      </c>
    </row>
    <row r="1330" ht="19" customHeight="1">
      <c r="B1330" s="53">
        <f>IF(AND($C1330="",$F1330=""),"",ROW()-9)</f>
        <v/>
      </c>
      <c r="C1330" s="213" t="n"/>
      <c r="D1330" s="55" t="n"/>
      <c r="E1330" s="55" t="n"/>
      <c r="F1330" s="56" t="n"/>
      <c r="G1330" s="196" t="n"/>
      <c r="H1330" s="196" t="n"/>
      <c r="I1330" s="55" t="n"/>
      <c r="J1330" s="55" t="n"/>
      <c r="K1330" s="55" t="n"/>
      <c r="L1330" s="100">
        <f>IF(OR($C1330="",$I1330="Оплачено",$I1330="Отменено",$H1330&lt;&gt;""),"",$C1330-TODAY())</f>
        <v/>
      </c>
      <c r="M1330" s="101">
        <f>IF($C1330="","",INDEX(Настройки!$V$6:$V$17,MONTH($C1330))&amp;" "&amp;YEAR($C1330))</f>
        <v/>
      </c>
      <c r="N1330" s="57">
        <f>IF($F1330="","",IF(COUNTIF(Постоянные!$C$8:$C$37,$F1330)&gt;0,"есть в Постоянных",IF(COUNTIF(Покупки!$C$7:$C$18,$F1330)&gt;0,"есть в Покупках","")))</f>
        <v/>
      </c>
      <c r="P1330">
        <f>IF($H1330&lt;&gt;"",$H1330,IF($I1330="Оплачено",N($G1330),0))</f>
        <v/>
      </c>
      <c r="Q1330">
        <f>IF($I1330="Отменено",0,IF($G1330&lt;&gt;"",$G1330,N($H1330)))</f>
        <v/>
      </c>
      <c r="R1330">
        <f>IF($C1330="","",IFERROR(DATE(Настройки!$C$8,Настройки!$D$9+MATCH($M1330,Настройки!$X$6:$X$17,0)-1,1),DATE(YEAR($C1330),MONTH($C1330),1)))</f>
        <v/>
      </c>
      <c r="S1330">
        <f>IF(OR($I1330="Оплачено",$H1330&lt;&gt;""),$P1330,$Q1330)</f>
        <v/>
      </c>
      <c r="T1330">
        <f>IF(OR($C1330="",$D1330="Доход",$I1330="Оплачено",$I1330="Отменено",$H1330&lt;&gt;"",$C1330&lt;TODAY()),"",$C1330)</f>
        <v/>
      </c>
      <c r="U1330">
        <f>IF(AND($D1330&lt;&gt;"Доход",COUNTIFS(Счета!$B$10:$B$21,$J1330,Счета!$C$10:$C$21,"Кредитная")&gt;0),1,0)</f>
        <v/>
      </c>
    </row>
    <row r="1331" ht="19" customHeight="1">
      <c r="B1331" s="53">
        <f>IF(AND($C1331="",$F1331=""),"",ROW()-9)</f>
        <v/>
      </c>
      <c r="C1331" s="213" t="n"/>
      <c r="D1331" s="55" t="n"/>
      <c r="E1331" s="55" t="n"/>
      <c r="F1331" s="56" t="n"/>
      <c r="G1331" s="196" t="n"/>
      <c r="H1331" s="196" t="n"/>
      <c r="I1331" s="55" t="n"/>
      <c r="J1331" s="55" t="n"/>
      <c r="K1331" s="55" t="n"/>
      <c r="L1331" s="100">
        <f>IF(OR($C1331="",$I1331="Оплачено",$I1331="Отменено",$H1331&lt;&gt;""),"",$C1331-TODAY())</f>
        <v/>
      </c>
      <c r="M1331" s="101">
        <f>IF($C1331="","",INDEX(Настройки!$V$6:$V$17,MONTH($C1331))&amp;" "&amp;YEAR($C1331))</f>
        <v/>
      </c>
      <c r="N1331" s="57">
        <f>IF($F1331="","",IF(COUNTIF(Постоянные!$C$8:$C$37,$F1331)&gt;0,"есть в Постоянных",IF(COUNTIF(Покупки!$C$7:$C$18,$F1331)&gt;0,"есть в Покупках","")))</f>
        <v/>
      </c>
      <c r="P1331">
        <f>IF($H1331&lt;&gt;"",$H1331,IF($I1331="Оплачено",N($G1331),0))</f>
        <v/>
      </c>
      <c r="Q1331">
        <f>IF($I1331="Отменено",0,IF($G1331&lt;&gt;"",$G1331,N($H1331)))</f>
        <v/>
      </c>
      <c r="R1331">
        <f>IF($C1331="","",IFERROR(DATE(Настройки!$C$8,Настройки!$D$9+MATCH($M1331,Настройки!$X$6:$X$17,0)-1,1),DATE(YEAR($C1331),MONTH($C1331),1)))</f>
        <v/>
      </c>
      <c r="S1331">
        <f>IF(OR($I1331="Оплачено",$H1331&lt;&gt;""),$P1331,$Q1331)</f>
        <v/>
      </c>
      <c r="T1331">
        <f>IF(OR($C1331="",$D1331="Доход",$I1331="Оплачено",$I1331="Отменено",$H1331&lt;&gt;"",$C1331&lt;TODAY()),"",$C1331)</f>
        <v/>
      </c>
      <c r="U1331">
        <f>IF(AND($D1331&lt;&gt;"Доход",COUNTIFS(Счета!$B$10:$B$21,$J1331,Счета!$C$10:$C$21,"Кредитная")&gt;0),1,0)</f>
        <v/>
      </c>
    </row>
    <row r="1332" ht="19" customHeight="1">
      <c r="B1332" s="53">
        <f>IF(AND($C1332="",$F1332=""),"",ROW()-9)</f>
        <v/>
      </c>
      <c r="C1332" s="213" t="n"/>
      <c r="D1332" s="55" t="n"/>
      <c r="E1332" s="55" t="n"/>
      <c r="F1332" s="56" t="n"/>
      <c r="G1332" s="196" t="n"/>
      <c r="H1332" s="196" t="n"/>
      <c r="I1332" s="55" t="n"/>
      <c r="J1332" s="55" t="n"/>
      <c r="K1332" s="55" t="n"/>
      <c r="L1332" s="100">
        <f>IF(OR($C1332="",$I1332="Оплачено",$I1332="Отменено",$H1332&lt;&gt;""),"",$C1332-TODAY())</f>
        <v/>
      </c>
      <c r="M1332" s="101">
        <f>IF($C1332="","",INDEX(Настройки!$V$6:$V$17,MONTH($C1332))&amp;" "&amp;YEAR($C1332))</f>
        <v/>
      </c>
      <c r="N1332" s="57">
        <f>IF($F1332="","",IF(COUNTIF(Постоянные!$C$8:$C$37,$F1332)&gt;0,"есть в Постоянных",IF(COUNTIF(Покупки!$C$7:$C$18,$F1332)&gt;0,"есть в Покупках","")))</f>
        <v/>
      </c>
      <c r="P1332">
        <f>IF($H1332&lt;&gt;"",$H1332,IF($I1332="Оплачено",N($G1332),0))</f>
        <v/>
      </c>
      <c r="Q1332">
        <f>IF($I1332="Отменено",0,IF($G1332&lt;&gt;"",$G1332,N($H1332)))</f>
        <v/>
      </c>
      <c r="R1332">
        <f>IF($C1332="","",IFERROR(DATE(Настройки!$C$8,Настройки!$D$9+MATCH($M1332,Настройки!$X$6:$X$17,0)-1,1),DATE(YEAR($C1332),MONTH($C1332),1)))</f>
        <v/>
      </c>
      <c r="S1332">
        <f>IF(OR($I1332="Оплачено",$H1332&lt;&gt;""),$P1332,$Q1332)</f>
        <v/>
      </c>
      <c r="T1332">
        <f>IF(OR($C1332="",$D1332="Доход",$I1332="Оплачено",$I1332="Отменено",$H1332&lt;&gt;"",$C1332&lt;TODAY()),"",$C1332)</f>
        <v/>
      </c>
      <c r="U1332">
        <f>IF(AND($D1332&lt;&gt;"Доход",COUNTIFS(Счета!$B$10:$B$21,$J1332,Счета!$C$10:$C$21,"Кредитная")&gt;0),1,0)</f>
        <v/>
      </c>
    </row>
    <row r="1333" ht="19" customHeight="1">
      <c r="B1333" s="53">
        <f>IF(AND($C1333="",$F1333=""),"",ROW()-9)</f>
        <v/>
      </c>
      <c r="C1333" s="213" t="n"/>
      <c r="D1333" s="55" t="n"/>
      <c r="E1333" s="55" t="n"/>
      <c r="F1333" s="56" t="n"/>
      <c r="G1333" s="196" t="n"/>
      <c r="H1333" s="196" t="n"/>
      <c r="I1333" s="55" t="n"/>
      <c r="J1333" s="55" t="n"/>
      <c r="K1333" s="55" t="n"/>
      <c r="L1333" s="100">
        <f>IF(OR($C1333="",$I1333="Оплачено",$I1333="Отменено",$H1333&lt;&gt;""),"",$C1333-TODAY())</f>
        <v/>
      </c>
      <c r="M1333" s="101">
        <f>IF($C1333="","",INDEX(Настройки!$V$6:$V$17,MONTH($C1333))&amp;" "&amp;YEAR($C1333))</f>
        <v/>
      </c>
      <c r="N1333" s="57">
        <f>IF($F1333="","",IF(COUNTIF(Постоянные!$C$8:$C$37,$F1333)&gt;0,"есть в Постоянных",IF(COUNTIF(Покупки!$C$7:$C$18,$F1333)&gt;0,"есть в Покупках","")))</f>
        <v/>
      </c>
      <c r="P1333">
        <f>IF($H1333&lt;&gt;"",$H1333,IF($I1333="Оплачено",N($G1333),0))</f>
        <v/>
      </c>
      <c r="Q1333">
        <f>IF($I1333="Отменено",0,IF($G1333&lt;&gt;"",$G1333,N($H1333)))</f>
        <v/>
      </c>
      <c r="R1333">
        <f>IF($C1333="","",IFERROR(DATE(Настройки!$C$8,Настройки!$D$9+MATCH($M1333,Настройки!$X$6:$X$17,0)-1,1),DATE(YEAR($C1333),MONTH($C1333),1)))</f>
        <v/>
      </c>
      <c r="S1333">
        <f>IF(OR($I1333="Оплачено",$H1333&lt;&gt;""),$P1333,$Q1333)</f>
        <v/>
      </c>
      <c r="T1333">
        <f>IF(OR($C1333="",$D1333="Доход",$I1333="Оплачено",$I1333="Отменено",$H1333&lt;&gt;"",$C1333&lt;TODAY()),"",$C1333)</f>
        <v/>
      </c>
      <c r="U1333">
        <f>IF(AND($D1333&lt;&gt;"Доход",COUNTIFS(Счета!$B$10:$B$21,$J1333,Счета!$C$10:$C$21,"Кредитная")&gt;0),1,0)</f>
        <v/>
      </c>
    </row>
    <row r="1334" ht="19" customHeight="1">
      <c r="B1334" s="53">
        <f>IF(AND($C1334="",$F1334=""),"",ROW()-9)</f>
        <v/>
      </c>
      <c r="C1334" s="213" t="n"/>
      <c r="D1334" s="55" t="n"/>
      <c r="E1334" s="55" t="n"/>
      <c r="F1334" s="56" t="n"/>
      <c r="G1334" s="196" t="n"/>
      <c r="H1334" s="196" t="n"/>
      <c r="I1334" s="55" t="n"/>
      <c r="J1334" s="55" t="n"/>
      <c r="K1334" s="55" t="n"/>
      <c r="L1334" s="100">
        <f>IF(OR($C1334="",$I1334="Оплачено",$I1334="Отменено",$H1334&lt;&gt;""),"",$C1334-TODAY())</f>
        <v/>
      </c>
      <c r="M1334" s="101">
        <f>IF($C1334="","",INDEX(Настройки!$V$6:$V$17,MONTH($C1334))&amp;" "&amp;YEAR($C1334))</f>
        <v/>
      </c>
      <c r="N1334" s="57">
        <f>IF($F1334="","",IF(COUNTIF(Постоянные!$C$8:$C$37,$F1334)&gt;0,"есть в Постоянных",IF(COUNTIF(Покупки!$C$7:$C$18,$F1334)&gt;0,"есть в Покупках","")))</f>
        <v/>
      </c>
      <c r="P1334">
        <f>IF($H1334&lt;&gt;"",$H1334,IF($I1334="Оплачено",N($G1334),0))</f>
        <v/>
      </c>
      <c r="Q1334">
        <f>IF($I1334="Отменено",0,IF($G1334&lt;&gt;"",$G1334,N($H1334)))</f>
        <v/>
      </c>
      <c r="R1334">
        <f>IF($C1334="","",IFERROR(DATE(Настройки!$C$8,Настройки!$D$9+MATCH($M1334,Настройки!$X$6:$X$17,0)-1,1),DATE(YEAR($C1334),MONTH($C1334),1)))</f>
        <v/>
      </c>
      <c r="S1334">
        <f>IF(OR($I1334="Оплачено",$H1334&lt;&gt;""),$P1334,$Q1334)</f>
        <v/>
      </c>
      <c r="T1334">
        <f>IF(OR($C1334="",$D1334="Доход",$I1334="Оплачено",$I1334="Отменено",$H1334&lt;&gt;"",$C1334&lt;TODAY()),"",$C1334)</f>
        <v/>
      </c>
      <c r="U1334">
        <f>IF(AND($D1334&lt;&gt;"Доход",COUNTIFS(Счета!$B$10:$B$21,$J1334,Счета!$C$10:$C$21,"Кредитная")&gt;0),1,0)</f>
        <v/>
      </c>
    </row>
    <row r="1335" ht="19" customHeight="1">
      <c r="B1335" s="53">
        <f>IF(AND($C1335="",$F1335=""),"",ROW()-9)</f>
        <v/>
      </c>
      <c r="C1335" s="213" t="n"/>
      <c r="D1335" s="55" t="n"/>
      <c r="E1335" s="55" t="n"/>
      <c r="F1335" s="56" t="n"/>
      <c r="G1335" s="196" t="n"/>
      <c r="H1335" s="196" t="n"/>
      <c r="I1335" s="55" t="n"/>
      <c r="J1335" s="55" t="n"/>
      <c r="K1335" s="55" t="n"/>
      <c r="L1335" s="100">
        <f>IF(OR($C1335="",$I1335="Оплачено",$I1335="Отменено",$H1335&lt;&gt;""),"",$C1335-TODAY())</f>
        <v/>
      </c>
      <c r="M1335" s="101">
        <f>IF($C1335="","",INDEX(Настройки!$V$6:$V$17,MONTH($C1335))&amp;" "&amp;YEAR($C1335))</f>
        <v/>
      </c>
      <c r="N1335" s="57">
        <f>IF($F1335="","",IF(COUNTIF(Постоянные!$C$8:$C$37,$F1335)&gt;0,"есть в Постоянных",IF(COUNTIF(Покупки!$C$7:$C$18,$F1335)&gt;0,"есть в Покупках","")))</f>
        <v/>
      </c>
      <c r="P1335">
        <f>IF($H1335&lt;&gt;"",$H1335,IF($I1335="Оплачено",N($G1335),0))</f>
        <v/>
      </c>
      <c r="Q1335">
        <f>IF($I1335="Отменено",0,IF($G1335&lt;&gt;"",$G1335,N($H1335)))</f>
        <v/>
      </c>
      <c r="R1335">
        <f>IF($C1335="","",IFERROR(DATE(Настройки!$C$8,Настройки!$D$9+MATCH($M1335,Настройки!$X$6:$X$17,0)-1,1),DATE(YEAR($C1335),MONTH($C1335),1)))</f>
        <v/>
      </c>
      <c r="S1335">
        <f>IF(OR($I1335="Оплачено",$H1335&lt;&gt;""),$P1335,$Q1335)</f>
        <v/>
      </c>
      <c r="T1335">
        <f>IF(OR($C1335="",$D1335="Доход",$I1335="Оплачено",$I1335="Отменено",$H1335&lt;&gt;"",$C1335&lt;TODAY()),"",$C1335)</f>
        <v/>
      </c>
      <c r="U1335">
        <f>IF(AND($D1335&lt;&gt;"Доход",COUNTIFS(Счета!$B$10:$B$21,$J1335,Счета!$C$10:$C$21,"Кредитная")&gt;0),1,0)</f>
        <v/>
      </c>
    </row>
    <row r="1336" ht="19" customHeight="1">
      <c r="B1336" s="53">
        <f>IF(AND($C1336="",$F1336=""),"",ROW()-9)</f>
        <v/>
      </c>
      <c r="C1336" s="213" t="n"/>
      <c r="D1336" s="55" t="n"/>
      <c r="E1336" s="55" t="n"/>
      <c r="F1336" s="56" t="n"/>
      <c r="G1336" s="196" t="n"/>
      <c r="H1336" s="196" t="n"/>
      <c r="I1336" s="55" t="n"/>
      <c r="J1336" s="55" t="n"/>
      <c r="K1336" s="55" t="n"/>
      <c r="L1336" s="100">
        <f>IF(OR($C1336="",$I1336="Оплачено",$I1336="Отменено",$H1336&lt;&gt;""),"",$C1336-TODAY())</f>
        <v/>
      </c>
      <c r="M1336" s="101">
        <f>IF($C1336="","",INDEX(Настройки!$V$6:$V$17,MONTH($C1336))&amp;" "&amp;YEAR($C1336))</f>
        <v/>
      </c>
      <c r="N1336" s="57">
        <f>IF($F1336="","",IF(COUNTIF(Постоянные!$C$8:$C$37,$F1336)&gt;0,"есть в Постоянных",IF(COUNTIF(Покупки!$C$7:$C$18,$F1336)&gt;0,"есть в Покупках","")))</f>
        <v/>
      </c>
      <c r="P1336">
        <f>IF($H1336&lt;&gt;"",$H1336,IF($I1336="Оплачено",N($G1336),0))</f>
        <v/>
      </c>
      <c r="Q1336">
        <f>IF($I1336="Отменено",0,IF($G1336&lt;&gt;"",$G1336,N($H1336)))</f>
        <v/>
      </c>
      <c r="R1336">
        <f>IF($C1336="","",IFERROR(DATE(Настройки!$C$8,Настройки!$D$9+MATCH($M1336,Настройки!$X$6:$X$17,0)-1,1),DATE(YEAR($C1336),MONTH($C1336),1)))</f>
        <v/>
      </c>
      <c r="S1336">
        <f>IF(OR($I1336="Оплачено",$H1336&lt;&gt;""),$P1336,$Q1336)</f>
        <v/>
      </c>
      <c r="T1336">
        <f>IF(OR($C1336="",$D1336="Доход",$I1336="Оплачено",$I1336="Отменено",$H1336&lt;&gt;"",$C1336&lt;TODAY()),"",$C1336)</f>
        <v/>
      </c>
      <c r="U1336">
        <f>IF(AND($D1336&lt;&gt;"Доход",COUNTIFS(Счета!$B$10:$B$21,$J1336,Счета!$C$10:$C$21,"Кредитная")&gt;0),1,0)</f>
        <v/>
      </c>
    </row>
    <row r="1337" ht="19" customHeight="1">
      <c r="B1337" s="53">
        <f>IF(AND($C1337="",$F1337=""),"",ROW()-9)</f>
        <v/>
      </c>
      <c r="C1337" s="213" t="n"/>
      <c r="D1337" s="55" t="n"/>
      <c r="E1337" s="55" t="n"/>
      <c r="F1337" s="56" t="n"/>
      <c r="G1337" s="196" t="n"/>
      <c r="H1337" s="196" t="n"/>
      <c r="I1337" s="55" t="n"/>
      <c r="J1337" s="55" t="n"/>
      <c r="K1337" s="55" t="n"/>
      <c r="L1337" s="100">
        <f>IF(OR($C1337="",$I1337="Оплачено",$I1337="Отменено",$H1337&lt;&gt;""),"",$C1337-TODAY())</f>
        <v/>
      </c>
      <c r="M1337" s="101">
        <f>IF($C1337="","",INDEX(Настройки!$V$6:$V$17,MONTH($C1337))&amp;" "&amp;YEAR($C1337))</f>
        <v/>
      </c>
      <c r="N1337" s="57">
        <f>IF($F1337="","",IF(COUNTIF(Постоянные!$C$8:$C$37,$F1337)&gt;0,"есть в Постоянных",IF(COUNTIF(Покупки!$C$7:$C$18,$F1337)&gt;0,"есть в Покупках","")))</f>
        <v/>
      </c>
      <c r="P1337">
        <f>IF($H1337&lt;&gt;"",$H1337,IF($I1337="Оплачено",N($G1337),0))</f>
        <v/>
      </c>
      <c r="Q1337">
        <f>IF($I1337="Отменено",0,IF($G1337&lt;&gt;"",$G1337,N($H1337)))</f>
        <v/>
      </c>
      <c r="R1337">
        <f>IF($C1337="","",IFERROR(DATE(Настройки!$C$8,Настройки!$D$9+MATCH($M1337,Настройки!$X$6:$X$17,0)-1,1),DATE(YEAR($C1337),MONTH($C1337),1)))</f>
        <v/>
      </c>
      <c r="S1337">
        <f>IF(OR($I1337="Оплачено",$H1337&lt;&gt;""),$P1337,$Q1337)</f>
        <v/>
      </c>
      <c r="T1337">
        <f>IF(OR($C1337="",$D1337="Доход",$I1337="Оплачено",$I1337="Отменено",$H1337&lt;&gt;"",$C1337&lt;TODAY()),"",$C1337)</f>
        <v/>
      </c>
      <c r="U1337">
        <f>IF(AND($D1337&lt;&gt;"Доход",COUNTIFS(Счета!$B$10:$B$21,$J1337,Счета!$C$10:$C$21,"Кредитная")&gt;0),1,0)</f>
        <v/>
      </c>
    </row>
    <row r="1338" ht="19" customHeight="1">
      <c r="B1338" s="53">
        <f>IF(AND($C1338="",$F1338=""),"",ROW()-9)</f>
        <v/>
      </c>
      <c r="C1338" s="213" t="n"/>
      <c r="D1338" s="55" t="n"/>
      <c r="E1338" s="55" t="n"/>
      <c r="F1338" s="56" t="n"/>
      <c r="G1338" s="196" t="n"/>
      <c r="H1338" s="196" t="n"/>
      <c r="I1338" s="55" t="n"/>
      <c r="J1338" s="55" t="n"/>
      <c r="K1338" s="55" t="n"/>
      <c r="L1338" s="100">
        <f>IF(OR($C1338="",$I1338="Оплачено",$I1338="Отменено",$H1338&lt;&gt;""),"",$C1338-TODAY())</f>
        <v/>
      </c>
      <c r="M1338" s="101">
        <f>IF($C1338="","",INDEX(Настройки!$V$6:$V$17,MONTH($C1338))&amp;" "&amp;YEAR($C1338))</f>
        <v/>
      </c>
      <c r="N1338" s="57">
        <f>IF($F1338="","",IF(COUNTIF(Постоянные!$C$8:$C$37,$F1338)&gt;0,"есть в Постоянных",IF(COUNTIF(Покупки!$C$7:$C$18,$F1338)&gt;0,"есть в Покупках","")))</f>
        <v/>
      </c>
      <c r="P1338">
        <f>IF($H1338&lt;&gt;"",$H1338,IF($I1338="Оплачено",N($G1338),0))</f>
        <v/>
      </c>
      <c r="Q1338">
        <f>IF($I1338="Отменено",0,IF($G1338&lt;&gt;"",$G1338,N($H1338)))</f>
        <v/>
      </c>
      <c r="R1338">
        <f>IF($C1338="","",IFERROR(DATE(Настройки!$C$8,Настройки!$D$9+MATCH($M1338,Настройки!$X$6:$X$17,0)-1,1),DATE(YEAR($C1338),MONTH($C1338),1)))</f>
        <v/>
      </c>
      <c r="S1338">
        <f>IF(OR($I1338="Оплачено",$H1338&lt;&gt;""),$P1338,$Q1338)</f>
        <v/>
      </c>
      <c r="T1338">
        <f>IF(OR($C1338="",$D1338="Доход",$I1338="Оплачено",$I1338="Отменено",$H1338&lt;&gt;"",$C1338&lt;TODAY()),"",$C1338)</f>
        <v/>
      </c>
      <c r="U1338">
        <f>IF(AND($D1338&lt;&gt;"Доход",COUNTIFS(Счета!$B$10:$B$21,$J1338,Счета!$C$10:$C$21,"Кредитная")&gt;0),1,0)</f>
        <v/>
      </c>
    </row>
    <row r="1339" ht="19" customHeight="1">
      <c r="B1339" s="53">
        <f>IF(AND($C1339="",$F1339=""),"",ROW()-9)</f>
        <v/>
      </c>
      <c r="C1339" s="213" t="n"/>
      <c r="D1339" s="55" t="n"/>
      <c r="E1339" s="55" t="n"/>
      <c r="F1339" s="56" t="n"/>
      <c r="G1339" s="196" t="n"/>
      <c r="H1339" s="196" t="n"/>
      <c r="I1339" s="55" t="n"/>
      <c r="J1339" s="55" t="n"/>
      <c r="K1339" s="55" t="n"/>
      <c r="L1339" s="100">
        <f>IF(OR($C1339="",$I1339="Оплачено",$I1339="Отменено",$H1339&lt;&gt;""),"",$C1339-TODAY())</f>
        <v/>
      </c>
      <c r="M1339" s="101">
        <f>IF($C1339="","",INDEX(Настройки!$V$6:$V$17,MONTH($C1339))&amp;" "&amp;YEAR($C1339))</f>
        <v/>
      </c>
      <c r="N1339" s="57">
        <f>IF($F1339="","",IF(COUNTIF(Постоянные!$C$8:$C$37,$F1339)&gt;0,"есть в Постоянных",IF(COUNTIF(Покупки!$C$7:$C$18,$F1339)&gt;0,"есть в Покупках","")))</f>
        <v/>
      </c>
      <c r="P1339">
        <f>IF($H1339&lt;&gt;"",$H1339,IF($I1339="Оплачено",N($G1339),0))</f>
        <v/>
      </c>
      <c r="Q1339">
        <f>IF($I1339="Отменено",0,IF($G1339&lt;&gt;"",$G1339,N($H1339)))</f>
        <v/>
      </c>
      <c r="R1339">
        <f>IF($C1339="","",IFERROR(DATE(Настройки!$C$8,Настройки!$D$9+MATCH($M1339,Настройки!$X$6:$X$17,0)-1,1),DATE(YEAR($C1339),MONTH($C1339),1)))</f>
        <v/>
      </c>
      <c r="S1339">
        <f>IF(OR($I1339="Оплачено",$H1339&lt;&gt;""),$P1339,$Q1339)</f>
        <v/>
      </c>
      <c r="T1339">
        <f>IF(OR($C1339="",$D1339="Доход",$I1339="Оплачено",$I1339="Отменено",$H1339&lt;&gt;"",$C1339&lt;TODAY()),"",$C1339)</f>
        <v/>
      </c>
      <c r="U1339">
        <f>IF(AND($D1339&lt;&gt;"Доход",COUNTIFS(Счета!$B$10:$B$21,$J1339,Счета!$C$10:$C$21,"Кредитная")&gt;0),1,0)</f>
        <v/>
      </c>
    </row>
    <row r="1340" ht="19" customHeight="1">
      <c r="B1340" s="53">
        <f>IF(AND($C1340="",$F1340=""),"",ROW()-9)</f>
        <v/>
      </c>
      <c r="C1340" s="213" t="n"/>
      <c r="D1340" s="55" t="n"/>
      <c r="E1340" s="55" t="n"/>
      <c r="F1340" s="56" t="n"/>
      <c r="G1340" s="196" t="n"/>
      <c r="H1340" s="196" t="n"/>
      <c r="I1340" s="55" t="n"/>
      <c r="J1340" s="55" t="n"/>
      <c r="K1340" s="55" t="n"/>
      <c r="L1340" s="100">
        <f>IF(OR($C1340="",$I1340="Оплачено",$I1340="Отменено",$H1340&lt;&gt;""),"",$C1340-TODAY())</f>
        <v/>
      </c>
      <c r="M1340" s="101">
        <f>IF($C1340="","",INDEX(Настройки!$V$6:$V$17,MONTH($C1340))&amp;" "&amp;YEAR($C1340))</f>
        <v/>
      </c>
      <c r="N1340" s="57">
        <f>IF($F1340="","",IF(COUNTIF(Постоянные!$C$8:$C$37,$F1340)&gt;0,"есть в Постоянных",IF(COUNTIF(Покупки!$C$7:$C$18,$F1340)&gt;0,"есть в Покупках","")))</f>
        <v/>
      </c>
      <c r="P1340">
        <f>IF($H1340&lt;&gt;"",$H1340,IF($I1340="Оплачено",N($G1340),0))</f>
        <v/>
      </c>
      <c r="Q1340">
        <f>IF($I1340="Отменено",0,IF($G1340&lt;&gt;"",$G1340,N($H1340)))</f>
        <v/>
      </c>
      <c r="R1340">
        <f>IF($C1340="","",IFERROR(DATE(Настройки!$C$8,Настройки!$D$9+MATCH($M1340,Настройки!$X$6:$X$17,0)-1,1),DATE(YEAR($C1340),MONTH($C1340),1)))</f>
        <v/>
      </c>
      <c r="S1340">
        <f>IF(OR($I1340="Оплачено",$H1340&lt;&gt;""),$P1340,$Q1340)</f>
        <v/>
      </c>
      <c r="T1340">
        <f>IF(OR($C1340="",$D1340="Доход",$I1340="Оплачено",$I1340="Отменено",$H1340&lt;&gt;"",$C1340&lt;TODAY()),"",$C1340)</f>
        <v/>
      </c>
      <c r="U1340">
        <f>IF(AND($D1340&lt;&gt;"Доход",COUNTIFS(Счета!$B$10:$B$21,$J1340,Счета!$C$10:$C$21,"Кредитная")&gt;0),1,0)</f>
        <v/>
      </c>
    </row>
    <row r="1341" ht="19" customHeight="1">
      <c r="B1341" s="53">
        <f>IF(AND($C1341="",$F1341=""),"",ROW()-9)</f>
        <v/>
      </c>
      <c r="C1341" s="213" t="n"/>
      <c r="D1341" s="55" t="n"/>
      <c r="E1341" s="55" t="n"/>
      <c r="F1341" s="56" t="n"/>
      <c r="G1341" s="196" t="n"/>
      <c r="H1341" s="196" t="n"/>
      <c r="I1341" s="55" t="n"/>
      <c r="J1341" s="55" t="n"/>
      <c r="K1341" s="55" t="n"/>
      <c r="L1341" s="100">
        <f>IF(OR($C1341="",$I1341="Оплачено",$I1341="Отменено",$H1341&lt;&gt;""),"",$C1341-TODAY())</f>
        <v/>
      </c>
      <c r="M1341" s="101">
        <f>IF($C1341="","",INDEX(Настройки!$V$6:$V$17,MONTH($C1341))&amp;" "&amp;YEAR($C1341))</f>
        <v/>
      </c>
      <c r="N1341" s="57">
        <f>IF($F1341="","",IF(COUNTIF(Постоянные!$C$8:$C$37,$F1341)&gt;0,"есть в Постоянных",IF(COUNTIF(Покупки!$C$7:$C$18,$F1341)&gt;0,"есть в Покупках","")))</f>
        <v/>
      </c>
      <c r="P1341">
        <f>IF($H1341&lt;&gt;"",$H1341,IF($I1341="Оплачено",N($G1341),0))</f>
        <v/>
      </c>
      <c r="Q1341">
        <f>IF($I1341="Отменено",0,IF($G1341&lt;&gt;"",$G1341,N($H1341)))</f>
        <v/>
      </c>
      <c r="R1341">
        <f>IF($C1341="","",IFERROR(DATE(Настройки!$C$8,Настройки!$D$9+MATCH($M1341,Настройки!$X$6:$X$17,0)-1,1),DATE(YEAR($C1341),MONTH($C1341),1)))</f>
        <v/>
      </c>
      <c r="S1341">
        <f>IF(OR($I1341="Оплачено",$H1341&lt;&gt;""),$P1341,$Q1341)</f>
        <v/>
      </c>
      <c r="T1341">
        <f>IF(OR($C1341="",$D1341="Доход",$I1341="Оплачено",$I1341="Отменено",$H1341&lt;&gt;"",$C1341&lt;TODAY()),"",$C1341)</f>
        <v/>
      </c>
      <c r="U1341">
        <f>IF(AND($D1341&lt;&gt;"Доход",COUNTIFS(Счета!$B$10:$B$21,$J1341,Счета!$C$10:$C$21,"Кредитная")&gt;0),1,0)</f>
        <v/>
      </c>
    </row>
    <row r="1342" ht="19" customHeight="1">
      <c r="B1342" s="53">
        <f>IF(AND($C1342="",$F1342=""),"",ROW()-9)</f>
        <v/>
      </c>
      <c r="C1342" s="213" t="n"/>
      <c r="D1342" s="55" t="n"/>
      <c r="E1342" s="55" t="n"/>
      <c r="F1342" s="56" t="n"/>
      <c r="G1342" s="196" t="n"/>
      <c r="H1342" s="196" t="n"/>
      <c r="I1342" s="55" t="n"/>
      <c r="J1342" s="55" t="n"/>
      <c r="K1342" s="55" t="n"/>
      <c r="L1342" s="100">
        <f>IF(OR($C1342="",$I1342="Оплачено",$I1342="Отменено",$H1342&lt;&gt;""),"",$C1342-TODAY())</f>
        <v/>
      </c>
      <c r="M1342" s="101">
        <f>IF($C1342="","",INDEX(Настройки!$V$6:$V$17,MONTH($C1342))&amp;" "&amp;YEAR($C1342))</f>
        <v/>
      </c>
      <c r="N1342" s="57">
        <f>IF($F1342="","",IF(COUNTIF(Постоянные!$C$8:$C$37,$F1342)&gt;0,"есть в Постоянных",IF(COUNTIF(Покупки!$C$7:$C$18,$F1342)&gt;0,"есть в Покупках","")))</f>
        <v/>
      </c>
      <c r="P1342">
        <f>IF($H1342&lt;&gt;"",$H1342,IF($I1342="Оплачено",N($G1342),0))</f>
        <v/>
      </c>
      <c r="Q1342">
        <f>IF($I1342="Отменено",0,IF($G1342&lt;&gt;"",$G1342,N($H1342)))</f>
        <v/>
      </c>
      <c r="R1342">
        <f>IF($C1342="","",IFERROR(DATE(Настройки!$C$8,Настройки!$D$9+MATCH($M1342,Настройки!$X$6:$X$17,0)-1,1),DATE(YEAR($C1342),MONTH($C1342),1)))</f>
        <v/>
      </c>
      <c r="S1342">
        <f>IF(OR($I1342="Оплачено",$H1342&lt;&gt;""),$P1342,$Q1342)</f>
        <v/>
      </c>
      <c r="T1342">
        <f>IF(OR($C1342="",$D1342="Доход",$I1342="Оплачено",$I1342="Отменено",$H1342&lt;&gt;"",$C1342&lt;TODAY()),"",$C1342)</f>
        <v/>
      </c>
      <c r="U1342">
        <f>IF(AND($D1342&lt;&gt;"Доход",COUNTIFS(Счета!$B$10:$B$21,$J1342,Счета!$C$10:$C$21,"Кредитная")&gt;0),1,0)</f>
        <v/>
      </c>
    </row>
    <row r="1343" ht="19" customHeight="1">
      <c r="B1343" s="53">
        <f>IF(AND($C1343="",$F1343=""),"",ROW()-9)</f>
        <v/>
      </c>
      <c r="C1343" s="213" t="n"/>
      <c r="D1343" s="55" t="n"/>
      <c r="E1343" s="55" t="n"/>
      <c r="F1343" s="56" t="n"/>
      <c r="G1343" s="196" t="n"/>
      <c r="H1343" s="196" t="n"/>
      <c r="I1343" s="55" t="n"/>
      <c r="J1343" s="55" t="n"/>
      <c r="K1343" s="55" t="n"/>
      <c r="L1343" s="100">
        <f>IF(OR($C1343="",$I1343="Оплачено",$I1343="Отменено",$H1343&lt;&gt;""),"",$C1343-TODAY())</f>
        <v/>
      </c>
      <c r="M1343" s="101">
        <f>IF($C1343="","",INDEX(Настройки!$V$6:$V$17,MONTH($C1343))&amp;" "&amp;YEAR($C1343))</f>
        <v/>
      </c>
      <c r="N1343" s="57">
        <f>IF($F1343="","",IF(COUNTIF(Постоянные!$C$8:$C$37,$F1343)&gt;0,"есть в Постоянных",IF(COUNTIF(Покупки!$C$7:$C$18,$F1343)&gt;0,"есть в Покупках","")))</f>
        <v/>
      </c>
      <c r="P1343">
        <f>IF($H1343&lt;&gt;"",$H1343,IF($I1343="Оплачено",N($G1343),0))</f>
        <v/>
      </c>
      <c r="Q1343">
        <f>IF($I1343="Отменено",0,IF($G1343&lt;&gt;"",$G1343,N($H1343)))</f>
        <v/>
      </c>
      <c r="R1343">
        <f>IF($C1343="","",IFERROR(DATE(Настройки!$C$8,Настройки!$D$9+MATCH($M1343,Настройки!$X$6:$X$17,0)-1,1),DATE(YEAR($C1343),MONTH($C1343),1)))</f>
        <v/>
      </c>
      <c r="S1343">
        <f>IF(OR($I1343="Оплачено",$H1343&lt;&gt;""),$P1343,$Q1343)</f>
        <v/>
      </c>
      <c r="T1343">
        <f>IF(OR($C1343="",$D1343="Доход",$I1343="Оплачено",$I1343="Отменено",$H1343&lt;&gt;"",$C1343&lt;TODAY()),"",$C1343)</f>
        <v/>
      </c>
      <c r="U1343">
        <f>IF(AND($D1343&lt;&gt;"Доход",COUNTIFS(Счета!$B$10:$B$21,$J1343,Счета!$C$10:$C$21,"Кредитная")&gt;0),1,0)</f>
        <v/>
      </c>
    </row>
    <row r="1344" ht="19" customHeight="1">
      <c r="B1344" s="53">
        <f>IF(AND($C1344="",$F1344=""),"",ROW()-9)</f>
        <v/>
      </c>
      <c r="C1344" s="213" t="n"/>
      <c r="D1344" s="55" t="n"/>
      <c r="E1344" s="55" t="n"/>
      <c r="F1344" s="56" t="n"/>
      <c r="G1344" s="196" t="n"/>
      <c r="H1344" s="196" t="n"/>
      <c r="I1344" s="55" t="n"/>
      <c r="J1344" s="55" t="n"/>
      <c r="K1344" s="55" t="n"/>
      <c r="L1344" s="100">
        <f>IF(OR($C1344="",$I1344="Оплачено",$I1344="Отменено",$H1344&lt;&gt;""),"",$C1344-TODAY())</f>
        <v/>
      </c>
      <c r="M1344" s="101">
        <f>IF($C1344="","",INDEX(Настройки!$V$6:$V$17,MONTH($C1344))&amp;" "&amp;YEAR($C1344))</f>
        <v/>
      </c>
      <c r="N1344" s="57">
        <f>IF($F1344="","",IF(COUNTIF(Постоянные!$C$8:$C$37,$F1344)&gt;0,"есть в Постоянных",IF(COUNTIF(Покупки!$C$7:$C$18,$F1344)&gt;0,"есть в Покупках","")))</f>
        <v/>
      </c>
      <c r="P1344">
        <f>IF($H1344&lt;&gt;"",$H1344,IF($I1344="Оплачено",N($G1344),0))</f>
        <v/>
      </c>
      <c r="Q1344">
        <f>IF($I1344="Отменено",0,IF($G1344&lt;&gt;"",$G1344,N($H1344)))</f>
        <v/>
      </c>
      <c r="R1344">
        <f>IF($C1344="","",IFERROR(DATE(Настройки!$C$8,Настройки!$D$9+MATCH($M1344,Настройки!$X$6:$X$17,0)-1,1),DATE(YEAR($C1344),MONTH($C1344),1)))</f>
        <v/>
      </c>
      <c r="S1344">
        <f>IF(OR($I1344="Оплачено",$H1344&lt;&gt;""),$P1344,$Q1344)</f>
        <v/>
      </c>
      <c r="T1344">
        <f>IF(OR($C1344="",$D1344="Доход",$I1344="Оплачено",$I1344="Отменено",$H1344&lt;&gt;"",$C1344&lt;TODAY()),"",$C1344)</f>
        <v/>
      </c>
      <c r="U1344">
        <f>IF(AND($D1344&lt;&gt;"Доход",COUNTIFS(Счета!$B$10:$B$21,$J1344,Счета!$C$10:$C$21,"Кредитная")&gt;0),1,0)</f>
        <v/>
      </c>
    </row>
    <row r="1345" ht="19" customHeight="1">
      <c r="B1345" s="53">
        <f>IF(AND($C1345="",$F1345=""),"",ROW()-9)</f>
        <v/>
      </c>
      <c r="C1345" s="213" t="n"/>
      <c r="D1345" s="55" t="n"/>
      <c r="E1345" s="55" t="n"/>
      <c r="F1345" s="56" t="n"/>
      <c r="G1345" s="196" t="n"/>
      <c r="H1345" s="196" t="n"/>
      <c r="I1345" s="55" t="n"/>
      <c r="J1345" s="55" t="n"/>
      <c r="K1345" s="55" t="n"/>
      <c r="L1345" s="100">
        <f>IF(OR($C1345="",$I1345="Оплачено",$I1345="Отменено",$H1345&lt;&gt;""),"",$C1345-TODAY())</f>
        <v/>
      </c>
      <c r="M1345" s="101">
        <f>IF($C1345="","",INDEX(Настройки!$V$6:$V$17,MONTH($C1345))&amp;" "&amp;YEAR($C1345))</f>
        <v/>
      </c>
      <c r="N1345" s="57">
        <f>IF($F1345="","",IF(COUNTIF(Постоянные!$C$8:$C$37,$F1345)&gt;0,"есть в Постоянных",IF(COUNTIF(Покупки!$C$7:$C$18,$F1345)&gt;0,"есть в Покупках","")))</f>
        <v/>
      </c>
      <c r="P1345">
        <f>IF($H1345&lt;&gt;"",$H1345,IF($I1345="Оплачено",N($G1345),0))</f>
        <v/>
      </c>
      <c r="Q1345">
        <f>IF($I1345="Отменено",0,IF($G1345&lt;&gt;"",$G1345,N($H1345)))</f>
        <v/>
      </c>
      <c r="R1345">
        <f>IF($C1345="","",IFERROR(DATE(Настройки!$C$8,Настройки!$D$9+MATCH($M1345,Настройки!$X$6:$X$17,0)-1,1),DATE(YEAR($C1345),MONTH($C1345),1)))</f>
        <v/>
      </c>
      <c r="S1345">
        <f>IF(OR($I1345="Оплачено",$H1345&lt;&gt;""),$P1345,$Q1345)</f>
        <v/>
      </c>
      <c r="T1345">
        <f>IF(OR($C1345="",$D1345="Доход",$I1345="Оплачено",$I1345="Отменено",$H1345&lt;&gt;"",$C1345&lt;TODAY()),"",$C1345)</f>
        <v/>
      </c>
      <c r="U1345">
        <f>IF(AND($D1345&lt;&gt;"Доход",COUNTIFS(Счета!$B$10:$B$21,$J1345,Счета!$C$10:$C$21,"Кредитная")&gt;0),1,0)</f>
        <v/>
      </c>
    </row>
    <row r="1346" ht="19" customHeight="1">
      <c r="B1346" s="53">
        <f>IF(AND($C1346="",$F1346=""),"",ROW()-9)</f>
        <v/>
      </c>
      <c r="C1346" s="213" t="n"/>
      <c r="D1346" s="55" t="n"/>
      <c r="E1346" s="55" t="n"/>
      <c r="F1346" s="56" t="n"/>
      <c r="G1346" s="196" t="n"/>
      <c r="H1346" s="196" t="n"/>
      <c r="I1346" s="55" t="n"/>
      <c r="J1346" s="55" t="n"/>
      <c r="K1346" s="55" t="n"/>
      <c r="L1346" s="100">
        <f>IF(OR($C1346="",$I1346="Оплачено",$I1346="Отменено",$H1346&lt;&gt;""),"",$C1346-TODAY())</f>
        <v/>
      </c>
      <c r="M1346" s="101">
        <f>IF($C1346="","",INDEX(Настройки!$V$6:$V$17,MONTH($C1346))&amp;" "&amp;YEAR($C1346))</f>
        <v/>
      </c>
      <c r="N1346" s="57">
        <f>IF($F1346="","",IF(COUNTIF(Постоянные!$C$8:$C$37,$F1346)&gt;0,"есть в Постоянных",IF(COUNTIF(Покупки!$C$7:$C$18,$F1346)&gt;0,"есть в Покупках","")))</f>
        <v/>
      </c>
      <c r="P1346">
        <f>IF($H1346&lt;&gt;"",$H1346,IF($I1346="Оплачено",N($G1346),0))</f>
        <v/>
      </c>
      <c r="Q1346">
        <f>IF($I1346="Отменено",0,IF($G1346&lt;&gt;"",$G1346,N($H1346)))</f>
        <v/>
      </c>
      <c r="R1346">
        <f>IF($C1346="","",IFERROR(DATE(Настройки!$C$8,Настройки!$D$9+MATCH($M1346,Настройки!$X$6:$X$17,0)-1,1),DATE(YEAR($C1346),MONTH($C1346),1)))</f>
        <v/>
      </c>
      <c r="S1346">
        <f>IF(OR($I1346="Оплачено",$H1346&lt;&gt;""),$P1346,$Q1346)</f>
        <v/>
      </c>
      <c r="T1346">
        <f>IF(OR($C1346="",$D1346="Доход",$I1346="Оплачено",$I1346="Отменено",$H1346&lt;&gt;"",$C1346&lt;TODAY()),"",$C1346)</f>
        <v/>
      </c>
      <c r="U1346">
        <f>IF(AND($D1346&lt;&gt;"Доход",COUNTIFS(Счета!$B$10:$B$21,$J1346,Счета!$C$10:$C$21,"Кредитная")&gt;0),1,0)</f>
        <v/>
      </c>
    </row>
    <row r="1347" ht="19" customHeight="1">
      <c r="B1347" s="53">
        <f>IF(AND($C1347="",$F1347=""),"",ROW()-9)</f>
        <v/>
      </c>
      <c r="C1347" s="213" t="n"/>
      <c r="D1347" s="55" t="n"/>
      <c r="E1347" s="55" t="n"/>
      <c r="F1347" s="56" t="n"/>
      <c r="G1347" s="196" t="n"/>
      <c r="H1347" s="196" t="n"/>
      <c r="I1347" s="55" t="n"/>
      <c r="J1347" s="55" t="n"/>
      <c r="K1347" s="55" t="n"/>
      <c r="L1347" s="100">
        <f>IF(OR($C1347="",$I1347="Оплачено",$I1347="Отменено",$H1347&lt;&gt;""),"",$C1347-TODAY())</f>
        <v/>
      </c>
      <c r="M1347" s="101">
        <f>IF($C1347="","",INDEX(Настройки!$V$6:$V$17,MONTH($C1347))&amp;" "&amp;YEAR($C1347))</f>
        <v/>
      </c>
      <c r="N1347" s="57">
        <f>IF($F1347="","",IF(COUNTIF(Постоянные!$C$8:$C$37,$F1347)&gt;0,"есть в Постоянных",IF(COUNTIF(Покупки!$C$7:$C$18,$F1347)&gt;0,"есть в Покупках","")))</f>
        <v/>
      </c>
      <c r="P1347">
        <f>IF($H1347&lt;&gt;"",$H1347,IF($I1347="Оплачено",N($G1347),0))</f>
        <v/>
      </c>
      <c r="Q1347">
        <f>IF($I1347="Отменено",0,IF($G1347&lt;&gt;"",$G1347,N($H1347)))</f>
        <v/>
      </c>
      <c r="R1347">
        <f>IF($C1347="","",IFERROR(DATE(Настройки!$C$8,Настройки!$D$9+MATCH($M1347,Настройки!$X$6:$X$17,0)-1,1),DATE(YEAR($C1347),MONTH($C1347),1)))</f>
        <v/>
      </c>
      <c r="S1347">
        <f>IF(OR($I1347="Оплачено",$H1347&lt;&gt;""),$P1347,$Q1347)</f>
        <v/>
      </c>
      <c r="T1347">
        <f>IF(OR($C1347="",$D1347="Доход",$I1347="Оплачено",$I1347="Отменено",$H1347&lt;&gt;"",$C1347&lt;TODAY()),"",$C1347)</f>
        <v/>
      </c>
      <c r="U1347">
        <f>IF(AND($D1347&lt;&gt;"Доход",COUNTIFS(Счета!$B$10:$B$21,$J1347,Счета!$C$10:$C$21,"Кредитная")&gt;0),1,0)</f>
        <v/>
      </c>
    </row>
    <row r="1348" ht="19" customHeight="1">
      <c r="B1348" s="53">
        <f>IF(AND($C1348="",$F1348=""),"",ROW()-9)</f>
        <v/>
      </c>
      <c r="C1348" s="213" t="n"/>
      <c r="D1348" s="55" t="n"/>
      <c r="E1348" s="55" t="n"/>
      <c r="F1348" s="56" t="n"/>
      <c r="G1348" s="196" t="n"/>
      <c r="H1348" s="196" t="n"/>
      <c r="I1348" s="55" t="n"/>
      <c r="J1348" s="55" t="n"/>
      <c r="K1348" s="55" t="n"/>
      <c r="L1348" s="100">
        <f>IF(OR($C1348="",$I1348="Оплачено",$I1348="Отменено",$H1348&lt;&gt;""),"",$C1348-TODAY())</f>
        <v/>
      </c>
      <c r="M1348" s="101">
        <f>IF($C1348="","",INDEX(Настройки!$V$6:$V$17,MONTH($C1348))&amp;" "&amp;YEAR($C1348))</f>
        <v/>
      </c>
      <c r="N1348" s="57">
        <f>IF($F1348="","",IF(COUNTIF(Постоянные!$C$8:$C$37,$F1348)&gt;0,"есть в Постоянных",IF(COUNTIF(Покупки!$C$7:$C$18,$F1348)&gt;0,"есть в Покупках","")))</f>
        <v/>
      </c>
      <c r="P1348">
        <f>IF($H1348&lt;&gt;"",$H1348,IF($I1348="Оплачено",N($G1348),0))</f>
        <v/>
      </c>
      <c r="Q1348">
        <f>IF($I1348="Отменено",0,IF($G1348&lt;&gt;"",$G1348,N($H1348)))</f>
        <v/>
      </c>
      <c r="R1348">
        <f>IF($C1348="","",IFERROR(DATE(Настройки!$C$8,Настройки!$D$9+MATCH($M1348,Настройки!$X$6:$X$17,0)-1,1),DATE(YEAR($C1348),MONTH($C1348),1)))</f>
        <v/>
      </c>
      <c r="S1348">
        <f>IF(OR($I1348="Оплачено",$H1348&lt;&gt;""),$P1348,$Q1348)</f>
        <v/>
      </c>
      <c r="T1348">
        <f>IF(OR($C1348="",$D1348="Доход",$I1348="Оплачено",$I1348="Отменено",$H1348&lt;&gt;"",$C1348&lt;TODAY()),"",$C1348)</f>
        <v/>
      </c>
      <c r="U1348">
        <f>IF(AND($D1348&lt;&gt;"Доход",COUNTIFS(Счета!$B$10:$B$21,$J1348,Счета!$C$10:$C$21,"Кредитная")&gt;0),1,0)</f>
        <v/>
      </c>
    </row>
    <row r="1349" ht="19" customHeight="1">
      <c r="B1349" s="53">
        <f>IF(AND($C1349="",$F1349=""),"",ROW()-9)</f>
        <v/>
      </c>
      <c r="C1349" s="213" t="n"/>
      <c r="D1349" s="55" t="n"/>
      <c r="E1349" s="55" t="n"/>
      <c r="F1349" s="56" t="n"/>
      <c r="G1349" s="196" t="n"/>
      <c r="H1349" s="196" t="n"/>
      <c r="I1349" s="55" t="n"/>
      <c r="J1349" s="55" t="n"/>
      <c r="K1349" s="55" t="n"/>
      <c r="L1349" s="100">
        <f>IF(OR($C1349="",$I1349="Оплачено",$I1349="Отменено",$H1349&lt;&gt;""),"",$C1349-TODAY())</f>
        <v/>
      </c>
      <c r="M1349" s="101">
        <f>IF($C1349="","",INDEX(Настройки!$V$6:$V$17,MONTH($C1349))&amp;" "&amp;YEAR($C1349))</f>
        <v/>
      </c>
      <c r="N1349" s="57">
        <f>IF($F1349="","",IF(COUNTIF(Постоянные!$C$8:$C$37,$F1349)&gt;0,"есть в Постоянных",IF(COUNTIF(Покупки!$C$7:$C$18,$F1349)&gt;0,"есть в Покупках","")))</f>
        <v/>
      </c>
      <c r="P1349">
        <f>IF($H1349&lt;&gt;"",$H1349,IF($I1349="Оплачено",N($G1349),0))</f>
        <v/>
      </c>
      <c r="Q1349">
        <f>IF($I1349="Отменено",0,IF($G1349&lt;&gt;"",$G1349,N($H1349)))</f>
        <v/>
      </c>
      <c r="R1349">
        <f>IF($C1349="","",IFERROR(DATE(Настройки!$C$8,Настройки!$D$9+MATCH($M1349,Настройки!$X$6:$X$17,0)-1,1),DATE(YEAR($C1349),MONTH($C1349),1)))</f>
        <v/>
      </c>
      <c r="S1349">
        <f>IF(OR($I1349="Оплачено",$H1349&lt;&gt;""),$P1349,$Q1349)</f>
        <v/>
      </c>
      <c r="T1349">
        <f>IF(OR($C1349="",$D1349="Доход",$I1349="Оплачено",$I1349="Отменено",$H1349&lt;&gt;"",$C1349&lt;TODAY()),"",$C1349)</f>
        <v/>
      </c>
      <c r="U1349">
        <f>IF(AND($D1349&lt;&gt;"Доход",COUNTIFS(Счета!$B$10:$B$21,$J1349,Счета!$C$10:$C$21,"Кредитная")&gt;0),1,0)</f>
        <v/>
      </c>
    </row>
    <row r="1350" ht="19" customHeight="1">
      <c r="B1350" s="53">
        <f>IF(AND($C1350="",$F1350=""),"",ROW()-9)</f>
        <v/>
      </c>
      <c r="C1350" s="213" t="n"/>
      <c r="D1350" s="55" t="n"/>
      <c r="E1350" s="55" t="n"/>
      <c r="F1350" s="56" t="n"/>
      <c r="G1350" s="196" t="n"/>
      <c r="H1350" s="196" t="n"/>
      <c r="I1350" s="55" t="n"/>
      <c r="J1350" s="55" t="n"/>
      <c r="K1350" s="55" t="n"/>
      <c r="L1350" s="100">
        <f>IF(OR($C1350="",$I1350="Оплачено",$I1350="Отменено",$H1350&lt;&gt;""),"",$C1350-TODAY())</f>
        <v/>
      </c>
      <c r="M1350" s="101">
        <f>IF($C1350="","",INDEX(Настройки!$V$6:$V$17,MONTH($C1350))&amp;" "&amp;YEAR($C1350))</f>
        <v/>
      </c>
      <c r="N1350" s="57">
        <f>IF($F1350="","",IF(COUNTIF(Постоянные!$C$8:$C$37,$F1350)&gt;0,"есть в Постоянных",IF(COUNTIF(Покупки!$C$7:$C$18,$F1350)&gt;0,"есть в Покупках","")))</f>
        <v/>
      </c>
      <c r="P1350">
        <f>IF($H1350&lt;&gt;"",$H1350,IF($I1350="Оплачено",N($G1350),0))</f>
        <v/>
      </c>
      <c r="Q1350">
        <f>IF($I1350="Отменено",0,IF($G1350&lt;&gt;"",$G1350,N($H1350)))</f>
        <v/>
      </c>
      <c r="R1350">
        <f>IF($C1350="","",IFERROR(DATE(Настройки!$C$8,Настройки!$D$9+MATCH($M1350,Настройки!$X$6:$X$17,0)-1,1),DATE(YEAR($C1350),MONTH($C1350),1)))</f>
        <v/>
      </c>
      <c r="S1350">
        <f>IF(OR($I1350="Оплачено",$H1350&lt;&gt;""),$P1350,$Q1350)</f>
        <v/>
      </c>
      <c r="T1350">
        <f>IF(OR($C1350="",$D1350="Доход",$I1350="Оплачено",$I1350="Отменено",$H1350&lt;&gt;"",$C1350&lt;TODAY()),"",$C1350)</f>
        <v/>
      </c>
      <c r="U1350">
        <f>IF(AND($D1350&lt;&gt;"Доход",COUNTIFS(Счета!$B$10:$B$21,$J1350,Счета!$C$10:$C$21,"Кредитная")&gt;0),1,0)</f>
        <v/>
      </c>
    </row>
    <row r="1351" ht="19" customHeight="1">
      <c r="B1351" s="53">
        <f>IF(AND($C1351="",$F1351=""),"",ROW()-9)</f>
        <v/>
      </c>
      <c r="C1351" s="213" t="n"/>
      <c r="D1351" s="55" t="n"/>
      <c r="E1351" s="55" t="n"/>
      <c r="F1351" s="56" t="n"/>
      <c r="G1351" s="196" t="n"/>
      <c r="H1351" s="196" t="n"/>
      <c r="I1351" s="55" t="n"/>
      <c r="J1351" s="55" t="n"/>
      <c r="K1351" s="55" t="n"/>
      <c r="L1351" s="100">
        <f>IF(OR($C1351="",$I1351="Оплачено",$I1351="Отменено",$H1351&lt;&gt;""),"",$C1351-TODAY())</f>
        <v/>
      </c>
      <c r="M1351" s="101">
        <f>IF($C1351="","",INDEX(Настройки!$V$6:$V$17,MONTH($C1351))&amp;" "&amp;YEAR($C1351))</f>
        <v/>
      </c>
      <c r="N1351" s="57">
        <f>IF($F1351="","",IF(COUNTIF(Постоянные!$C$8:$C$37,$F1351)&gt;0,"есть в Постоянных",IF(COUNTIF(Покупки!$C$7:$C$18,$F1351)&gt;0,"есть в Покупках","")))</f>
        <v/>
      </c>
      <c r="P1351">
        <f>IF($H1351&lt;&gt;"",$H1351,IF($I1351="Оплачено",N($G1351),0))</f>
        <v/>
      </c>
      <c r="Q1351">
        <f>IF($I1351="Отменено",0,IF($G1351&lt;&gt;"",$G1351,N($H1351)))</f>
        <v/>
      </c>
      <c r="R1351">
        <f>IF($C1351="","",IFERROR(DATE(Настройки!$C$8,Настройки!$D$9+MATCH($M1351,Настройки!$X$6:$X$17,0)-1,1),DATE(YEAR($C1351),MONTH($C1351),1)))</f>
        <v/>
      </c>
      <c r="S1351">
        <f>IF(OR($I1351="Оплачено",$H1351&lt;&gt;""),$P1351,$Q1351)</f>
        <v/>
      </c>
      <c r="T1351">
        <f>IF(OR($C1351="",$D1351="Доход",$I1351="Оплачено",$I1351="Отменено",$H1351&lt;&gt;"",$C1351&lt;TODAY()),"",$C1351)</f>
        <v/>
      </c>
      <c r="U1351">
        <f>IF(AND($D1351&lt;&gt;"Доход",COUNTIFS(Счета!$B$10:$B$21,$J1351,Счета!$C$10:$C$21,"Кредитная")&gt;0),1,0)</f>
        <v/>
      </c>
    </row>
    <row r="1352" ht="19" customHeight="1">
      <c r="B1352" s="53">
        <f>IF(AND($C1352="",$F1352=""),"",ROW()-9)</f>
        <v/>
      </c>
      <c r="C1352" s="213" t="n"/>
      <c r="D1352" s="55" t="n"/>
      <c r="E1352" s="55" t="n"/>
      <c r="F1352" s="56" t="n"/>
      <c r="G1352" s="196" t="n"/>
      <c r="H1352" s="196" t="n"/>
      <c r="I1352" s="55" t="n"/>
      <c r="J1352" s="55" t="n"/>
      <c r="K1352" s="55" t="n"/>
      <c r="L1352" s="100">
        <f>IF(OR($C1352="",$I1352="Оплачено",$I1352="Отменено",$H1352&lt;&gt;""),"",$C1352-TODAY())</f>
        <v/>
      </c>
      <c r="M1352" s="101">
        <f>IF($C1352="","",INDEX(Настройки!$V$6:$V$17,MONTH($C1352))&amp;" "&amp;YEAR($C1352))</f>
        <v/>
      </c>
      <c r="N1352" s="57">
        <f>IF($F1352="","",IF(COUNTIF(Постоянные!$C$8:$C$37,$F1352)&gt;0,"есть в Постоянных",IF(COUNTIF(Покупки!$C$7:$C$18,$F1352)&gt;0,"есть в Покупках","")))</f>
        <v/>
      </c>
      <c r="P1352">
        <f>IF($H1352&lt;&gt;"",$H1352,IF($I1352="Оплачено",N($G1352),0))</f>
        <v/>
      </c>
      <c r="Q1352">
        <f>IF($I1352="Отменено",0,IF($G1352&lt;&gt;"",$G1352,N($H1352)))</f>
        <v/>
      </c>
      <c r="R1352">
        <f>IF($C1352="","",IFERROR(DATE(Настройки!$C$8,Настройки!$D$9+MATCH($M1352,Настройки!$X$6:$X$17,0)-1,1),DATE(YEAR($C1352),MONTH($C1352),1)))</f>
        <v/>
      </c>
      <c r="S1352">
        <f>IF(OR($I1352="Оплачено",$H1352&lt;&gt;""),$P1352,$Q1352)</f>
        <v/>
      </c>
      <c r="T1352">
        <f>IF(OR($C1352="",$D1352="Доход",$I1352="Оплачено",$I1352="Отменено",$H1352&lt;&gt;"",$C1352&lt;TODAY()),"",$C1352)</f>
        <v/>
      </c>
      <c r="U1352">
        <f>IF(AND($D1352&lt;&gt;"Доход",COUNTIFS(Счета!$B$10:$B$21,$J1352,Счета!$C$10:$C$21,"Кредитная")&gt;0),1,0)</f>
        <v/>
      </c>
    </row>
    <row r="1353" ht="19" customHeight="1">
      <c r="B1353" s="53">
        <f>IF(AND($C1353="",$F1353=""),"",ROW()-9)</f>
        <v/>
      </c>
      <c r="C1353" s="213" t="n"/>
      <c r="D1353" s="55" t="n"/>
      <c r="E1353" s="55" t="n"/>
      <c r="F1353" s="56" t="n"/>
      <c r="G1353" s="196" t="n"/>
      <c r="H1353" s="196" t="n"/>
      <c r="I1353" s="55" t="n"/>
      <c r="J1353" s="55" t="n"/>
      <c r="K1353" s="55" t="n"/>
      <c r="L1353" s="100">
        <f>IF(OR($C1353="",$I1353="Оплачено",$I1353="Отменено",$H1353&lt;&gt;""),"",$C1353-TODAY())</f>
        <v/>
      </c>
      <c r="M1353" s="101">
        <f>IF($C1353="","",INDEX(Настройки!$V$6:$V$17,MONTH($C1353))&amp;" "&amp;YEAR($C1353))</f>
        <v/>
      </c>
      <c r="N1353" s="57">
        <f>IF($F1353="","",IF(COUNTIF(Постоянные!$C$8:$C$37,$F1353)&gt;0,"есть в Постоянных",IF(COUNTIF(Покупки!$C$7:$C$18,$F1353)&gt;0,"есть в Покупках","")))</f>
        <v/>
      </c>
      <c r="P1353">
        <f>IF($H1353&lt;&gt;"",$H1353,IF($I1353="Оплачено",N($G1353),0))</f>
        <v/>
      </c>
      <c r="Q1353">
        <f>IF($I1353="Отменено",0,IF($G1353&lt;&gt;"",$G1353,N($H1353)))</f>
        <v/>
      </c>
      <c r="R1353">
        <f>IF($C1353="","",IFERROR(DATE(Настройки!$C$8,Настройки!$D$9+MATCH($M1353,Настройки!$X$6:$X$17,0)-1,1),DATE(YEAR($C1353),MONTH($C1353),1)))</f>
        <v/>
      </c>
      <c r="S1353">
        <f>IF(OR($I1353="Оплачено",$H1353&lt;&gt;""),$P1353,$Q1353)</f>
        <v/>
      </c>
      <c r="T1353">
        <f>IF(OR($C1353="",$D1353="Доход",$I1353="Оплачено",$I1353="Отменено",$H1353&lt;&gt;"",$C1353&lt;TODAY()),"",$C1353)</f>
        <v/>
      </c>
      <c r="U1353">
        <f>IF(AND($D1353&lt;&gt;"Доход",COUNTIFS(Счета!$B$10:$B$21,$J1353,Счета!$C$10:$C$21,"Кредитная")&gt;0),1,0)</f>
        <v/>
      </c>
    </row>
    <row r="1354" ht="19" customHeight="1">
      <c r="B1354" s="53">
        <f>IF(AND($C1354="",$F1354=""),"",ROW()-9)</f>
        <v/>
      </c>
      <c r="C1354" s="213" t="n"/>
      <c r="D1354" s="55" t="n"/>
      <c r="E1354" s="55" t="n"/>
      <c r="F1354" s="56" t="n"/>
      <c r="G1354" s="196" t="n"/>
      <c r="H1354" s="196" t="n"/>
      <c r="I1354" s="55" t="n"/>
      <c r="J1354" s="55" t="n"/>
      <c r="K1354" s="55" t="n"/>
      <c r="L1354" s="100">
        <f>IF(OR($C1354="",$I1354="Оплачено",$I1354="Отменено",$H1354&lt;&gt;""),"",$C1354-TODAY())</f>
        <v/>
      </c>
      <c r="M1354" s="101">
        <f>IF($C1354="","",INDEX(Настройки!$V$6:$V$17,MONTH($C1354))&amp;" "&amp;YEAR($C1354))</f>
        <v/>
      </c>
      <c r="N1354" s="57">
        <f>IF($F1354="","",IF(COUNTIF(Постоянные!$C$8:$C$37,$F1354)&gt;0,"есть в Постоянных",IF(COUNTIF(Покупки!$C$7:$C$18,$F1354)&gt;0,"есть в Покупках","")))</f>
        <v/>
      </c>
      <c r="P1354">
        <f>IF($H1354&lt;&gt;"",$H1354,IF($I1354="Оплачено",N($G1354),0))</f>
        <v/>
      </c>
      <c r="Q1354">
        <f>IF($I1354="Отменено",0,IF($G1354&lt;&gt;"",$G1354,N($H1354)))</f>
        <v/>
      </c>
      <c r="R1354">
        <f>IF($C1354="","",IFERROR(DATE(Настройки!$C$8,Настройки!$D$9+MATCH($M1354,Настройки!$X$6:$X$17,0)-1,1),DATE(YEAR($C1354),MONTH($C1354),1)))</f>
        <v/>
      </c>
      <c r="S1354">
        <f>IF(OR($I1354="Оплачено",$H1354&lt;&gt;""),$P1354,$Q1354)</f>
        <v/>
      </c>
      <c r="T1354">
        <f>IF(OR($C1354="",$D1354="Доход",$I1354="Оплачено",$I1354="Отменено",$H1354&lt;&gt;"",$C1354&lt;TODAY()),"",$C1354)</f>
        <v/>
      </c>
      <c r="U1354">
        <f>IF(AND($D1354&lt;&gt;"Доход",COUNTIFS(Счета!$B$10:$B$21,$J1354,Счета!$C$10:$C$21,"Кредитная")&gt;0),1,0)</f>
        <v/>
      </c>
    </row>
    <row r="1355" ht="19" customHeight="1">
      <c r="B1355" s="53">
        <f>IF(AND($C1355="",$F1355=""),"",ROW()-9)</f>
        <v/>
      </c>
      <c r="C1355" s="213" t="n"/>
      <c r="D1355" s="55" t="n"/>
      <c r="E1355" s="55" t="n"/>
      <c r="F1355" s="56" t="n"/>
      <c r="G1355" s="196" t="n"/>
      <c r="H1355" s="196" t="n"/>
      <c r="I1355" s="55" t="n"/>
      <c r="J1355" s="55" t="n"/>
      <c r="K1355" s="55" t="n"/>
      <c r="L1355" s="100">
        <f>IF(OR($C1355="",$I1355="Оплачено",$I1355="Отменено",$H1355&lt;&gt;""),"",$C1355-TODAY())</f>
        <v/>
      </c>
      <c r="M1355" s="101">
        <f>IF($C1355="","",INDEX(Настройки!$V$6:$V$17,MONTH($C1355))&amp;" "&amp;YEAR($C1355))</f>
        <v/>
      </c>
      <c r="N1355" s="57">
        <f>IF($F1355="","",IF(COUNTIF(Постоянные!$C$8:$C$37,$F1355)&gt;0,"есть в Постоянных",IF(COUNTIF(Покупки!$C$7:$C$18,$F1355)&gt;0,"есть в Покупках","")))</f>
        <v/>
      </c>
      <c r="P1355">
        <f>IF($H1355&lt;&gt;"",$H1355,IF($I1355="Оплачено",N($G1355),0))</f>
        <v/>
      </c>
      <c r="Q1355">
        <f>IF($I1355="Отменено",0,IF($G1355&lt;&gt;"",$G1355,N($H1355)))</f>
        <v/>
      </c>
      <c r="R1355">
        <f>IF($C1355="","",IFERROR(DATE(Настройки!$C$8,Настройки!$D$9+MATCH($M1355,Настройки!$X$6:$X$17,0)-1,1),DATE(YEAR($C1355),MONTH($C1355),1)))</f>
        <v/>
      </c>
      <c r="S1355">
        <f>IF(OR($I1355="Оплачено",$H1355&lt;&gt;""),$P1355,$Q1355)</f>
        <v/>
      </c>
      <c r="T1355">
        <f>IF(OR($C1355="",$D1355="Доход",$I1355="Оплачено",$I1355="Отменено",$H1355&lt;&gt;"",$C1355&lt;TODAY()),"",$C1355)</f>
        <v/>
      </c>
      <c r="U1355">
        <f>IF(AND($D1355&lt;&gt;"Доход",COUNTIFS(Счета!$B$10:$B$21,$J1355,Счета!$C$10:$C$21,"Кредитная")&gt;0),1,0)</f>
        <v/>
      </c>
    </row>
    <row r="1356" ht="19" customHeight="1">
      <c r="B1356" s="53">
        <f>IF(AND($C1356="",$F1356=""),"",ROW()-9)</f>
        <v/>
      </c>
      <c r="C1356" s="213" t="n"/>
      <c r="D1356" s="55" t="n"/>
      <c r="E1356" s="55" t="n"/>
      <c r="F1356" s="56" t="n"/>
      <c r="G1356" s="196" t="n"/>
      <c r="H1356" s="196" t="n"/>
      <c r="I1356" s="55" t="n"/>
      <c r="J1356" s="55" t="n"/>
      <c r="K1356" s="55" t="n"/>
      <c r="L1356" s="100">
        <f>IF(OR($C1356="",$I1356="Оплачено",$I1356="Отменено",$H1356&lt;&gt;""),"",$C1356-TODAY())</f>
        <v/>
      </c>
      <c r="M1356" s="101">
        <f>IF($C1356="","",INDEX(Настройки!$V$6:$V$17,MONTH($C1356))&amp;" "&amp;YEAR($C1356))</f>
        <v/>
      </c>
      <c r="N1356" s="57">
        <f>IF($F1356="","",IF(COUNTIF(Постоянные!$C$8:$C$37,$F1356)&gt;0,"есть в Постоянных",IF(COUNTIF(Покупки!$C$7:$C$18,$F1356)&gt;0,"есть в Покупках","")))</f>
        <v/>
      </c>
      <c r="P1356">
        <f>IF($H1356&lt;&gt;"",$H1356,IF($I1356="Оплачено",N($G1356),0))</f>
        <v/>
      </c>
      <c r="Q1356">
        <f>IF($I1356="Отменено",0,IF($G1356&lt;&gt;"",$G1356,N($H1356)))</f>
        <v/>
      </c>
      <c r="R1356">
        <f>IF($C1356="","",IFERROR(DATE(Настройки!$C$8,Настройки!$D$9+MATCH($M1356,Настройки!$X$6:$X$17,0)-1,1),DATE(YEAR($C1356),MONTH($C1356),1)))</f>
        <v/>
      </c>
      <c r="S1356">
        <f>IF(OR($I1356="Оплачено",$H1356&lt;&gt;""),$P1356,$Q1356)</f>
        <v/>
      </c>
      <c r="T1356">
        <f>IF(OR($C1356="",$D1356="Доход",$I1356="Оплачено",$I1356="Отменено",$H1356&lt;&gt;"",$C1356&lt;TODAY()),"",$C1356)</f>
        <v/>
      </c>
      <c r="U1356">
        <f>IF(AND($D1356&lt;&gt;"Доход",COUNTIFS(Счета!$B$10:$B$21,$J1356,Счета!$C$10:$C$21,"Кредитная")&gt;0),1,0)</f>
        <v/>
      </c>
    </row>
    <row r="1357" ht="19" customHeight="1">
      <c r="B1357" s="53">
        <f>IF(AND($C1357="",$F1357=""),"",ROW()-9)</f>
        <v/>
      </c>
      <c r="C1357" s="213" t="n"/>
      <c r="D1357" s="55" t="n"/>
      <c r="E1357" s="55" t="n"/>
      <c r="F1357" s="56" t="n"/>
      <c r="G1357" s="196" t="n"/>
      <c r="H1357" s="196" t="n"/>
      <c r="I1357" s="55" t="n"/>
      <c r="J1357" s="55" t="n"/>
      <c r="K1357" s="55" t="n"/>
      <c r="L1357" s="100">
        <f>IF(OR($C1357="",$I1357="Оплачено",$I1357="Отменено",$H1357&lt;&gt;""),"",$C1357-TODAY())</f>
        <v/>
      </c>
      <c r="M1357" s="101">
        <f>IF($C1357="","",INDEX(Настройки!$V$6:$V$17,MONTH($C1357))&amp;" "&amp;YEAR($C1357))</f>
        <v/>
      </c>
      <c r="N1357" s="57">
        <f>IF($F1357="","",IF(COUNTIF(Постоянные!$C$8:$C$37,$F1357)&gt;0,"есть в Постоянных",IF(COUNTIF(Покупки!$C$7:$C$18,$F1357)&gt;0,"есть в Покупках","")))</f>
        <v/>
      </c>
      <c r="P1357">
        <f>IF($H1357&lt;&gt;"",$H1357,IF($I1357="Оплачено",N($G1357),0))</f>
        <v/>
      </c>
      <c r="Q1357">
        <f>IF($I1357="Отменено",0,IF($G1357&lt;&gt;"",$G1357,N($H1357)))</f>
        <v/>
      </c>
      <c r="R1357">
        <f>IF($C1357="","",IFERROR(DATE(Настройки!$C$8,Настройки!$D$9+MATCH($M1357,Настройки!$X$6:$X$17,0)-1,1),DATE(YEAR($C1357),MONTH($C1357),1)))</f>
        <v/>
      </c>
      <c r="S1357">
        <f>IF(OR($I1357="Оплачено",$H1357&lt;&gt;""),$P1357,$Q1357)</f>
        <v/>
      </c>
      <c r="T1357">
        <f>IF(OR($C1357="",$D1357="Доход",$I1357="Оплачено",$I1357="Отменено",$H1357&lt;&gt;"",$C1357&lt;TODAY()),"",$C1357)</f>
        <v/>
      </c>
      <c r="U1357">
        <f>IF(AND($D1357&lt;&gt;"Доход",COUNTIFS(Счета!$B$10:$B$21,$J1357,Счета!$C$10:$C$21,"Кредитная")&gt;0),1,0)</f>
        <v/>
      </c>
    </row>
    <row r="1358" ht="19" customHeight="1">
      <c r="B1358" s="53">
        <f>IF(AND($C1358="",$F1358=""),"",ROW()-9)</f>
        <v/>
      </c>
      <c r="C1358" s="213" t="n"/>
      <c r="D1358" s="55" t="n"/>
      <c r="E1358" s="55" t="n"/>
      <c r="F1358" s="56" t="n"/>
      <c r="G1358" s="196" t="n"/>
      <c r="H1358" s="196" t="n"/>
      <c r="I1358" s="55" t="n"/>
      <c r="J1358" s="55" t="n"/>
      <c r="K1358" s="55" t="n"/>
      <c r="L1358" s="100">
        <f>IF(OR($C1358="",$I1358="Оплачено",$I1358="Отменено",$H1358&lt;&gt;""),"",$C1358-TODAY())</f>
        <v/>
      </c>
      <c r="M1358" s="101">
        <f>IF($C1358="","",INDEX(Настройки!$V$6:$V$17,MONTH($C1358))&amp;" "&amp;YEAR($C1358))</f>
        <v/>
      </c>
      <c r="N1358" s="57">
        <f>IF($F1358="","",IF(COUNTIF(Постоянные!$C$8:$C$37,$F1358)&gt;0,"есть в Постоянных",IF(COUNTIF(Покупки!$C$7:$C$18,$F1358)&gt;0,"есть в Покупках","")))</f>
        <v/>
      </c>
      <c r="P1358">
        <f>IF($H1358&lt;&gt;"",$H1358,IF($I1358="Оплачено",N($G1358),0))</f>
        <v/>
      </c>
      <c r="Q1358">
        <f>IF($I1358="Отменено",0,IF($G1358&lt;&gt;"",$G1358,N($H1358)))</f>
        <v/>
      </c>
      <c r="R1358">
        <f>IF($C1358="","",IFERROR(DATE(Настройки!$C$8,Настройки!$D$9+MATCH($M1358,Настройки!$X$6:$X$17,0)-1,1),DATE(YEAR($C1358),MONTH($C1358),1)))</f>
        <v/>
      </c>
      <c r="S1358">
        <f>IF(OR($I1358="Оплачено",$H1358&lt;&gt;""),$P1358,$Q1358)</f>
        <v/>
      </c>
      <c r="T1358">
        <f>IF(OR($C1358="",$D1358="Доход",$I1358="Оплачено",$I1358="Отменено",$H1358&lt;&gt;"",$C1358&lt;TODAY()),"",$C1358)</f>
        <v/>
      </c>
      <c r="U1358">
        <f>IF(AND($D1358&lt;&gt;"Доход",COUNTIFS(Счета!$B$10:$B$21,$J1358,Счета!$C$10:$C$21,"Кредитная")&gt;0),1,0)</f>
        <v/>
      </c>
    </row>
    <row r="1359" ht="19" customHeight="1">
      <c r="B1359" s="53">
        <f>IF(AND($C1359="",$F1359=""),"",ROW()-9)</f>
        <v/>
      </c>
      <c r="C1359" s="213" t="n"/>
      <c r="D1359" s="55" t="n"/>
      <c r="E1359" s="55" t="n"/>
      <c r="F1359" s="56" t="n"/>
      <c r="G1359" s="196" t="n"/>
      <c r="H1359" s="196" t="n"/>
      <c r="I1359" s="55" t="n"/>
      <c r="J1359" s="55" t="n"/>
      <c r="K1359" s="55" t="n"/>
      <c r="L1359" s="100">
        <f>IF(OR($C1359="",$I1359="Оплачено",$I1359="Отменено",$H1359&lt;&gt;""),"",$C1359-TODAY())</f>
        <v/>
      </c>
      <c r="M1359" s="101">
        <f>IF($C1359="","",INDEX(Настройки!$V$6:$V$17,MONTH($C1359))&amp;" "&amp;YEAR($C1359))</f>
        <v/>
      </c>
      <c r="N1359" s="57">
        <f>IF($F1359="","",IF(COUNTIF(Постоянные!$C$8:$C$37,$F1359)&gt;0,"есть в Постоянных",IF(COUNTIF(Покупки!$C$7:$C$18,$F1359)&gt;0,"есть в Покупках","")))</f>
        <v/>
      </c>
      <c r="P1359">
        <f>IF($H1359&lt;&gt;"",$H1359,IF($I1359="Оплачено",N($G1359),0))</f>
        <v/>
      </c>
      <c r="Q1359">
        <f>IF($I1359="Отменено",0,IF($G1359&lt;&gt;"",$G1359,N($H1359)))</f>
        <v/>
      </c>
      <c r="R1359">
        <f>IF($C1359="","",IFERROR(DATE(Настройки!$C$8,Настройки!$D$9+MATCH($M1359,Настройки!$X$6:$X$17,0)-1,1),DATE(YEAR($C1359),MONTH($C1359),1)))</f>
        <v/>
      </c>
      <c r="S1359">
        <f>IF(OR($I1359="Оплачено",$H1359&lt;&gt;""),$P1359,$Q1359)</f>
        <v/>
      </c>
      <c r="T1359">
        <f>IF(OR($C1359="",$D1359="Доход",$I1359="Оплачено",$I1359="Отменено",$H1359&lt;&gt;"",$C1359&lt;TODAY()),"",$C1359)</f>
        <v/>
      </c>
      <c r="U1359">
        <f>IF(AND($D1359&lt;&gt;"Доход",COUNTIFS(Счета!$B$10:$B$21,$J1359,Счета!$C$10:$C$21,"Кредитная")&gt;0),1,0)</f>
        <v/>
      </c>
    </row>
    <row r="1360" ht="19" customHeight="1">
      <c r="B1360" s="53">
        <f>IF(AND($C1360="",$F1360=""),"",ROW()-9)</f>
        <v/>
      </c>
      <c r="C1360" s="213" t="n"/>
      <c r="D1360" s="55" t="n"/>
      <c r="E1360" s="55" t="n"/>
      <c r="F1360" s="56" t="n"/>
      <c r="G1360" s="196" t="n"/>
      <c r="H1360" s="196" t="n"/>
      <c r="I1360" s="55" t="n"/>
      <c r="J1360" s="55" t="n"/>
      <c r="K1360" s="55" t="n"/>
      <c r="L1360" s="100">
        <f>IF(OR($C1360="",$I1360="Оплачено",$I1360="Отменено",$H1360&lt;&gt;""),"",$C1360-TODAY())</f>
        <v/>
      </c>
      <c r="M1360" s="101">
        <f>IF($C1360="","",INDEX(Настройки!$V$6:$V$17,MONTH($C1360))&amp;" "&amp;YEAR($C1360))</f>
        <v/>
      </c>
      <c r="N1360" s="57">
        <f>IF($F1360="","",IF(COUNTIF(Постоянные!$C$8:$C$37,$F1360)&gt;0,"есть в Постоянных",IF(COUNTIF(Покупки!$C$7:$C$18,$F1360)&gt;0,"есть в Покупках","")))</f>
        <v/>
      </c>
      <c r="P1360">
        <f>IF($H1360&lt;&gt;"",$H1360,IF($I1360="Оплачено",N($G1360),0))</f>
        <v/>
      </c>
      <c r="Q1360">
        <f>IF($I1360="Отменено",0,IF($G1360&lt;&gt;"",$G1360,N($H1360)))</f>
        <v/>
      </c>
      <c r="R1360">
        <f>IF($C1360="","",IFERROR(DATE(Настройки!$C$8,Настройки!$D$9+MATCH($M1360,Настройки!$X$6:$X$17,0)-1,1),DATE(YEAR($C1360),MONTH($C1360),1)))</f>
        <v/>
      </c>
      <c r="S1360">
        <f>IF(OR($I1360="Оплачено",$H1360&lt;&gt;""),$P1360,$Q1360)</f>
        <v/>
      </c>
      <c r="T1360">
        <f>IF(OR($C1360="",$D1360="Доход",$I1360="Оплачено",$I1360="Отменено",$H1360&lt;&gt;"",$C1360&lt;TODAY()),"",$C1360)</f>
        <v/>
      </c>
      <c r="U1360">
        <f>IF(AND($D1360&lt;&gt;"Доход",COUNTIFS(Счета!$B$10:$B$21,$J1360,Счета!$C$10:$C$21,"Кредитная")&gt;0),1,0)</f>
        <v/>
      </c>
    </row>
    <row r="1361" ht="19" customHeight="1">
      <c r="B1361" s="53">
        <f>IF(AND($C1361="",$F1361=""),"",ROW()-9)</f>
        <v/>
      </c>
      <c r="C1361" s="213" t="n"/>
      <c r="D1361" s="55" t="n"/>
      <c r="E1361" s="55" t="n"/>
      <c r="F1361" s="56" t="n"/>
      <c r="G1361" s="196" t="n"/>
      <c r="H1361" s="196" t="n"/>
      <c r="I1361" s="55" t="n"/>
      <c r="J1361" s="55" t="n"/>
      <c r="K1361" s="55" t="n"/>
      <c r="L1361" s="100">
        <f>IF(OR($C1361="",$I1361="Оплачено",$I1361="Отменено",$H1361&lt;&gt;""),"",$C1361-TODAY())</f>
        <v/>
      </c>
      <c r="M1361" s="101">
        <f>IF($C1361="","",INDEX(Настройки!$V$6:$V$17,MONTH($C1361))&amp;" "&amp;YEAR($C1361))</f>
        <v/>
      </c>
      <c r="N1361" s="57">
        <f>IF($F1361="","",IF(COUNTIF(Постоянные!$C$8:$C$37,$F1361)&gt;0,"есть в Постоянных",IF(COUNTIF(Покупки!$C$7:$C$18,$F1361)&gt;0,"есть в Покупках","")))</f>
        <v/>
      </c>
      <c r="P1361">
        <f>IF($H1361&lt;&gt;"",$H1361,IF($I1361="Оплачено",N($G1361),0))</f>
        <v/>
      </c>
      <c r="Q1361">
        <f>IF($I1361="Отменено",0,IF($G1361&lt;&gt;"",$G1361,N($H1361)))</f>
        <v/>
      </c>
      <c r="R1361">
        <f>IF($C1361="","",IFERROR(DATE(Настройки!$C$8,Настройки!$D$9+MATCH($M1361,Настройки!$X$6:$X$17,0)-1,1),DATE(YEAR($C1361),MONTH($C1361),1)))</f>
        <v/>
      </c>
      <c r="S1361">
        <f>IF(OR($I1361="Оплачено",$H1361&lt;&gt;""),$P1361,$Q1361)</f>
        <v/>
      </c>
      <c r="T1361">
        <f>IF(OR($C1361="",$D1361="Доход",$I1361="Оплачено",$I1361="Отменено",$H1361&lt;&gt;"",$C1361&lt;TODAY()),"",$C1361)</f>
        <v/>
      </c>
      <c r="U1361">
        <f>IF(AND($D1361&lt;&gt;"Доход",COUNTIFS(Счета!$B$10:$B$21,$J1361,Счета!$C$10:$C$21,"Кредитная")&gt;0),1,0)</f>
        <v/>
      </c>
    </row>
    <row r="1362" ht="19" customHeight="1">
      <c r="B1362" s="53">
        <f>IF(AND($C1362="",$F1362=""),"",ROW()-9)</f>
        <v/>
      </c>
      <c r="C1362" s="213" t="n"/>
      <c r="D1362" s="55" t="n"/>
      <c r="E1362" s="55" t="n"/>
      <c r="F1362" s="56" t="n"/>
      <c r="G1362" s="196" t="n"/>
      <c r="H1362" s="196" t="n"/>
      <c r="I1362" s="55" t="n"/>
      <c r="J1362" s="55" t="n"/>
      <c r="K1362" s="55" t="n"/>
      <c r="L1362" s="100">
        <f>IF(OR($C1362="",$I1362="Оплачено",$I1362="Отменено",$H1362&lt;&gt;""),"",$C1362-TODAY())</f>
        <v/>
      </c>
      <c r="M1362" s="101">
        <f>IF($C1362="","",INDEX(Настройки!$V$6:$V$17,MONTH($C1362))&amp;" "&amp;YEAR($C1362))</f>
        <v/>
      </c>
      <c r="N1362" s="57">
        <f>IF($F1362="","",IF(COUNTIF(Постоянные!$C$8:$C$37,$F1362)&gt;0,"есть в Постоянных",IF(COUNTIF(Покупки!$C$7:$C$18,$F1362)&gt;0,"есть в Покупках","")))</f>
        <v/>
      </c>
      <c r="P1362">
        <f>IF($H1362&lt;&gt;"",$H1362,IF($I1362="Оплачено",N($G1362),0))</f>
        <v/>
      </c>
      <c r="Q1362">
        <f>IF($I1362="Отменено",0,IF($G1362&lt;&gt;"",$G1362,N($H1362)))</f>
        <v/>
      </c>
      <c r="R1362">
        <f>IF($C1362="","",IFERROR(DATE(Настройки!$C$8,Настройки!$D$9+MATCH($M1362,Настройки!$X$6:$X$17,0)-1,1),DATE(YEAR($C1362),MONTH($C1362),1)))</f>
        <v/>
      </c>
      <c r="S1362">
        <f>IF(OR($I1362="Оплачено",$H1362&lt;&gt;""),$P1362,$Q1362)</f>
        <v/>
      </c>
      <c r="T1362">
        <f>IF(OR($C1362="",$D1362="Доход",$I1362="Оплачено",$I1362="Отменено",$H1362&lt;&gt;"",$C1362&lt;TODAY()),"",$C1362)</f>
        <v/>
      </c>
      <c r="U1362">
        <f>IF(AND($D1362&lt;&gt;"Доход",COUNTIFS(Счета!$B$10:$B$21,$J1362,Счета!$C$10:$C$21,"Кредитная")&gt;0),1,0)</f>
        <v/>
      </c>
    </row>
    <row r="1363" ht="19" customHeight="1">
      <c r="B1363" s="53">
        <f>IF(AND($C1363="",$F1363=""),"",ROW()-9)</f>
        <v/>
      </c>
      <c r="C1363" s="213" t="n"/>
      <c r="D1363" s="55" t="n"/>
      <c r="E1363" s="55" t="n"/>
      <c r="F1363" s="56" t="n"/>
      <c r="G1363" s="196" t="n"/>
      <c r="H1363" s="196" t="n"/>
      <c r="I1363" s="55" t="n"/>
      <c r="J1363" s="55" t="n"/>
      <c r="K1363" s="55" t="n"/>
      <c r="L1363" s="100">
        <f>IF(OR($C1363="",$I1363="Оплачено",$I1363="Отменено",$H1363&lt;&gt;""),"",$C1363-TODAY())</f>
        <v/>
      </c>
      <c r="M1363" s="101">
        <f>IF($C1363="","",INDEX(Настройки!$V$6:$V$17,MONTH($C1363))&amp;" "&amp;YEAR($C1363))</f>
        <v/>
      </c>
      <c r="N1363" s="57">
        <f>IF($F1363="","",IF(COUNTIF(Постоянные!$C$8:$C$37,$F1363)&gt;0,"есть в Постоянных",IF(COUNTIF(Покупки!$C$7:$C$18,$F1363)&gt;0,"есть в Покупках","")))</f>
        <v/>
      </c>
      <c r="P1363">
        <f>IF($H1363&lt;&gt;"",$H1363,IF($I1363="Оплачено",N($G1363),0))</f>
        <v/>
      </c>
      <c r="Q1363">
        <f>IF($I1363="Отменено",0,IF($G1363&lt;&gt;"",$G1363,N($H1363)))</f>
        <v/>
      </c>
      <c r="R1363">
        <f>IF($C1363="","",IFERROR(DATE(Настройки!$C$8,Настройки!$D$9+MATCH($M1363,Настройки!$X$6:$X$17,0)-1,1),DATE(YEAR($C1363),MONTH($C1363),1)))</f>
        <v/>
      </c>
      <c r="S1363">
        <f>IF(OR($I1363="Оплачено",$H1363&lt;&gt;""),$P1363,$Q1363)</f>
        <v/>
      </c>
      <c r="T1363">
        <f>IF(OR($C1363="",$D1363="Доход",$I1363="Оплачено",$I1363="Отменено",$H1363&lt;&gt;"",$C1363&lt;TODAY()),"",$C1363)</f>
        <v/>
      </c>
      <c r="U1363">
        <f>IF(AND($D1363&lt;&gt;"Доход",COUNTIFS(Счета!$B$10:$B$21,$J1363,Счета!$C$10:$C$21,"Кредитная")&gt;0),1,0)</f>
        <v/>
      </c>
    </row>
    <row r="1364" ht="19" customHeight="1">
      <c r="B1364" s="53">
        <f>IF(AND($C1364="",$F1364=""),"",ROW()-9)</f>
        <v/>
      </c>
      <c r="C1364" s="213" t="n"/>
      <c r="D1364" s="55" t="n"/>
      <c r="E1364" s="55" t="n"/>
      <c r="F1364" s="56" t="n"/>
      <c r="G1364" s="196" t="n"/>
      <c r="H1364" s="196" t="n"/>
      <c r="I1364" s="55" t="n"/>
      <c r="J1364" s="55" t="n"/>
      <c r="K1364" s="55" t="n"/>
      <c r="L1364" s="100">
        <f>IF(OR($C1364="",$I1364="Оплачено",$I1364="Отменено",$H1364&lt;&gt;""),"",$C1364-TODAY())</f>
        <v/>
      </c>
      <c r="M1364" s="101">
        <f>IF($C1364="","",INDEX(Настройки!$V$6:$V$17,MONTH($C1364))&amp;" "&amp;YEAR($C1364))</f>
        <v/>
      </c>
      <c r="N1364" s="57">
        <f>IF($F1364="","",IF(COUNTIF(Постоянные!$C$8:$C$37,$F1364)&gt;0,"есть в Постоянных",IF(COUNTIF(Покупки!$C$7:$C$18,$F1364)&gt;0,"есть в Покупках","")))</f>
        <v/>
      </c>
      <c r="P1364">
        <f>IF($H1364&lt;&gt;"",$H1364,IF($I1364="Оплачено",N($G1364),0))</f>
        <v/>
      </c>
      <c r="Q1364">
        <f>IF($I1364="Отменено",0,IF($G1364&lt;&gt;"",$G1364,N($H1364)))</f>
        <v/>
      </c>
      <c r="R1364">
        <f>IF($C1364="","",IFERROR(DATE(Настройки!$C$8,Настройки!$D$9+MATCH($M1364,Настройки!$X$6:$X$17,0)-1,1),DATE(YEAR($C1364),MONTH($C1364),1)))</f>
        <v/>
      </c>
      <c r="S1364">
        <f>IF(OR($I1364="Оплачено",$H1364&lt;&gt;""),$P1364,$Q1364)</f>
        <v/>
      </c>
      <c r="T1364">
        <f>IF(OR($C1364="",$D1364="Доход",$I1364="Оплачено",$I1364="Отменено",$H1364&lt;&gt;"",$C1364&lt;TODAY()),"",$C1364)</f>
        <v/>
      </c>
      <c r="U1364">
        <f>IF(AND($D1364&lt;&gt;"Доход",COUNTIFS(Счета!$B$10:$B$21,$J1364,Счета!$C$10:$C$21,"Кредитная")&gt;0),1,0)</f>
        <v/>
      </c>
    </row>
    <row r="1365" ht="19" customHeight="1">
      <c r="B1365" s="53">
        <f>IF(AND($C1365="",$F1365=""),"",ROW()-9)</f>
        <v/>
      </c>
      <c r="C1365" s="213" t="n"/>
      <c r="D1365" s="55" t="n"/>
      <c r="E1365" s="55" t="n"/>
      <c r="F1365" s="56" t="n"/>
      <c r="G1365" s="196" t="n"/>
      <c r="H1365" s="196" t="n"/>
      <c r="I1365" s="55" t="n"/>
      <c r="J1365" s="55" t="n"/>
      <c r="K1365" s="55" t="n"/>
      <c r="L1365" s="100">
        <f>IF(OR($C1365="",$I1365="Оплачено",$I1365="Отменено",$H1365&lt;&gt;""),"",$C1365-TODAY())</f>
        <v/>
      </c>
      <c r="M1365" s="101">
        <f>IF($C1365="","",INDEX(Настройки!$V$6:$V$17,MONTH($C1365))&amp;" "&amp;YEAR($C1365))</f>
        <v/>
      </c>
      <c r="N1365" s="57">
        <f>IF($F1365="","",IF(COUNTIF(Постоянные!$C$8:$C$37,$F1365)&gt;0,"есть в Постоянных",IF(COUNTIF(Покупки!$C$7:$C$18,$F1365)&gt;0,"есть в Покупках","")))</f>
        <v/>
      </c>
      <c r="P1365">
        <f>IF($H1365&lt;&gt;"",$H1365,IF($I1365="Оплачено",N($G1365),0))</f>
        <v/>
      </c>
      <c r="Q1365">
        <f>IF($I1365="Отменено",0,IF($G1365&lt;&gt;"",$G1365,N($H1365)))</f>
        <v/>
      </c>
      <c r="R1365">
        <f>IF($C1365="","",IFERROR(DATE(Настройки!$C$8,Настройки!$D$9+MATCH($M1365,Настройки!$X$6:$X$17,0)-1,1),DATE(YEAR($C1365),MONTH($C1365),1)))</f>
        <v/>
      </c>
      <c r="S1365">
        <f>IF(OR($I1365="Оплачено",$H1365&lt;&gt;""),$P1365,$Q1365)</f>
        <v/>
      </c>
      <c r="T1365">
        <f>IF(OR($C1365="",$D1365="Доход",$I1365="Оплачено",$I1365="Отменено",$H1365&lt;&gt;"",$C1365&lt;TODAY()),"",$C1365)</f>
        <v/>
      </c>
      <c r="U1365">
        <f>IF(AND($D1365&lt;&gt;"Доход",COUNTIFS(Счета!$B$10:$B$21,$J1365,Счета!$C$10:$C$21,"Кредитная")&gt;0),1,0)</f>
        <v/>
      </c>
    </row>
    <row r="1366" ht="19" customHeight="1">
      <c r="B1366" s="53">
        <f>IF(AND($C1366="",$F1366=""),"",ROW()-9)</f>
        <v/>
      </c>
      <c r="C1366" s="213" t="n"/>
      <c r="D1366" s="55" t="n"/>
      <c r="E1366" s="55" t="n"/>
      <c r="F1366" s="56" t="n"/>
      <c r="G1366" s="196" t="n"/>
      <c r="H1366" s="196" t="n"/>
      <c r="I1366" s="55" t="n"/>
      <c r="J1366" s="55" t="n"/>
      <c r="K1366" s="55" t="n"/>
      <c r="L1366" s="100">
        <f>IF(OR($C1366="",$I1366="Оплачено",$I1366="Отменено",$H1366&lt;&gt;""),"",$C1366-TODAY())</f>
        <v/>
      </c>
      <c r="M1366" s="101">
        <f>IF($C1366="","",INDEX(Настройки!$V$6:$V$17,MONTH($C1366))&amp;" "&amp;YEAR($C1366))</f>
        <v/>
      </c>
      <c r="N1366" s="57">
        <f>IF($F1366="","",IF(COUNTIF(Постоянные!$C$8:$C$37,$F1366)&gt;0,"есть в Постоянных",IF(COUNTIF(Покупки!$C$7:$C$18,$F1366)&gt;0,"есть в Покупках","")))</f>
        <v/>
      </c>
      <c r="P1366">
        <f>IF($H1366&lt;&gt;"",$H1366,IF($I1366="Оплачено",N($G1366),0))</f>
        <v/>
      </c>
      <c r="Q1366">
        <f>IF($I1366="Отменено",0,IF($G1366&lt;&gt;"",$G1366,N($H1366)))</f>
        <v/>
      </c>
      <c r="R1366">
        <f>IF($C1366="","",IFERROR(DATE(Настройки!$C$8,Настройки!$D$9+MATCH($M1366,Настройки!$X$6:$X$17,0)-1,1),DATE(YEAR($C1366),MONTH($C1366),1)))</f>
        <v/>
      </c>
      <c r="S1366">
        <f>IF(OR($I1366="Оплачено",$H1366&lt;&gt;""),$P1366,$Q1366)</f>
        <v/>
      </c>
      <c r="T1366">
        <f>IF(OR($C1366="",$D1366="Доход",$I1366="Оплачено",$I1366="Отменено",$H1366&lt;&gt;"",$C1366&lt;TODAY()),"",$C1366)</f>
        <v/>
      </c>
      <c r="U1366">
        <f>IF(AND($D1366&lt;&gt;"Доход",COUNTIFS(Счета!$B$10:$B$21,$J1366,Счета!$C$10:$C$21,"Кредитная")&gt;0),1,0)</f>
        <v/>
      </c>
    </row>
    <row r="1367" ht="19" customHeight="1">
      <c r="B1367" s="53">
        <f>IF(AND($C1367="",$F1367=""),"",ROW()-9)</f>
        <v/>
      </c>
      <c r="C1367" s="213" t="n"/>
      <c r="D1367" s="55" t="n"/>
      <c r="E1367" s="55" t="n"/>
      <c r="F1367" s="56" t="n"/>
      <c r="G1367" s="196" t="n"/>
      <c r="H1367" s="196" t="n"/>
      <c r="I1367" s="55" t="n"/>
      <c r="J1367" s="55" t="n"/>
      <c r="K1367" s="55" t="n"/>
      <c r="L1367" s="100">
        <f>IF(OR($C1367="",$I1367="Оплачено",$I1367="Отменено",$H1367&lt;&gt;""),"",$C1367-TODAY())</f>
        <v/>
      </c>
      <c r="M1367" s="101">
        <f>IF($C1367="","",INDEX(Настройки!$V$6:$V$17,MONTH($C1367))&amp;" "&amp;YEAR($C1367))</f>
        <v/>
      </c>
      <c r="N1367" s="57">
        <f>IF($F1367="","",IF(COUNTIF(Постоянные!$C$8:$C$37,$F1367)&gt;0,"есть в Постоянных",IF(COUNTIF(Покупки!$C$7:$C$18,$F1367)&gt;0,"есть в Покупках","")))</f>
        <v/>
      </c>
      <c r="P1367">
        <f>IF($H1367&lt;&gt;"",$H1367,IF($I1367="Оплачено",N($G1367),0))</f>
        <v/>
      </c>
      <c r="Q1367">
        <f>IF($I1367="Отменено",0,IF($G1367&lt;&gt;"",$G1367,N($H1367)))</f>
        <v/>
      </c>
      <c r="R1367">
        <f>IF($C1367="","",IFERROR(DATE(Настройки!$C$8,Настройки!$D$9+MATCH($M1367,Настройки!$X$6:$X$17,0)-1,1),DATE(YEAR($C1367),MONTH($C1367),1)))</f>
        <v/>
      </c>
      <c r="S1367">
        <f>IF(OR($I1367="Оплачено",$H1367&lt;&gt;""),$P1367,$Q1367)</f>
        <v/>
      </c>
      <c r="T1367">
        <f>IF(OR($C1367="",$D1367="Доход",$I1367="Оплачено",$I1367="Отменено",$H1367&lt;&gt;"",$C1367&lt;TODAY()),"",$C1367)</f>
        <v/>
      </c>
      <c r="U1367">
        <f>IF(AND($D1367&lt;&gt;"Доход",COUNTIFS(Счета!$B$10:$B$21,$J1367,Счета!$C$10:$C$21,"Кредитная")&gt;0),1,0)</f>
        <v/>
      </c>
    </row>
    <row r="1368" ht="19" customHeight="1">
      <c r="B1368" s="53">
        <f>IF(AND($C1368="",$F1368=""),"",ROW()-9)</f>
        <v/>
      </c>
      <c r="C1368" s="213" t="n"/>
      <c r="D1368" s="55" t="n"/>
      <c r="E1368" s="55" t="n"/>
      <c r="F1368" s="56" t="n"/>
      <c r="G1368" s="196" t="n"/>
      <c r="H1368" s="196" t="n"/>
      <c r="I1368" s="55" t="n"/>
      <c r="J1368" s="55" t="n"/>
      <c r="K1368" s="55" t="n"/>
      <c r="L1368" s="100">
        <f>IF(OR($C1368="",$I1368="Оплачено",$I1368="Отменено",$H1368&lt;&gt;""),"",$C1368-TODAY())</f>
        <v/>
      </c>
      <c r="M1368" s="101">
        <f>IF($C1368="","",INDEX(Настройки!$V$6:$V$17,MONTH($C1368))&amp;" "&amp;YEAR($C1368))</f>
        <v/>
      </c>
      <c r="N1368" s="57">
        <f>IF($F1368="","",IF(COUNTIF(Постоянные!$C$8:$C$37,$F1368)&gt;0,"есть в Постоянных",IF(COUNTIF(Покупки!$C$7:$C$18,$F1368)&gt;0,"есть в Покупках","")))</f>
        <v/>
      </c>
      <c r="P1368">
        <f>IF($H1368&lt;&gt;"",$H1368,IF($I1368="Оплачено",N($G1368),0))</f>
        <v/>
      </c>
      <c r="Q1368">
        <f>IF($I1368="Отменено",0,IF($G1368&lt;&gt;"",$G1368,N($H1368)))</f>
        <v/>
      </c>
      <c r="R1368">
        <f>IF($C1368="","",IFERROR(DATE(Настройки!$C$8,Настройки!$D$9+MATCH($M1368,Настройки!$X$6:$X$17,0)-1,1),DATE(YEAR($C1368),MONTH($C1368),1)))</f>
        <v/>
      </c>
      <c r="S1368">
        <f>IF(OR($I1368="Оплачено",$H1368&lt;&gt;""),$P1368,$Q1368)</f>
        <v/>
      </c>
      <c r="T1368">
        <f>IF(OR($C1368="",$D1368="Доход",$I1368="Оплачено",$I1368="Отменено",$H1368&lt;&gt;"",$C1368&lt;TODAY()),"",$C1368)</f>
        <v/>
      </c>
      <c r="U1368">
        <f>IF(AND($D1368&lt;&gt;"Доход",COUNTIFS(Счета!$B$10:$B$21,$J1368,Счета!$C$10:$C$21,"Кредитная")&gt;0),1,0)</f>
        <v/>
      </c>
    </row>
    <row r="1369" ht="19" customHeight="1">
      <c r="B1369" s="53">
        <f>IF(AND($C1369="",$F1369=""),"",ROW()-9)</f>
        <v/>
      </c>
      <c r="C1369" s="213" t="n"/>
      <c r="D1369" s="55" t="n"/>
      <c r="E1369" s="55" t="n"/>
      <c r="F1369" s="56" t="n"/>
      <c r="G1369" s="196" t="n"/>
      <c r="H1369" s="196" t="n"/>
      <c r="I1369" s="55" t="n"/>
      <c r="J1369" s="55" t="n"/>
      <c r="K1369" s="55" t="n"/>
      <c r="L1369" s="100">
        <f>IF(OR($C1369="",$I1369="Оплачено",$I1369="Отменено",$H1369&lt;&gt;""),"",$C1369-TODAY())</f>
        <v/>
      </c>
      <c r="M1369" s="101">
        <f>IF($C1369="","",INDEX(Настройки!$V$6:$V$17,MONTH($C1369))&amp;" "&amp;YEAR($C1369))</f>
        <v/>
      </c>
      <c r="N1369" s="57">
        <f>IF($F1369="","",IF(COUNTIF(Постоянные!$C$8:$C$37,$F1369)&gt;0,"есть в Постоянных",IF(COUNTIF(Покупки!$C$7:$C$18,$F1369)&gt;0,"есть в Покупках","")))</f>
        <v/>
      </c>
      <c r="P1369">
        <f>IF($H1369&lt;&gt;"",$H1369,IF($I1369="Оплачено",N($G1369),0))</f>
        <v/>
      </c>
      <c r="Q1369">
        <f>IF($I1369="Отменено",0,IF($G1369&lt;&gt;"",$G1369,N($H1369)))</f>
        <v/>
      </c>
      <c r="R1369">
        <f>IF($C1369="","",IFERROR(DATE(Настройки!$C$8,Настройки!$D$9+MATCH($M1369,Настройки!$X$6:$X$17,0)-1,1),DATE(YEAR($C1369),MONTH($C1369),1)))</f>
        <v/>
      </c>
      <c r="S1369">
        <f>IF(OR($I1369="Оплачено",$H1369&lt;&gt;""),$P1369,$Q1369)</f>
        <v/>
      </c>
      <c r="T1369">
        <f>IF(OR($C1369="",$D1369="Доход",$I1369="Оплачено",$I1369="Отменено",$H1369&lt;&gt;"",$C1369&lt;TODAY()),"",$C1369)</f>
        <v/>
      </c>
      <c r="U1369">
        <f>IF(AND($D1369&lt;&gt;"Доход",COUNTIFS(Счета!$B$10:$B$21,$J1369,Счета!$C$10:$C$21,"Кредитная")&gt;0),1,0)</f>
        <v/>
      </c>
    </row>
    <row r="1370" ht="19" customHeight="1">
      <c r="B1370" s="53">
        <f>IF(AND($C1370="",$F1370=""),"",ROW()-9)</f>
        <v/>
      </c>
      <c r="C1370" s="213" t="n"/>
      <c r="D1370" s="55" t="n"/>
      <c r="E1370" s="55" t="n"/>
      <c r="F1370" s="56" t="n"/>
      <c r="G1370" s="196" t="n"/>
      <c r="H1370" s="196" t="n"/>
      <c r="I1370" s="55" t="n"/>
      <c r="J1370" s="55" t="n"/>
      <c r="K1370" s="55" t="n"/>
      <c r="L1370" s="100">
        <f>IF(OR($C1370="",$I1370="Оплачено",$I1370="Отменено",$H1370&lt;&gt;""),"",$C1370-TODAY())</f>
        <v/>
      </c>
      <c r="M1370" s="101">
        <f>IF($C1370="","",INDEX(Настройки!$V$6:$V$17,MONTH($C1370))&amp;" "&amp;YEAR($C1370))</f>
        <v/>
      </c>
      <c r="N1370" s="57">
        <f>IF($F1370="","",IF(COUNTIF(Постоянные!$C$8:$C$37,$F1370)&gt;0,"есть в Постоянных",IF(COUNTIF(Покупки!$C$7:$C$18,$F1370)&gt;0,"есть в Покупках","")))</f>
        <v/>
      </c>
      <c r="P1370">
        <f>IF($H1370&lt;&gt;"",$H1370,IF($I1370="Оплачено",N($G1370),0))</f>
        <v/>
      </c>
      <c r="Q1370">
        <f>IF($I1370="Отменено",0,IF($G1370&lt;&gt;"",$G1370,N($H1370)))</f>
        <v/>
      </c>
      <c r="R1370">
        <f>IF($C1370="","",IFERROR(DATE(Настройки!$C$8,Настройки!$D$9+MATCH($M1370,Настройки!$X$6:$X$17,0)-1,1),DATE(YEAR($C1370),MONTH($C1370),1)))</f>
        <v/>
      </c>
      <c r="S1370">
        <f>IF(OR($I1370="Оплачено",$H1370&lt;&gt;""),$P1370,$Q1370)</f>
        <v/>
      </c>
      <c r="T1370">
        <f>IF(OR($C1370="",$D1370="Доход",$I1370="Оплачено",$I1370="Отменено",$H1370&lt;&gt;"",$C1370&lt;TODAY()),"",$C1370)</f>
        <v/>
      </c>
      <c r="U1370">
        <f>IF(AND($D1370&lt;&gt;"Доход",COUNTIFS(Счета!$B$10:$B$21,$J1370,Счета!$C$10:$C$21,"Кредитная")&gt;0),1,0)</f>
        <v/>
      </c>
    </row>
    <row r="1371" ht="19" customHeight="1">
      <c r="B1371" s="53">
        <f>IF(AND($C1371="",$F1371=""),"",ROW()-9)</f>
        <v/>
      </c>
      <c r="C1371" s="213" t="n"/>
      <c r="D1371" s="55" t="n"/>
      <c r="E1371" s="55" t="n"/>
      <c r="F1371" s="56" t="n"/>
      <c r="G1371" s="196" t="n"/>
      <c r="H1371" s="196" t="n"/>
      <c r="I1371" s="55" t="n"/>
      <c r="J1371" s="55" t="n"/>
      <c r="K1371" s="55" t="n"/>
      <c r="L1371" s="100">
        <f>IF(OR($C1371="",$I1371="Оплачено",$I1371="Отменено",$H1371&lt;&gt;""),"",$C1371-TODAY())</f>
        <v/>
      </c>
      <c r="M1371" s="101">
        <f>IF($C1371="","",INDEX(Настройки!$V$6:$V$17,MONTH($C1371))&amp;" "&amp;YEAR($C1371))</f>
        <v/>
      </c>
      <c r="N1371" s="57">
        <f>IF($F1371="","",IF(COUNTIF(Постоянные!$C$8:$C$37,$F1371)&gt;0,"есть в Постоянных",IF(COUNTIF(Покупки!$C$7:$C$18,$F1371)&gt;0,"есть в Покупках","")))</f>
        <v/>
      </c>
      <c r="P1371">
        <f>IF($H1371&lt;&gt;"",$H1371,IF($I1371="Оплачено",N($G1371),0))</f>
        <v/>
      </c>
      <c r="Q1371">
        <f>IF($I1371="Отменено",0,IF($G1371&lt;&gt;"",$G1371,N($H1371)))</f>
        <v/>
      </c>
      <c r="R1371">
        <f>IF($C1371="","",IFERROR(DATE(Настройки!$C$8,Настройки!$D$9+MATCH($M1371,Настройки!$X$6:$X$17,0)-1,1),DATE(YEAR($C1371),MONTH($C1371),1)))</f>
        <v/>
      </c>
      <c r="S1371">
        <f>IF(OR($I1371="Оплачено",$H1371&lt;&gt;""),$P1371,$Q1371)</f>
        <v/>
      </c>
      <c r="T1371">
        <f>IF(OR($C1371="",$D1371="Доход",$I1371="Оплачено",$I1371="Отменено",$H1371&lt;&gt;"",$C1371&lt;TODAY()),"",$C1371)</f>
        <v/>
      </c>
      <c r="U1371">
        <f>IF(AND($D1371&lt;&gt;"Доход",COUNTIFS(Счета!$B$10:$B$21,$J1371,Счета!$C$10:$C$21,"Кредитная")&gt;0),1,0)</f>
        <v/>
      </c>
    </row>
    <row r="1372" ht="19" customHeight="1">
      <c r="B1372" s="53">
        <f>IF(AND($C1372="",$F1372=""),"",ROW()-9)</f>
        <v/>
      </c>
      <c r="C1372" s="213" t="n"/>
      <c r="D1372" s="55" t="n"/>
      <c r="E1372" s="55" t="n"/>
      <c r="F1372" s="56" t="n"/>
      <c r="G1372" s="196" t="n"/>
      <c r="H1372" s="196" t="n"/>
      <c r="I1372" s="55" t="n"/>
      <c r="J1372" s="55" t="n"/>
      <c r="K1372" s="55" t="n"/>
      <c r="L1372" s="100">
        <f>IF(OR($C1372="",$I1372="Оплачено",$I1372="Отменено",$H1372&lt;&gt;""),"",$C1372-TODAY())</f>
        <v/>
      </c>
      <c r="M1372" s="101">
        <f>IF($C1372="","",INDEX(Настройки!$V$6:$V$17,MONTH($C1372))&amp;" "&amp;YEAR($C1372))</f>
        <v/>
      </c>
      <c r="N1372" s="57">
        <f>IF($F1372="","",IF(COUNTIF(Постоянные!$C$8:$C$37,$F1372)&gt;0,"есть в Постоянных",IF(COUNTIF(Покупки!$C$7:$C$18,$F1372)&gt;0,"есть в Покупках","")))</f>
        <v/>
      </c>
      <c r="P1372">
        <f>IF($H1372&lt;&gt;"",$H1372,IF($I1372="Оплачено",N($G1372),0))</f>
        <v/>
      </c>
      <c r="Q1372">
        <f>IF($I1372="Отменено",0,IF($G1372&lt;&gt;"",$G1372,N($H1372)))</f>
        <v/>
      </c>
      <c r="R1372">
        <f>IF($C1372="","",IFERROR(DATE(Настройки!$C$8,Настройки!$D$9+MATCH($M1372,Настройки!$X$6:$X$17,0)-1,1),DATE(YEAR($C1372),MONTH($C1372),1)))</f>
        <v/>
      </c>
      <c r="S1372">
        <f>IF(OR($I1372="Оплачено",$H1372&lt;&gt;""),$P1372,$Q1372)</f>
        <v/>
      </c>
      <c r="T1372">
        <f>IF(OR($C1372="",$D1372="Доход",$I1372="Оплачено",$I1372="Отменено",$H1372&lt;&gt;"",$C1372&lt;TODAY()),"",$C1372)</f>
        <v/>
      </c>
      <c r="U1372">
        <f>IF(AND($D1372&lt;&gt;"Доход",COUNTIFS(Счета!$B$10:$B$21,$J1372,Счета!$C$10:$C$21,"Кредитная")&gt;0),1,0)</f>
        <v/>
      </c>
    </row>
    <row r="1373" ht="19" customHeight="1">
      <c r="B1373" s="53">
        <f>IF(AND($C1373="",$F1373=""),"",ROW()-9)</f>
        <v/>
      </c>
      <c r="C1373" s="213" t="n"/>
      <c r="D1373" s="55" t="n"/>
      <c r="E1373" s="55" t="n"/>
      <c r="F1373" s="56" t="n"/>
      <c r="G1373" s="196" t="n"/>
      <c r="H1373" s="196" t="n"/>
      <c r="I1373" s="55" t="n"/>
      <c r="J1373" s="55" t="n"/>
      <c r="K1373" s="55" t="n"/>
      <c r="L1373" s="100">
        <f>IF(OR($C1373="",$I1373="Оплачено",$I1373="Отменено",$H1373&lt;&gt;""),"",$C1373-TODAY())</f>
        <v/>
      </c>
      <c r="M1373" s="101">
        <f>IF($C1373="","",INDEX(Настройки!$V$6:$V$17,MONTH($C1373))&amp;" "&amp;YEAR($C1373))</f>
        <v/>
      </c>
      <c r="N1373" s="57">
        <f>IF($F1373="","",IF(COUNTIF(Постоянные!$C$8:$C$37,$F1373)&gt;0,"есть в Постоянных",IF(COUNTIF(Покупки!$C$7:$C$18,$F1373)&gt;0,"есть в Покупках","")))</f>
        <v/>
      </c>
      <c r="P1373">
        <f>IF($H1373&lt;&gt;"",$H1373,IF($I1373="Оплачено",N($G1373),0))</f>
        <v/>
      </c>
      <c r="Q1373">
        <f>IF($I1373="Отменено",0,IF($G1373&lt;&gt;"",$G1373,N($H1373)))</f>
        <v/>
      </c>
      <c r="R1373">
        <f>IF($C1373="","",IFERROR(DATE(Настройки!$C$8,Настройки!$D$9+MATCH($M1373,Настройки!$X$6:$X$17,0)-1,1),DATE(YEAR($C1373),MONTH($C1373),1)))</f>
        <v/>
      </c>
      <c r="S1373">
        <f>IF(OR($I1373="Оплачено",$H1373&lt;&gt;""),$P1373,$Q1373)</f>
        <v/>
      </c>
      <c r="T1373">
        <f>IF(OR($C1373="",$D1373="Доход",$I1373="Оплачено",$I1373="Отменено",$H1373&lt;&gt;"",$C1373&lt;TODAY()),"",$C1373)</f>
        <v/>
      </c>
      <c r="U1373">
        <f>IF(AND($D1373&lt;&gt;"Доход",COUNTIFS(Счета!$B$10:$B$21,$J1373,Счета!$C$10:$C$21,"Кредитная")&gt;0),1,0)</f>
        <v/>
      </c>
    </row>
    <row r="1374" ht="19" customHeight="1">
      <c r="B1374" s="53">
        <f>IF(AND($C1374="",$F1374=""),"",ROW()-9)</f>
        <v/>
      </c>
      <c r="C1374" s="213" t="n"/>
      <c r="D1374" s="55" t="n"/>
      <c r="E1374" s="55" t="n"/>
      <c r="F1374" s="56" t="n"/>
      <c r="G1374" s="196" t="n"/>
      <c r="H1374" s="196" t="n"/>
      <c r="I1374" s="55" t="n"/>
      <c r="J1374" s="55" t="n"/>
      <c r="K1374" s="55" t="n"/>
      <c r="L1374" s="100">
        <f>IF(OR($C1374="",$I1374="Оплачено",$I1374="Отменено",$H1374&lt;&gt;""),"",$C1374-TODAY())</f>
        <v/>
      </c>
      <c r="M1374" s="101">
        <f>IF($C1374="","",INDEX(Настройки!$V$6:$V$17,MONTH($C1374))&amp;" "&amp;YEAR($C1374))</f>
        <v/>
      </c>
      <c r="N1374" s="57">
        <f>IF($F1374="","",IF(COUNTIF(Постоянные!$C$8:$C$37,$F1374)&gt;0,"есть в Постоянных",IF(COUNTIF(Покупки!$C$7:$C$18,$F1374)&gt;0,"есть в Покупках","")))</f>
        <v/>
      </c>
      <c r="P1374">
        <f>IF($H1374&lt;&gt;"",$H1374,IF($I1374="Оплачено",N($G1374),0))</f>
        <v/>
      </c>
      <c r="Q1374">
        <f>IF($I1374="Отменено",0,IF($G1374&lt;&gt;"",$G1374,N($H1374)))</f>
        <v/>
      </c>
      <c r="R1374">
        <f>IF($C1374="","",IFERROR(DATE(Настройки!$C$8,Настройки!$D$9+MATCH($M1374,Настройки!$X$6:$X$17,0)-1,1),DATE(YEAR($C1374),MONTH($C1374),1)))</f>
        <v/>
      </c>
      <c r="S1374">
        <f>IF(OR($I1374="Оплачено",$H1374&lt;&gt;""),$P1374,$Q1374)</f>
        <v/>
      </c>
      <c r="T1374">
        <f>IF(OR($C1374="",$D1374="Доход",$I1374="Оплачено",$I1374="Отменено",$H1374&lt;&gt;"",$C1374&lt;TODAY()),"",$C1374)</f>
        <v/>
      </c>
      <c r="U1374">
        <f>IF(AND($D1374&lt;&gt;"Доход",COUNTIFS(Счета!$B$10:$B$21,$J1374,Счета!$C$10:$C$21,"Кредитная")&gt;0),1,0)</f>
        <v/>
      </c>
    </row>
    <row r="1375" ht="19" customHeight="1">
      <c r="B1375" s="53">
        <f>IF(AND($C1375="",$F1375=""),"",ROW()-9)</f>
        <v/>
      </c>
      <c r="C1375" s="213" t="n"/>
      <c r="D1375" s="55" t="n"/>
      <c r="E1375" s="55" t="n"/>
      <c r="F1375" s="56" t="n"/>
      <c r="G1375" s="196" t="n"/>
      <c r="H1375" s="196" t="n"/>
      <c r="I1375" s="55" t="n"/>
      <c r="J1375" s="55" t="n"/>
      <c r="K1375" s="55" t="n"/>
      <c r="L1375" s="100">
        <f>IF(OR($C1375="",$I1375="Оплачено",$I1375="Отменено",$H1375&lt;&gt;""),"",$C1375-TODAY())</f>
        <v/>
      </c>
      <c r="M1375" s="101">
        <f>IF($C1375="","",INDEX(Настройки!$V$6:$V$17,MONTH($C1375))&amp;" "&amp;YEAR($C1375))</f>
        <v/>
      </c>
      <c r="N1375" s="57">
        <f>IF($F1375="","",IF(COUNTIF(Постоянные!$C$8:$C$37,$F1375)&gt;0,"есть в Постоянных",IF(COUNTIF(Покупки!$C$7:$C$18,$F1375)&gt;0,"есть в Покупках","")))</f>
        <v/>
      </c>
      <c r="P1375">
        <f>IF($H1375&lt;&gt;"",$H1375,IF($I1375="Оплачено",N($G1375),0))</f>
        <v/>
      </c>
      <c r="Q1375">
        <f>IF($I1375="Отменено",0,IF($G1375&lt;&gt;"",$G1375,N($H1375)))</f>
        <v/>
      </c>
      <c r="R1375">
        <f>IF($C1375="","",IFERROR(DATE(Настройки!$C$8,Настройки!$D$9+MATCH($M1375,Настройки!$X$6:$X$17,0)-1,1),DATE(YEAR($C1375),MONTH($C1375),1)))</f>
        <v/>
      </c>
      <c r="S1375">
        <f>IF(OR($I1375="Оплачено",$H1375&lt;&gt;""),$P1375,$Q1375)</f>
        <v/>
      </c>
      <c r="T1375">
        <f>IF(OR($C1375="",$D1375="Доход",$I1375="Оплачено",$I1375="Отменено",$H1375&lt;&gt;"",$C1375&lt;TODAY()),"",$C1375)</f>
        <v/>
      </c>
      <c r="U1375">
        <f>IF(AND($D1375&lt;&gt;"Доход",COUNTIFS(Счета!$B$10:$B$21,$J1375,Счета!$C$10:$C$21,"Кредитная")&gt;0),1,0)</f>
        <v/>
      </c>
    </row>
    <row r="1376" ht="19" customHeight="1">
      <c r="B1376" s="53">
        <f>IF(AND($C1376="",$F1376=""),"",ROW()-9)</f>
        <v/>
      </c>
      <c r="C1376" s="213" t="n"/>
      <c r="D1376" s="55" t="n"/>
      <c r="E1376" s="55" t="n"/>
      <c r="F1376" s="56" t="n"/>
      <c r="G1376" s="196" t="n"/>
      <c r="H1376" s="196" t="n"/>
      <c r="I1376" s="55" t="n"/>
      <c r="J1376" s="55" t="n"/>
      <c r="K1376" s="55" t="n"/>
      <c r="L1376" s="100">
        <f>IF(OR($C1376="",$I1376="Оплачено",$I1376="Отменено",$H1376&lt;&gt;""),"",$C1376-TODAY())</f>
        <v/>
      </c>
      <c r="M1376" s="101">
        <f>IF($C1376="","",INDEX(Настройки!$V$6:$V$17,MONTH($C1376))&amp;" "&amp;YEAR($C1376))</f>
        <v/>
      </c>
      <c r="N1376" s="57">
        <f>IF($F1376="","",IF(COUNTIF(Постоянные!$C$8:$C$37,$F1376)&gt;0,"есть в Постоянных",IF(COUNTIF(Покупки!$C$7:$C$18,$F1376)&gt;0,"есть в Покупках","")))</f>
        <v/>
      </c>
      <c r="P1376">
        <f>IF($H1376&lt;&gt;"",$H1376,IF($I1376="Оплачено",N($G1376),0))</f>
        <v/>
      </c>
      <c r="Q1376">
        <f>IF($I1376="Отменено",0,IF($G1376&lt;&gt;"",$G1376,N($H1376)))</f>
        <v/>
      </c>
      <c r="R1376">
        <f>IF($C1376="","",IFERROR(DATE(Настройки!$C$8,Настройки!$D$9+MATCH($M1376,Настройки!$X$6:$X$17,0)-1,1),DATE(YEAR($C1376),MONTH($C1376),1)))</f>
        <v/>
      </c>
      <c r="S1376">
        <f>IF(OR($I1376="Оплачено",$H1376&lt;&gt;""),$P1376,$Q1376)</f>
        <v/>
      </c>
      <c r="T1376">
        <f>IF(OR($C1376="",$D1376="Доход",$I1376="Оплачено",$I1376="Отменено",$H1376&lt;&gt;"",$C1376&lt;TODAY()),"",$C1376)</f>
        <v/>
      </c>
      <c r="U1376">
        <f>IF(AND($D1376&lt;&gt;"Доход",COUNTIFS(Счета!$B$10:$B$21,$J1376,Счета!$C$10:$C$21,"Кредитная")&gt;0),1,0)</f>
        <v/>
      </c>
    </row>
    <row r="1377" ht="19" customHeight="1">
      <c r="B1377" s="53">
        <f>IF(AND($C1377="",$F1377=""),"",ROW()-9)</f>
        <v/>
      </c>
      <c r="C1377" s="213" t="n"/>
      <c r="D1377" s="55" t="n"/>
      <c r="E1377" s="55" t="n"/>
      <c r="F1377" s="56" t="n"/>
      <c r="G1377" s="196" t="n"/>
      <c r="H1377" s="196" t="n"/>
      <c r="I1377" s="55" t="n"/>
      <c r="J1377" s="55" t="n"/>
      <c r="K1377" s="55" t="n"/>
      <c r="L1377" s="100">
        <f>IF(OR($C1377="",$I1377="Оплачено",$I1377="Отменено",$H1377&lt;&gt;""),"",$C1377-TODAY())</f>
        <v/>
      </c>
      <c r="M1377" s="101">
        <f>IF($C1377="","",INDEX(Настройки!$V$6:$V$17,MONTH($C1377))&amp;" "&amp;YEAR($C1377))</f>
        <v/>
      </c>
      <c r="N1377" s="57">
        <f>IF($F1377="","",IF(COUNTIF(Постоянные!$C$8:$C$37,$F1377)&gt;0,"есть в Постоянных",IF(COUNTIF(Покупки!$C$7:$C$18,$F1377)&gt;0,"есть в Покупках","")))</f>
        <v/>
      </c>
      <c r="P1377">
        <f>IF($H1377&lt;&gt;"",$H1377,IF($I1377="Оплачено",N($G1377),0))</f>
        <v/>
      </c>
      <c r="Q1377">
        <f>IF($I1377="Отменено",0,IF($G1377&lt;&gt;"",$G1377,N($H1377)))</f>
        <v/>
      </c>
      <c r="R1377">
        <f>IF($C1377="","",IFERROR(DATE(Настройки!$C$8,Настройки!$D$9+MATCH($M1377,Настройки!$X$6:$X$17,0)-1,1),DATE(YEAR($C1377),MONTH($C1377),1)))</f>
        <v/>
      </c>
      <c r="S1377">
        <f>IF(OR($I1377="Оплачено",$H1377&lt;&gt;""),$P1377,$Q1377)</f>
        <v/>
      </c>
      <c r="T1377">
        <f>IF(OR($C1377="",$D1377="Доход",$I1377="Оплачено",$I1377="Отменено",$H1377&lt;&gt;"",$C1377&lt;TODAY()),"",$C1377)</f>
        <v/>
      </c>
      <c r="U1377">
        <f>IF(AND($D1377&lt;&gt;"Доход",COUNTIFS(Счета!$B$10:$B$21,$J1377,Счета!$C$10:$C$21,"Кредитная")&gt;0),1,0)</f>
        <v/>
      </c>
    </row>
    <row r="1378" ht="19" customHeight="1">
      <c r="B1378" s="53">
        <f>IF(AND($C1378="",$F1378=""),"",ROW()-9)</f>
        <v/>
      </c>
      <c r="C1378" s="213" t="n"/>
      <c r="D1378" s="55" t="n"/>
      <c r="E1378" s="55" t="n"/>
      <c r="F1378" s="56" t="n"/>
      <c r="G1378" s="196" t="n"/>
      <c r="H1378" s="196" t="n"/>
      <c r="I1378" s="55" t="n"/>
      <c r="J1378" s="55" t="n"/>
      <c r="K1378" s="55" t="n"/>
      <c r="L1378" s="100">
        <f>IF(OR($C1378="",$I1378="Оплачено",$I1378="Отменено",$H1378&lt;&gt;""),"",$C1378-TODAY())</f>
        <v/>
      </c>
      <c r="M1378" s="101">
        <f>IF($C1378="","",INDEX(Настройки!$V$6:$V$17,MONTH($C1378))&amp;" "&amp;YEAR($C1378))</f>
        <v/>
      </c>
      <c r="N1378" s="57">
        <f>IF($F1378="","",IF(COUNTIF(Постоянные!$C$8:$C$37,$F1378)&gt;0,"есть в Постоянных",IF(COUNTIF(Покупки!$C$7:$C$18,$F1378)&gt;0,"есть в Покупках","")))</f>
        <v/>
      </c>
      <c r="P1378">
        <f>IF($H1378&lt;&gt;"",$H1378,IF($I1378="Оплачено",N($G1378),0))</f>
        <v/>
      </c>
      <c r="Q1378">
        <f>IF($I1378="Отменено",0,IF($G1378&lt;&gt;"",$G1378,N($H1378)))</f>
        <v/>
      </c>
      <c r="R1378">
        <f>IF($C1378="","",IFERROR(DATE(Настройки!$C$8,Настройки!$D$9+MATCH($M1378,Настройки!$X$6:$X$17,0)-1,1),DATE(YEAR($C1378),MONTH($C1378),1)))</f>
        <v/>
      </c>
      <c r="S1378">
        <f>IF(OR($I1378="Оплачено",$H1378&lt;&gt;""),$P1378,$Q1378)</f>
        <v/>
      </c>
      <c r="T1378">
        <f>IF(OR($C1378="",$D1378="Доход",$I1378="Оплачено",$I1378="Отменено",$H1378&lt;&gt;"",$C1378&lt;TODAY()),"",$C1378)</f>
        <v/>
      </c>
      <c r="U1378">
        <f>IF(AND($D1378&lt;&gt;"Доход",COUNTIFS(Счета!$B$10:$B$21,$J1378,Счета!$C$10:$C$21,"Кредитная")&gt;0),1,0)</f>
        <v/>
      </c>
    </row>
    <row r="1379" ht="19" customHeight="1">
      <c r="B1379" s="53">
        <f>IF(AND($C1379="",$F1379=""),"",ROW()-9)</f>
        <v/>
      </c>
      <c r="C1379" s="213" t="n"/>
      <c r="D1379" s="55" t="n"/>
      <c r="E1379" s="55" t="n"/>
      <c r="F1379" s="56" t="n"/>
      <c r="G1379" s="196" t="n"/>
      <c r="H1379" s="196" t="n"/>
      <c r="I1379" s="55" t="n"/>
      <c r="J1379" s="55" t="n"/>
      <c r="K1379" s="55" t="n"/>
      <c r="L1379" s="100">
        <f>IF(OR($C1379="",$I1379="Оплачено",$I1379="Отменено",$H1379&lt;&gt;""),"",$C1379-TODAY())</f>
        <v/>
      </c>
      <c r="M1379" s="101">
        <f>IF($C1379="","",INDEX(Настройки!$V$6:$V$17,MONTH($C1379))&amp;" "&amp;YEAR($C1379))</f>
        <v/>
      </c>
      <c r="N1379" s="57">
        <f>IF($F1379="","",IF(COUNTIF(Постоянные!$C$8:$C$37,$F1379)&gt;0,"есть в Постоянных",IF(COUNTIF(Покупки!$C$7:$C$18,$F1379)&gt;0,"есть в Покупках","")))</f>
        <v/>
      </c>
      <c r="P1379">
        <f>IF($H1379&lt;&gt;"",$H1379,IF($I1379="Оплачено",N($G1379),0))</f>
        <v/>
      </c>
      <c r="Q1379">
        <f>IF($I1379="Отменено",0,IF($G1379&lt;&gt;"",$G1379,N($H1379)))</f>
        <v/>
      </c>
      <c r="R1379">
        <f>IF($C1379="","",IFERROR(DATE(Настройки!$C$8,Настройки!$D$9+MATCH($M1379,Настройки!$X$6:$X$17,0)-1,1),DATE(YEAR($C1379),MONTH($C1379),1)))</f>
        <v/>
      </c>
      <c r="S1379">
        <f>IF(OR($I1379="Оплачено",$H1379&lt;&gt;""),$P1379,$Q1379)</f>
        <v/>
      </c>
      <c r="T1379">
        <f>IF(OR($C1379="",$D1379="Доход",$I1379="Оплачено",$I1379="Отменено",$H1379&lt;&gt;"",$C1379&lt;TODAY()),"",$C1379)</f>
        <v/>
      </c>
      <c r="U1379">
        <f>IF(AND($D1379&lt;&gt;"Доход",COUNTIFS(Счета!$B$10:$B$21,$J1379,Счета!$C$10:$C$21,"Кредитная")&gt;0),1,0)</f>
        <v/>
      </c>
    </row>
    <row r="1380" ht="19" customHeight="1">
      <c r="B1380" s="53">
        <f>IF(AND($C1380="",$F1380=""),"",ROW()-9)</f>
        <v/>
      </c>
      <c r="C1380" s="213" t="n"/>
      <c r="D1380" s="55" t="n"/>
      <c r="E1380" s="55" t="n"/>
      <c r="F1380" s="56" t="n"/>
      <c r="G1380" s="196" t="n"/>
      <c r="H1380" s="196" t="n"/>
      <c r="I1380" s="55" t="n"/>
      <c r="J1380" s="55" t="n"/>
      <c r="K1380" s="55" t="n"/>
      <c r="L1380" s="100">
        <f>IF(OR($C1380="",$I1380="Оплачено",$I1380="Отменено",$H1380&lt;&gt;""),"",$C1380-TODAY())</f>
        <v/>
      </c>
      <c r="M1380" s="101">
        <f>IF($C1380="","",INDEX(Настройки!$V$6:$V$17,MONTH($C1380))&amp;" "&amp;YEAR($C1380))</f>
        <v/>
      </c>
      <c r="N1380" s="57">
        <f>IF($F1380="","",IF(COUNTIF(Постоянные!$C$8:$C$37,$F1380)&gt;0,"есть в Постоянных",IF(COUNTIF(Покупки!$C$7:$C$18,$F1380)&gt;0,"есть в Покупках","")))</f>
        <v/>
      </c>
      <c r="P1380">
        <f>IF($H1380&lt;&gt;"",$H1380,IF($I1380="Оплачено",N($G1380),0))</f>
        <v/>
      </c>
      <c r="Q1380">
        <f>IF($I1380="Отменено",0,IF($G1380&lt;&gt;"",$G1380,N($H1380)))</f>
        <v/>
      </c>
      <c r="R1380">
        <f>IF($C1380="","",IFERROR(DATE(Настройки!$C$8,Настройки!$D$9+MATCH($M1380,Настройки!$X$6:$X$17,0)-1,1),DATE(YEAR($C1380),MONTH($C1380),1)))</f>
        <v/>
      </c>
      <c r="S1380">
        <f>IF(OR($I1380="Оплачено",$H1380&lt;&gt;""),$P1380,$Q1380)</f>
        <v/>
      </c>
      <c r="T1380">
        <f>IF(OR($C1380="",$D1380="Доход",$I1380="Оплачено",$I1380="Отменено",$H1380&lt;&gt;"",$C1380&lt;TODAY()),"",$C1380)</f>
        <v/>
      </c>
      <c r="U1380">
        <f>IF(AND($D1380&lt;&gt;"Доход",COUNTIFS(Счета!$B$10:$B$21,$J1380,Счета!$C$10:$C$21,"Кредитная")&gt;0),1,0)</f>
        <v/>
      </c>
    </row>
    <row r="1381" ht="19" customHeight="1">
      <c r="B1381" s="53">
        <f>IF(AND($C1381="",$F1381=""),"",ROW()-9)</f>
        <v/>
      </c>
      <c r="C1381" s="213" t="n"/>
      <c r="D1381" s="55" t="n"/>
      <c r="E1381" s="55" t="n"/>
      <c r="F1381" s="56" t="n"/>
      <c r="G1381" s="196" t="n"/>
      <c r="H1381" s="196" t="n"/>
      <c r="I1381" s="55" t="n"/>
      <c r="J1381" s="55" t="n"/>
      <c r="K1381" s="55" t="n"/>
      <c r="L1381" s="100">
        <f>IF(OR($C1381="",$I1381="Оплачено",$I1381="Отменено",$H1381&lt;&gt;""),"",$C1381-TODAY())</f>
        <v/>
      </c>
      <c r="M1381" s="101">
        <f>IF($C1381="","",INDEX(Настройки!$V$6:$V$17,MONTH($C1381))&amp;" "&amp;YEAR($C1381))</f>
        <v/>
      </c>
      <c r="N1381" s="57">
        <f>IF($F1381="","",IF(COUNTIF(Постоянные!$C$8:$C$37,$F1381)&gt;0,"есть в Постоянных",IF(COUNTIF(Покупки!$C$7:$C$18,$F1381)&gt;0,"есть в Покупках","")))</f>
        <v/>
      </c>
      <c r="P1381">
        <f>IF($H1381&lt;&gt;"",$H1381,IF($I1381="Оплачено",N($G1381),0))</f>
        <v/>
      </c>
      <c r="Q1381">
        <f>IF($I1381="Отменено",0,IF($G1381&lt;&gt;"",$G1381,N($H1381)))</f>
        <v/>
      </c>
      <c r="R1381">
        <f>IF($C1381="","",IFERROR(DATE(Настройки!$C$8,Настройки!$D$9+MATCH($M1381,Настройки!$X$6:$X$17,0)-1,1),DATE(YEAR($C1381),MONTH($C1381),1)))</f>
        <v/>
      </c>
      <c r="S1381">
        <f>IF(OR($I1381="Оплачено",$H1381&lt;&gt;""),$P1381,$Q1381)</f>
        <v/>
      </c>
      <c r="T1381">
        <f>IF(OR($C1381="",$D1381="Доход",$I1381="Оплачено",$I1381="Отменено",$H1381&lt;&gt;"",$C1381&lt;TODAY()),"",$C1381)</f>
        <v/>
      </c>
      <c r="U1381">
        <f>IF(AND($D1381&lt;&gt;"Доход",COUNTIFS(Счета!$B$10:$B$21,$J1381,Счета!$C$10:$C$21,"Кредитная")&gt;0),1,0)</f>
        <v/>
      </c>
    </row>
    <row r="1382" ht="19" customHeight="1">
      <c r="B1382" s="53">
        <f>IF(AND($C1382="",$F1382=""),"",ROW()-9)</f>
        <v/>
      </c>
      <c r="C1382" s="213" t="n"/>
      <c r="D1382" s="55" t="n"/>
      <c r="E1382" s="55" t="n"/>
      <c r="F1382" s="56" t="n"/>
      <c r="G1382" s="196" t="n"/>
      <c r="H1382" s="196" t="n"/>
      <c r="I1382" s="55" t="n"/>
      <c r="J1382" s="55" t="n"/>
      <c r="K1382" s="55" t="n"/>
      <c r="L1382" s="100">
        <f>IF(OR($C1382="",$I1382="Оплачено",$I1382="Отменено",$H1382&lt;&gt;""),"",$C1382-TODAY())</f>
        <v/>
      </c>
      <c r="M1382" s="101">
        <f>IF($C1382="","",INDEX(Настройки!$V$6:$V$17,MONTH($C1382))&amp;" "&amp;YEAR($C1382))</f>
        <v/>
      </c>
      <c r="N1382" s="57">
        <f>IF($F1382="","",IF(COUNTIF(Постоянные!$C$8:$C$37,$F1382)&gt;0,"есть в Постоянных",IF(COUNTIF(Покупки!$C$7:$C$18,$F1382)&gt;0,"есть в Покупках","")))</f>
        <v/>
      </c>
      <c r="P1382">
        <f>IF($H1382&lt;&gt;"",$H1382,IF($I1382="Оплачено",N($G1382),0))</f>
        <v/>
      </c>
      <c r="Q1382">
        <f>IF($I1382="Отменено",0,IF($G1382&lt;&gt;"",$G1382,N($H1382)))</f>
        <v/>
      </c>
      <c r="R1382">
        <f>IF($C1382="","",IFERROR(DATE(Настройки!$C$8,Настройки!$D$9+MATCH($M1382,Настройки!$X$6:$X$17,0)-1,1),DATE(YEAR($C1382),MONTH($C1382),1)))</f>
        <v/>
      </c>
      <c r="S1382">
        <f>IF(OR($I1382="Оплачено",$H1382&lt;&gt;""),$P1382,$Q1382)</f>
        <v/>
      </c>
      <c r="T1382">
        <f>IF(OR($C1382="",$D1382="Доход",$I1382="Оплачено",$I1382="Отменено",$H1382&lt;&gt;"",$C1382&lt;TODAY()),"",$C1382)</f>
        <v/>
      </c>
      <c r="U1382">
        <f>IF(AND($D1382&lt;&gt;"Доход",COUNTIFS(Счета!$B$10:$B$21,$J1382,Счета!$C$10:$C$21,"Кредитная")&gt;0),1,0)</f>
        <v/>
      </c>
    </row>
    <row r="1383" ht="19" customHeight="1">
      <c r="B1383" s="53">
        <f>IF(AND($C1383="",$F1383=""),"",ROW()-9)</f>
        <v/>
      </c>
      <c r="C1383" s="213" t="n"/>
      <c r="D1383" s="55" t="n"/>
      <c r="E1383" s="55" t="n"/>
      <c r="F1383" s="56" t="n"/>
      <c r="G1383" s="196" t="n"/>
      <c r="H1383" s="196" t="n"/>
      <c r="I1383" s="55" t="n"/>
      <c r="J1383" s="55" t="n"/>
      <c r="K1383" s="55" t="n"/>
      <c r="L1383" s="100">
        <f>IF(OR($C1383="",$I1383="Оплачено",$I1383="Отменено",$H1383&lt;&gt;""),"",$C1383-TODAY())</f>
        <v/>
      </c>
      <c r="M1383" s="101">
        <f>IF($C1383="","",INDEX(Настройки!$V$6:$V$17,MONTH($C1383))&amp;" "&amp;YEAR($C1383))</f>
        <v/>
      </c>
      <c r="N1383" s="57">
        <f>IF($F1383="","",IF(COUNTIF(Постоянные!$C$8:$C$37,$F1383)&gt;0,"есть в Постоянных",IF(COUNTIF(Покупки!$C$7:$C$18,$F1383)&gt;0,"есть в Покупках","")))</f>
        <v/>
      </c>
      <c r="P1383">
        <f>IF($H1383&lt;&gt;"",$H1383,IF($I1383="Оплачено",N($G1383),0))</f>
        <v/>
      </c>
      <c r="Q1383">
        <f>IF($I1383="Отменено",0,IF($G1383&lt;&gt;"",$G1383,N($H1383)))</f>
        <v/>
      </c>
      <c r="R1383">
        <f>IF($C1383="","",IFERROR(DATE(Настройки!$C$8,Настройки!$D$9+MATCH($M1383,Настройки!$X$6:$X$17,0)-1,1),DATE(YEAR($C1383),MONTH($C1383),1)))</f>
        <v/>
      </c>
      <c r="S1383">
        <f>IF(OR($I1383="Оплачено",$H1383&lt;&gt;""),$P1383,$Q1383)</f>
        <v/>
      </c>
      <c r="T1383">
        <f>IF(OR($C1383="",$D1383="Доход",$I1383="Оплачено",$I1383="Отменено",$H1383&lt;&gt;"",$C1383&lt;TODAY()),"",$C1383)</f>
        <v/>
      </c>
      <c r="U1383">
        <f>IF(AND($D1383&lt;&gt;"Доход",COUNTIFS(Счета!$B$10:$B$21,$J1383,Счета!$C$10:$C$21,"Кредитная")&gt;0),1,0)</f>
        <v/>
      </c>
    </row>
    <row r="1384" ht="19" customHeight="1">
      <c r="B1384" s="53">
        <f>IF(AND($C1384="",$F1384=""),"",ROW()-9)</f>
        <v/>
      </c>
      <c r="C1384" s="213" t="n"/>
      <c r="D1384" s="55" t="n"/>
      <c r="E1384" s="55" t="n"/>
      <c r="F1384" s="56" t="n"/>
      <c r="G1384" s="196" t="n"/>
      <c r="H1384" s="196" t="n"/>
      <c r="I1384" s="55" t="n"/>
      <c r="J1384" s="55" t="n"/>
      <c r="K1384" s="55" t="n"/>
      <c r="L1384" s="100">
        <f>IF(OR($C1384="",$I1384="Оплачено",$I1384="Отменено",$H1384&lt;&gt;""),"",$C1384-TODAY())</f>
        <v/>
      </c>
      <c r="M1384" s="101">
        <f>IF($C1384="","",INDEX(Настройки!$V$6:$V$17,MONTH($C1384))&amp;" "&amp;YEAR($C1384))</f>
        <v/>
      </c>
      <c r="N1384" s="57">
        <f>IF($F1384="","",IF(COUNTIF(Постоянные!$C$8:$C$37,$F1384)&gt;0,"есть в Постоянных",IF(COUNTIF(Покупки!$C$7:$C$18,$F1384)&gt;0,"есть в Покупках","")))</f>
        <v/>
      </c>
      <c r="P1384">
        <f>IF($H1384&lt;&gt;"",$H1384,IF($I1384="Оплачено",N($G1384),0))</f>
        <v/>
      </c>
      <c r="Q1384">
        <f>IF($I1384="Отменено",0,IF($G1384&lt;&gt;"",$G1384,N($H1384)))</f>
        <v/>
      </c>
      <c r="R1384">
        <f>IF($C1384="","",IFERROR(DATE(Настройки!$C$8,Настройки!$D$9+MATCH($M1384,Настройки!$X$6:$X$17,0)-1,1),DATE(YEAR($C1384),MONTH($C1384),1)))</f>
        <v/>
      </c>
      <c r="S1384">
        <f>IF(OR($I1384="Оплачено",$H1384&lt;&gt;""),$P1384,$Q1384)</f>
        <v/>
      </c>
      <c r="T1384">
        <f>IF(OR($C1384="",$D1384="Доход",$I1384="Оплачено",$I1384="Отменено",$H1384&lt;&gt;"",$C1384&lt;TODAY()),"",$C1384)</f>
        <v/>
      </c>
      <c r="U1384">
        <f>IF(AND($D1384&lt;&gt;"Доход",COUNTIFS(Счета!$B$10:$B$21,$J1384,Счета!$C$10:$C$21,"Кредитная")&gt;0),1,0)</f>
        <v/>
      </c>
    </row>
    <row r="1385" ht="19" customHeight="1">
      <c r="B1385" s="53">
        <f>IF(AND($C1385="",$F1385=""),"",ROW()-9)</f>
        <v/>
      </c>
      <c r="C1385" s="213" t="n"/>
      <c r="D1385" s="55" t="n"/>
      <c r="E1385" s="55" t="n"/>
      <c r="F1385" s="56" t="n"/>
      <c r="G1385" s="196" t="n"/>
      <c r="H1385" s="196" t="n"/>
      <c r="I1385" s="55" t="n"/>
      <c r="J1385" s="55" t="n"/>
      <c r="K1385" s="55" t="n"/>
      <c r="L1385" s="100">
        <f>IF(OR($C1385="",$I1385="Оплачено",$I1385="Отменено",$H1385&lt;&gt;""),"",$C1385-TODAY())</f>
        <v/>
      </c>
      <c r="M1385" s="101">
        <f>IF($C1385="","",INDEX(Настройки!$V$6:$V$17,MONTH($C1385))&amp;" "&amp;YEAR($C1385))</f>
        <v/>
      </c>
      <c r="N1385" s="57">
        <f>IF($F1385="","",IF(COUNTIF(Постоянные!$C$8:$C$37,$F1385)&gt;0,"есть в Постоянных",IF(COUNTIF(Покупки!$C$7:$C$18,$F1385)&gt;0,"есть в Покупках","")))</f>
        <v/>
      </c>
      <c r="P1385">
        <f>IF($H1385&lt;&gt;"",$H1385,IF($I1385="Оплачено",N($G1385),0))</f>
        <v/>
      </c>
      <c r="Q1385">
        <f>IF($I1385="Отменено",0,IF($G1385&lt;&gt;"",$G1385,N($H1385)))</f>
        <v/>
      </c>
      <c r="R1385">
        <f>IF($C1385="","",IFERROR(DATE(Настройки!$C$8,Настройки!$D$9+MATCH($M1385,Настройки!$X$6:$X$17,0)-1,1),DATE(YEAR($C1385),MONTH($C1385),1)))</f>
        <v/>
      </c>
      <c r="S1385">
        <f>IF(OR($I1385="Оплачено",$H1385&lt;&gt;""),$P1385,$Q1385)</f>
        <v/>
      </c>
      <c r="T1385">
        <f>IF(OR($C1385="",$D1385="Доход",$I1385="Оплачено",$I1385="Отменено",$H1385&lt;&gt;"",$C1385&lt;TODAY()),"",$C1385)</f>
        <v/>
      </c>
      <c r="U1385">
        <f>IF(AND($D1385&lt;&gt;"Доход",COUNTIFS(Счета!$B$10:$B$21,$J1385,Счета!$C$10:$C$21,"Кредитная")&gt;0),1,0)</f>
        <v/>
      </c>
    </row>
    <row r="1386" ht="19" customHeight="1">
      <c r="B1386" s="53">
        <f>IF(AND($C1386="",$F1386=""),"",ROW()-9)</f>
        <v/>
      </c>
      <c r="C1386" s="213" t="n"/>
      <c r="D1386" s="55" t="n"/>
      <c r="E1386" s="55" t="n"/>
      <c r="F1386" s="56" t="n"/>
      <c r="G1386" s="196" t="n"/>
      <c r="H1386" s="196" t="n"/>
      <c r="I1386" s="55" t="n"/>
      <c r="J1386" s="55" t="n"/>
      <c r="K1386" s="55" t="n"/>
      <c r="L1386" s="100">
        <f>IF(OR($C1386="",$I1386="Оплачено",$I1386="Отменено",$H1386&lt;&gt;""),"",$C1386-TODAY())</f>
        <v/>
      </c>
      <c r="M1386" s="101">
        <f>IF($C1386="","",INDEX(Настройки!$V$6:$V$17,MONTH($C1386))&amp;" "&amp;YEAR($C1386))</f>
        <v/>
      </c>
      <c r="N1386" s="57">
        <f>IF($F1386="","",IF(COUNTIF(Постоянные!$C$8:$C$37,$F1386)&gt;0,"есть в Постоянных",IF(COUNTIF(Покупки!$C$7:$C$18,$F1386)&gt;0,"есть в Покупках","")))</f>
        <v/>
      </c>
      <c r="P1386">
        <f>IF($H1386&lt;&gt;"",$H1386,IF($I1386="Оплачено",N($G1386),0))</f>
        <v/>
      </c>
      <c r="Q1386">
        <f>IF($I1386="Отменено",0,IF($G1386&lt;&gt;"",$G1386,N($H1386)))</f>
        <v/>
      </c>
      <c r="R1386">
        <f>IF($C1386="","",IFERROR(DATE(Настройки!$C$8,Настройки!$D$9+MATCH($M1386,Настройки!$X$6:$X$17,0)-1,1),DATE(YEAR($C1386),MONTH($C1386),1)))</f>
        <v/>
      </c>
      <c r="S1386">
        <f>IF(OR($I1386="Оплачено",$H1386&lt;&gt;""),$P1386,$Q1386)</f>
        <v/>
      </c>
      <c r="T1386">
        <f>IF(OR($C1386="",$D1386="Доход",$I1386="Оплачено",$I1386="Отменено",$H1386&lt;&gt;"",$C1386&lt;TODAY()),"",$C1386)</f>
        <v/>
      </c>
      <c r="U1386">
        <f>IF(AND($D1386&lt;&gt;"Доход",COUNTIFS(Счета!$B$10:$B$21,$J1386,Счета!$C$10:$C$21,"Кредитная")&gt;0),1,0)</f>
        <v/>
      </c>
    </row>
    <row r="1387" ht="19" customHeight="1">
      <c r="B1387" s="53">
        <f>IF(AND($C1387="",$F1387=""),"",ROW()-9)</f>
        <v/>
      </c>
      <c r="C1387" s="213" t="n"/>
      <c r="D1387" s="55" t="n"/>
      <c r="E1387" s="55" t="n"/>
      <c r="F1387" s="56" t="n"/>
      <c r="G1387" s="196" t="n"/>
      <c r="H1387" s="196" t="n"/>
      <c r="I1387" s="55" t="n"/>
      <c r="J1387" s="55" t="n"/>
      <c r="K1387" s="55" t="n"/>
      <c r="L1387" s="100">
        <f>IF(OR($C1387="",$I1387="Оплачено",$I1387="Отменено",$H1387&lt;&gt;""),"",$C1387-TODAY())</f>
        <v/>
      </c>
      <c r="M1387" s="101">
        <f>IF($C1387="","",INDEX(Настройки!$V$6:$V$17,MONTH($C1387))&amp;" "&amp;YEAR($C1387))</f>
        <v/>
      </c>
      <c r="N1387" s="57">
        <f>IF($F1387="","",IF(COUNTIF(Постоянные!$C$8:$C$37,$F1387)&gt;0,"есть в Постоянных",IF(COUNTIF(Покупки!$C$7:$C$18,$F1387)&gt;0,"есть в Покупках","")))</f>
        <v/>
      </c>
      <c r="P1387">
        <f>IF($H1387&lt;&gt;"",$H1387,IF($I1387="Оплачено",N($G1387),0))</f>
        <v/>
      </c>
      <c r="Q1387">
        <f>IF($I1387="Отменено",0,IF($G1387&lt;&gt;"",$G1387,N($H1387)))</f>
        <v/>
      </c>
      <c r="R1387">
        <f>IF($C1387="","",IFERROR(DATE(Настройки!$C$8,Настройки!$D$9+MATCH($M1387,Настройки!$X$6:$X$17,0)-1,1),DATE(YEAR($C1387),MONTH($C1387),1)))</f>
        <v/>
      </c>
      <c r="S1387">
        <f>IF(OR($I1387="Оплачено",$H1387&lt;&gt;""),$P1387,$Q1387)</f>
        <v/>
      </c>
      <c r="T1387">
        <f>IF(OR($C1387="",$D1387="Доход",$I1387="Оплачено",$I1387="Отменено",$H1387&lt;&gt;"",$C1387&lt;TODAY()),"",$C1387)</f>
        <v/>
      </c>
      <c r="U1387">
        <f>IF(AND($D1387&lt;&gt;"Доход",COUNTIFS(Счета!$B$10:$B$21,$J1387,Счета!$C$10:$C$21,"Кредитная")&gt;0),1,0)</f>
        <v/>
      </c>
    </row>
    <row r="1388" ht="19" customHeight="1">
      <c r="B1388" s="53">
        <f>IF(AND($C1388="",$F1388=""),"",ROW()-9)</f>
        <v/>
      </c>
      <c r="C1388" s="213" t="n"/>
      <c r="D1388" s="55" t="n"/>
      <c r="E1388" s="55" t="n"/>
      <c r="F1388" s="56" t="n"/>
      <c r="G1388" s="196" t="n"/>
      <c r="H1388" s="196" t="n"/>
      <c r="I1388" s="55" t="n"/>
      <c r="J1388" s="55" t="n"/>
      <c r="K1388" s="55" t="n"/>
      <c r="L1388" s="100">
        <f>IF(OR($C1388="",$I1388="Оплачено",$I1388="Отменено",$H1388&lt;&gt;""),"",$C1388-TODAY())</f>
        <v/>
      </c>
      <c r="M1388" s="101">
        <f>IF($C1388="","",INDEX(Настройки!$V$6:$V$17,MONTH($C1388))&amp;" "&amp;YEAR($C1388))</f>
        <v/>
      </c>
      <c r="N1388" s="57">
        <f>IF($F1388="","",IF(COUNTIF(Постоянные!$C$8:$C$37,$F1388)&gt;0,"есть в Постоянных",IF(COUNTIF(Покупки!$C$7:$C$18,$F1388)&gt;0,"есть в Покупках","")))</f>
        <v/>
      </c>
      <c r="P1388">
        <f>IF($H1388&lt;&gt;"",$H1388,IF($I1388="Оплачено",N($G1388),0))</f>
        <v/>
      </c>
      <c r="Q1388">
        <f>IF($I1388="Отменено",0,IF($G1388&lt;&gt;"",$G1388,N($H1388)))</f>
        <v/>
      </c>
      <c r="R1388">
        <f>IF($C1388="","",IFERROR(DATE(Настройки!$C$8,Настройки!$D$9+MATCH($M1388,Настройки!$X$6:$X$17,0)-1,1),DATE(YEAR($C1388),MONTH($C1388),1)))</f>
        <v/>
      </c>
      <c r="S1388">
        <f>IF(OR($I1388="Оплачено",$H1388&lt;&gt;""),$P1388,$Q1388)</f>
        <v/>
      </c>
      <c r="T1388">
        <f>IF(OR($C1388="",$D1388="Доход",$I1388="Оплачено",$I1388="Отменено",$H1388&lt;&gt;"",$C1388&lt;TODAY()),"",$C1388)</f>
        <v/>
      </c>
      <c r="U1388">
        <f>IF(AND($D1388&lt;&gt;"Доход",COUNTIFS(Счета!$B$10:$B$21,$J1388,Счета!$C$10:$C$21,"Кредитная")&gt;0),1,0)</f>
        <v/>
      </c>
    </row>
    <row r="1389" ht="19" customHeight="1">
      <c r="B1389" s="53">
        <f>IF(AND($C1389="",$F1389=""),"",ROW()-9)</f>
        <v/>
      </c>
      <c r="C1389" s="213" t="n"/>
      <c r="D1389" s="55" t="n"/>
      <c r="E1389" s="55" t="n"/>
      <c r="F1389" s="56" t="n"/>
      <c r="G1389" s="196" t="n"/>
      <c r="H1389" s="196" t="n"/>
      <c r="I1389" s="55" t="n"/>
      <c r="J1389" s="55" t="n"/>
      <c r="K1389" s="55" t="n"/>
      <c r="L1389" s="100">
        <f>IF(OR($C1389="",$I1389="Оплачено",$I1389="Отменено",$H1389&lt;&gt;""),"",$C1389-TODAY())</f>
        <v/>
      </c>
      <c r="M1389" s="101">
        <f>IF($C1389="","",INDEX(Настройки!$V$6:$V$17,MONTH($C1389))&amp;" "&amp;YEAR($C1389))</f>
        <v/>
      </c>
      <c r="N1389" s="57">
        <f>IF($F1389="","",IF(COUNTIF(Постоянные!$C$8:$C$37,$F1389)&gt;0,"есть в Постоянных",IF(COUNTIF(Покупки!$C$7:$C$18,$F1389)&gt;0,"есть в Покупках","")))</f>
        <v/>
      </c>
      <c r="P1389">
        <f>IF($H1389&lt;&gt;"",$H1389,IF($I1389="Оплачено",N($G1389),0))</f>
        <v/>
      </c>
      <c r="Q1389">
        <f>IF($I1389="Отменено",0,IF($G1389&lt;&gt;"",$G1389,N($H1389)))</f>
        <v/>
      </c>
      <c r="R1389">
        <f>IF($C1389="","",IFERROR(DATE(Настройки!$C$8,Настройки!$D$9+MATCH($M1389,Настройки!$X$6:$X$17,0)-1,1),DATE(YEAR($C1389),MONTH($C1389),1)))</f>
        <v/>
      </c>
      <c r="S1389">
        <f>IF(OR($I1389="Оплачено",$H1389&lt;&gt;""),$P1389,$Q1389)</f>
        <v/>
      </c>
      <c r="T1389">
        <f>IF(OR($C1389="",$D1389="Доход",$I1389="Оплачено",$I1389="Отменено",$H1389&lt;&gt;"",$C1389&lt;TODAY()),"",$C1389)</f>
        <v/>
      </c>
      <c r="U1389">
        <f>IF(AND($D1389&lt;&gt;"Доход",COUNTIFS(Счета!$B$10:$B$21,$J1389,Счета!$C$10:$C$21,"Кредитная")&gt;0),1,0)</f>
        <v/>
      </c>
    </row>
    <row r="1390" ht="19" customHeight="1">
      <c r="B1390" s="53">
        <f>IF(AND($C1390="",$F1390=""),"",ROW()-9)</f>
        <v/>
      </c>
      <c r="C1390" s="213" t="n"/>
      <c r="D1390" s="55" t="n"/>
      <c r="E1390" s="55" t="n"/>
      <c r="F1390" s="56" t="n"/>
      <c r="G1390" s="196" t="n"/>
      <c r="H1390" s="196" t="n"/>
      <c r="I1390" s="55" t="n"/>
      <c r="J1390" s="55" t="n"/>
      <c r="K1390" s="55" t="n"/>
      <c r="L1390" s="100">
        <f>IF(OR($C1390="",$I1390="Оплачено",$I1390="Отменено",$H1390&lt;&gt;""),"",$C1390-TODAY())</f>
        <v/>
      </c>
      <c r="M1390" s="101">
        <f>IF($C1390="","",INDEX(Настройки!$V$6:$V$17,MONTH($C1390))&amp;" "&amp;YEAR($C1390))</f>
        <v/>
      </c>
      <c r="N1390" s="57">
        <f>IF($F1390="","",IF(COUNTIF(Постоянные!$C$8:$C$37,$F1390)&gt;0,"есть в Постоянных",IF(COUNTIF(Покупки!$C$7:$C$18,$F1390)&gt;0,"есть в Покупках","")))</f>
        <v/>
      </c>
      <c r="P1390">
        <f>IF($H1390&lt;&gt;"",$H1390,IF($I1390="Оплачено",N($G1390),0))</f>
        <v/>
      </c>
      <c r="Q1390">
        <f>IF($I1390="Отменено",0,IF($G1390&lt;&gt;"",$G1390,N($H1390)))</f>
        <v/>
      </c>
      <c r="R1390">
        <f>IF($C1390="","",IFERROR(DATE(Настройки!$C$8,Настройки!$D$9+MATCH($M1390,Настройки!$X$6:$X$17,0)-1,1),DATE(YEAR($C1390),MONTH($C1390),1)))</f>
        <v/>
      </c>
      <c r="S1390">
        <f>IF(OR($I1390="Оплачено",$H1390&lt;&gt;""),$P1390,$Q1390)</f>
        <v/>
      </c>
      <c r="T1390">
        <f>IF(OR($C1390="",$D1390="Доход",$I1390="Оплачено",$I1390="Отменено",$H1390&lt;&gt;"",$C1390&lt;TODAY()),"",$C1390)</f>
        <v/>
      </c>
      <c r="U1390">
        <f>IF(AND($D1390&lt;&gt;"Доход",COUNTIFS(Счета!$B$10:$B$21,$J1390,Счета!$C$10:$C$21,"Кредитная")&gt;0),1,0)</f>
        <v/>
      </c>
    </row>
    <row r="1391" ht="19" customHeight="1">
      <c r="B1391" s="53">
        <f>IF(AND($C1391="",$F1391=""),"",ROW()-9)</f>
        <v/>
      </c>
      <c r="C1391" s="213" t="n"/>
      <c r="D1391" s="55" t="n"/>
      <c r="E1391" s="55" t="n"/>
      <c r="F1391" s="56" t="n"/>
      <c r="G1391" s="196" t="n"/>
      <c r="H1391" s="196" t="n"/>
      <c r="I1391" s="55" t="n"/>
      <c r="J1391" s="55" t="n"/>
      <c r="K1391" s="55" t="n"/>
      <c r="L1391" s="100">
        <f>IF(OR($C1391="",$I1391="Оплачено",$I1391="Отменено",$H1391&lt;&gt;""),"",$C1391-TODAY())</f>
        <v/>
      </c>
      <c r="M1391" s="101">
        <f>IF($C1391="","",INDEX(Настройки!$V$6:$V$17,MONTH($C1391))&amp;" "&amp;YEAR($C1391))</f>
        <v/>
      </c>
      <c r="N1391" s="57">
        <f>IF($F1391="","",IF(COUNTIF(Постоянные!$C$8:$C$37,$F1391)&gt;0,"есть в Постоянных",IF(COUNTIF(Покупки!$C$7:$C$18,$F1391)&gt;0,"есть в Покупках","")))</f>
        <v/>
      </c>
      <c r="P1391">
        <f>IF($H1391&lt;&gt;"",$H1391,IF($I1391="Оплачено",N($G1391),0))</f>
        <v/>
      </c>
      <c r="Q1391">
        <f>IF($I1391="Отменено",0,IF($G1391&lt;&gt;"",$G1391,N($H1391)))</f>
        <v/>
      </c>
      <c r="R1391">
        <f>IF($C1391="","",IFERROR(DATE(Настройки!$C$8,Настройки!$D$9+MATCH($M1391,Настройки!$X$6:$X$17,0)-1,1),DATE(YEAR($C1391),MONTH($C1391),1)))</f>
        <v/>
      </c>
      <c r="S1391">
        <f>IF(OR($I1391="Оплачено",$H1391&lt;&gt;""),$P1391,$Q1391)</f>
        <v/>
      </c>
      <c r="T1391">
        <f>IF(OR($C1391="",$D1391="Доход",$I1391="Оплачено",$I1391="Отменено",$H1391&lt;&gt;"",$C1391&lt;TODAY()),"",$C1391)</f>
        <v/>
      </c>
      <c r="U1391">
        <f>IF(AND($D1391&lt;&gt;"Доход",COUNTIFS(Счета!$B$10:$B$21,$J1391,Счета!$C$10:$C$21,"Кредитная")&gt;0),1,0)</f>
        <v/>
      </c>
    </row>
    <row r="1392" ht="19" customHeight="1">
      <c r="B1392" s="53">
        <f>IF(AND($C1392="",$F1392=""),"",ROW()-9)</f>
        <v/>
      </c>
      <c r="C1392" s="213" t="n"/>
      <c r="D1392" s="55" t="n"/>
      <c r="E1392" s="55" t="n"/>
      <c r="F1392" s="56" t="n"/>
      <c r="G1392" s="196" t="n"/>
      <c r="H1392" s="196" t="n"/>
      <c r="I1392" s="55" t="n"/>
      <c r="J1392" s="55" t="n"/>
      <c r="K1392" s="55" t="n"/>
      <c r="L1392" s="100">
        <f>IF(OR($C1392="",$I1392="Оплачено",$I1392="Отменено",$H1392&lt;&gt;""),"",$C1392-TODAY())</f>
        <v/>
      </c>
      <c r="M1392" s="101">
        <f>IF($C1392="","",INDEX(Настройки!$V$6:$V$17,MONTH($C1392))&amp;" "&amp;YEAR($C1392))</f>
        <v/>
      </c>
      <c r="N1392" s="57">
        <f>IF($F1392="","",IF(COUNTIF(Постоянные!$C$8:$C$37,$F1392)&gt;0,"есть в Постоянных",IF(COUNTIF(Покупки!$C$7:$C$18,$F1392)&gt;0,"есть в Покупках","")))</f>
        <v/>
      </c>
      <c r="P1392">
        <f>IF($H1392&lt;&gt;"",$H1392,IF($I1392="Оплачено",N($G1392),0))</f>
        <v/>
      </c>
      <c r="Q1392">
        <f>IF($I1392="Отменено",0,IF($G1392&lt;&gt;"",$G1392,N($H1392)))</f>
        <v/>
      </c>
      <c r="R1392">
        <f>IF($C1392="","",IFERROR(DATE(Настройки!$C$8,Настройки!$D$9+MATCH($M1392,Настройки!$X$6:$X$17,0)-1,1),DATE(YEAR($C1392),MONTH($C1392),1)))</f>
        <v/>
      </c>
      <c r="S1392">
        <f>IF(OR($I1392="Оплачено",$H1392&lt;&gt;""),$P1392,$Q1392)</f>
        <v/>
      </c>
      <c r="T1392">
        <f>IF(OR($C1392="",$D1392="Доход",$I1392="Оплачено",$I1392="Отменено",$H1392&lt;&gt;"",$C1392&lt;TODAY()),"",$C1392)</f>
        <v/>
      </c>
      <c r="U1392">
        <f>IF(AND($D1392&lt;&gt;"Доход",COUNTIFS(Счета!$B$10:$B$21,$J1392,Счета!$C$10:$C$21,"Кредитная")&gt;0),1,0)</f>
        <v/>
      </c>
    </row>
    <row r="1393" ht="19" customHeight="1">
      <c r="B1393" s="53">
        <f>IF(AND($C1393="",$F1393=""),"",ROW()-9)</f>
        <v/>
      </c>
      <c r="C1393" s="213" t="n"/>
      <c r="D1393" s="55" t="n"/>
      <c r="E1393" s="55" t="n"/>
      <c r="F1393" s="56" t="n"/>
      <c r="G1393" s="196" t="n"/>
      <c r="H1393" s="196" t="n"/>
      <c r="I1393" s="55" t="n"/>
      <c r="J1393" s="55" t="n"/>
      <c r="K1393" s="55" t="n"/>
      <c r="L1393" s="100">
        <f>IF(OR($C1393="",$I1393="Оплачено",$I1393="Отменено",$H1393&lt;&gt;""),"",$C1393-TODAY())</f>
        <v/>
      </c>
      <c r="M1393" s="101">
        <f>IF($C1393="","",INDEX(Настройки!$V$6:$V$17,MONTH($C1393))&amp;" "&amp;YEAR($C1393))</f>
        <v/>
      </c>
      <c r="N1393" s="57">
        <f>IF($F1393="","",IF(COUNTIF(Постоянные!$C$8:$C$37,$F1393)&gt;0,"есть в Постоянных",IF(COUNTIF(Покупки!$C$7:$C$18,$F1393)&gt;0,"есть в Покупках","")))</f>
        <v/>
      </c>
      <c r="P1393">
        <f>IF($H1393&lt;&gt;"",$H1393,IF($I1393="Оплачено",N($G1393),0))</f>
        <v/>
      </c>
      <c r="Q1393">
        <f>IF($I1393="Отменено",0,IF($G1393&lt;&gt;"",$G1393,N($H1393)))</f>
        <v/>
      </c>
      <c r="R1393">
        <f>IF($C1393="","",IFERROR(DATE(Настройки!$C$8,Настройки!$D$9+MATCH($M1393,Настройки!$X$6:$X$17,0)-1,1),DATE(YEAR($C1393),MONTH($C1393),1)))</f>
        <v/>
      </c>
      <c r="S1393">
        <f>IF(OR($I1393="Оплачено",$H1393&lt;&gt;""),$P1393,$Q1393)</f>
        <v/>
      </c>
      <c r="T1393">
        <f>IF(OR($C1393="",$D1393="Доход",$I1393="Оплачено",$I1393="Отменено",$H1393&lt;&gt;"",$C1393&lt;TODAY()),"",$C1393)</f>
        <v/>
      </c>
      <c r="U1393">
        <f>IF(AND($D1393&lt;&gt;"Доход",COUNTIFS(Счета!$B$10:$B$21,$J1393,Счета!$C$10:$C$21,"Кредитная")&gt;0),1,0)</f>
        <v/>
      </c>
    </row>
    <row r="1394" ht="19" customHeight="1">
      <c r="B1394" s="53">
        <f>IF(AND($C1394="",$F1394=""),"",ROW()-9)</f>
        <v/>
      </c>
      <c r="C1394" s="213" t="n"/>
      <c r="D1394" s="55" t="n"/>
      <c r="E1394" s="55" t="n"/>
      <c r="F1394" s="56" t="n"/>
      <c r="G1394" s="196" t="n"/>
      <c r="H1394" s="196" t="n"/>
      <c r="I1394" s="55" t="n"/>
      <c r="J1394" s="55" t="n"/>
      <c r="K1394" s="55" t="n"/>
      <c r="L1394" s="100">
        <f>IF(OR($C1394="",$I1394="Оплачено",$I1394="Отменено",$H1394&lt;&gt;""),"",$C1394-TODAY())</f>
        <v/>
      </c>
      <c r="M1394" s="101">
        <f>IF($C1394="","",INDEX(Настройки!$V$6:$V$17,MONTH($C1394))&amp;" "&amp;YEAR($C1394))</f>
        <v/>
      </c>
      <c r="N1394" s="57">
        <f>IF($F1394="","",IF(COUNTIF(Постоянные!$C$8:$C$37,$F1394)&gt;0,"есть в Постоянных",IF(COUNTIF(Покупки!$C$7:$C$18,$F1394)&gt;0,"есть в Покупках","")))</f>
        <v/>
      </c>
      <c r="P1394">
        <f>IF($H1394&lt;&gt;"",$H1394,IF($I1394="Оплачено",N($G1394),0))</f>
        <v/>
      </c>
      <c r="Q1394">
        <f>IF($I1394="Отменено",0,IF($G1394&lt;&gt;"",$G1394,N($H1394)))</f>
        <v/>
      </c>
      <c r="R1394">
        <f>IF($C1394="","",IFERROR(DATE(Настройки!$C$8,Настройки!$D$9+MATCH($M1394,Настройки!$X$6:$X$17,0)-1,1),DATE(YEAR($C1394),MONTH($C1394),1)))</f>
        <v/>
      </c>
      <c r="S1394">
        <f>IF(OR($I1394="Оплачено",$H1394&lt;&gt;""),$P1394,$Q1394)</f>
        <v/>
      </c>
      <c r="T1394">
        <f>IF(OR($C1394="",$D1394="Доход",$I1394="Оплачено",$I1394="Отменено",$H1394&lt;&gt;"",$C1394&lt;TODAY()),"",$C1394)</f>
        <v/>
      </c>
      <c r="U1394">
        <f>IF(AND($D1394&lt;&gt;"Доход",COUNTIFS(Счета!$B$10:$B$21,$J1394,Счета!$C$10:$C$21,"Кредитная")&gt;0),1,0)</f>
        <v/>
      </c>
    </row>
    <row r="1395" ht="19" customHeight="1">
      <c r="B1395" s="53">
        <f>IF(AND($C1395="",$F1395=""),"",ROW()-9)</f>
        <v/>
      </c>
      <c r="C1395" s="213" t="n"/>
      <c r="D1395" s="55" t="n"/>
      <c r="E1395" s="55" t="n"/>
      <c r="F1395" s="56" t="n"/>
      <c r="G1395" s="196" t="n"/>
      <c r="H1395" s="196" t="n"/>
      <c r="I1395" s="55" t="n"/>
      <c r="J1395" s="55" t="n"/>
      <c r="K1395" s="55" t="n"/>
      <c r="L1395" s="100">
        <f>IF(OR($C1395="",$I1395="Оплачено",$I1395="Отменено",$H1395&lt;&gt;""),"",$C1395-TODAY())</f>
        <v/>
      </c>
      <c r="M1395" s="101">
        <f>IF($C1395="","",INDEX(Настройки!$V$6:$V$17,MONTH($C1395))&amp;" "&amp;YEAR($C1395))</f>
        <v/>
      </c>
      <c r="N1395" s="57">
        <f>IF($F1395="","",IF(COUNTIF(Постоянные!$C$8:$C$37,$F1395)&gt;0,"есть в Постоянных",IF(COUNTIF(Покупки!$C$7:$C$18,$F1395)&gt;0,"есть в Покупках","")))</f>
        <v/>
      </c>
      <c r="P1395">
        <f>IF($H1395&lt;&gt;"",$H1395,IF($I1395="Оплачено",N($G1395),0))</f>
        <v/>
      </c>
      <c r="Q1395">
        <f>IF($I1395="Отменено",0,IF($G1395&lt;&gt;"",$G1395,N($H1395)))</f>
        <v/>
      </c>
      <c r="R1395">
        <f>IF($C1395="","",IFERROR(DATE(Настройки!$C$8,Настройки!$D$9+MATCH($M1395,Настройки!$X$6:$X$17,0)-1,1),DATE(YEAR($C1395),MONTH($C1395),1)))</f>
        <v/>
      </c>
      <c r="S1395">
        <f>IF(OR($I1395="Оплачено",$H1395&lt;&gt;""),$P1395,$Q1395)</f>
        <v/>
      </c>
      <c r="T1395">
        <f>IF(OR($C1395="",$D1395="Доход",$I1395="Оплачено",$I1395="Отменено",$H1395&lt;&gt;"",$C1395&lt;TODAY()),"",$C1395)</f>
        <v/>
      </c>
      <c r="U1395">
        <f>IF(AND($D1395&lt;&gt;"Доход",COUNTIFS(Счета!$B$10:$B$21,$J1395,Счета!$C$10:$C$21,"Кредитная")&gt;0),1,0)</f>
        <v/>
      </c>
    </row>
    <row r="1396" ht="19" customHeight="1">
      <c r="B1396" s="53">
        <f>IF(AND($C1396="",$F1396=""),"",ROW()-9)</f>
        <v/>
      </c>
      <c r="C1396" s="213" t="n"/>
      <c r="D1396" s="55" t="n"/>
      <c r="E1396" s="55" t="n"/>
      <c r="F1396" s="56" t="n"/>
      <c r="G1396" s="196" t="n"/>
      <c r="H1396" s="196" t="n"/>
      <c r="I1396" s="55" t="n"/>
      <c r="J1396" s="55" t="n"/>
      <c r="K1396" s="55" t="n"/>
      <c r="L1396" s="100">
        <f>IF(OR($C1396="",$I1396="Оплачено",$I1396="Отменено",$H1396&lt;&gt;""),"",$C1396-TODAY())</f>
        <v/>
      </c>
      <c r="M1396" s="101">
        <f>IF($C1396="","",INDEX(Настройки!$V$6:$V$17,MONTH($C1396))&amp;" "&amp;YEAR($C1396))</f>
        <v/>
      </c>
      <c r="N1396" s="57">
        <f>IF($F1396="","",IF(COUNTIF(Постоянные!$C$8:$C$37,$F1396)&gt;0,"есть в Постоянных",IF(COUNTIF(Покупки!$C$7:$C$18,$F1396)&gt;0,"есть в Покупках","")))</f>
        <v/>
      </c>
      <c r="P1396">
        <f>IF($H1396&lt;&gt;"",$H1396,IF($I1396="Оплачено",N($G1396),0))</f>
        <v/>
      </c>
      <c r="Q1396">
        <f>IF($I1396="Отменено",0,IF($G1396&lt;&gt;"",$G1396,N($H1396)))</f>
        <v/>
      </c>
      <c r="R1396">
        <f>IF($C1396="","",IFERROR(DATE(Настройки!$C$8,Настройки!$D$9+MATCH($M1396,Настройки!$X$6:$X$17,0)-1,1),DATE(YEAR($C1396),MONTH($C1396),1)))</f>
        <v/>
      </c>
      <c r="S1396">
        <f>IF(OR($I1396="Оплачено",$H1396&lt;&gt;""),$P1396,$Q1396)</f>
        <v/>
      </c>
      <c r="T1396">
        <f>IF(OR($C1396="",$D1396="Доход",$I1396="Оплачено",$I1396="Отменено",$H1396&lt;&gt;"",$C1396&lt;TODAY()),"",$C1396)</f>
        <v/>
      </c>
      <c r="U1396">
        <f>IF(AND($D1396&lt;&gt;"Доход",COUNTIFS(Счета!$B$10:$B$21,$J1396,Счета!$C$10:$C$21,"Кредитная")&gt;0),1,0)</f>
        <v/>
      </c>
    </row>
    <row r="1397" ht="19" customHeight="1">
      <c r="B1397" s="53">
        <f>IF(AND($C1397="",$F1397=""),"",ROW()-9)</f>
        <v/>
      </c>
      <c r="C1397" s="213" t="n"/>
      <c r="D1397" s="55" t="n"/>
      <c r="E1397" s="55" t="n"/>
      <c r="F1397" s="56" t="n"/>
      <c r="G1397" s="196" t="n"/>
      <c r="H1397" s="196" t="n"/>
      <c r="I1397" s="55" t="n"/>
      <c r="J1397" s="55" t="n"/>
      <c r="K1397" s="55" t="n"/>
      <c r="L1397" s="100">
        <f>IF(OR($C1397="",$I1397="Оплачено",$I1397="Отменено",$H1397&lt;&gt;""),"",$C1397-TODAY())</f>
        <v/>
      </c>
      <c r="M1397" s="101">
        <f>IF($C1397="","",INDEX(Настройки!$V$6:$V$17,MONTH($C1397))&amp;" "&amp;YEAR($C1397))</f>
        <v/>
      </c>
      <c r="N1397" s="57">
        <f>IF($F1397="","",IF(COUNTIF(Постоянные!$C$8:$C$37,$F1397)&gt;0,"есть в Постоянных",IF(COUNTIF(Покупки!$C$7:$C$18,$F1397)&gt;0,"есть в Покупках","")))</f>
        <v/>
      </c>
      <c r="P1397">
        <f>IF($H1397&lt;&gt;"",$H1397,IF($I1397="Оплачено",N($G1397),0))</f>
        <v/>
      </c>
      <c r="Q1397">
        <f>IF($I1397="Отменено",0,IF($G1397&lt;&gt;"",$G1397,N($H1397)))</f>
        <v/>
      </c>
      <c r="R1397">
        <f>IF($C1397="","",IFERROR(DATE(Настройки!$C$8,Настройки!$D$9+MATCH($M1397,Настройки!$X$6:$X$17,0)-1,1),DATE(YEAR($C1397),MONTH($C1397),1)))</f>
        <v/>
      </c>
      <c r="S1397">
        <f>IF(OR($I1397="Оплачено",$H1397&lt;&gt;""),$P1397,$Q1397)</f>
        <v/>
      </c>
      <c r="T1397">
        <f>IF(OR($C1397="",$D1397="Доход",$I1397="Оплачено",$I1397="Отменено",$H1397&lt;&gt;"",$C1397&lt;TODAY()),"",$C1397)</f>
        <v/>
      </c>
      <c r="U1397">
        <f>IF(AND($D1397&lt;&gt;"Доход",COUNTIFS(Счета!$B$10:$B$21,$J1397,Счета!$C$10:$C$21,"Кредитная")&gt;0),1,0)</f>
        <v/>
      </c>
    </row>
    <row r="1398" ht="19" customHeight="1">
      <c r="B1398" s="53">
        <f>IF(AND($C1398="",$F1398=""),"",ROW()-9)</f>
        <v/>
      </c>
      <c r="C1398" s="213" t="n"/>
      <c r="D1398" s="55" t="n"/>
      <c r="E1398" s="55" t="n"/>
      <c r="F1398" s="56" t="n"/>
      <c r="G1398" s="196" t="n"/>
      <c r="H1398" s="196" t="n"/>
      <c r="I1398" s="55" t="n"/>
      <c r="J1398" s="55" t="n"/>
      <c r="K1398" s="55" t="n"/>
      <c r="L1398" s="100">
        <f>IF(OR($C1398="",$I1398="Оплачено",$I1398="Отменено",$H1398&lt;&gt;""),"",$C1398-TODAY())</f>
        <v/>
      </c>
      <c r="M1398" s="101">
        <f>IF($C1398="","",INDEX(Настройки!$V$6:$V$17,MONTH($C1398))&amp;" "&amp;YEAR($C1398))</f>
        <v/>
      </c>
      <c r="N1398" s="57">
        <f>IF($F1398="","",IF(COUNTIF(Постоянные!$C$8:$C$37,$F1398)&gt;0,"есть в Постоянных",IF(COUNTIF(Покупки!$C$7:$C$18,$F1398)&gt;0,"есть в Покупках","")))</f>
        <v/>
      </c>
      <c r="P1398">
        <f>IF($H1398&lt;&gt;"",$H1398,IF($I1398="Оплачено",N($G1398),0))</f>
        <v/>
      </c>
      <c r="Q1398">
        <f>IF($I1398="Отменено",0,IF($G1398&lt;&gt;"",$G1398,N($H1398)))</f>
        <v/>
      </c>
      <c r="R1398">
        <f>IF($C1398="","",IFERROR(DATE(Настройки!$C$8,Настройки!$D$9+MATCH($M1398,Настройки!$X$6:$X$17,0)-1,1),DATE(YEAR($C1398),MONTH($C1398),1)))</f>
        <v/>
      </c>
      <c r="S1398">
        <f>IF(OR($I1398="Оплачено",$H1398&lt;&gt;""),$P1398,$Q1398)</f>
        <v/>
      </c>
      <c r="T1398">
        <f>IF(OR($C1398="",$D1398="Доход",$I1398="Оплачено",$I1398="Отменено",$H1398&lt;&gt;"",$C1398&lt;TODAY()),"",$C1398)</f>
        <v/>
      </c>
      <c r="U1398">
        <f>IF(AND($D1398&lt;&gt;"Доход",COUNTIFS(Счета!$B$10:$B$21,$J1398,Счета!$C$10:$C$21,"Кредитная")&gt;0),1,0)</f>
        <v/>
      </c>
    </row>
    <row r="1399" ht="19" customHeight="1">
      <c r="B1399" s="53">
        <f>IF(AND($C1399="",$F1399=""),"",ROW()-9)</f>
        <v/>
      </c>
      <c r="C1399" s="213" t="n"/>
      <c r="D1399" s="55" t="n"/>
      <c r="E1399" s="55" t="n"/>
      <c r="F1399" s="56" t="n"/>
      <c r="G1399" s="196" t="n"/>
      <c r="H1399" s="196" t="n"/>
      <c r="I1399" s="55" t="n"/>
      <c r="J1399" s="55" t="n"/>
      <c r="K1399" s="55" t="n"/>
      <c r="L1399" s="100">
        <f>IF(OR($C1399="",$I1399="Оплачено",$I1399="Отменено",$H1399&lt;&gt;""),"",$C1399-TODAY())</f>
        <v/>
      </c>
      <c r="M1399" s="101">
        <f>IF($C1399="","",INDEX(Настройки!$V$6:$V$17,MONTH($C1399))&amp;" "&amp;YEAR($C1399))</f>
        <v/>
      </c>
      <c r="N1399" s="57">
        <f>IF($F1399="","",IF(COUNTIF(Постоянные!$C$8:$C$37,$F1399)&gt;0,"есть в Постоянных",IF(COUNTIF(Покупки!$C$7:$C$18,$F1399)&gt;0,"есть в Покупках","")))</f>
        <v/>
      </c>
      <c r="P1399">
        <f>IF($H1399&lt;&gt;"",$H1399,IF($I1399="Оплачено",N($G1399),0))</f>
        <v/>
      </c>
      <c r="Q1399">
        <f>IF($I1399="Отменено",0,IF($G1399&lt;&gt;"",$G1399,N($H1399)))</f>
        <v/>
      </c>
      <c r="R1399">
        <f>IF($C1399="","",IFERROR(DATE(Настройки!$C$8,Настройки!$D$9+MATCH($M1399,Настройки!$X$6:$X$17,0)-1,1),DATE(YEAR($C1399),MONTH($C1399),1)))</f>
        <v/>
      </c>
      <c r="S1399">
        <f>IF(OR($I1399="Оплачено",$H1399&lt;&gt;""),$P1399,$Q1399)</f>
        <v/>
      </c>
      <c r="T1399">
        <f>IF(OR($C1399="",$D1399="Доход",$I1399="Оплачено",$I1399="Отменено",$H1399&lt;&gt;"",$C1399&lt;TODAY()),"",$C1399)</f>
        <v/>
      </c>
      <c r="U1399">
        <f>IF(AND($D1399&lt;&gt;"Доход",COUNTIFS(Счета!$B$10:$B$21,$J1399,Счета!$C$10:$C$21,"Кредитная")&gt;0),1,0)</f>
        <v/>
      </c>
    </row>
    <row r="1400" ht="19" customHeight="1">
      <c r="B1400" s="53">
        <f>IF(AND($C1400="",$F1400=""),"",ROW()-9)</f>
        <v/>
      </c>
      <c r="C1400" s="213" t="n"/>
      <c r="D1400" s="55" t="n"/>
      <c r="E1400" s="55" t="n"/>
      <c r="F1400" s="56" t="n"/>
      <c r="G1400" s="196" t="n"/>
      <c r="H1400" s="196" t="n"/>
      <c r="I1400" s="55" t="n"/>
      <c r="J1400" s="55" t="n"/>
      <c r="K1400" s="55" t="n"/>
      <c r="L1400" s="100">
        <f>IF(OR($C1400="",$I1400="Оплачено",$I1400="Отменено",$H1400&lt;&gt;""),"",$C1400-TODAY())</f>
        <v/>
      </c>
      <c r="M1400" s="101">
        <f>IF($C1400="","",INDEX(Настройки!$V$6:$V$17,MONTH($C1400))&amp;" "&amp;YEAR($C1400))</f>
        <v/>
      </c>
      <c r="N1400" s="57">
        <f>IF($F1400="","",IF(COUNTIF(Постоянные!$C$8:$C$37,$F1400)&gt;0,"есть в Постоянных",IF(COUNTIF(Покупки!$C$7:$C$18,$F1400)&gt;0,"есть в Покупках","")))</f>
        <v/>
      </c>
      <c r="P1400">
        <f>IF($H1400&lt;&gt;"",$H1400,IF($I1400="Оплачено",N($G1400),0))</f>
        <v/>
      </c>
      <c r="Q1400">
        <f>IF($I1400="Отменено",0,IF($G1400&lt;&gt;"",$G1400,N($H1400)))</f>
        <v/>
      </c>
      <c r="R1400">
        <f>IF($C1400="","",IFERROR(DATE(Настройки!$C$8,Настройки!$D$9+MATCH($M1400,Настройки!$X$6:$X$17,0)-1,1),DATE(YEAR($C1400),MONTH($C1400),1)))</f>
        <v/>
      </c>
      <c r="S1400">
        <f>IF(OR($I1400="Оплачено",$H1400&lt;&gt;""),$P1400,$Q1400)</f>
        <v/>
      </c>
      <c r="T1400">
        <f>IF(OR($C1400="",$D1400="Доход",$I1400="Оплачено",$I1400="Отменено",$H1400&lt;&gt;"",$C1400&lt;TODAY()),"",$C1400)</f>
        <v/>
      </c>
      <c r="U1400">
        <f>IF(AND($D1400&lt;&gt;"Доход",COUNTIFS(Счета!$B$10:$B$21,$J1400,Счета!$C$10:$C$21,"Кредитная")&gt;0),1,0)</f>
        <v/>
      </c>
    </row>
    <row r="1401" ht="19" customHeight="1">
      <c r="B1401" s="53">
        <f>IF(AND($C1401="",$F1401=""),"",ROW()-9)</f>
        <v/>
      </c>
      <c r="C1401" s="213" t="n"/>
      <c r="D1401" s="55" t="n"/>
      <c r="E1401" s="55" t="n"/>
      <c r="F1401" s="56" t="n"/>
      <c r="G1401" s="196" t="n"/>
      <c r="H1401" s="196" t="n"/>
      <c r="I1401" s="55" t="n"/>
      <c r="J1401" s="55" t="n"/>
      <c r="K1401" s="55" t="n"/>
      <c r="L1401" s="100">
        <f>IF(OR($C1401="",$I1401="Оплачено",$I1401="Отменено",$H1401&lt;&gt;""),"",$C1401-TODAY())</f>
        <v/>
      </c>
      <c r="M1401" s="101">
        <f>IF($C1401="","",INDEX(Настройки!$V$6:$V$17,MONTH($C1401))&amp;" "&amp;YEAR($C1401))</f>
        <v/>
      </c>
      <c r="N1401" s="57">
        <f>IF($F1401="","",IF(COUNTIF(Постоянные!$C$8:$C$37,$F1401)&gt;0,"есть в Постоянных",IF(COUNTIF(Покупки!$C$7:$C$18,$F1401)&gt;0,"есть в Покупках","")))</f>
        <v/>
      </c>
      <c r="P1401">
        <f>IF($H1401&lt;&gt;"",$H1401,IF($I1401="Оплачено",N($G1401),0))</f>
        <v/>
      </c>
      <c r="Q1401">
        <f>IF($I1401="Отменено",0,IF($G1401&lt;&gt;"",$G1401,N($H1401)))</f>
        <v/>
      </c>
      <c r="R1401">
        <f>IF($C1401="","",IFERROR(DATE(Настройки!$C$8,Настройки!$D$9+MATCH($M1401,Настройки!$X$6:$X$17,0)-1,1),DATE(YEAR($C1401),MONTH($C1401),1)))</f>
        <v/>
      </c>
      <c r="S1401">
        <f>IF(OR($I1401="Оплачено",$H1401&lt;&gt;""),$P1401,$Q1401)</f>
        <v/>
      </c>
      <c r="T1401">
        <f>IF(OR($C1401="",$D1401="Доход",$I1401="Оплачено",$I1401="Отменено",$H1401&lt;&gt;"",$C1401&lt;TODAY()),"",$C1401)</f>
        <v/>
      </c>
      <c r="U1401">
        <f>IF(AND($D1401&lt;&gt;"Доход",COUNTIFS(Счета!$B$10:$B$21,$J1401,Счета!$C$10:$C$21,"Кредитная")&gt;0),1,0)</f>
        <v/>
      </c>
    </row>
    <row r="1402" ht="19" customHeight="1">
      <c r="B1402" s="53">
        <f>IF(AND($C1402="",$F1402=""),"",ROW()-9)</f>
        <v/>
      </c>
      <c r="C1402" s="213" t="n"/>
      <c r="D1402" s="55" t="n"/>
      <c r="E1402" s="55" t="n"/>
      <c r="F1402" s="56" t="n"/>
      <c r="G1402" s="196" t="n"/>
      <c r="H1402" s="196" t="n"/>
      <c r="I1402" s="55" t="n"/>
      <c r="J1402" s="55" t="n"/>
      <c r="K1402" s="55" t="n"/>
      <c r="L1402" s="100">
        <f>IF(OR($C1402="",$I1402="Оплачено",$I1402="Отменено",$H1402&lt;&gt;""),"",$C1402-TODAY())</f>
        <v/>
      </c>
      <c r="M1402" s="101">
        <f>IF($C1402="","",INDEX(Настройки!$V$6:$V$17,MONTH($C1402))&amp;" "&amp;YEAR($C1402))</f>
        <v/>
      </c>
      <c r="N1402" s="57">
        <f>IF($F1402="","",IF(COUNTIF(Постоянные!$C$8:$C$37,$F1402)&gt;0,"есть в Постоянных",IF(COUNTIF(Покупки!$C$7:$C$18,$F1402)&gt;0,"есть в Покупках","")))</f>
        <v/>
      </c>
      <c r="P1402">
        <f>IF($H1402&lt;&gt;"",$H1402,IF($I1402="Оплачено",N($G1402),0))</f>
        <v/>
      </c>
      <c r="Q1402">
        <f>IF($I1402="Отменено",0,IF($G1402&lt;&gt;"",$G1402,N($H1402)))</f>
        <v/>
      </c>
      <c r="R1402">
        <f>IF($C1402="","",IFERROR(DATE(Настройки!$C$8,Настройки!$D$9+MATCH($M1402,Настройки!$X$6:$X$17,0)-1,1),DATE(YEAR($C1402),MONTH($C1402),1)))</f>
        <v/>
      </c>
      <c r="S1402">
        <f>IF(OR($I1402="Оплачено",$H1402&lt;&gt;""),$P1402,$Q1402)</f>
        <v/>
      </c>
      <c r="T1402">
        <f>IF(OR($C1402="",$D1402="Доход",$I1402="Оплачено",$I1402="Отменено",$H1402&lt;&gt;"",$C1402&lt;TODAY()),"",$C1402)</f>
        <v/>
      </c>
      <c r="U1402">
        <f>IF(AND($D1402&lt;&gt;"Доход",COUNTIFS(Счета!$B$10:$B$21,$J1402,Счета!$C$10:$C$21,"Кредитная")&gt;0),1,0)</f>
        <v/>
      </c>
    </row>
    <row r="1403" ht="19" customHeight="1">
      <c r="B1403" s="53">
        <f>IF(AND($C1403="",$F1403=""),"",ROW()-9)</f>
        <v/>
      </c>
      <c r="C1403" s="213" t="n"/>
      <c r="D1403" s="55" t="n"/>
      <c r="E1403" s="55" t="n"/>
      <c r="F1403" s="56" t="n"/>
      <c r="G1403" s="196" t="n"/>
      <c r="H1403" s="196" t="n"/>
      <c r="I1403" s="55" t="n"/>
      <c r="J1403" s="55" t="n"/>
      <c r="K1403" s="55" t="n"/>
      <c r="L1403" s="100">
        <f>IF(OR($C1403="",$I1403="Оплачено",$I1403="Отменено",$H1403&lt;&gt;""),"",$C1403-TODAY())</f>
        <v/>
      </c>
      <c r="M1403" s="101">
        <f>IF($C1403="","",INDEX(Настройки!$V$6:$V$17,MONTH($C1403))&amp;" "&amp;YEAR($C1403))</f>
        <v/>
      </c>
      <c r="N1403" s="57">
        <f>IF($F1403="","",IF(COUNTIF(Постоянные!$C$8:$C$37,$F1403)&gt;0,"есть в Постоянных",IF(COUNTIF(Покупки!$C$7:$C$18,$F1403)&gt;0,"есть в Покупках","")))</f>
        <v/>
      </c>
      <c r="P1403">
        <f>IF($H1403&lt;&gt;"",$H1403,IF($I1403="Оплачено",N($G1403),0))</f>
        <v/>
      </c>
      <c r="Q1403">
        <f>IF($I1403="Отменено",0,IF($G1403&lt;&gt;"",$G1403,N($H1403)))</f>
        <v/>
      </c>
      <c r="R1403">
        <f>IF($C1403="","",IFERROR(DATE(Настройки!$C$8,Настройки!$D$9+MATCH($M1403,Настройки!$X$6:$X$17,0)-1,1),DATE(YEAR($C1403),MONTH($C1403),1)))</f>
        <v/>
      </c>
      <c r="S1403">
        <f>IF(OR($I1403="Оплачено",$H1403&lt;&gt;""),$P1403,$Q1403)</f>
        <v/>
      </c>
      <c r="T1403">
        <f>IF(OR($C1403="",$D1403="Доход",$I1403="Оплачено",$I1403="Отменено",$H1403&lt;&gt;"",$C1403&lt;TODAY()),"",$C1403)</f>
        <v/>
      </c>
      <c r="U1403">
        <f>IF(AND($D1403&lt;&gt;"Доход",COUNTIFS(Счета!$B$10:$B$21,$J1403,Счета!$C$10:$C$21,"Кредитная")&gt;0),1,0)</f>
        <v/>
      </c>
    </row>
    <row r="1404" ht="19" customHeight="1">
      <c r="B1404" s="53">
        <f>IF(AND($C1404="",$F1404=""),"",ROW()-9)</f>
        <v/>
      </c>
      <c r="C1404" s="213" t="n"/>
      <c r="D1404" s="55" t="n"/>
      <c r="E1404" s="55" t="n"/>
      <c r="F1404" s="56" t="n"/>
      <c r="G1404" s="196" t="n"/>
      <c r="H1404" s="196" t="n"/>
      <c r="I1404" s="55" t="n"/>
      <c r="J1404" s="55" t="n"/>
      <c r="K1404" s="55" t="n"/>
      <c r="L1404" s="100">
        <f>IF(OR($C1404="",$I1404="Оплачено",$I1404="Отменено",$H1404&lt;&gt;""),"",$C1404-TODAY())</f>
        <v/>
      </c>
      <c r="M1404" s="101">
        <f>IF($C1404="","",INDEX(Настройки!$V$6:$V$17,MONTH($C1404))&amp;" "&amp;YEAR($C1404))</f>
        <v/>
      </c>
      <c r="N1404" s="57">
        <f>IF($F1404="","",IF(COUNTIF(Постоянные!$C$8:$C$37,$F1404)&gt;0,"есть в Постоянных",IF(COUNTIF(Покупки!$C$7:$C$18,$F1404)&gt;0,"есть в Покупках","")))</f>
        <v/>
      </c>
      <c r="P1404">
        <f>IF($H1404&lt;&gt;"",$H1404,IF($I1404="Оплачено",N($G1404),0))</f>
        <v/>
      </c>
      <c r="Q1404">
        <f>IF($I1404="Отменено",0,IF($G1404&lt;&gt;"",$G1404,N($H1404)))</f>
        <v/>
      </c>
      <c r="R1404">
        <f>IF($C1404="","",IFERROR(DATE(Настройки!$C$8,Настройки!$D$9+MATCH($M1404,Настройки!$X$6:$X$17,0)-1,1),DATE(YEAR($C1404),MONTH($C1404),1)))</f>
        <v/>
      </c>
      <c r="S1404">
        <f>IF(OR($I1404="Оплачено",$H1404&lt;&gt;""),$P1404,$Q1404)</f>
        <v/>
      </c>
      <c r="T1404">
        <f>IF(OR($C1404="",$D1404="Доход",$I1404="Оплачено",$I1404="Отменено",$H1404&lt;&gt;"",$C1404&lt;TODAY()),"",$C1404)</f>
        <v/>
      </c>
      <c r="U1404">
        <f>IF(AND($D1404&lt;&gt;"Доход",COUNTIFS(Счета!$B$10:$B$21,$J1404,Счета!$C$10:$C$21,"Кредитная")&gt;0),1,0)</f>
        <v/>
      </c>
    </row>
    <row r="1405" ht="19" customHeight="1">
      <c r="B1405" s="53">
        <f>IF(AND($C1405="",$F1405=""),"",ROW()-9)</f>
        <v/>
      </c>
      <c r="C1405" s="213" t="n"/>
      <c r="D1405" s="55" t="n"/>
      <c r="E1405" s="55" t="n"/>
      <c r="F1405" s="56" t="n"/>
      <c r="G1405" s="196" t="n"/>
      <c r="H1405" s="196" t="n"/>
      <c r="I1405" s="55" t="n"/>
      <c r="J1405" s="55" t="n"/>
      <c r="K1405" s="55" t="n"/>
      <c r="L1405" s="100">
        <f>IF(OR($C1405="",$I1405="Оплачено",$I1405="Отменено",$H1405&lt;&gt;""),"",$C1405-TODAY())</f>
        <v/>
      </c>
      <c r="M1405" s="101">
        <f>IF($C1405="","",INDEX(Настройки!$V$6:$V$17,MONTH($C1405))&amp;" "&amp;YEAR($C1405))</f>
        <v/>
      </c>
      <c r="N1405" s="57">
        <f>IF($F1405="","",IF(COUNTIF(Постоянные!$C$8:$C$37,$F1405)&gt;0,"есть в Постоянных",IF(COUNTIF(Покупки!$C$7:$C$18,$F1405)&gt;0,"есть в Покупках","")))</f>
        <v/>
      </c>
      <c r="P1405">
        <f>IF($H1405&lt;&gt;"",$H1405,IF($I1405="Оплачено",N($G1405),0))</f>
        <v/>
      </c>
      <c r="Q1405">
        <f>IF($I1405="Отменено",0,IF($G1405&lt;&gt;"",$G1405,N($H1405)))</f>
        <v/>
      </c>
      <c r="R1405">
        <f>IF($C1405="","",IFERROR(DATE(Настройки!$C$8,Настройки!$D$9+MATCH($M1405,Настройки!$X$6:$X$17,0)-1,1),DATE(YEAR($C1405),MONTH($C1405),1)))</f>
        <v/>
      </c>
      <c r="S1405">
        <f>IF(OR($I1405="Оплачено",$H1405&lt;&gt;""),$P1405,$Q1405)</f>
        <v/>
      </c>
      <c r="T1405">
        <f>IF(OR($C1405="",$D1405="Доход",$I1405="Оплачено",$I1405="Отменено",$H1405&lt;&gt;"",$C1405&lt;TODAY()),"",$C1405)</f>
        <v/>
      </c>
      <c r="U1405">
        <f>IF(AND($D1405&lt;&gt;"Доход",COUNTIFS(Счета!$B$10:$B$21,$J1405,Счета!$C$10:$C$21,"Кредитная")&gt;0),1,0)</f>
        <v/>
      </c>
    </row>
    <row r="1406" ht="19" customHeight="1">
      <c r="B1406" s="53">
        <f>IF(AND($C1406="",$F1406=""),"",ROW()-9)</f>
        <v/>
      </c>
      <c r="C1406" s="213" t="n"/>
      <c r="D1406" s="55" t="n"/>
      <c r="E1406" s="55" t="n"/>
      <c r="F1406" s="56" t="n"/>
      <c r="G1406" s="196" t="n"/>
      <c r="H1406" s="196" t="n"/>
      <c r="I1406" s="55" t="n"/>
      <c r="J1406" s="55" t="n"/>
      <c r="K1406" s="55" t="n"/>
      <c r="L1406" s="100">
        <f>IF(OR($C1406="",$I1406="Оплачено",$I1406="Отменено",$H1406&lt;&gt;""),"",$C1406-TODAY())</f>
        <v/>
      </c>
      <c r="M1406" s="101">
        <f>IF($C1406="","",INDEX(Настройки!$V$6:$V$17,MONTH($C1406))&amp;" "&amp;YEAR($C1406))</f>
        <v/>
      </c>
      <c r="N1406" s="57">
        <f>IF($F1406="","",IF(COUNTIF(Постоянные!$C$8:$C$37,$F1406)&gt;0,"есть в Постоянных",IF(COUNTIF(Покупки!$C$7:$C$18,$F1406)&gt;0,"есть в Покупках","")))</f>
        <v/>
      </c>
      <c r="P1406">
        <f>IF($H1406&lt;&gt;"",$H1406,IF($I1406="Оплачено",N($G1406),0))</f>
        <v/>
      </c>
      <c r="Q1406">
        <f>IF($I1406="Отменено",0,IF($G1406&lt;&gt;"",$G1406,N($H1406)))</f>
        <v/>
      </c>
      <c r="R1406">
        <f>IF($C1406="","",IFERROR(DATE(Настройки!$C$8,Настройки!$D$9+MATCH($M1406,Настройки!$X$6:$X$17,0)-1,1),DATE(YEAR($C1406),MONTH($C1406),1)))</f>
        <v/>
      </c>
      <c r="S1406">
        <f>IF(OR($I1406="Оплачено",$H1406&lt;&gt;""),$P1406,$Q1406)</f>
        <v/>
      </c>
      <c r="T1406">
        <f>IF(OR($C1406="",$D1406="Доход",$I1406="Оплачено",$I1406="Отменено",$H1406&lt;&gt;"",$C1406&lt;TODAY()),"",$C1406)</f>
        <v/>
      </c>
      <c r="U1406">
        <f>IF(AND($D1406&lt;&gt;"Доход",COUNTIFS(Счета!$B$10:$B$21,$J1406,Счета!$C$10:$C$21,"Кредитная")&gt;0),1,0)</f>
        <v/>
      </c>
    </row>
    <row r="1407" ht="19" customHeight="1">
      <c r="B1407" s="53">
        <f>IF(AND($C1407="",$F1407=""),"",ROW()-9)</f>
        <v/>
      </c>
      <c r="C1407" s="213" t="n"/>
      <c r="D1407" s="55" t="n"/>
      <c r="E1407" s="55" t="n"/>
      <c r="F1407" s="56" t="n"/>
      <c r="G1407" s="196" t="n"/>
      <c r="H1407" s="196" t="n"/>
      <c r="I1407" s="55" t="n"/>
      <c r="J1407" s="55" t="n"/>
      <c r="K1407" s="55" t="n"/>
      <c r="L1407" s="100">
        <f>IF(OR($C1407="",$I1407="Оплачено",$I1407="Отменено",$H1407&lt;&gt;""),"",$C1407-TODAY())</f>
        <v/>
      </c>
      <c r="M1407" s="101">
        <f>IF($C1407="","",INDEX(Настройки!$V$6:$V$17,MONTH($C1407))&amp;" "&amp;YEAR($C1407))</f>
        <v/>
      </c>
      <c r="N1407" s="57">
        <f>IF($F1407="","",IF(COUNTIF(Постоянные!$C$8:$C$37,$F1407)&gt;0,"есть в Постоянных",IF(COUNTIF(Покупки!$C$7:$C$18,$F1407)&gt;0,"есть в Покупках","")))</f>
        <v/>
      </c>
      <c r="P1407">
        <f>IF($H1407&lt;&gt;"",$H1407,IF($I1407="Оплачено",N($G1407),0))</f>
        <v/>
      </c>
      <c r="Q1407">
        <f>IF($I1407="Отменено",0,IF($G1407&lt;&gt;"",$G1407,N($H1407)))</f>
        <v/>
      </c>
      <c r="R1407">
        <f>IF($C1407="","",IFERROR(DATE(Настройки!$C$8,Настройки!$D$9+MATCH($M1407,Настройки!$X$6:$X$17,0)-1,1),DATE(YEAR($C1407),MONTH($C1407),1)))</f>
        <v/>
      </c>
      <c r="S1407">
        <f>IF(OR($I1407="Оплачено",$H1407&lt;&gt;""),$P1407,$Q1407)</f>
        <v/>
      </c>
      <c r="T1407">
        <f>IF(OR($C1407="",$D1407="Доход",$I1407="Оплачено",$I1407="Отменено",$H1407&lt;&gt;"",$C1407&lt;TODAY()),"",$C1407)</f>
        <v/>
      </c>
      <c r="U1407">
        <f>IF(AND($D1407&lt;&gt;"Доход",COUNTIFS(Счета!$B$10:$B$21,$J1407,Счета!$C$10:$C$21,"Кредитная")&gt;0),1,0)</f>
        <v/>
      </c>
    </row>
    <row r="1408" ht="19" customHeight="1">
      <c r="B1408" s="53">
        <f>IF(AND($C1408="",$F1408=""),"",ROW()-9)</f>
        <v/>
      </c>
      <c r="C1408" s="213" t="n"/>
      <c r="D1408" s="55" t="n"/>
      <c r="E1408" s="55" t="n"/>
      <c r="F1408" s="56" t="n"/>
      <c r="G1408" s="196" t="n"/>
      <c r="H1408" s="196" t="n"/>
      <c r="I1408" s="55" t="n"/>
      <c r="J1408" s="55" t="n"/>
      <c r="K1408" s="55" t="n"/>
      <c r="L1408" s="100">
        <f>IF(OR($C1408="",$I1408="Оплачено",$I1408="Отменено",$H1408&lt;&gt;""),"",$C1408-TODAY())</f>
        <v/>
      </c>
      <c r="M1408" s="101">
        <f>IF($C1408="","",INDEX(Настройки!$V$6:$V$17,MONTH($C1408))&amp;" "&amp;YEAR($C1408))</f>
        <v/>
      </c>
      <c r="N1408" s="57">
        <f>IF($F1408="","",IF(COUNTIF(Постоянные!$C$8:$C$37,$F1408)&gt;0,"есть в Постоянных",IF(COUNTIF(Покупки!$C$7:$C$18,$F1408)&gt;0,"есть в Покупках","")))</f>
        <v/>
      </c>
      <c r="P1408">
        <f>IF($H1408&lt;&gt;"",$H1408,IF($I1408="Оплачено",N($G1408),0))</f>
        <v/>
      </c>
      <c r="Q1408">
        <f>IF($I1408="Отменено",0,IF($G1408&lt;&gt;"",$G1408,N($H1408)))</f>
        <v/>
      </c>
      <c r="R1408">
        <f>IF($C1408="","",IFERROR(DATE(Настройки!$C$8,Настройки!$D$9+MATCH($M1408,Настройки!$X$6:$X$17,0)-1,1),DATE(YEAR($C1408),MONTH($C1408),1)))</f>
        <v/>
      </c>
      <c r="S1408">
        <f>IF(OR($I1408="Оплачено",$H1408&lt;&gt;""),$P1408,$Q1408)</f>
        <v/>
      </c>
      <c r="T1408">
        <f>IF(OR($C1408="",$D1408="Доход",$I1408="Оплачено",$I1408="Отменено",$H1408&lt;&gt;"",$C1408&lt;TODAY()),"",$C1408)</f>
        <v/>
      </c>
      <c r="U1408">
        <f>IF(AND($D1408&lt;&gt;"Доход",COUNTIFS(Счета!$B$10:$B$21,$J1408,Счета!$C$10:$C$21,"Кредитная")&gt;0),1,0)</f>
        <v/>
      </c>
    </row>
    <row r="1409" ht="19" customHeight="1">
      <c r="B1409" s="53">
        <f>IF(AND($C1409="",$F1409=""),"",ROW()-9)</f>
        <v/>
      </c>
      <c r="C1409" s="213" t="n"/>
      <c r="D1409" s="55" t="n"/>
      <c r="E1409" s="55" t="n"/>
      <c r="F1409" s="56" t="n"/>
      <c r="G1409" s="196" t="n"/>
      <c r="H1409" s="196" t="n"/>
      <c r="I1409" s="55" t="n"/>
      <c r="J1409" s="55" t="n"/>
      <c r="K1409" s="55" t="n"/>
      <c r="L1409" s="100">
        <f>IF(OR($C1409="",$I1409="Оплачено",$I1409="Отменено",$H1409&lt;&gt;""),"",$C1409-TODAY())</f>
        <v/>
      </c>
      <c r="M1409" s="101">
        <f>IF($C1409="","",INDEX(Настройки!$V$6:$V$17,MONTH($C1409))&amp;" "&amp;YEAR($C1409))</f>
        <v/>
      </c>
      <c r="N1409" s="57">
        <f>IF($F1409="","",IF(COUNTIF(Постоянные!$C$8:$C$37,$F1409)&gt;0,"есть в Постоянных",IF(COUNTIF(Покупки!$C$7:$C$18,$F1409)&gt;0,"есть в Покупках","")))</f>
        <v/>
      </c>
      <c r="P1409">
        <f>IF($H1409&lt;&gt;"",$H1409,IF($I1409="Оплачено",N($G1409),0))</f>
        <v/>
      </c>
      <c r="Q1409">
        <f>IF($I1409="Отменено",0,IF($G1409&lt;&gt;"",$G1409,N($H1409)))</f>
        <v/>
      </c>
      <c r="R1409">
        <f>IF($C1409="","",IFERROR(DATE(Настройки!$C$8,Настройки!$D$9+MATCH($M1409,Настройки!$X$6:$X$17,0)-1,1),DATE(YEAR($C1409),MONTH($C1409),1)))</f>
        <v/>
      </c>
      <c r="S1409">
        <f>IF(OR($I1409="Оплачено",$H1409&lt;&gt;""),$P1409,$Q1409)</f>
        <v/>
      </c>
      <c r="T1409">
        <f>IF(OR($C1409="",$D1409="Доход",$I1409="Оплачено",$I1409="Отменено",$H1409&lt;&gt;"",$C1409&lt;TODAY()),"",$C1409)</f>
        <v/>
      </c>
      <c r="U1409">
        <f>IF(AND($D1409&lt;&gt;"Доход",COUNTIFS(Счета!$B$10:$B$21,$J1409,Счета!$C$10:$C$21,"Кредитная")&gt;0),1,0)</f>
        <v/>
      </c>
    </row>
    <row r="1410" ht="19" customHeight="1">
      <c r="B1410" s="53">
        <f>IF(AND($C1410="",$F1410=""),"",ROW()-9)</f>
        <v/>
      </c>
      <c r="C1410" s="213" t="n"/>
      <c r="D1410" s="55" t="n"/>
      <c r="E1410" s="55" t="n"/>
      <c r="F1410" s="56" t="n"/>
      <c r="G1410" s="196" t="n"/>
      <c r="H1410" s="196" t="n"/>
      <c r="I1410" s="55" t="n"/>
      <c r="J1410" s="55" t="n"/>
      <c r="K1410" s="55" t="n"/>
      <c r="L1410" s="100">
        <f>IF(OR($C1410="",$I1410="Оплачено",$I1410="Отменено",$H1410&lt;&gt;""),"",$C1410-TODAY())</f>
        <v/>
      </c>
      <c r="M1410" s="101">
        <f>IF($C1410="","",INDEX(Настройки!$V$6:$V$17,MONTH($C1410))&amp;" "&amp;YEAR($C1410))</f>
        <v/>
      </c>
      <c r="N1410" s="57">
        <f>IF($F1410="","",IF(COUNTIF(Постоянные!$C$8:$C$37,$F1410)&gt;0,"есть в Постоянных",IF(COUNTIF(Покупки!$C$7:$C$18,$F1410)&gt;0,"есть в Покупках","")))</f>
        <v/>
      </c>
      <c r="P1410">
        <f>IF($H1410&lt;&gt;"",$H1410,IF($I1410="Оплачено",N($G1410),0))</f>
        <v/>
      </c>
      <c r="Q1410">
        <f>IF($I1410="Отменено",0,IF($G1410&lt;&gt;"",$G1410,N($H1410)))</f>
        <v/>
      </c>
      <c r="R1410">
        <f>IF($C1410="","",IFERROR(DATE(Настройки!$C$8,Настройки!$D$9+MATCH($M1410,Настройки!$X$6:$X$17,0)-1,1),DATE(YEAR($C1410),MONTH($C1410),1)))</f>
        <v/>
      </c>
      <c r="S1410">
        <f>IF(OR($I1410="Оплачено",$H1410&lt;&gt;""),$P1410,$Q1410)</f>
        <v/>
      </c>
      <c r="T1410">
        <f>IF(OR($C1410="",$D1410="Доход",$I1410="Оплачено",$I1410="Отменено",$H1410&lt;&gt;"",$C1410&lt;TODAY()),"",$C1410)</f>
        <v/>
      </c>
      <c r="U1410">
        <f>IF(AND($D1410&lt;&gt;"Доход",COUNTIFS(Счета!$B$10:$B$21,$J1410,Счета!$C$10:$C$21,"Кредитная")&gt;0),1,0)</f>
        <v/>
      </c>
    </row>
    <row r="1411" ht="19" customHeight="1">
      <c r="B1411" s="53">
        <f>IF(AND($C1411="",$F1411=""),"",ROW()-9)</f>
        <v/>
      </c>
      <c r="C1411" s="213" t="n"/>
      <c r="D1411" s="55" t="n"/>
      <c r="E1411" s="55" t="n"/>
      <c r="F1411" s="56" t="n"/>
      <c r="G1411" s="196" t="n"/>
      <c r="H1411" s="196" t="n"/>
      <c r="I1411" s="55" t="n"/>
      <c r="J1411" s="55" t="n"/>
      <c r="K1411" s="55" t="n"/>
      <c r="L1411" s="100">
        <f>IF(OR($C1411="",$I1411="Оплачено",$I1411="Отменено",$H1411&lt;&gt;""),"",$C1411-TODAY())</f>
        <v/>
      </c>
      <c r="M1411" s="101">
        <f>IF($C1411="","",INDEX(Настройки!$V$6:$V$17,MONTH($C1411))&amp;" "&amp;YEAR($C1411))</f>
        <v/>
      </c>
      <c r="N1411" s="57">
        <f>IF($F1411="","",IF(COUNTIF(Постоянные!$C$8:$C$37,$F1411)&gt;0,"есть в Постоянных",IF(COUNTIF(Покупки!$C$7:$C$18,$F1411)&gt;0,"есть в Покупках","")))</f>
        <v/>
      </c>
      <c r="P1411">
        <f>IF($H1411&lt;&gt;"",$H1411,IF($I1411="Оплачено",N($G1411),0))</f>
        <v/>
      </c>
      <c r="Q1411">
        <f>IF($I1411="Отменено",0,IF($G1411&lt;&gt;"",$G1411,N($H1411)))</f>
        <v/>
      </c>
      <c r="R1411">
        <f>IF($C1411="","",IFERROR(DATE(Настройки!$C$8,Настройки!$D$9+MATCH($M1411,Настройки!$X$6:$X$17,0)-1,1),DATE(YEAR($C1411),MONTH($C1411),1)))</f>
        <v/>
      </c>
      <c r="S1411">
        <f>IF(OR($I1411="Оплачено",$H1411&lt;&gt;""),$P1411,$Q1411)</f>
        <v/>
      </c>
      <c r="T1411">
        <f>IF(OR($C1411="",$D1411="Доход",$I1411="Оплачено",$I1411="Отменено",$H1411&lt;&gt;"",$C1411&lt;TODAY()),"",$C1411)</f>
        <v/>
      </c>
      <c r="U1411">
        <f>IF(AND($D1411&lt;&gt;"Доход",COUNTIFS(Счета!$B$10:$B$21,$J1411,Счета!$C$10:$C$21,"Кредитная")&gt;0),1,0)</f>
        <v/>
      </c>
    </row>
    <row r="1412" ht="19" customHeight="1">
      <c r="B1412" s="53">
        <f>IF(AND($C1412="",$F1412=""),"",ROW()-9)</f>
        <v/>
      </c>
      <c r="C1412" s="213" t="n"/>
      <c r="D1412" s="55" t="n"/>
      <c r="E1412" s="55" t="n"/>
      <c r="F1412" s="56" t="n"/>
      <c r="G1412" s="196" t="n"/>
      <c r="H1412" s="196" t="n"/>
      <c r="I1412" s="55" t="n"/>
      <c r="J1412" s="55" t="n"/>
      <c r="K1412" s="55" t="n"/>
      <c r="L1412" s="100">
        <f>IF(OR($C1412="",$I1412="Оплачено",$I1412="Отменено",$H1412&lt;&gt;""),"",$C1412-TODAY())</f>
        <v/>
      </c>
      <c r="M1412" s="101">
        <f>IF($C1412="","",INDEX(Настройки!$V$6:$V$17,MONTH($C1412))&amp;" "&amp;YEAR($C1412))</f>
        <v/>
      </c>
      <c r="N1412" s="57">
        <f>IF($F1412="","",IF(COUNTIF(Постоянные!$C$8:$C$37,$F1412)&gt;0,"есть в Постоянных",IF(COUNTIF(Покупки!$C$7:$C$18,$F1412)&gt;0,"есть в Покупках","")))</f>
        <v/>
      </c>
      <c r="P1412">
        <f>IF($H1412&lt;&gt;"",$H1412,IF($I1412="Оплачено",N($G1412),0))</f>
        <v/>
      </c>
      <c r="Q1412">
        <f>IF($I1412="Отменено",0,IF($G1412&lt;&gt;"",$G1412,N($H1412)))</f>
        <v/>
      </c>
      <c r="R1412">
        <f>IF($C1412="","",IFERROR(DATE(Настройки!$C$8,Настройки!$D$9+MATCH($M1412,Настройки!$X$6:$X$17,0)-1,1),DATE(YEAR($C1412),MONTH($C1412),1)))</f>
        <v/>
      </c>
      <c r="S1412">
        <f>IF(OR($I1412="Оплачено",$H1412&lt;&gt;""),$P1412,$Q1412)</f>
        <v/>
      </c>
      <c r="T1412">
        <f>IF(OR($C1412="",$D1412="Доход",$I1412="Оплачено",$I1412="Отменено",$H1412&lt;&gt;"",$C1412&lt;TODAY()),"",$C1412)</f>
        <v/>
      </c>
      <c r="U1412">
        <f>IF(AND($D1412&lt;&gt;"Доход",COUNTIFS(Счета!$B$10:$B$21,$J1412,Счета!$C$10:$C$21,"Кредитная")&gt;0),1,0)</f>
        <v/>
      </c>
    </row>
    <row r="1413" ht="19" customHeight="1">
      <c r="B1413" s="53">
        <f>IF(AND($C1413="",$F1413=""),"",ROW()-9)</f>
        <v/>
      </c>
      <c r="C1413" s="213" t="n"/>
      <c r="D1413" s="55" t="n"/>
      <c r="E1413" s="55" t="n"/>
      <c r="F1413" s="56" t="n"/>
      <c r="G1413" s="196" t="n"/>
      <c r="H1413" s="196" t="n"/>
      <c r="I1413" s="55" t="n"/>
      <c r="J1413" s="55" t="n"/>
      <c r="K1413" s="55" t="n"/>
      <c r="L1413" s="100">
        <f>IF(OR($C1413="",$I1413="Оплачено",$I1413="Отменено",$H1413&lt;&gt;""),"",$C1413-TODAY())</f>
        <v/>
      </c>
      <c r="M1413" s="101">
        <f>IF($C1413="","",INDEX(Настройки!$V$6:$V$17,MONTH($C1413))&amp;" "&amp;YEAR($C1413))</f>
        <v/>
      </c>
      <c r="N1413" s="57">
        <f>IF($F1413="","",IF(COUNTIF(Постоянные!$C$8:$C$37,$F1413)&gt;0,"есть в Постоянных",IF(COUNTIF(Покупки!$C$7:$C$18,$F1413)&gt;0,"есть в Покупках","")))</f>
        <v/>
      </c>
      <c r="P1413">
        <f>IF($H1413&lt;&gt;"",$H1413,IF($I1413="Оплачено",N($G1413),0))</f>
        <v/>
      </c>
      <c r="Q1413">
        <f>IF($I1413="Отменено",0,IF($G1413&lt;&gt;"",$G1413,N($H1413)))</f>
        <v/>
      </c>
      <c r="R1413">
        <f>IF($C1413="","",IFERROR(DATE(Настройки!$C$8,Настройки!$D$9+MATCH($M1413,Настройки!$X$6:$X$17,0)-1,1),DATE(YEAR($C1413),MONTH($C1413),1)))</f>
        <v/>
      </c>
      <c r="S1413">
        <f>IF(OR($I1413="Оплачено",$H1413&lt;&gt;""),$P1413,$Q1413)</f>
        <v/>
      </c>
      <c r="T1413">
        <f>IF(OR($C1413="",$D1413="Доход",$I1413="Оплачено",$I1413="Отменено",$H1413&lt;&gt;"",$C1413&lt;TODAY()),"",$C1413)</f>
        <v/>
      </c>
      <c r="U1413">
        <f>IF(AND($D1413&lt;&gt;"Доход",COUNTIFS(Счета!$B$10:$B$21,$J1413,Счета!$C$10:$C$21,"Кредитная")&gt;0),1,0)</f>
        <v/>
      </c>
    </row>
    <row r="1414" ht="19" customHeight="1">
      <c r="B1414" s="53">
        <f>IF(AND($C1414="",$F1414=""),"",ROW()-9)</f>
        <v/>
      </c>
      <c r="C1414" s="213" t="n"/>
      <c r="D1414" s="55" t="n"/>
      <c r="E1414" s="55" t="n"/>
      <c r="F1414" s="56" t="n"/>
      <c r="G1414" s="196" t="n"/>
      <c r="H1414" s="196" t="n"/>
      <c r="I1414" s="55" t="n"/>
      <c r="J1414" s="55" t="n"/>
      <c r="K1414" s="55" t="n"/>
      <c r="L1414" s="100">
        <f>IF(OR($C1414="",$I1414="Оплачено",$I1414="Отменено",$H1414&lt;&gt;""),"",$C1414-TODAY())</f>
        <v/>
      </c>
      <c r="M1414" s="101">
        <f>IF($C1414="","",INDEX(Настройки!$V$6:$V$17,MONTH($C1414))&amp;" "&amp;YEAR($C1414))</f>
        <v/>
      </c>
      <c r="N1414" s="57">
        <f>IF($F1414="","",IF(COUNTIF(Постоянные!$C$8:$C$37,$F1414)&gt;0,"есть в Постоянных",IF(COUNTIF(Покупки!$C$7:$C$18,$F1414)&gt;0,"есть в Покупках","")))</f>
        <v/>
      </c>
      <c r="P1414">
        <f>IF($H1414&lt;&gt;"",$H1414,IF($I1414="Оплачено",N($G1414),0))</f>
        <v/>
      </c>
      <c r="Q1414">
        <f>IF($I1414="Отменено",0,IF($G1414&lt;&gt;"",$G1414,N($H1414)))</f>
        <v/>
      </c>
      <c r="R1414">
        <f>IF($C1414="","",IFERROR(DATE(Настройки!$C$8,Настройки!$D$9+MATCH($M1414,Настройки!$X$6:$X$17,0)-1,1),DATE(YEAR($C1414),MONTH($C1414),1)))</f>
        <v/>
      </c>
      <c r="S1414">
        <f>IF(OR($I1414="Оплачено",$H1414&lt;&gt;""),$P1414,$Q1414)</f>
        <v/>
      </c>
      <c r="T1414">
        <f>IF(OR($C1414="",$D1414="Доход",$I1414="Оплачено",$I1414="Отменено",$H1414&lt;&gt;"",$C1414&lt;TODAY()),"",$C1414)</f>
        <v/>
      </c>
      <c r="U1414">
        <f>IF(AND($D1414&lt;&gt;"Доход",COUNTIFS(Счета!$B$10:$B$21,$J1414,Счета!$C$10:$C$21,"Кредитная")&gt;0),1,0)</f>
        <v/>
      </c>
    </row>
    <row r="1415" ht="19" customHeight="1">
      <c r="B1415" s="53">
        <f>IF(AND($C1415="",$F1415=""),"",ROW()-9)</f>
        <v/>
      </c>
      <c r="C1415" s="213" t="n"/>
      <c r="D1415" s="55" t="n"/>
      <c r="E1415" s="55" t="n"/>
      <c r="F1415" s="56" t="n"/>
      <c r="G1415" s="196" t="n"/>
      <c r="H1415" s="196" t="n"/>
      <c r="I1415" s="55" t="n"/>
      <c r="J1415" s="55" t="n"/>
      <c r="K1415" s="55" t="n"/>
      <c r="L1415" s="100">
        <f>IF(OR($C1415="",$I1415="Оплачено",$I1415="Отменено",$H1415&lt;&gt;""),"",$C1415-TODAY())</f>
        <v/>
      </c>
      <c r="M1415" s="101">
        <f>IF($C1415="","",INDEX(Настройки!$V$6:$V$17,MONTH($C1415))&amp;" "&amp;YEAR($C1415))</f>
        <v/>
      </c>
      <c r="N1415" s="57">
        <f>IF($F1415="","",IF(COUNTIF(Постоянные!$C$8:$C$37,$F1415)&gt;0,"есть в Постоянных",IF(COUNTIF(Покупки!$C$7:$C$18,$F1415)&gt;0,"есть в Покупках","")))</f>
        <v/>
      </c>
      <c r="P1415">
        <f>IF($H1415&lt;&gt;"",$H1415,IF($I1415="Оплачено",N($G1415),0))</f>
        <v/>
      </c>
      <c r="Q1415">
        <f>IF($I1415="Отменено",0,IF($G1415&lt;&gt;"",$G1415,N($H1415)))</f>
        <v/>
      </c>
      <c r="R1415">
        <f>IF($C1415="","",IFERROR(DATE(Настройки!$C$8,Настройки!$D$9+MATCH($M1415,Настройки!$X$6:$X$17,0)-1,1),DATE(YEAR($C1415),MONTH($C1415),1)))</f>
        <v/>
      </c>
      <c r="S1415">
        <f>IF(OR($I1415="Оплачено",$H1415&lt;&gt;""),$P1415,$Q1415)</f>
        <v/>
      </c>
      <c r="T1415">
        <f>IF(OR($C1415="",$D1415="Доход",$I1415="Оплачено",$I1415="Отменено",$H1415&lt;&gt;"",$C1415&lt;TODAY()),"",$C1415)</f>
        <v/>
      </c>
      <c r="U1415">
        <f>IF(AND($D1415&lt;&gt;"Доход",COUNTIFS(Счета!$B$10:$B$21,$J1415,Счета!$C$10:$C$21,"Кредитная")&gt;0),1,0)</f>
        <v/>
      </c>
    </row>
    <row r="1416" ht="19" customHeight="1">
      <c r="B1416" s="53">
        <f>IF(AND($C1416="",$F1416=""),"",ROW()-9)</f>
        <v/>
      </c>
      <c r="C1416" s="213" t="n"/>
      <c r="D1416" s="55" t="n"/>
      <c r="E1416" s="55" t="n"/>
      <c r="F1416" s="56" t="n"/>
      <c r="G1416" s="196" t="n"/>
      <c r="H1416" s="196" t="n"/>
      <c r="I1416" s="55" t="n"/>
      <c r="J1416" s="55" t="n"/>
      <c r="K1416" s="55" t="n"/>
      <c r="L1416" s="100">
        <f>IF(OR($C1416="",$I1416="Оплачено",$I1416="Отменено",$H1416&lt;&gt;""),"",$C1416-TODAY())</f>
        <v/>
      </c>
      <c r="M1416" s="101">
        <f>IF($C1416="","",INDEX(Настройки!$V$6:$V$17,MONTH($C1416))&amp;" "&amp;YEAR($C1416))</f>
        <v/>
      </c>
      <c r="N1416" s="57">
        <f>IF($F1416="","",IF(COUNTIF(Постоянные!$C$8:$C$37,$F1416)&gt;0,"есть в Постоянных",IF(COUNTIF(Покупки!$C$7:$C$18,$F1416)&gt;0,"есть в Покупках","")))</f>
        <v/>
      </c>
      <c r="P1416">
        <f>IF($H1416&lt;&gt;"",$H1416,IF($I1416="Оплачено",N($G1416),0))</f>
        <v/>
      </c>
      <c r="Q1416">
        <f>IF($I1416="Отменено",0,IF($G1416&lt;&gt;"",$G1416,N($H1416)))</f>
        <v/>
      </c>
      <c r="R1416">
        <f>IF($C1416="","",IFERROR(DATE(Настройки!$C$8,Настройки!$D$9+MATCH($M1416,Настройки!$X$6:$X$17,0)-1,1),DATE(YEAR($C1416),MONTH($C1416),1)))</f>
        <v/>
      </c>
      <c r="S1416">
        <f>IF(OR($I1416="Оплачено",$H1416&lt;&gt;""),$P1416,$Q1416)</f>
        <v/>
      </c>
      <c r="T1416">
        <f>IF(OR($C1416="",$D1416="Доход",$I1416="Оплачено",$I1416="Отменено",$H1416&lt;&gt;"",$C1416&lt;TODAY()),"",$C1416)</f>
        <v/>
      </c>
      <c r="U1416">
        <f>IF(AND($D1416&lt;&gt;"Доход",COUNTIFS(Счета!$B$10:$B$21,$J1416,Счета!$C$10:$C$21,"Кредитная")&gt;0),1,0)</f>
        <v/>
      </c>
    </row>
    <row r="1417" ht="19" customHeight="1">
      <c r="B1417" s="53">
        <f>IF(AND($C1417="",$F1417=""),"",ROW()-9)</f>
        <v/>
      </c>
      <c r="C1417" s="213" t="n"/>
      <c r="D1417" s="55" t="n"/>
      <c r="E1417" s="55" t="n"/>
      <c r="F1417" s="56" t="n"/>
      <c r="G1417" s="196" t="n"/>
      <c r="H1417" s="196" t="n"/>
      <c r="I1417" s="55" t="n"/>
      <c r="J1417" s="55" t="n"/>
      <c r="K1417" s="55" t="n"/>
      <c r="L1417" s="100">
        <f>IF(OR($C1417="",$I1417="Оплачено",$I1417="Отменено",$H1417&lt;&gt;""),"",$C1417-TODAY())</f>
        <v/>
      </c>
      <c r="M1417" s="101">
        <f>IF($C1417="","",INDEX(Настройки!$V$6:$V$17,MONTH($C1417))&amp;" "&amp;YEAR($C1417))</f>
        <v/>
      </c>
      <c r="N1417" s="57">
        <f>IF($F1417="","",IF(COUNTIF(Постоянные!$C$8:$C$37,$F1417)&gt;0,"есть в Постоянных",IF(COUNTIF(Покупки!$C$7:$C$18,$F1417)&gt;0,"есть в Покупках","")))</f>
        <v/>
      </c>
      <c r="P1417">
        <f>IF($H1417&lt;&gt;"",$H1417,IF($I1417="Оплачено",N($G1417),0))</f>
        <v/>
      </c>
      <c r="Q1417">
        <f>IF($I1417="Отменено",0,IF($G1417&lt;&gt;"",$G1417,N($H1417)))</f>
        <v/>
      </c>
      <c r="R1417">
        <f>IF($C1417="","",IFERROR(DATE(Настройки!$C$8,Настройки!$D$9+MATCH($M1417,Настройки!$X$6:$X$17,0)-1,1),DATE(YEAR($C1417),MONTH($C1417),1)))</f>
        <v/>
      </c>
      <c r="S1417">
        <f>IF(OR($I1417="Оплачено",$H1417&lt;&gt;""),$P1417,$Q1417)</f>
        <v/>
      </c>
      <c r="T1417">
        <f>IF(OR($C1417="",$D1417="Доход",$I1417="Оплачено",$I1417="Отменено",$H1417&lt;&gt;"",$C1417&lt;TODAY()),"",$C1417)</f>
        <v/>
      </c>
      <c r="U1417">
        <f>IF(AND($D1417&lt;&gt;"Доход",COUNTIFS(Счета!$B$10:$B$21,$J1417,Счета!$C$10:$C$21,"Кредитная")&gt;0),1,0)</f>
        <v/>
      </c>
    </row>
    <row r="1418" ht="19" customHeight="1">
      <c r="B1418" s="53">
        <f>IF(AND($C1418="",$F1418=""),"",ROW()-9)</f>
        <v/>
      </c>
      <c r="C1418" s="213" t="n"/>
      <c r="D1418" s="55" t="n"/>
      <c r="E1418" s="55" t="n"/>
      <c r="F1418" s="56" t="n"/>
      <c r="G1418" s="196" t="n"/>
      <c r="H1418" s="196" t="n"/>
      <c r="I1418" s="55" t="n"/>
      <c r="J1418" s="55" t="n"/>
      <c r="K1418" s="55" t="n"/>
      <c r="L1418" s="100">
        <f>IF(OR($C1418="",$I1418="Оплачено",$I1418="Отменено",$H1418&lt;&gt;""),"",$C1418-TODAY())</f>
        <v/>
      </c>
      <c r="M1418" s="101">
        <f>IF($C1418="","",INDEX(Настройки!$V$6:$V$17,MONTH($C1418))&amp;" "&amp;YEAR($C1418))</f>
        <v/>
      </c>
      <c r="N1418" s="57">
        <f>IF($F1418="","",IF(COUNTIF(Постоянные!$C$8:$C$37,$F1418)&gt;0,"есть в Постоянных",IF(COUNTIF(Покупки!$C$7:$C$18,$F1418)&gt;0,"есть в Покупках","")))</f>
        <v/>
      </c>
      <c r="P1418">
        <f>IF($H1418&lt;&gt;"",$H1418,IF($I1418="Оплачено",N($G1418),0))</f>
        <v/>
      </c>
      <c r="Q1418">
        <f>IF($I1418="Отменено",0,IF($G1418&lt;&gt;"",$G1418,N($H1418)))</f>
        <v/>
      </c>
      <c r="R1418">
        <f>IF($C1418="","",IFERROR(DATE(Настройки!$C$8,Настройки!$D$9+MATCH($M1418,Настройки!$X$6:$X$17,0)-1,1),DATE(YEAR($C1418),MONTH($C1418),1)))</f>
        <v/>
      </c>
      <c r="S1418">
        <f>IF(OR($I1418="Оплачено",$H1418&lt;&gt;""),$P1418,$Q1418)</f>
        <v/>
      </c>
      <c r="T1418">
        <f>IF(OR($C1418="",$D1418="Доход",$I1418="Оплачено",$I1418="Отменено",$H1418&lt;&gt;"",$C1418&lt;TODAY()),"",$C1418)</f>
        <v/>
      </c>
      <c r="U1418">
        <f>IF(AND($D1418&lt;&gt;"Доход",COUNTIFS(Счета!$B$10:$B$21,$J1418,Счета!$C$10:$C$21,"Кредитная")&gt;0),1,0)</f>
        <v/>
      </c>
    </row>
    <row r="1419" ht="19" customHeight="1">
      <c r="B1419" s="53">
        <f>IF(AND($C1419="",$F1419=""),"",ROW()-9)</f>
        <v/>
      </c>
      <c r="C1419" s="213" t="n"/>
      <c r="D1419" s="55" t="n"/>
      <c r="E1419" s="55" t="n"/>
      <c r="F1419" s="56" t="n"/>
      <c r="G1419" s="196" t="n"/>
      <c r="H1419" s="196" t="n"/>
      <c r="I1419" s="55" t="n"/>
      <c r="J1419" s="55" t="n"/>
      <c r="K1419" s="55" t="n"/>
      <c r="L1419" s="100">
        <f>IF(OR($C1419="",$I1419="Оплачено",$I1419="Отменено",$H1419&lt;&gt;""),"",$C1419-TODAY())</f>
        <v/>
      </c>
      <c r="M1419" s="101">
        <f>IF($C1419="","",INDEX(Настройки!$V$6:$V$17,MONTH($C1419))&amp;" "&amp;YEAR($C1419))</f>
        <v/>
      </c>
      <c r="N1419" s="57">
        <f>IF($F1419="","",IF(COUNTIF(Постоянные!$C$8:$C$37,$F1419)&gt;0,"есть в Постоянных",IF(COUNTIF(Покупки!$C$7:$C$18,$F1419)&gt;0,"есть в Покупках","")))</f>
        <v/>
      </c>
      <c r="P1419">
        <f>IF($H1419&lt;&gt;"",$H1419,IF($I1419="Оплачено",N($G1419),0))</f>
        <v/>
      </c>
      <c r="Q1419">
        <f>IF($I1419="Отменено",0,IF($G1419&lt;&gt;"",$G1419,N($H1419)))</f>
        <v/>
      </c>
      <c r="R1419">
        <f>IF($C1419="","",IFERROR(DATE(Настройки!$C$8,Настройки!$D$9+MATCH($M1419,Настройки!$X$6:$X$17,0)-1,1),DATE(YEAR($C1419),MONTH($C1419),1)))</f>
        <v/>
      </c>
      <c r="S1419">
        <f>IF(OR($I1419="Оплачено",$H1419&lt;&gt;""),$P1419,$Q1419)</f>
        <v/>
      </c>
      <c r="T1419">
        <f>IF(OR($C1419="",$D1419="Доход",$I1419="Оплачено",$I1419="Отменено",$H1419&lt;&gt;"",$C1419&lt;TODAY()),"",$C1419)</f>
        <v/>
      </c>
      <c r="U1419">
        <f>IF(AND($D1419&lt;&gt;"Доход",COUNTIFS(Счета!$B$10:$B$21,$J1419,Счета!$C$10:$C$21,"Кредитная")&gt;0),1,0)</f>
        <v/>
      </c>
    </row>
    <row r="1420" ht="19" customHeight="1">
      <c r="B1420" s="53">
        <f>IF(AND($C1420="",$F1420=""),"",ROW()-9)</f>
        <v/>
      </c>
      <c r="C1420" s="213" t="n"/>
      <c r="D1420" s="55" t="n"/>
      <c r="E1420" s="55" t="n"/>
      <c r="F1420" s="56" t="n"/>
      <c r="G1420" s="196" t="n"/>
      <c r="H1420" s="196" t="n"/>
      <c r="I1420" s="55" t="n"/>
      <c r="J1420" s="55" t="n"/>
      <c r="K1420" s="55" t="n"/>
      <c r="L1420" s="100">
        <f>IF(OR($C1420="",$I1420="Оплачено",$I1420="Отменено",$H1420&lt;&gt;""),"",$C1420-TODAY())</f>
        <v/>
      </c>
      <c r="M1420" s="101">
        <f>IF($C1420="","",INDEX(Настройки!$V$6:$V$17,MONTH($C1420))&amp;" "&amp;YEAR($C1420))</f>
        <v/>
      </c>
      <c r="N1420" s="57">
        <f>IF($F1420="","",IF(COUNTIF(Постоянные!$C$8:$C$37,$F1420)&gt;0,"есть в Постоянных",IF(COUNTIF(Покупки!$C$7:$C$18,$F1420)&gt;0,"есть в Покупках","")))</f>
        <v/>
      </c>
      <c r="P1420">
        <f>IF($H1420&lt;&gt;"",$H1420,IF($I1420="Оплачено",N($G1420),0))</f>
        <v/>
      </c>
      <c r="Q1420">
        <f>IF($I1420="Отменено",0,IF($G1420&lt;&gt;"",$G1420,N($H1420)))</f>
        <v/>
      </c>
      <c r="R1420">
        <f>IF($C1420="","",IFERROR(DATE(Настройки!$C$8,Настройки!$D$9+MATCH($M1420,Настройки!$X$6:$X$17,0)-1,1),DATE(YEAR($C1420),MONTH($C1420),1)))</f>
        <v/>
      </c>
      <c r="S1420">
        <f>IF(OR($I1420="Оплачено",$H1420&lt;&gt;""),$P1420,$Q1420)</f>
        <v/>
      </c>
      <c r="T1420">
        <f>IF(OR($C1420="",$D1420="Доход",$I1420="Оплачено",$I1420="Отменено",$H1420&lt;&gt;"",$C1420&lt;TODAY()),"",$C1420)</f>
        <v/>
      </c>
      <c r="U1420">
        <f>IF(AND($D1420&lt;&gt;"Доход",COUNTIFS(Счета!$B$10:$B$21,$J1420,Счета!$C$10:$C$21,"Кредитная")&gt;0),1,0)</f>
        <v/>
      </c>
    </row>
    <row r="1421" ht="19" customHeight="1">
      <c r="B1421" s="53">
        <f>IF(AND($C1421="",$F1421=""),"",ROW()-9)</f>
        <v/>
      </c>
      <c r="C1421" s="213" t="n"/>
      <c r="D1421" s="55" t="n"/>
      <c r="E1421" s="55" t="n"/>
      <c r="F1421" s="56" t="n"/>
      <c r="G1421" s="196" t="n"/>
      <c r="H1421" s="196" t="n"/>
      <c r="I1421" s="55" t="n"/>
      <c r="J1421" s="55" t="n"/>
      <c r="K1421" s="55" t="n"/>
      <c r="L1421" s="100">
        <f>IF(OR($C1421="",$I1421="Оплачено",$I1421="Отменено",$H1421&lt;&gt;""),"",$C1421-TODAY())</f>
        <v/>
      </c>
      <c r="M1421" s="101">
        <f>IF($C1421="","",INDEX(Настройки!$V$6:$V$17,MONTH($C1421))&amp;" "&amp;YEAR($C1421))</f>
        <v/>
      </c>
      <c r="N1421" s="57">
        <f>IF($F1421="","",IF(COUNTIF(Постоянные!$C$8:$C$37,$F1421)&gt;0,"есть в Постоянных",IF(COUNTIF(Покупки!$C$7:$C$18,$F1421)&gt;0,"есть в Покупках","")))</f>
        <v/>
      </c>
      <c r="P1421">
        <f>IF($H1421&lt;&gt;"",$H1421,IF($I1421="Оплачено",N($G1421),0))</f>
        <v/>
      </c>
      <c r="Q1421">
        <f>IF($I1421="Отменено",0,IF($G1421&lt;&gt;"",$G1421,N($H1421)))</f>
        <v/>
      </c>
      <c r="R1421">
        <f>IF($C1421="","",IFERROR(DATE(Настройки!$C$8,Настройки!$D$9+MATCH($M1421,Настройки!$X$6:$X$17,0)-1,1),DATE(YEAR($C1421),MONTH($C1421),1)))</f>
        <v/>
      </c>
      <c r="S1421">
        <f>IF(OR($I1421="Оплачено",$H1421&lt;&gt;""),$P1421,$Q1421)</f>
        <v/>
      </c>
      <c r="T1421">
        <f>IF(OR($C1421="",$D1421="Доход",$I1421="Оплачено",$I1421="Отменено",$H1421&lt;&gt;"",$C1421&lt;TODAY()),"",$C1421)</f>
        <v/>
      </c>
      <c r="U1421">
        <f>IF(AND($D1421&lt;&gt;"Доход",COUNTIFS(Счета!$B$10:$B$21,$J1421,Счета!$C$10:$C$21,"Кредитная")&gt;0),1,0)</f>
        <v/>
      </c>
    </row>
    <row r="1422" ht="19" customHeight="1">
      <c r="B1422" s="53">
        <f>IF(AND($C1422="",$F1422=""),"",ROW()-9)</f>
        <v/>
      </c>
      <c r="C1422" s="213" t="n"/>
      <c r="D1422" s="55" t="n"/>
      <c r="E1422" s="55" t="n"/>
      <c r="F1422" s="56" t="n"/>
      <c r="G1422" s="196" t="n"/>
      <c r="H1422" s="196" t="n"/>
      <c r="I1422" s="55" t="n"/>
      <c r="J1422" s="55" t="n"/>
      <c r="K1422" s="55" t="n"/>
      <c r="L1422" s="100">
        <f>IF(OR($C1422="",$I1422="Оплачено",$I1422="Отменено",$H1422&lt;&gt;""),"",$C1422-TODAY())</f>
        <v/>
      </c>
      <c r="M1422" s="101">
        <f>IF($C1422="","",INDEX(Настройки!$V$6:$V$17,MONTH($C1422))&amp;" "&amp;YEAR($C1422))</f>
        <v/>
      </c>
      <c r="N1422" s="57">
        <f>IF($F1422="","",IF(COUNTIF(Постоянные!$C$8:$C$37,$F1422)&gt;0,"есть в Постоянных",IF(COUNTIF(Покупки!$C$7:$C$18,$F1422)&gt;0,"есть в Покупках","")))</f>
        <v/>
      </c>
      <c r="P1422">
        <f>IF($H1422&lt;&gt;"",$H1422,IF($I1422="Оплачено",N($G1422),0))</f>
        <v/>
      </c>
      <c r="Q1422">
        <f>IF($I1422="Отменено",0,IF($G1422&lt;&gt;"",$G1422,N($H1422)))</f>
        <v/>
      </c>
      <c r="R1422">
        <f>IF($C1422="","",IFERROR(DATE(Настройки!$C$8,Настройки!$D$9+MATCH($M1422,Настройки!$X$6:$X$17,0)-1,1),DATE(YEAR($C1422),MONTH($C1422),1)))</f>
        <v/>
      </c>
      <c r="S1422">
        <f>IF(OR($I1422="Оплачено",$H1422&lt;&gt;""),$P1422,$Q1422)</f>
        <v/>
      </c>
      <c r="T1422">
        <f>IF(OR($C1422="",$D1422="Доход",$I1422="Оплачено",$I1422="Отменено",$H1422&lt;&gt;"",$C1422&lt;TODAY()),"",$C1422)</f>
        <v/>
      </c>
      <c r="U1422">
        <f>IF(AND($D1422&lt;&gt;"Доход",COUNTIFS(Счета!$B$10:$B$21,$J1422,Счета!$C$10:$C$21,"Кредитная")&gt;0),1,0)</f>
        <v/>
      </c>
    </row>
    <row r="1423" ht="19" customHeight="1">
      <c r="B1423" s="53">
        <f>IF(AND($C1423="",$F1423=""),"",ROW()-9)</f>
        <v/>
      </c>
      <c r="C1423" s="213" t="n"/>
      <c r="D1423" s="55" t="n"/>
      <c r="E1423" s="55" t="n"/>
      <c r="F1423" s="56" t="n"/>
      <c r="G1423" s="196" t="n"/>
      <c r="H1423" s="196" t="n"/>
      <c r="I1423" s="55" t="n"/>
      <c r="J1423" s="55" t="n"/>
      <c r="K1423" s="55" t="n"/>
      <c r="L1423" s="100">
        <f>IF(OR($C1423="",$I1423="Оплачено",$I1423="Отменено",$H1423&lt;&gt;""),"",$C1423-TODAY())</f>
        <v/>
      </c>
      <c r="M1423" s="101">
        <f>IF($C1423="","",INDEX(Настройки!$V$6:$V$17,MONTH($C1423))&amp;" "&amp;YEAR($C1423))</f>
        <v/>
      </c>
      <c r="N1423" s="57">
        <f>IF($F1423="","",IF(COUNTIF(Постоянные!$C$8:$C$37,$F1423)&gt;0,"есть в Постоянных",IF(COUNTIF(Покупки!$C$7:$C$18,$F1423)&gt;0,"есть в Покупках","")))</f>
        <v/>
      </c>
      <c r="P1423">
        <f>IF($H1423&lt;&gt;"",$H1423,IF($I1423="Оплачено",N($G1423),0))</f>
        <v/>
      </c>
      <c r="Q1423">
        <f>IF($I1423="Отменено",0,IF($G1423&lt;&gt;"",$G1423,N($H1423)))</f>
        <v/>
      </c>
      <c r="R1423">
        <f>IF($C1423="","",IFERROR(DATE(Настройки!$C$8,Настройки!$D$9+MATCH($M1423,Настройки!$X$6:$X$17,0)-1,1),DATE(YEAR($C1423),MONTH($C1423),1)))</f>
        <v/>
      </c>
      <c r="S1423">
        <f>IF(OR($I1423="Оплачено",$H1423&lt;&gt;""),$P1423,$Q1423)</f>
        <v/>
      </c>
      <c r="T1423">
        <f>IF(OR($C1423="",$D1423="Доход",$I1423="Оплачено",$I1423="Отменено",$H1423&lt;&gt;"",$C1423&lt;TODAY()),"",$C1423)</f>
        <v/>
      </c>
      <c r="U1423">
        <f>IF(AND($D1423&lt;&gt;"Доход",COUNTIFS(Счета!$B$10:$B$21,$J1423,Счета!$C$10:$C$21,"Кредитная")&gt;0),1,0)</f>
        <v/>
      </c>
    </row>
    <row r="1424" ht="19" customHeight="1">
      <c r="B1424" s="53">
        <f>IF(AND($C1424="",$F1424=""),"",ROW()-9)</f>
        <v/>
      </c>
      <c r="C1424" s="213" t="n"/>
      <c r="D1424" s="55" t="n"/>
      <c r="E1424" s="55" t="n"/>
      <c r="F1424" s="56" t="n"/>
      <c r="G1424" s="196" t="n"/>
      <c r="H1424" s="196" t="n"/>
      <c r="I1424" s="55" t="n"/>
      <c r="J1424" s="55" t="n"/>
      <c r="K1424" s="55" t="n"/>
      <c r="L1424" s="100">
        <f>IF(OR($C1424="",$I1424="Оплачено",$I1424="Отменено",$H1424&lt;&gt;""),"",$C1424-TODAY())</f>
        <v/>
      </c>
      <c r="M1424" s="101">
        <f>IF($C1424="","",INDEX(Настройки!$V$6:$V$17,MONTH($C1424))&amp;" "&amp;YEAR($C1424))</f>
        <v/>
      </c>
      <c r="N1424" s="57">
        <f>IF($F1424="","",IF(COUNTIF(Постоянные!$C$8:$C$37,$F1424)&gt;0,"есть в Постоянных",IF(COUNTIF(Покупки!$C$7:$C$18,$F1424)&gt;0,"есть в Покупках","")))</f>
        <v/>
      </c>
      <c r="P1424">
        <f>IF($H1424&lt;&gt;"",$H1424,IF($I1424="Оплачено",N($G1424),0))</f>
        <v/>
      </c>
      <c r="Q1424">
        <f>IF($I1424="Отменено",0,IF($G1424&lt;&gt;"",$G1424,N($H1424)))</f>
        <v/>
      </c>
      <c r="R1424">
        <f>IF($C1424="","",IFERROR(DATE(Настройки!$C$8,Настройки!$D$9+MATCH($M1424,Настройки!$X$6:$X$17,0)-1,1),DATE(YEAR($C1424),MONTH($C1424),1)))</f>
        <v/>
      </c>
      <c r="S1424">
        <f>IF(OR($I1424="Оплачено",$H1424&lt;&gt;""),$P1424,$Q1424)</f>
        <v/>
      </c>
      <c r="T1424">
        <f>IF(OR($C1424="",$D1424="Доход",$I1424="Оплачено",$I1424="Отменено",$H1424&lt;&gt;"",$C1424&lt;TODAY()),"",$C1424)</f>
        <v/>
      </c>
      <c r="U1424">
        <f>IF(AND($D1424&lt;&gt;"Доход",COUNTIFS(Счета!$B$10:$B$21,$J1424,Счета!$C$10:$C$21,"Кредитная")&gt;0),1,0)</f>
        <v/>
      </c>
    </row>
    <row r="1425" ht="19" customHeight="1">
      <c r="B1425" s="53">
        <f>IF(AND($C1425="",$F1425=""),"",ROW()-9)</f>
        <v/>
      </c>
      <c r="C1425" s="213" t="n"/>
      <c r="D1425" s="55" t="n"/>
      <c r="E1425" s="55" t="n"/>
      <c r="F1425" s="56" t="n"/>
      <c r="G1425" s="196" t="n"/>
      <c r="H1425" s="196" t="n"/>
      <c r="I1425" s="55" t="n"/>
      <c r="J1425" s="55" t="n"/>
      <c r="K1425" s="55" t="n"/>
      <c r="L1425" s="100">
        <f>IF(OR($C1425="",$I1425="Оплачено",$I1425="Отменено",$H1425&lt;&gt;""),"",$C1425-TODAY())</f>
        <v/>
      </c>
      <c r="M1425" s="101">
        <f>IF($C1425="","",INDEX(Настройки!$V$6:$V$17,MONTH($C1425))&amp;" "&amp;YEAR($C1425))</f>
        <v/>
      </c>
      <c r="N1425" s="57">
        <f>IF($F1425="","",IF(COUNTIF(Постоянные!$C$8:$C$37,$F1425)&gt;0,"есть в Постоянных",IF(COUNTIF(Покупки!$C$7:$C$18,$F1425)&gt;0,"есть в Покупках","")))</f>
        <v/>
      </c>
      <c r="P1425">
        <f>IF($H1425&lt;&gt;"",$H1425,IF($I1425="Оплачено",N($G1425),0))</f>
        <v/>
      </c>
      <c r="Q1425">
        <f>IF($I1425="Отменено",0,IF($G1425&lt;&gt;"",$G1425,N($H1425)))</f>
        <v/>
      </c>
      <c r="R1425">
        <f>IF($C1425="","",IFERROR(DATE(Настройки!$C$8,Настройки!$D$9+MATCH($M1425,Настройки!$X$6:$X$17,0)-1,1),DATE(YEAR($C1425),MONTH($C1425),1)))</f>
        <v/>
      </c>
      <c r="S1425">
        <f>IF(OR($I1425="Оплачено",$H1425&lt;&gt;""),$P1425,$Q1425)</f>
        <v/>
      </c>
      <c r="T1425">
        <f>IF(OR($C1425="",$D1425="Доход",$I1425="Оплачено",$I1425="Отменено",$H1425&lt;&gt;"",$C1425&lt;TODAY()),"",$C1425)</f>
        <v/>
      </c>
      <c r="U1425">
        <f>IF(AND($D1425&lt;&gt;"Доход",COUNTIFS(Счета!$B$10:$B$21,$J1425,Счета!$C$10:$C$21,"Кредитная")&gt;0),1,0)</f>
        <v/>
      </c>
    </row>
    <row r="1426" ht="19" customHeight="1">
      <c r="B1426" s="53">
        <f>IF(AND($C1426="",$F1426=""),"",ROW()-9)</f>
        <v/>
      </c>
      <c r="C1426" s="213" t="n"/>
      <c r="D1426" s="55" t="n"/>
      <c r="E1426" s="55" t="n"/>
      <c r="F1426" s="56" t="n"/>
      <c r="G1426" s="196" t="n"/>
      <c r="H1426" s="196" t="n"/>
      <c r="I1426" s="55" t="n"/>
      <c r="J1426" s="55" t="n"/>
      <c r="K1426" s="55" t="n"/>
      <c r="L1426" s="100">
        <f>IF(OR($C1426="",$I1426="Оплачено",$I1426="Отменено",$H1426&lt;&gt;""),"",$C1426-TODAY())</f>
        <v/>
      </c>
      <c r="M1426" s="101">
        <f>IF($C1426="","",INDEX(Настройки!$V$6:$V$17,MONTH($C1426))&amp;" "&amp;YEAR($C1426))</f>
        <v/>
      </c>
      <c r="N1426" s="57">
        <f>IF($F1426="","",IF(COUNTIF(Постоянные!$C$8:$C$37,$F1426)&gt;0,"есть в Постоянных",IF(COUNTIF(Покупки!$C$7:$C$18,$F1426)&gt;0,"есть в Покупках","")))</f>
        <v/>
      </c>
      <c r="P1426">
        <f>IF($H1426&lt;&gt;"",$H1426,IF($I1426="Оплачено",N($G1426),0))</f>
        <v/>
      </c>
      <c r="Q1426">
        <f>IF($I1426="Отменено",0,IF($G1426&lt;&gt;"",$G1426,N($H1426)))</f>
        <v/>
      </c>
      <c r="R1426">
        <f>IF($C1426="","",IFERROR(DATE(Настройки!$C$8,Настройки!$D$9+MATCH($M1426,Настройки!$X$6:$X$17,0)-1,1),DATE(YEAR($C1426),MONTH($C1426),1)))</f>
        <v/>
      </c>
      <c r="S1426">
        <f>IF(OR($I1426="Оплачено",$H1426&lt;&gt;""),$P1426,$Q1426)</f>
        <v/>
      </c>
      <c r="T1426">
        <f>IF(OR($C1426="",$D1426="Доход",$I1426="Оплачено",$I1426="Отменено",$H1426&lt;&gt;"",$C1426&lt;TODAY()),"",$C1426)</f>
        <v/>
      </c>
      <c r="U1426">
        <f>IF(AND($D1426&lt;&gt;"Доход",COUNTIFS(Счета!$B$10:$B$21,$J1426,Счета!$C$10:$C$21,"Кредитная")&gt;0),1,0)</f>
        <v/>
      </c>
    </row>
    <row r="1427" ht="19" customHeight="1">
      <c r="B1427" s="53">
        <f>IF(AND($C1427="",$F1427=""),"",ROW()-9)</f>
        <v/>
      </c>
      <c r="C1427" s="213" t="n"/>
      <c r="D1427" s="55" t="n"/>
      <c r="E1427" s="55" t="n"/>
      <c r="F1427" s="56" t="n"/>
      <c r="G1427" s="196" t="n"/>
      <c r="H1427" s="196" t="n"/>
      <c r="I1427" s="55" t="n"/>
      <c r="J1427" s="55" t="n"/>
      <c r="K1427" s="55" t="n"/>
      <c r="L1427" s="100">
        <f>IF(OR($C1427="",$I1427="Оплачено",$I1427="Отменено",$H1427&lt;&gt;""),"",$C1427-TODAY())</f>
        <v/>
      </c>
      <c r="M1427" s="101">
        <f>IF($C1427="","",INDEX(Настройки!$V$6:$V$17,MONTH($C1427))&amp;" "&amp;YEAR($C1427))</f>
        <v/>
      </c>
      <c r="N1427" s="57">
        <f>IF($F1427="","",IF(COUNTIF(Постоянные!$C$8:$C$37,$F1427)&gt;0,"есть в Постоянных",IF(COUNTIF(Покупки!$C$7:$C$18,$F1427)&gt;0,"есть в Покупках","")))</f>
        <v/>
      </c>
      <c r="P1427">
        <f>IF($H1427&lt;&gt;"",$H1427,IF($I1427="Оплачено",N($G1427),0))</f>
        <v/>
      </c>
      <c r="Q1427">
        <f>IF($I1427="Отменено",0,IF($G1427&lt;&gt;"",$G1427,N($H1427)))</f>
        <v/>
      </c>
      <c r="R1427">
        <f>IF($C1427="","",IFERROR(DATE(Настройки!$C$8,Настройки!$D$9+MATCH($M1427,Настройки!$X$6:$X$17,0)-1,1),DATE(YEAR($C1427),MONTH($C1427),1)))</f>
        <v/>
      </c>
      <c r="S1427">
        <f>IF(OR($I1427="Оплачено",$H1427&lt;&gt;""),$P1427,$Q1427)</f>
        <v/>
      </c>
      <c r="T1427">
        <f>IF(OR($C1427="",$D1427="Доход",$I1427="Оплачено",$I1427="Отменено",$H1427&lt;&gt;"",$C1427&lt;TODAY()),"",$C1427)</f>
        <v/>
      </c>
      <c r="U1427">
        <f>IF(AND($D1427&lt;&gt;"Доход",COUNTIFS(Счета!$B$10:$B$21,$J1427,Счета!$C$10:$C$21,"Кредитная")&gt;0),1,0)</f>
        <v/>
      </c>
    </row>
    <row r="1428" ht="19" customHeight="1">
      <c r="B1428" s="53">
        <f>IF(AND($C1428="",$F1428=""),"",ROW()-9)</f>
        <v/>
      </c>
      <c r="C1428" s="213" t="n"/>
      <c r="D1428" s="55" t="n"/>
      <c r="E1428" s="55" t="n"/>
      <c r="F1428" s="56" t="n"/>
      <c r="G1428" s="196" t="n"/>
      <c r="H1428" s="196" t="n"/>
      <c r="I1428" s="55" t="n"/>
      <c r="J1428" s="55" t="n"/>
      <c r="K1428" s="55" t="n"/>
      <c r="L1428" s="100">
        <f>IF(OR($C1428="",$I1428="Оплачено",$I1428="Отменено",$H1428&lt;&gt;""),"",$C1428-TODAY())</f>
        <v/>
      </c>
      <c r="M1428" s="101">
        <f>IF($C1428="","",INDEX(Настройки!$V$6:$V$17,MONTH($C1428))&amp;" "&amp;YEAR($C1428))</f>
        <v/>
      </c>
      <c r="N1428" s="57">
        <f>IF($F1428="","",IF(COUNTIF(Постоянные!$C$8:$C$37,$F1428)&gt;0,"есть в Постоянных",IF(COUNTIF(Покупки!$C$7:$C$18,$F1428)&gt;0,"есть в Покупках","")))</f>
        <v/>
      </c>
      <c r="P1428">
        <f>IF($H1428&lt;&gt;"",$H1428,IF($I1428="Оплачено",N($G1428),0))</f>
        <v/>
      </c>
      <c r="Q1428">
        <f>IF($I1428="Отменено",0,IF($G1428&lt;&gt;"",$G1428,N($H1428)))</f>
        <v/>
      </c>
      <c r="R1428">
        <f>IF($C1428="","",IFERROR(DATE(Настройки!$C$8,Настройки!$D$9+MATCH($M1428,Настройки!$X$6:$X$17,0)-1,1),DATE(YEAR($C1428),MONTH($C1428),1)))</f>
        <v/>
      </c>
      <c r="S1428">
        <f>IF(OR($I1428="Оплачено",$H1428&lt;&gt;""),$P1428,$Q1428)</f>
        <v/>
      </c>
      <c r="T1428">
        <f>IF(OR($C1428="",$D1428="Доход",$I1428="Оплачено",$I1428="Отменено",$H1428&lt;&gt;"",$C1428&lt;TODAY()),"",$C1428)</f>
        <v/>
      </c>
      <c r="U1428">
        <f>IF(AND($D1428&lt;&gt;"Доход",COUNTIFS(Счета!$B$10:$B$21,$J1428,Счета!$C$10:$C$21,"Кредитная")&gt;0),1,0)</f>
        <v/>
      </c>
    </row>
    <row r="1429" ht="19" customHeight="1">
      <c r="B1429" s="53">
        <f>IF(AND($C1429="",$F1429=""),"",ROW()-9)</f>
        <v/>
      </c>
      <c r="C1429" s="213" t="n"/>
      <c r="D1429" s="55" t="n"/>
      <c r="E1429" s="55" t="n"/>
      <c r="F1429" s="56" t="n"/>
      <c r="G1429" s="196" t="n"/>
      <c r="H1429" s="196" t="n"/>
      <c r="I1429" s="55" t="n"/>
      <c r="J1429" s="55" t="n"/>
      <c r="K1429" s="55" t="n"/>
      <c r="L1429" s="100">
        <f>IF(OR($C1429="",$I1429="Оплачено",$I1429="Отменено",$H1429&lt;&gt;""),"",$C1429-TODAY())</f>
        <v/>
      </c>
      <c r="M1429" s="101">
        <f>IF($C1429="","",INDEX(Настройки!$V$6:$V$17,MONTH($C1429))&amp;" "&amp;YEAR($C1429))</f>
        <v/>
      </c>
      <c r="N1429" s="57">
        <f>IF($F1429="","",IF(COUNTIF(Постоянные!$C$8:$C$37,$F1429)&gt;0,"есть в Постоянных",IF(COUNTIF(Покупки!$C$7:$C$18,$F1429)&gt;0,"есть в Покупках","")))</f>
        <v/>
      </c>
      <c r="P1429">
        <f>IF($H1429&lt;&gt;"",$H1429,IF($I1429="Оплачено",N($G1429),0))</f>
        <v/>
      </c>
      <c r="Q1429">
        <f>IF($I1429="Отменено",0,IF($G1429&lt;&gt;"",$G1429,N($H1429)))</f>
        <v/>
      </c>
      <c r="R1429">
        <f>IF($C1429="","",IFERROR(DATE(Настройки!$C$8,Настройки!$D$9+MATCH($M1429,Настройки!$X$6:$X$17,0)-1,1),DATE(YEAR($C1429),MONTH($C1429),1)))</f>
        <v/>
      </c>
      <c r="S1429">
        <f>IF(OR($I1429="Оплачено",$H1429&lt;&gt;""),$P1429,$Q1429)</f>
        <v/>
      </c>
      <c r="T1429">
        <f>IF(OR($C1429="",$D1429="Доход",$I1429="Оплачено",$I1429="Отменено",$H1429&lt;&gt;"",$C1429&lt;TODAY()),"",$C1429)</f>
        <v/>
      </c>
      <c r="U1429">
        <f>IF(AND($D1429&lt;&gt;"Доход",COUNTIFS(Счета!$B$10:$B$21,$J1429,Счета!$C$10:$C$21,"Кредитная")&gt;0),1,0)</f>
        <v/>
      </c>
    </row>
    <row r="1430" ht="19" customHeight="1">
      <c r="B1430" s="53">
        <f>IF(AND($C1430="",$F1430=""),"",ROW()-9)</f>
        <v/>
      </c>
      <c r="C1430" s="213" t="n"/>
      <c r="D1430" s="55" t="n"/>
      <c r="E1430" s="55" t="n"/>
      <c r="F1430" s="56" t="n"/>
      <c r="G1430" s="196" t="n"/>
      <c r="H1430" s="196" t="n"/>
      <c r="I1430" s="55" t="n"/>
      <c r="J1430" s="55" t="n"/>
      <c r="K1430" s="55" t="n"/>
      <c r="L1430" s="100">
        <f>IF(OR($C1430="",$I1430="Оплачено",$I1430="Отменено",$H1430&lt;&gt;""),"",$C1430-TODAY())</f>
        <v/>
      </c>
      <c r="M1430" s="101">
        <f>IF($C1430="","",INDEX(Настройки!$V$6:$V$17,MONTH($C1430))&amp;" "&amp;YEAR($C1430))</f>
        <v/>
      </c>
      <c r="N1430" s="57">
        <f>IF($F1430="","",IF(COUNTIF(Постоянные!$C$8:$C$37,$F1430)&gt;0,"есть в Постоянных",IF(COUNTIF(Покупки!$C$7:$C$18,$F1430)&gt;0,"есть в Покупках","")))</f>
        <v/>
      </c>
      <c r="P1430">
        <f>IF($H1430&lt;&gt;"",$H1430,IF($I1430="Оплачено",N($G1430),0))</f>
        <v/>
      </c>
      <c r="Q1430">
        <f>IF($I1430="Отменено",0,IF($G1430&lt;&gt;"",$G1430,N($H1430)))</f>
        <v/>
      </c>
      <c r="R1430">
        <f>IF($C1430="","",IFERROR(DATE(Настройки!$C$8,Настройки!$D$9+MATCH($M1430,Настройки!$X$6:$X$17,0)-1,1),DATE(YEAR($C1430),MONTH($C1430),1)))</f>
        <v/>
      </c>
      <c r="S1430">
        <f>IF(OR($I1430="Оплачено",$H1430&lt;&gt;""),$P1430,$Q1430)</f>
        <v/>
      </c>
      <c r="T1430">
        <f>IF(OR($C1430="",$D1430="Доход",$I1430="Оплачено",$I1430="Отменено",$H1430&lt;&gt;"",$C1430&lt;TODAY()),"",$C1430)</f>
        <v/>
      </c>
      <c r="U1430">
        <f>IF(AND($D1430&lt;&gt;"Доход",COUNTIFS(Счета!$B$10:$B$21,$J1430,Счета!$C$10:$C$21,"Кредитная")&gt;0),1,0)</f>
        <v/>
      </c>
    </row>
    <row r="1431" ht="19" customHeight="1">
      <c r="B1431" s="53">
        <f>IF(AND($C1431="",$F1431=""),"",ROW()-9)</f>
        <v/>
      </c>
      <c r="C1431" s="213" t="n"/>
      <c r="D1431" s="55" t="n"/>
      <c r="E1431" s="55" t="n"/>
      <c r="F1431" s="56" t="n"/>
      <c r="G1431" s="196" t="n"/>
      <c r="H1431" s="196" t="n"/>
      <c r="I1431" s="55" t="n"/>
      <c r="J1431" s="55" t="n"/>
      <c r="K1431" s="55" t="n"/>
      <c r="L1431" s="100">
        <f>IF(OR($C1431="",$I1431="Оплачено",$I1431="Отменено",$H1431&lt;&gt;""),"",$C1431-TODAY())</f>
        <v/>
      </c>
      <c r="M1431" s="101">
        <f>IF($C1431="","",INDEX(Настройки!$V$6:$V$17,MONTH($C1431))&amp;" "&amp;YEAR($C1431))</f>
        <v/>
      </c>
      <c r="N1431" s="57">
        <f>IF($F1431="","",IF(COUNTIF(Постоянные!$C$8:$C$37,$F1431)&gt;0,"есть в Постоянных",IF(COUNTIF(Покупки!$C$7:$C$18,$F1431)&gt;0,"есть в Покупках","")))</f>
        <v/>
      </c>
      <c r="P1431">
        <f>IF($H1431&lt;&gt;"",$H1431,IF($I1431="Оплачено",N($G1431),0))</f>
        <v/>
      </c>
      <c r="Q1431">
        <f>IF($I1431="Отменено",0,IF($G1431&lt;&gt;"",$G1431,N($H1431)))</f>
        <v/>
      </c>
      <c r="R1431">
        <f>IF($C1431="","",IFERROR(DATE(Настройки!$C$8,Настройки!$D$9+MATCH($M1431,Настройки!$X$6:$X$17,0)-1,1),DATE(YEAR($C1431),MONTH($C1431),1)))</f>
        <v/>
      </c>
      <c r="S1431">
        <f>IF(OR($I1431="Оплачено",$H1431&lt;&gt;""),$P1431,$Q1431)</f>
        <v/>
      </c>
      <c r="T1431">
        <f>IF(OR($C1431="",$D1431="Доход",$I1431="Оплачено",$I1431="Отменено",$H1431&lt;&gt;"",$C1431&lt;TODAY()),"",$C1431)</f>
        <v/>
      </c>
      <c r="U1431">
        <f>IF(AND($D1431&lt;&gt;"Доход",COUNTIFS(Счета!$B$10:$B$21,$J1431,Счета!$C$10:$C$21,"Кредитная")&gt;0),1,0)</f>
        <v/>
      </c>
    </row>
    <row r="1432" ht="19" customHeight="1">
      <c r="B1432" s="53">
        <f>IF(AND($C1432="",$F1432=""),"",ROW()-9)</f>
        <v/>
      </c>
      <c r="C1432" s="213" t="n"/>
      <c r="D1432" s="55" t="n"/>
      <c r="E1432" s="55" t="n"/>
      <c r="F1432" s="56" t="n"/>
      <c r="G1432" s="196" t="n"/>
      <c r="H1432" s="196" t="n"/>
      <c r="I1432" s="55" t="n"/>
      <c r="J1432" s="55" t="n"/>
      <c r="K1432" s="55" t="n"/>
      <c r="L1432" s="100">
        <f>IF(OR($C1432="",$I1432="Оплачено",$I1432="Отменено",$H1432&lt;&gt;""),"",$C1432-TODAY())</f>
        <v/>
      </c>
      <c r="M1432" s="101">
        <f>IF($C1432="","",INDEX(Настройки!$V$6:$V$17,MONTH($C1432))&amp;" "&amp;YEAR($C1432))</f>
        <v/>
      </c>
      <c r="N1432" s="57">
        <f>IF($F1432="","",IF(COUNTIF(Постоянные!$C$8:$C$37,$F1432)&gt;0,"есть в Постоянных",IF(COUNTIF(Покупки!$C$7:$C$18,$F1432)&gt;0,"есть в Покупках","")))</f>
        <v/>
      </c>
      <c r="P1432">
        <f>IF($H1432&lt;&gt;"",$H1432,IF($I1432="Оплачено",N($G1432),0))</f>
        <v/>
      </c>
      <c r="Q1432">
        <f>IF($I1432="Отменено",0,IF($G1432&lt;&gt;"",$G1432,N($H1432)))</f>
        <v/>
      </c>
      <c r="R1432">
        <f>IF($C1432="","",IFERROR(DATE(Настройки!$C$8,Настройки!$D$9+MATCH($M1432,Настройки!$X$6:$X$17,0)-1,1),DATE(YEAR($C1432),MONTH($C1432),1)))</f>
        <v/>
      </c>
      <c r="S1432">
        <f>IF(OR($I1432="Оплачено",$H1432&lt;&gt;""),$P1432,$Q1432)</f>
        <v/>
      </c>
      <c r="T1432">
        <f>IF(OR($C1432="",$D1432="Доход",$I1432="Оплачено",$I1432="Отменено",$H1432&lt;&gt;"",$C1432&lt;TODAY()),"",$C1432)</f>
        <v/>
      </c>
      <c r="U1432">
        <f>IF(AND($D1432&lt;&gt;"Доход",COUNTIFS(Счета!$B$10:$B$21,$J1432,Счета!$C$10:$C$21,"Кредитная")&gt;0),1,0)</f>
        <v/>
      </c>
    </row>
    <row r="1433" ht="19" customHeight="1">
      <c r="B1433" s="53">
        <f>IF(AND($C1433="",$F1433=""),"",ROW()-9)</f>
        <v/>
      </c>
      <c r="C1433" s="213" t="n"/>
      <c r="D1433" s="55" t="n"/>
      <c r="E1433" s="55" t="n"/>
      <c r="F1433" s="56" t="n"/>
      <c r="G1433" s="196" t="n"/>
      <c r="H1433" s="196" t="n"/>
      <c r="I1433" s="55" t="n"/>
      <c r="J1433" s="55" t="n"/>
      <c r="K1433" s="55" t="n"/>
      <c r="L1433" s="100">
        <f>IF(OR($C1433="",$I1433="Оплачено",$I1433="Отменено",$H1433&lt;&gt;""),"",$C1433-TODAY())</f>
        <v/>
      </c>
      <c r="M1433" s="101">
        <f>IF($C1433="","",INDEX(Настройки!$V$6:$V$17,MONTH($C1433))&amp;" "&amp;YEAR($C1433))</f>
        <v/>
      </c>
      <c r="N1433" s="57">
        <f>IF($F1433="","",IF(COUNTIF(Постоянные!$C$8:$C$37,$F1433)&gt;0,"есть в Постоянных",IF(COUNTIF(Покупки!$C$7:$C$18,$F1433)&gt;0,"есть в Покупках","")))</f>
        <v/>
      </c>
      <c r="P1433">
        <f>IF($H1433&lt;&gt;"",$H1433,IF($I1433="Оплачено",N($G1433),0))</f>
        <v/>
      </c>
      <c r="Q1433">
        <f>IF($I1433="Отменено",0,IF($G1433&lt;&gt;"",$G1433,N($H1433)))</f>
        <v/>
      </c>
      <c r="R1433">
        <f>IF($C1433="","",IFERROR(DATE(Настройки!$C$8,Настройки!$D$9+MATCH($M1433,Настройки!$X$6:$X$17,0)-1,1),DATE(YEAR($C1433),MONTH($C1433),1)))</f>
        <v/>
      </c>
      <c r="S1433">
        <f>IF(OR($I1433="Оплачено",$H1433&lt;&gt;""),$P1433,$Q1433)</f>
        <v/>
      </c>
      <c r="T1433">
        <f>IF(OR($C1433="",$D1433="Доход",$I1433="Оплачено",$I1433="Отменено",$H1433&lt;&gt;"",$C1433&lt;TODAY()),"",$C1433)</f>
        <v/>
      </c>
      <c r="U1433">
        <f>IF(AND($D1433&lt;&gt;"Доход",COUNTIFS(Счета!$B$10:$B$21,$J1433,Счета!$C$10:$C$21,"Кредитная")&gt;0),1,0)</f>
        <v/>
      </c>
    </row>
    <row r="1434" ht="19" customHeight="1">
      <c r="B1434" s="53">
        <f>IF(AND($C1434="",$F1434=""),"",ROW()-9)</f>
        <v/>
      </c>
      <c r="C1434" s="213" t="n"/>
      <c r="D1434" s="55" t="n"/>
      <c r="E1434" s="55" t="n"/>
      <c r="F1434" s="56" t="n"/>
      <c r="G1434" s="196" t="n"/>
      <c r="H1434" s="196" t="n"/>
      <c r="I1434" s="55" t="n"/>
      <c r="J1434" s="55" t="n"/>
      <c r="K1434" s="55" t="n"/>
      <c r="L1434" s="100">
        <f>IF(OR($C1434="",$I1434="Оплачено",$I1434="Отменено",$H1434&lt;&gt;""),"",$C1434-TODAY())</f>
        <v/>
      </c>
      <c r="M1434" s="101">
        <f>IF($C1434="","",INDEX(Настройки!$V$6:$V$17,MONTH($C1434))&amp;" "&amp;YEAR($C1434))</f>
        <v/>
      </c>
      <c r="N1434" s="57">
        <f>IF($F1434="","",IF(COUNTIF(Постоянные!$C$8:$C$37,$F1434)&gt;0,"есть в Постоянных",IF(COUNTIF(Покупки!$C$7:$C$18,$F1434)&gt;0,"есть в Покупках","")))</f>
        <v/>
      </c>
      <c r="P1434">
        <f>IF($H1434&lt;&gt;"",$H1434,IF($I1434="Оплачено",N($G1434),0))</f>
        <v/>
      </c>
      <c r="Q1434">
        <f>IF($I1434="Отменено",0,IF($G1434&lt;&gt;"",$G1434,N($H1434)))</f>
        <v/>
      </c>
      <c r="R1434">
        <f>IF($C1434="","",IFERROR(DATE(Настройки!$C$8,Настройки!$D$9+MATCH($M1434,Настройки!$X$6:$X$17,0)-1,1),DATE(YEAR($C1434),MONTH($C1434),1)))</f>
        <v/>
      </c>
      <c r="S1434">
        <f>IF(OR($I1434="Оплачено",$H1434&lt;&gt;""),$P1434,$Q1434)</f>
        <v/>
      </c>
      <c r="T1434">
        <f>IF(OR($C1434="",$D1434="Доход",$I1434="Оплачено",$I1434="Отменено",$H1434&lt;&gt;"",$C1434&lt;TODAY()),"",$C1434)</f>
        <v/>
      </c>
      <c r="U1434">
        <f>IF(AND($D1434&lt;&gt;"Доход",COUNTIFS(Счета!$B$10:$B$21,$J1434,Счета!$C$10:$C$21,"Кредитная")&gt;0),1,0)</f>
        <v/>
      </c>
    </row>
    <row r="1435" ht="19" customHeight="1">
      <c r="B1435" s="53">
        <f>IF(AND($C1435="",$F1435=""),"",ROW()-9)</f>
        <v/>
      </c>
      <c r="C1435" s="213" t="n"/>
      <c r="D1435" s="55" t="n"/>
      <c r="E1435" s="55" t="n"/>
      <c r="F1435" s="56" t="n"/>
      <c r="G1435" s="196" t="n"/>
      <c r="H1435" s="196" t="n"/>
      <c r="I1435" s="55" t="n"/>
      <c r="J1435" s="55" t="n"/>
      <c r="K1435" s="55" t="n"/>
      <c r="L1435" s="100">
        <f>IF(OR($C1435="",$I1435="Оплачено",$I1435="Отменено",$H1435&lt;&gt;""),"",$C1435-TODAY())</f>
        <v/>
      </c>
      <c r="M1435" s="101">
        <f>IF($C1435="","",INDEX(Настройки!$V$6:$V$17,MONTH($C1435))&amp;" "&amp;YEAR($C1435))</f>
        <v/>
      </c>
      <c r="N1435" s="57">
        <f>IF($F1435="","",IF(COUNTIF(Постоянные!$C$8:$C$37,$F1435)&gt;0,"есть в Постоянных",IF(COUNTIF(Покупки!$C$7:$C$18,$F1435)&gt;0,"есть в Покупках","")))</f>
        <v/>
      </c>
      <c r="P1435">
        <f>IF($H1435&lt;&gt;"",$H1435,IF($I1435="Оплачено",N($G1435),0))</f>
        <v/>
      </c>
      <c r="Q1435">
        <f>IF($I1435="Отменено",0,IF($G1435&lt;&gt;"",$G1435,N($H1435)))</f>
        <v/>
      </c>
      <c r="R1435">
        <f>IF($C1435="","",IFERROR(DATE(Настройки!$C$8,Настройки!$D$9+MATCH($M1435,Настройки!$X$6:$X$17,0)-1,1),DATE(YEAR($C1435),MONTH($C1435),1)))</f>
        <v/>
      </c>
      <c r="S1435">
        <f>IF(OR($I1435="Оплачено",$H1435&lt;&gt;""),$P1435,$Q1435)</f>
        <v/>
      </c>
      <c r="T1435">
        <f>IF(OR($C1435="",$D1435="Доход",$I1435="Оплачено",$I1435="Отменено",$H1435&lt;&gt;"",$C1435&lt;TODAY()),"",$C1435)</f>
        <v/>
      </c>
      <c r="U1435">
        <f>IF(AND($D1435&lt;&gt;"Доход",COUNTIFS(Счета!$B$10:$B$21,$J1435,Счета!$C$10:$C$21,"Кредитная")&gt;0),1,0)</f>
        <v/>
      </c>
    </row>
    <row r="1436" ht="19" customHeight="1">
      <c r="B1436" s="53">
        <f>IF(AND($C1436="",$F1436=""),"",ROW()-9)</f>
        <v/>
      </c>
      <c r="C1436" s="213" t="n"/>
      <c r="D1436" s="55" t="n"/>
      <c r="E1436" s="55" t="n"/>
      <c r="F1436" s="56" t="n"/>
      <c r="G1436" s="196" t="n"/>
      <c r="H1436" s="196" t="n"/>
      <c r="I1436" s="55" t="n"/>
      <c r="J1436" s="55" t="n"/>
      <c r="K1436" s="55" t="n"/>
      <c r="L1436" s="100">
        <f>IF(OR($C1436="",$I1436="Оплачено",$I1436="Отменено",$H1436&lt;&gt;""),"",$C1436-TODAY())</f>
        <v/>
      </c>
      <c r="M1436" s="101">
        <f>IF($C1436="","",INDEX(Настройки!$V$6:$V$17,MONTH($C1436))&amp;" "&amp;YEAR($C1436))</f>
        <v/>
      </c>
      <c r="N1436" s="57">
        <f>IF($F1436="","",IF(COUNTIF(Постоянные!$C$8:$C$37,$F1436)&gt;0,"есть в Постоянных",IF(COUNTIF(Покупки!$C$7:$C$18,$F1436)&gt;0,"есть в Покупках","")))</f>
        <v/>
      </c>
      <c r="P1436">
        <f>IF($H1436&lt;&gt;"",$H1436,IF($I1436="Оплачено",N($G1436),0))</f>
        <v/>
      </c>
      <c r="Q1436">
        <f>IF($I1436="Отменено",0,IF($G1436&lt;&gt;"",$G1436,N($H1436)))</f>
        <v/>
      </c>
      <c r="R1436">
        <f>IF($C1436="","",IFERROR(DATE(Настройки!$C$8,Настройки!$D$9+MATCH($M1436,Настройки!$X$6:$X$17,0)-1,1),DATE(YEAR($C1436),MONTH($C1436),1)))</f>
        <v/>
      </c>
      <c r="S1436">
        <f>IF(OR($I1436="Оплачено",$H1436&lt;&gt;""),$P1436,$Q1436)</f>
        <v/>
      </c>
      <c r="T1436">
        <f>IF(OR($C1436="",$D1436="Доход",$I1436="Оплачено",$I1436="Отменено",$H1436&lt;&gt;"",$C1436&lt;TODAY()),"",$C1436)</f>
        <v/>
      </c>
      <c r="U1436">
        <f>IF(AND($D1436&lt;&gt;"Доход",COUNTIFS(Счета!$B$10:$B$21,$J1436,Счета!$C$10:$C$21,"Кредитная")&gt;0),1,0)</f>
        <v/>
      </c>
    </row>
    <row r="1437" ht="19" customHeight="1">
      <c r="B1437" s="53">
        <f>IF(AND($C1437="",$F1437=""),"",ROW()-9)</f>
        <v/>
      </c>
      <c r="C1437" s="213" t="n"/>
      <c r="D1437" s="55" t="n"/>
      <c r="E1437" s="55" t="n"/>
      <c r="F1437" s="56" t="n"/>
      <c r="G1437" s="196" t="n"/>
      <c r="H1437" s="196" t="n"/>
      <c r="I1437" s="55" t="n"/>
      <c r="J1437" s="55" t="n"/>
      <c r="K1437" s="55" t="n"/>
      <c r="L1437" s="100">
        <f>IF(OR($C1437="",$I1437="Оплачено",$I1437="Отменено",$H1437&lt;&gt;""),"",$C1437-TODAY())</f>
        <v/>
      </c>
      <c r="M1437" s="101">
        <f>IF($C1437="","",INDEX(Настройки!$V$6:$V$17,MONTH($C1437))&amp;" "&amp;YEAR($C1437))</f>
        <v/>
      </c>
      <c r="N1437" s="57">
        <f>IF($F1437="","",IF(COUNTIF(Постоянные!$C$8:$C$37,$F1437)&gt;0,"есть в Постоянных",IF(COUNTIF(Покупки!$C$7:$C$18,$F1437)&gt;0,"есть в Покупках","")))</f>
        <v/>
      </c>
      <c r="P1437">
        <f>IF($H1437&lt;&gt;"",$H1437,IF($I1437="Оплачено",N($G1437),0))</f>
        <v/>
      </c>
      <c r="Q1437">
        <f>IF($I1437="Отменено",0,IF($G1437&lt;&gt;"",$G1437,N($H1437)))</f>
        <v/>
      </c>
      <c r="R1437">
        <f>IF($C1437="","",IFERROR(DATE(Настройки!$C$8,Настройки!$D$9+MATCH($M1437,Настройки!$X$6:$X$17,0)-1,1),DATE(YEAR($C1437),MONTH($C1437),1)))</f>
        <v/>
      </c>
      <c r="S1437">
        <f>IF(OR($I1437="Оплачено",$H1437&lt;&gt;""),$P1437,$Q1437)</f>
        <v/>
      </c>
      <c r="T1437">
        <f>IF(OR($C1437="",$D1437="Доход",$I1437="Оплачено",$I1437="Отменено",$H1437&lt;&gt;"",$C1437&lt;TODAY()),"",$C1437)</f>
        <v/>
      </c>
      <c r="U1437">
        <f>IF(AND($D1437&lt;&gt;"Доход",COUNTIFS(Счета!$B$10:$B$21,$J1437,Счета!$C$10:$C$21,"Кредитная")&gt;0),1,0)</f>
        <v/>
      </c>
    </row>
    <row r="1438" ht="19" customHeight="1">
      <c r="B1438" s="53">
        <f>IF(AND($C1438="",$F1438=""),"",ROW()-9)</f>
        <v/>
      </c>
      <c r="C1438" s="213" t="n"/>
      <c r="D1438" s="55" t="n"/>
      <c r="E1438" s="55" t="n"/>
      <c r="F1438" s="56" t="n"/>
      <c r="G1438" s="196" t="n"/>
      <c r="H1438" s="196" t="n"/>
      <c r="I1438" s="55" t="n"/>
      <c r="J1438" s="55" t="n"/>
      <c r="K1438" s="55" t="n"/>
      <c r="L1438" s="100">
        <f>IF(OR($C1438="",$I1438="Оплачено",$I1438="Отменено",$H1438&lt;&gt;""),"",$C1438-TODAY())</f>
        <v/>
      </c>
      <c r="M1438" s="101">
        <f>IF($C1438="","",INDEX(Настройки!$V$6:$V$17,MONTH($C1438))&amp;" "&amp;YEAR($C1438))</f>
        <v/>
      </c>
      <c r="N1438" s="57">
        <f>IF($F1438="","",IF(COUNTIF(Постоянные!$C$8:$C$37,$F1438)&gt;0,"есть в Постоянных",IF(COUNTIF(Покупки!$C$7:$C$18,$F1438)&gt;0,"есть в Покупках","")))</f>
        <v/>
      </c>
      <c r="P1438">
        <f>IF($H1438&lt;&gt;"",$H1438,IF($I1438="Оплачено",N($G1438),0))</f>
        <v/>
      </c>
      <c r="Q1438">
        <f>IF($I1438="Отменено",0,IF($G1438&lt;&gt;"",$G1438,N($H1438)))</f>
        <v/>
      </c>
      <c r="R1438">
        <f>IF($C1438="","",IFERROR(DATE(Настройки!$C$8,Настройки!$D$9+MATCH($M1438,Настройки!$X$6:$X$17,0)-1,1),DATE(YEAR($C1438),MONTH($C1438),1)))</f>
        <v/>
      </c>
      <c r="S1438">
        <f>IF(OR($I1438="Оплачено",$H1438&lt;&gt;""),$P1438,$Q1438)</f>
        <v/>
      </c>
      <c r="T1438">
        <f>IF(OR($C1438="",$D1438="Доход",$I1438="Оплачено",$I1438="Отменено",$H1438&lt;&gt;"",$C1438&lt;TODAY()),"",$C1438)</f>
        <v/>
      </c>
      <c r="U1438">
        <f>IF(AND($D1438&lt;&gt;"Доход",COUNTIFS(Счета!$B$10:$B$21,$J1438,Счета!$C$10:$C$21,"Кредитная")&gt;0),1,0)</f>
        <v/>
      </c>
    </row>
    <row r="1439" ht="19" customHeight="1">
      <c r="B1439" s="53">
        <f>IF(AND($C1439="",$F1439=""),"",ROW()-9)</f>
        <v/>
      </c>
      <c r="C1439" s="213" t="n"/>
      <c r="D1439" s="55" t="n"/>
      <c r="E1439" s="55" t="n"/>
      <c r="F1439" s="56" t="n"/>
      <c r="G1439" s="196" t="n"/>
      <c r="H1439" s="196" t="n"/>
      <c r="I1439" s="55" t="n"/>
      <c r="J1439" s="55" t="n"/>
      <c r="K1439" s="55" t="n"/>
      <c r="L1439" s="100">
        <f>IF(OR($C1439="",$I1439="Оплачено",$I1439="Отменено",$H1439&lt;&gt;""),"",$C1439-TODAY())</f>
        <v/>
      </c>
      <c r="M1439" s="101">
        <f>IF($C1439="","",INDEX(Настройки!$V$6:$V$17,MONTH($C1439))&amp;" "&amp;YEAR($C1439))</f>
        <v/>
      </c>
      <c r="N1439" s="57">
        <f>IF($F1439="","",IF(COUNTIF(Постоянные!$C$8:$C$37,$F1439)&gt;0,"есть в Постоянных",IF(COUNTIF(Покупки!$C$7:$C$18,$F1439)&gt;0,"есть в Покупках","")))</f>
        <v/>
      </c>
      <c r="P1439">
        <f>IF($H1439&lt;&gt;"",$H1439,IF($I1439="Оплачено",N($G1439),0))</f>
        <v/>
      </c>
      <c r="Q1439">
        <f>IF($I1439="Отменено",0,IF($G1439&lt;&gt;"",$G1439,N($H1439)))</f>
        <v/>
      </c>
      <c r="R1439">
        <f>IF($C1439="","",IFERROR(DATE(Настройки!$C$8,Настройки!$D$9+MATCH($M1439,Настройки!$X$6:$X$17,0)-1,1),DATE(YEAR($C1439),MONTH($C1439),1)))</f>
        <v/>
      </c>
      <c r="S1439">
        <f>IF(OR($I1439="Оплачено",$H1439&lt;&gt;""),$P1439,$Q1439)</f>
        <v/>
      </c>
      <c r="T1439">
        <f>IF(OR($C1439="",$D1439="Доход",$I1439="Оплачено",$I1439="Отменено",$H1439&lt;&gt;"",$C1439&lt;TODAY()),"",$C1439)</f>
        <v/>
      </c>
      <c r="U1439">
        <f>IF(AND($D1439&lt;&gt;"Доход",COUNTIFS(Счета!$B$10:$B$21,$J1439,Счета!$C$10:$C$21,"Кредитная")&gt;0),1,0)</f>
        <v/>
      </c>
    </row>
    <row r="1440" ht="19" customHeight="1">
      <c r="B1440" s="53">
        <f>IF(AND($C1440="",$F1440=""),"",ROW()-9)</f>
        <v/>
      </c>
      <c r="C1440" s="213" t="n"/>
      <c r="D1440" s="55" t="n"/>
      <c r="E1440" s="55" t="n"/>
      <c r="F1440" s="56" t="n"/>
      <c r="G1440" s="196" t="n"/>
      <c r="H1440" s="196" t="n"/>
      <c r="I1440" s="55" t="n"/>
      <c r="J1440" s="55" t="n"/>
      <c r="K1440" s="55" t="n"/>
      <c r="L1440" s="100">
        <f>IF(OR($C1440="",$I1440="Оплачено",$I1440="Отменено",$H1440&lt;&gt;""),"",$C1440-TODAY())</f>
        <v/>
      </c>
      <c r="M1440" s="101">
        <f>IF($C1440="","",INDEX(Настройки!$V$6:$V$17,MONTH($C1440))&amp;" "&amp;YEAR($C1440))</f>
        <v/>
      </c>
      <c r="N1440" s="57">
        <f>IF($F1440="","",IF(COUNTIF(Постоянные!$C$8:$C$37,$F1440)&gt;0,"есть в Постоянных",IF(COUNTIF(Покупки!$C$7:$C$18,$F1440)&gt;0,"есть в Покупках","")))</f>
        <v/>
      </c>
      <c r="P1440">
        <f>IF($H1440&lt;&gt;"",$H1440,IF($I1440="Оплачено",N($G1440),0))</f>
        <v/>
      </c>
      <c r="Q1440">
        <f>IF($I1440="Отменено",0,IF($G1440&lt;&gt;"",$G1440,N($H1440)))</f>
        <v/>
      </c>
      <c r="R1440">
        <f>IF($C1440="","",IFERROR(DATE(Настройки!$C$8,Настройки!$D$9+MATCH($M1440,Настройки!$X$6:$X$17,0)-1,1),DATE(YEAR($C1440),MONTH($C1440),1)))</f>
        <v/>
      </c>
      <c r="S1440">
        <f>IF(OR($I1440="Оплачено",$H1440&lt;&gt;""),$P1440,$Q1440)</f>
        <v/>
      </c>
      <c r="T1440">
        <f>IF(OR($C1440="",$D1440="Доход",$I1440="Оплачено",$I1440="Отменено",$H1440&lt;&gt;"",$C1440&lt;TODAY()),"",$C1440)</f>
        <v/>
      </c>
      <c r="U1440">
        <f>IF(AND($D1440&lt;&gt;"Доход",COUNTIFS(Счета!$B$10:$B$21,$J1440,Счета!$C$10:$C$21,"Кредитная")&gt;0),1,0)</f>
        <v/>
      </c>
    </row>
    <row r="1441" ht="19" customHeight="1">
      <c r="B1441" s="53">
        <f>IF(AND($C1441="",$F1441=""),"",ROW()-9)</f>
        <v/>
      </c>
      <c r="C1441" s="213" t="n"/>
      <c r="D1441" s="55" t="n"/>
      <c r="E1441" s="55" t="n"/>
      <c r="F1441" s="56" t="n"/>
      <c r="G1441" s="196" t="n"/>
      <c r="H1441" s="196" t="n"/>
      <c r="I1441" s="55" t="n"/>
      <c r="J1441" s="55" t="n"/>
      <c r="K1441" s="55" t="n"/>
      <c r="L1441" s="100">
        <f>IF(OR($C1441="",$I1441="Оплачено",$I1441="Отменено",$H1441&lt;&gt;""),"",$C1441-TODAY())</f>
        <v/>
      </c>
      <c r="M1441" s="101">
        <f>IF($C1441="","",INDEX(Настройки!$V$6:$V$17,MONTH($C1441))&amp;" "&amp;YEAR($C1441))</f>
        <v/>
      </c>
      <c r="N1441" s="57">
        <f>IF($F1441="","",IF(COUNTIF(Постоянные!$C$8:$C$37,$F1441)&gt;0,"есть в Постоянных",IF(COUNTIF(Покупки!$C$7:$C$18,$F1441)&gt;0,"есть в Покупках","")))</f>
        <v/>
      </c>
      <c r="P1441">
        <f>IF($H1441&lt;&gt;"",$H1441,IF($I1441="Оплачено",N($G1441),0))</f>
        <v/>
      </c>
      <c r="Q1441">
        <f>IF($I1441="Отменено",0,IF($G1441&lt;&gt;"",$G1441,N($H1441)))</f>
        <v/>
      </c>
      <c r="R1441">
        <f>IF($C1441="","",IFERROR(DATE(Настройки!$C$8,Настройки!$D$9+MATCH($M1441,Настройки!$X$6:$X$17,0)-1,1),DATE(YEAR($C1441),MONTH($C1441),1)))</f>
        <v/>
      </c>
      <c r="S1441">
        <f>IF(OR($I1441="Оплачено",$H1441&lt;&gt;""),$P1441,$Q1441)</f>
        <v/>
      </c>
      <c r="T1441">
        <f>IF(OR($C1441="",$D1441="Доход",$I1441="Оплачено",$I1441="Отменено",$H1441&lt;&gt;"",$C1441&lt;TODAY()),"",$C1441)</f>
        <v/>
      </c>
      <c r="U1441">
        <f>IF(AND($D1441&lt;&gt;"Доход",COUNTIFS(Счета!$B$10:$B$21,$J1441,Счета!$C$10:$C$21,"Кредитная")&gt;0),1,0)</f>
        <v/>
      </c>
    </row>
    <row r="1442" ht="19" customHeight="1">
      <c r="B1442" s="53">
        <f>IF(AND($C1442="",$F1442=""),"",ROW()-9)</f>
        <v/>
      </c>
      <c r="C1442" s="213" t="n"/>
      <c r="D1442" s="55" t="n"/>
      <c r="E1442" s="55" t="n"/>
      <c r="F1442" s="56" t="n"/>
      <c r="G1442" s="196" t="n"/>
      <c r="H1442" s="196" t="n"/>
      <c r="I1442" s="55" t="n"/>
      <c r="J1442" s="55" t="n"/>
      <c r="K1442" s="55" t="n"/>
      <c r="L1442" s="100">
        <f>IF(OR($C1442="",$I1442="Оплачено",$I1442="Отменено",$H1442&lt;&gt;""),"",$C1442-TODAY())</f>
        <v/>
      </c>
      <c r="M1442" s="101">
        <f>IF($C1442="","",INDEX(Настройки!$V$6:$V$17,MONTH($C1442))&amp;" "&amp;YEAR($C1442))</f>
        <v/>
      </c>
      <c r="N1442" s="57">
        <f>IF($F1442="","",IF(COUNTIF(Постоянные!$C$8:$C$37,$F1442)&gt;0,"есть в Постоянных",IF(COUNTIF(Покупки!$C$7:$C$18,$F1442)&gt;0,"есть в Покупках","")))</f>
        <v/>
      </c>
      <c r="P1442">
        <f>IF($H1442&lt;&gt;"",$H1442,IF($I1442="Оплачено",N($G1442),0))</f>
        <v/>
      </c>
      <c r="Q1442">
        <f>IF($I1442="Отменено",0,IF($G1442&lt;&gt;"",$G1442,N($H1442)))</f>
        <v/>
      </c>
      <c r="R1442">
        <f>IF($C1442="","",IFERROR(DATE(Настройки!$C$8,Настройки!$D$9+MATCH($M1442,Настройки!$X$6:$X$17,0)-1,1),DATE(YEAR($C1442),MONTH($C1442),1)))</f>
        <v/>
      </c>
      <c r="S1442">
        <f>IF(OR($I1442="Оплачено",$H1442&lt;&gt;""),$P1442,$Q1442)</f>
        <v/>
      </c>
      <c r="T1442">
        <f>IF(OR($C1442="",$D1442="Доход",$I1442="Оплачено",$I1442="Отменено",$H1442&lt;&gt;"",$C1442&lt;TODAY()),"",$C1442)</f>
        <v/>
      </c>
      <c r="U1442">
        <f>IF(AND($D1442&lt;&gt;"Доход",COUNTIFS(Счета!$B$10:$B$21,$J1442,Счета!$C$10:$C$21,"Кредитная")&gt;0),1,0)</f>
        <v/>
      </c>
    </row>
    <row r="1443" ht="19" customHeight="1">
      <c r="B1443" s="53">
        <f>IF(AND($C1443="",$F1443=""),"",ROW()-9)</f>
        <v/>
      </c>
      <c r="C1443" s="213" t="n"/>
      <c r="D1443" s="55" t="n"/>
      <c r="E1443" s="55" t="n"/>
      <c r="F1443" s="56" t="n"/>
      <c r="G1443" s="196" t="n"/>
      <c r="H1443" s="196" t="n"/>
      <c r="I1443" s="55" t="n"/>
      <c r="J1443" s="55" t="n"/>
      <c r="K1443" s="55" t="n"/>
      <c r="L1443" s="100">
        <f>IF(OR($C1443="",$I1443="Оплачено",$I1443="Отменено",$H1443&lt;&gt;""),"",$C1443-TODAY())</f>
        <v/>
      </c>
      <c r="M1443" s="101">
        <f>IF($C1443="","",INDEX(Настройки!$V$6:$V$17,MONTH($C1443))&amp;" "&amp;YEAR($C1443))</f>
        <v/>
      </c>
      <c r="N1443" s="57">
        <f>IF($F1443="","",IF(COUNTIF(Постоянные!$C$8:$C$37,$F1443)&gt;0,"есть в Постоянных",IF(COUNTIF(Покупки!$C$7:$C$18,$F1443)&gt;0,"есть в Покупках","")))</f>
        <v/>
      </c>
      <c r="P1443">
        <f>IF($H1443&lt;&gt;"",$H1443,IF($I1443="Оплачено",N($G1443),0))</f>
        <v/>
      </c>
      <c r="Q1443">
        <f>IF($I1443="Отменено",0,IF($G1443&lt;&gt;"",$G1443,N($H1443)))</f>
        <v/>
      </c>
      <c r="R1443">
        <f>IF($C1443="","",IFERROR(DATE(Настройки!$C$8,Настройки!$D$9+MATCH($M1443,Настройки!$X$6:$X$17,0)-1,1),DATE(YEAR($C1443),MONTH($C1443),1)))</f>
        <v/>
      </c>
      <c r="S1443">
        <f>IF(OR($I1443="Оплачено",$H1443&lt;&gt;""),$P1443,$Q1443)</f>
        <v/>
      </c>
      <c r="T1443">
        <f>IF(OR($C1443="",$D1443="Доход",$I1443="Оплачено",$I1443="Отменено",$H1443&lt;&gt;"",$C1443&lt;TODAY()),"",$C1443)</f>
        <v/>
      </c>
      <c r="U1443">
        <f>IF(AND($D1443&lt;&gt;"Доход",COUNTIFS(Счета!$B$10:$B$21,$J1443,Счета!$C$10:$C$21,"Кредитная")&gt;0),1,0)</f>
        <v/>
      </c>
    </row>
    <row r="1444" ht="19" customHeight="1">
      <c r="B1444" s="53">
        <f>IF(AND($C1444="",$F1444=""),"",ROW()-9)</f>
        <v/>
      </c>
      <c r="C1444" s="213" t="n"/>
      <c r="D1444" s="55" t="n"/>
      <c r="E1444" s="55" t="n"/>
      <c r="F1444" s="56" t="n"/>
      <c r="G1444" s="196" t="n"/>
      <c r="H1444" s="196" t="n"/>
      <c r="I1444" s="55" t="n"/>
      <c r="J1444" s="55" t="n"/>
      <c r="K1444" s="55" t="n"/>
      <c r="L1444" s="100">
        <f>IF(OR($C1444="",$I1444="Оплачено",$I1444="Отменено",$H1444&lt;&gt;""),"",$C1444-TODAY())</f>
        <v/>
      </c>
      <c r="M1444" s="101">
        <f>IF($C1444="","",INDEX(Настройки!$V$6:$V$17,MONTH($C1444))&amp;" "&amp;YEAR($C1444))</f>
        <v/>
      </c>
      <c r="N1444" s="57">
        <f>IF($F1444="","",IF(COUNTIF(Постоянные!$C$8:$C$37,$F1444)&gt;0,"есть в Постоянных",IF(COUNTIF(Покупки!$C$7:$C$18,$F1444)&gt;0,"есть в Покупках","")))</f>
        <v/>
      </c>
      <c r="P1444">
        <f>IF($H1444&lt;&gt;"",$H1444,IF($I1444="Оплачено",N($G1444),0))</f>
        <v/>
      </c>
      <c r="Q1444">
        <f>IF($I1444="Отменено",0,IF($G1444&lt;&gt;"",$G1444,N($H1444)))</f>
        <v/>
      </c>
      <c r="R1444">
        <f>IF($C1444="","",IFERROR(DATE(Настройки!$C$8,Настройки!$D$9+MATCH($M1444,Настройки!$X$6:$X$17,0)-1,1),DATE(YEAR($C1444),MONTH($C1444),1)))</f>
        <v/>
      </c>
      <c r="S1444">
        <f>IF(OR($I1444="Оплачено",$H1444&lt;&gt;""),$P1444,$Q1444)</f>
        <v/>
      </c>
      <c r="T1444">
        <f>IF(OR($C1444="",$D1444="Доход",$I1444="Оплачено",$I1444="Отменено",$H1444&lt;&gt;"",$C1444&lt;TODAY()),"",$C1444)</f>
        <v/>
      </c>
      <c r="U1444">
        <f>IF(AND($D1444&lt;&gt;"Доход",COUNTIFS(Счета!$B$10:$B$21,$J1444,Счета!$C$10:$C$21,"Кредитная")&gt;0),1,0)</f>
        <v/>
      </c>
    </row>
    <row r="1445" ht="19" customHeight="1">
      <c r="B1445" s="53">
        <f>IF(AND($C1445="",$F1445=""),"",ROW()-9)</f>
        <v/>
      </c>
      <c r="C1445" s="213" t="n"/>
      <c r="D1445" s="55" t="n"/>
      <c r="E1445" s="55" t="n"/>
      <c r="F1445" s="56" t="n"/>
      <c r="G1445" s="196" t="n"/>
      <c r="H1445" s="196" t="n"/>
      <c r="I1445" s="55" t="n"/>
      <c r="J1445" s="55" t="n"/>
      <c r="K1445" s="55" t="n"/>
      <c r="L1445" s="100">
        <f>IF(OR($C1445="",$I1445="Оплачено",$I1445="Отменено",$H1445&lt;&gt;""),"",$C1445-TODAY())</f>
        <v/>
      </c>
      <c r="M1445" s="101">
        <f>IF($C1445="","",INDEX(Настройки!$V$6:$V$17,MONTH($C1445))&amp;" "&amp;YEAR($C1445))</f>
        <v/>
      </c>
      <c r="N1445" s="57">
        <f>IF($F1445="","",IF(COUNTIF(Постоянные!$C$8:$C$37,$F1445)&gt;0,"есть в Постоянных",IF(COUNTIF(Покупки!$C$7:$C$18,$F1445)&gt;0,"есть в Покупках","")))</f>
        <v/>
      </c>
      <c r="P1445">
        <f>IF($H1445&lt;&gt;"",$H1445,IF($I1445="Оплачено",N($G1445),0))</f>
        <v/>
      </c>
      <c r="Q1445">
        <f>IF($I1445="Отменено",0,IF($G1445&lt;&gt;"",$G1445,N($H1445)))</f>
        <v/>
      </c>
      <c r="R1445">
        <f>IF($C1445="","",IFERROR(DATE(Настройки!$C$8,Настройки!$D$9+MATCH($M1445,Настройки!$X$6:$X$17,0)-1,1),DATE(YEAR($C1445),MONTH($C1445),1)))</f>
        <v/>
      </c>
      <c r="S1445">
        <f>IF(OR($I1445="Оплачено",$H1445&lt;&gt;""),$P1445,$Q1445)</f>
        <v/>
      </c>
      <c r="T1445">
        <f>IF(OR($C1445="",$D1445="Доход",$I1445="Оплачено",$I1445="Отменено",$H1445&lt;&gt;"",$C1445&lt;TODAY()),"",$C1445)</f>
        <v/>
      </c>
      <c r="U1445">
        <f>IF(AND($D1445&lt;&gt;"Доход",COUNTIFS(Счета!$B$10:$B$21,$J1445,Счета!$C$10:$C$21,"Кредитная")&gt;0),1,0)</f>
        <v/>
      </c>
    </row>
    <row r="1446" ht="19" customHeight="1">
      <c r="B1446" s="53">
        <f>IF(AND($C1446="",$F1446=""),"",ROW()-9)</f>
        <v/>
      </c>
      <c r="C1446" s="213" t="n"/>
      <c r="D1446" s="55" t="n"/>
      <c r="E1446" s="55" t="n"/>
      <c r="F1446" s="56" t="n"/>
      <c r="G1446" s="196" t="n"/>
      <c r="H1446" s="196" t="n"/>
      <c r="I1446" s="55" t="n"/>
      <c r="J1446" s="55" t="n"/>
      <c r="K1446" s="55" t="n"/>
      <c r="L1446" s="100">
        <f>IF(OR($C1446="",$I1446="Оплачено",$I1446="Отменено",$H1446&lt;&gt;""),"",$C1446-TODAY())</f>
        <v/>
      </c>
      <c r="M1446" s="101">
        <f>IF($C1446="","",INDEX(Настройки!$V$6:$V$17,MONTH($C1446))&amp;" "&amp;YEAR($C1446))</f>
        <v/>
      </c>
      <c r="N1446" s="57">
        <f>IF($F1446="","",IF(COUNTIF(Постоянные!$C$8:$C$37,$F1446)&gt;0,"есть в Постоянных",IF(COUNTIF(Покупки!$C$7:$C$18,$F1446)&gt;0,"есть в Покупках","")))</f>
        <v/>
      </c>
      <c r="P1446">
        <f>IF($H1446&lt;&gt;"",$H1446,IF($I1446="Оплачено",N($G1446),0))</f>
        <v/>
      </c>
      <c r="Q1446">
        <f>IF($I1446="Отменено",0,IF($G1446&lt;&gt;"",$G1446,N($H1446)))</f>
        <v/>
      </c>
      <c r="R1446">
        <f>IF($C1446="","",IFERROR(DATE(Настройки!$C$8,Настройки!$D$9+MATCH($M1446,Настройки!$X$6:$X$17,0)-1,1),DATE(YEAR($C1446),MONTH($C1446),1)))</f>
        <v/>
      </c>
      <c r="S1446">
        <f>IF(OR($I1446="Оплачено",$H1446&lt;&gt;""),$P1446,$Q1446)</f>
        <v/>
      </c>
      <c r="T1446">
        <f>IF(OR($C1446="",$D1446="Доход",$I1446="Оплачено",$I1446="Отменено",$H1446&lt;&gt;"",$C1446&lt;TODAY()),"",$C1446)</f>
        <v/>
      </c>
      <c r="U1446">
        <f>IF(AND($D1446&lt;&gt;"Доход",COUNTIFS(Счета!$B$10:$B$21,$J1446,Счета!$C$10:$C$21,"Кредитная")&gt;0),1,0)</f>
        <v/>
      </c>
    </row>
    <row r="1447" ht="19" customHeight="1">
      <c r="B1447" s="53">
        <f>IF(AND($C1447="",$F1447=""),"",ROW()-9)</f>
        <v/>
      </c>
      <c r="C1447" s="213" t="n"/>
      <c r="D1447" s="55" t="n"/>
      <c r="E1447" s="55" t="n"/>
      <c r="F1447" s="56" t="n"/>
      <c r="G1447" s="196" t="n"/>
      <c r="H1447" s="196" t="n"/>
      <c r="I1447" s="55" t="n"/>
      <c r="J1447" s="55" t="n"/>
      <c r="K1447" s="55" t="n"/>
      <c r="L1447" s="100">
        <f>IF(OR($C1447="",$I1447="Оплачено",$I1447="Отменено",$H1447&lt;&gt;""),"",$C1447-TODAY())</f>
        <v/>
      </c>
      <c r="M1447" s="101">
        <f>IF($C1447="","",INDEX(Настройки!$V$6:$V$17,MONTH($C1447))&amp;" "&amp;YEAR($C1447))</f>
        <v/>
      </c>
      <c r="N1447" s="57">
        <f>IF($F1447="","",IF(COUNTIF(Постоянные!$C$8:$C$37,$F1447)&gt;0,"есть в Постоянных",IF(COUNTIF(Покупки!$C$7:$C$18,$F1447)&gt;0,"есть в Покупках","")))</f>
        <v/>
      </c>
      <c r="P1447">
        <f>IF($H1447&lt;&gt;"",$H1447,IF($I1447="Оплачено",N($G1447),0))</f>
        <v/>
      </c>
      <c r="Q1447">
        <f>IF($I1447="Отменено",0,IF($G1447&lt;&gt;"",$G1447,N($H1447)))</f>
        <v/>
      </c>
      <c r="R1447">
        <f>IF($C1447="","",IFERROR(DATE(Настройки!$C$8,Настройки!$D$9+MATCH($M1447,Настройки!$X$6:$X$17,0)-1,1),DATE(YEAR($C1447),MONTH($C1447),1)))</f>
        <v/>
      </c>
      <c r="S1447">
        <f>IF(OR($I1447="Оплачено",$H1447&lt;&gt;""),$P1447,$Q1447)</f>
        <v/>
      </c>
      <c r="T1447">
        <f>IF(OR($C1447="",$D1447="Доход",$I1447="Оплачено",$I1447="Отменено",$H1447&lt;&gt;"",$C1447&lt;TODAY()),"",$C1447)</f>
        <v/>
      </c>
      <c r="U1447">
        <f>IF(AND($D1447&lt;&gt;"Доход",COUNTIFS(Счета!$B$10:$B$21,$J1447,Счета!$C$10:$C$21,"Кредитная")&gt;0),1,0)</f>
        <v/>
      </c>
    </row>
    <row r="1448" ht="19" customHeight="1">
      <c r="B1448" s="53">
        <f>IF(AND($C1448="",$F1448=""),"",ROW()-9)</f>
        <v/>
      </c>
      <c r="C1448" s="213" t="n"/>
      <c r="D1448" s="55" t="n"/>
      <c r="E1448" s="55" t="n"/>
      <c r="F1448" s="56" t="n"/>
      <c r="G1448" s="196" t="n"/>
      <c r="H1448" s="196" t="n"/>
      <c r="I1448" s="55" t="n"/>
      <c r="J1448" s="55" t="n"/>
      <c r="K1448" s="55" t="n"/>
      <c r="L1448" s="100">
        <f>IF(OR($C1448="",$I1448="Оплачено",$I1448="Отменено",$H1448&lt;&gt;""),"",$C1448-TODAY())</f>
        <v/>
      </c>
      <c r="M1448" s="101">
        <f>IF($C1448="","",INDEX(Настройки!$V$6:$V$17,MONTH($C1448))&amp;" "&amp;YEAR($C1448))</f>
        <v/>
      </c>
      <c r="N1448" s="57">
        <f>IF($F1448="","",IF(COUNTIF(Постоянные!$C$8:$C$37,$F1448)&gt;0,"есть в Постоянных",IF(COUNTIF(Покупки!$C$7:$C$18,$F1448)&gt;0,"есть в Покупках","")))</f>
        <v/>
      </c>
      <c r="P1448">
        <f>IF($H1448&lt;&gt;"",$H1448,IF($I1448="Оплачено",N($G1448),0))</f>
        <v/>
      </c>
      <c r="Q1448">
        <f>IF($I1448="Отменено",0,IF($G1448&lt;&gt;"",$G1448,N($H1448)))</f>
        <v/>
      </c>
      <c r="R1448">
        <f>IF($C1448="","",IFERROR(DATE(Настройки!$C$8,Настройки!$D$9+MATCH($M1448,Настройки!$X$6:$X$17,0)-1,1),DATE(YEAR($C1448),MONTH($C1448),1)))</f>
        <v/>
      </c>
      <c r="S1448">
        <f>IF(OR($I1448="Оплачено",$H1448&lt;&gt;""),$P1448,$Q1448)</f>
        <v/>
      </c>
      <c r="T1448">
        <f>IF(OR($C1448="",$D1448="Доход",$I1448="Оплачено",$I1448="Отменено",$H1448&lt;&gt;"",$C1448&lt;TODAY()),"",$C1448)</f>
        <v/>
      </c>
      <c r="U1448">
        <f>IF(AND($D1448&lt;&gt;"Доход",COUNTIFS(Счета!$B$10:$B$21,$J1448,Счета!$C$10:$C$21,"Кредитная")&gt;0),1,0)</f>
        <v/>
      </c>
    </row>
    <row r="1449" ht="19" customHeight="1">
      <c r="B1449" s="53">
        <f>IF(AND($C1449="",$F1449=""),"",ROW()-9)</f>
        <v/>
      </c>
      <c r="C1449" s="213" t="n"/>
      <c r="D1449" s="55" t="n"/>
      <c r="E1449" s="55" t="n"/>
      <c r="F1449" s="56" t="n"/>
      <c r="G1449" s="196" t="n"/>
      <c r="H1449" s="196" t="n"/>
      <c r="I1449" s="55" t="n"/>
      <c r="J1449" s="55" t="n"/>
      <c r="K1449" s="55" t="n"/>
      <c r="L1449" s="100">
        <f>IF(OR($C1449="",$I1449="Оплачено",$I1449="Отменено",$H1449&lt;&gt;""),"",$C1449-TODAY())</f>
        <v/>
      </c>
      <c r="M1449" s="101">
        <f>IF($C1449="","",INDEX(Настройки!$V$6:$V$17,MONTH($C1449))&amp;" "&amp;YEAR($C1449))</f>
        <v/>
      </c>
      <c r="N1449" s="57">
        <f>IF($F1449="","",IF(COUNTIF(Постоянные!$C$8:$C$37,$F1449)&gt;0,"есть в Постоянных",IF(COUNTIF(Покупки!$C$7:$C$18,$F1449)&gt;0,"есть в Покупках","")))</f>
        <v/>
      </c>
      <c r="P1449">
        <f>IF($H1449&lt;&gt;"",$H1449,IF($I1449="Оплачено",N($G1449),0))</f>
        <v/>
      </c>
      <c r="Q1449">
        <f>IF($I1449="Отменено",0,IF($G1449&lt;&gt;"",$G1449,N($H1449)))</f>
        <v/>
      </c>
      <c r="R1449">
        <f>IF($C1449="","",IFERROR(DATE(Настройки!$C$8,Настройки!$D$9+MATCH($M1449,Настройки!$X$6:$X$17,0)-1,1),DATE(YEAR($C1449),MONTH($C1449),1)))</f>
        <v/>
      </c>
      <c r="S1449">
        <f>IF(OR($I1449="Оплачено",$H1449&lt;&gt;""),$P1449,$Q1449)</f>
        <v/>
      </c>
      <c r="T1449">
        <f>IF(OR($C1449="",$D1449="Доход",$I1449="Оплачено",$I1449="Отменено",$H1449&lt;&gt;"",$C1449&lt;TODAY()),"",$C1449)</f>
        <v/>
      </c>
      <c r="U1449">
        <f>IF(AND($D1449&lt;&gt;"Доход",COUNTIFS(Счета!$B$10:$B$21,$J1449,Счета!$C$10:$C$21,"Кредитная")&gt;0),1,0)</f>
        <v/>
      </c>
    </row>
    <row r="1450" ht="19" customHeight="1">
      <c r="B1450" s="53">
        <f>IF(AND($C1450="",$F1450=""),"",ROW()-9)</f>
        <v/>
      </c>
      <c r="C1450" s="213" t="n"/>
      <c r="D1450" s="55" t="n"/>
      <c r="E1450" s="55" t="n"/>
      <c r="F1450" s="56" t="n"/>
      <c r="G1450" s="196" t="n"/>
      <c r="H1450" s="196" t="n"/>
      <c r="I1450" s="55" t="n"/>
      <c r="J1450" s="55" t="n"/>
      <c r="K1450" s="55" t="n"/>
      <c r="L1450" s="100">
        <f>IF(OR($C1450="",$I1450="Оплачено",$I1450="Отменено",$H1450&lt;&gt;""),"",$C1450-TODAY())</f>
        <v/>
      </c>
      <c r="M1450" s="101">
        <f>IF($C1450="","",INDEX(Настройки!$V$6:$V$17,MONTH($C1450))&amp;" "&amp;YEAR($C1450))</f>
        <v/>
      </c>
      <c r="N1450" s="57">
        <f>IF($F1450="","",IF(COUNTIF(Постоянные!$C$8:$C$37,$F1450)&gt;0,"есть в Постоянных",IF(COUNTIF(Покупки!$C$7:$C$18,$F1450)&gt;0,"есть в Покупках","")))</f>
        <v/>
      </c>
      <c r="P1450">
        <f>IF($H1450&lt;&gt;"",$H1450,IF($I1450="Оплачено",N($G1450),0))</f>
        <v/>
      </c>
      <c r="Q1450">
        <f>IF($I1450="Отменено",0,IF($G1450&lt;&gt;"",$G1450,N($H1450)))</f>
        <v/>
      </c>
      <c r="R1450">
        <f>IF($C1450="","",IFERROR(DATE(Настройки!$C$8,Настройки!$D$9+MATCH($M1450,Настройки!$X$6:$X$17,0)-1,1),DATE(YEAR($C1450),MONTH($C1450),1)))</f>
        <v/>
      </c>
      <c r="S1450">
        <f>IF(OR($I1450="Оплачено",$H1450&lt;&gt;""),$P1450,$Q1450)</f>
        <v/>
      </c>
      <c r="T1450">
        <f>IF(OR($C1450="",$D1450="Доход",$I1450="Оплачено",$I1450="Отменено",$H1450&lt;&gt;"",$C1450&lt;TODAY()),"",$C1450)</f>
        <v/>
      </c>
      <c r="U1450">
        <f>IF(AND($D1450&lt;&gt;"Доход",COUNTIFS(Счета!$B$10:$B$21,$J1450,Счета!$C$10:$C$21,"Кредитная")&gt;0),1,0)</f>
        <v/>
      </c>
    </row>
    <row r="1451" ht="19" customHeight="1">
      <c r="B1451" s="53">
        <f>IF(AND($C1451="",$F1451=""),"",ROW()-9)</f>
        <v/>
      </c>
      <c r="C1451" s="213" t="n"/>
      <c r="D1451" s="55" t="n"/>
      <c r="E1451" s="55" t="n"/>
      <c r="F1451" s="56" t="n"/>
      <c r="G1451" s="196" t="n"/>
      <c r="H1451" s="196" t="n"/>
      <c r="I1451" s="55" t="n"/>
      <c r="J1451" s="55" t="n"/>
      <c r="K1451" s="55" t="n"/>
      <c r="L1451" s="100">
        <f>IF(OR($C1451="",$I1451="Оплачено",$I1451="Отменено",$H1451&lt;&gt;""),"",$C1451-TODAY())</f>
        <v/>
      </c>
      <c r="M1451" s="101">
        <f>IF($C1451="","",INDEX(Настройки!$V$6:$V$17,MONTH($C1451))&amp;" "&amp;YEAR($C1451))</f>
        <v/>
      </c>
      <c r="N1451" s="57">
        <f>IF($F1451="","",IF(COUNTIF(Постоянные!$C$8:$C$37,$F1451)&gt;0,"есть в Постоянных",IF(COUNTIF(Покупки!$C$7:$C$18,$F1451)&gt;0,"есть в Покупках","")))</f>
        <v/>
      </c>
      <c r="P1451">
        <f>IF($H1451&lt;&gt;"",$H1451,IF($I1451="Оплачено",N($G1451),0))</f>
        <v/>
      </c>
      <c r="Q1451">
        <f>IF($I1451="Отменено",0,IF($G1451&lt;&gt;"",$G1451,N($H1451)))</f>
        <v/>
      </c>
      <c r="R1451">
        <f>IF($C1451="","",IFERROR(DATE(Настройки!$C$8,Настройки!$D$9+MATCH($M1451,Настройки!$X$6:$X$17,0)-1,1),DATE(YEAR($C1451),MONTH($C1451),1)))</f>
        <v/>
      </c>
      <c r="S1451">
        <f>IF(OR($I1451="Оплачено",$H1451&lt;&gt;""),$P1451,$Q1451)</f>
        <v/>
      </c>
      <c r="T1451">
        <f>IF(OR($C1451="",$D1451="Доход",$I1451="Оплачено",$I1451="Отменено",$H1451&lt;&gt;"",$C1451&lt;TODAY()),"",$C1451)</f>
        <v/>
      </c>
      <c r="U1451">
        <f>IF(AND($D1451&lt;&gt;"Доход",COUNTIFS(Счета!$B$10:$B$21,$J1451,Счета!$C$10:$C$21,"Кредитная")&gt;0),1,0)</f>
        <v/>
      </c>
    </row>
    <row r="1452" ht="19" customHeight="1">
      <c r="B1452" s="53">
        <f>IF(AND($C1452="",$F1452=""),"",ROW()-9)</f>
        <v/>
      </c>
      <c r="C1452" s="213" t="n"/>
      <c r="D1452" s="55" t="n"/>
      <c r="E1452" s="55" t="n"/>
      <c r="F1452" s="56" t="n"/>
      <c r="G1452" s="196" t="n"/>
      <c r="H1452" s="196" t="n"/>
      <c r="I1452" s="55" t="n"/>
      <c r="J1452" s="55" t="n"/>
      <c r="K1452" s="55" t="n"/>
      <c r="L1452" s="100">
        <f>IF(OR($C1452="",$I1452="Оплачено",$I1452="Отменено",$H1452&lt;&gt;""),"",$C1452-TODAY())</f>
        <v/>
      </c>
      <c r="M1452" s="101">
        <f>IF($C1452="","",INDEX(Настройки!$V$6:$V$17,MONTH($C1452))&amp;" "&amp;YEAR($C1452))</f>
        <v/>
      </c>
      <c r="N1452" s="57">
        <f>IF($F1452="","",IF(COUNTIF(Постоянные!$C$8:$C$37,$F1452)&gt;0,"есть в Постоянных",IF(COUNTIF(Покупки!$C$7:$C$18,$F1452)&gt;0,"есть в Покупках","")))</f>
        <v/>
      </c>
      <c r="P1452">
        <f>IF($H1452&lt;&gt;"",$H1452,IF($I1452="Оплачено",N($G1452),0))</f>
        <v/>
      </c>
      <c r="Q1452">
        <f>IF($I1452="Отменено",0,IF($G1452&lt;&gt;"",$G1452,N($H1452)))</f>
        <v/>
      </c>
      <c r="R1452">
        <f>IF($C1452="","",IFERROR(DATE(Настройки!$C$8,Настройки!$D$9+MATCH($M1452,Настройки!$X$6:$X$17,0)-1,1),DATE(YEAR($C1452),MONTH($C1452),1)))</f>
        <v/>
      </c>
      <c r="S1452">
        <f>IF(OR($I1452="Оплачено",$H1452&lt;&gt;""),$P1452,$Q1452)</f>
        <v/>
      </c>
      <c r="T1452">
        <f>IF(OR($C1452="",$D1452="Доход",$I1452="Оплачено",$I1452="Отменено",$H1452&lt;&gt;"",$C1452&lt;TODAY()),"",$C1452)</f>
        <v/>
      </c>
      <c r="U1452">
        <f>IF(AND($D1452&lt;&gt;"Доход",COUNTIFS(Счета!$B$10:$B$21,$J1452,Счета!$C$10:$C$21,"Кредитная")&gt;0),1,0)</f>
        <v/>
      </c>
    </row>
    <row r="1453" ht="19" customHeight="1">
      <c r="B1453" s="53">
        <f>IF(AND($C1453="",$F1453=""),"",ROW()-9)</f>
        <v/>
      </c>
      <c r="C1453" s="213" t="n"/>
      <c r="D1453" s="55" t="n"/>
      <c r="E1453" s="55" t="n"/>
      <c r="F1453" s="56" t="n"/>
      <c r="G1453" s="196" t="n"/>
      <c r="H1453" s="196" t="n"/>
      <c r="I1453" s="55" t="n"/>
      <c r="J1453" s="55" t="n"/>
      <c r="K1453" s="55" t="n"/>
      <c r="L1453" s="100">
        <f>IF(OR($C1453="",$I1453="Оплачено",$I1453="Отменено",$H1453&lt;&gt;""),"",$C1453-TODAY())</f>
        <v/>
      </c>
      <c r="M1453" s="101">
        <f>IF($C1453="","",INDEX(Настройки!$V$6:$V$17,MONTH($C1453))&amp;" "&amp;YEAR($C1453))</f>
        <v/>
      </c>
      <c r="N1453" s="57">
        <f>IF($F1453="","",IF(COUNTIF(Постоянные!$C$8:$C$37,$F1453)&gt;0,"есть в Постоянных",IF(COUNTIF(Покупки!$C$7:$C$18,$F1453)&gt;0,"есть в Покупках","")))</f>
        <v/>
      </c>
      <c r="P1453">
        <f>IF($H1453&lt;&gt;"",$H1453,IF($I1453="Оплачено",N($G1453),0))</f>
        <v/>
      </c>
      <c r="Q1453">
        <f>IF($I1453="Отменено",0,IF($G1453&lt;&gt;"",$G1453,N($H1453)))</f>
        <v/>
      </c>
      <c r="R1453">
        <f>IF($C1453="","",IFERROR(DATE(Настройки!$C$8,Настройки!$D$9+MATCH($M1453,Настройки!$X$6:$X$17,0)-1,1),DATE(YEAR($C1453),MONTH($C1453),1)))</f>
        <v/>
      </c>
      <c r="S1453">
        <f>IF(OR($I1453="Оплачено",$H1453&lt;&gt;""),$P1453,$Q1453)</f>
        <v/>
      </c>
      <c r="T1453">
        <f>IF(OR($C1453="",$D1453="Доход",$I1453="Оплачено",$I1453="Отменено",$H1453&lt;&gt;"",$C1453&lt;TODAY()),"",$C1453)</f>
        <v/>
      </c>
      <c r="U1453">
        <f>IF(AND($D1453&lt;&gt;"Доход",COUNTIFS(Счета!$B$10:$B$21,$J1453,Счета!$C$10:$C$21,"Кредитная")&gt;0),1,0)</f>
        <v/>
      </c>
    </row>
    <row r="1454" ht="19" customHeight="1">
      <c r="B1454" s="53">
        <f>IF(AND($C1454="",$F1454=""),"",ROW()-9)</f>
        <v/>
      </c>
      <c r="C1454" s="213" t="n"/>
      <c r="D1454" s="55" t="n"/>
      <c r="E1454" s="55" t="n"/>
      <c r="F1454" s="56" t="n"/>
      <c r="G1454" s="196" t="n"/>
      <c r="H1454" s="196" t="n"/>
      <c r="I1454" s="55" t="n"/>
      <c r="J1454" s="55" t="n"/>
      <c r="K1454" s="55" t="n"/>
      <c r="L1454" s="100">
        <f>IF(OR($C1454="",$I1454="Оплачено",$I1454="Отменено",$H1454&lt;&gt;""),"",$C1454-TODAY())</f>
        <v/>
      </c>
      <c r="M1454" s="101">
        <f>IF($C1454="","",INDEX(Настройки!$V$6:$V$17,MONTH($C1454))&amp;" "&amp;YEAR($C1454))</f>
        <v/>
      </c>
      <c r="N1454" s="57">
        <f>IF($F1454="","",IF(COUNTIF(Постоянные!$C$8:$C$37,$F1454)&gt;0,"есть в Постоянных",IF(COUNTIF(Покупки!$C$7:$C$18,$F1454)&gt;0,"есть в Покупках","")))</f>
        <v/>
      </c>
      <c r="P1454">
        <f>IF($H1454&lt;&gt;"",$H1454,IF($I1454="Оплачено",N($G1454),0))</f>
        <v/>
      </c>
      <c r="Q1454">
        <f>IF($I1454="Отменено",0,IF($G1454&lt;&gt;"",$G1454,N($H1454)))</f>
        <v/>
      </c>
      <c r="R1454">
        <f>IF($C1454="","",IFERROR(DATE(Настройки!$C$8,Настройки!$D$9+MATCH($M1454,Настройки!$X$6:$X$17,0)-1,1),DATE(YEAR($C1454),MONTH($C1454),1)))</f>
        <v/>
      </c>
      <c r="S1454">
        <f>IF(OR($I1454="Оплачено",$H1454&lt;&gt;""),$P1454,$Q1454)</f>
        <v/>
      </c>
      <c r="T1454">
        <f>IF(OR($C1454="",$D1454="Доход",$I1454="Оплачено",$I1454="Отменено",$H1454&lt;&gt;"",$C1454&lt;TODAY()),"",$C1454)</f>
        <v/>
      </c>
      <c r="U1454">
        <f>IF(AND($D1454&lt;&gt;"Доход",COUNTIFS(Счета!$B$10:$B$21,$J1454,Счета!$C$10:$C$21,"Кредитная")&gt;0),1,0)</f>
        <v/>
      </c>
    </row>
    <row r="1455" ht="19" customHeight="1">
      <c r="B1455" s="53">
        <f>IF(AND($C1455="",$F1455=""),"",ROW()-9)</f>
        <v/>
      </c>
      <c r="C1455" s="213" t="n"/>
      <c r="D1455" s="55" t="n"/>
      <c r="E1455" s="55" t="n"/>
      <c r="F1455" s="56" t="n"/>
      <c r="G1455" s="196" t="n"/>
      <c r="H1455" s="196" t="n"/>
      <c r="I1455" s="55" t="n"/>
      <c r="J1455" s="55" t="n"/>
      <c r="K1455" s="55" t="n"/>
      <c r="L1455" s="100">
        <f>IF(OR($C1455="",$I1455="Оплачено",$I1455="Отменено",$H1455&lt;&gt;""),"",$C1455-TODAY())</f>
        <v/>
      </c>
      <c r="M1455" s="101">
        <f>IF($C1455="","",INDEX(Настройки!$V$6:$V$17,MONTH($C1455))&amp;" "&amp;YEAR($C1455))</f>
        <v/>
      </c>
      <c r="N1455" s="57">
        <f>IF($F1455="","",IF(COUNTIF(Постоянные!$C$8:$C$37,$F1455)&gt;0,"есть в Постоянных",IF(COUNTIF(Покупки!$C$7:$C$18,$F1455)&gt;0,"есть в Покупках","")))</f>
        <v/>
      </c>
      <c r="P1455">
        <f>IF($H1455&lt;&gt;"",$H1455,IF($I1455="Оплачено",N($G1455),0))</f>
        <v/>
      </c>
      <c r="Q1455">
        <f>IF($I1455="Отменено",0,IF($G1455&lt;&gt;"",$G1455,N($H1455)))</f>
        <v/>
      </c>
      <c r="R1455">
        <f>IF($C1455="","",IFERROR(DATE(Настройки!$C$8,Настройки!$D$9+MATCH($M1455,Настройки!$X$6:$X$17,0)-1,1),DATE(YEAR($C1455),MONTH($C1455),1)))</f>
        <v/>
      </c>
      <c r="S1455">
        <f>IF(OR($I1455="Оплачено",$H1455&lt;&gt;""),$P1455,$Q1455)</f>
        <v/>
      </c>
      <c r="T1455">
        <f>IF(OR($C1455="",$D1455="Доход",$I1455="Оплачено",$I1455="Отменено",$H1455&lt;&gt;"",$C1455&lt;TODAY()),"",$C1455)</f>
        <v/>
      </c>
      <c r="U1455">
        <f>IF(AND($D1455&lt;&gt;"Доход",COUNTIFS(Счета!$B$10:$B$21,$J1455,Счета!$C$10:$C$21,"Кредитная")&gt;0),1,0)</f>
        <v/>
      </c>
    </row>
    <row r="1456" ht="19" customHeight="1">
      <c r="B1456" s="53">
        <f>IF(AND($C1456="",$F1456=""),"",ROW()-9)</f>
        <v/>
      </c>
      <c r="C1456" s="213" t="n"/>
      <c r="D1456" s="55" t="n"/>
      <c r="E1456" s="55" t="n"/>
      <c r="F1456" s="56" t="n"/>
      <c r="G1456" s="196" t="n"/>
      <c r="H1456" s="196" t="n"/>
      <c r="I1456" s="55" t="n"/>
      <c r="J1456" s="55" t="n"/>
      <c r="K1456" s="55" t="n"/>
      <c r="L1456" s="100">
        <f>IF(OR($C1456="",$I1456="Оплачено",$I1456="Отменено",$H1456&lt;&gt;""),"",$C1456-TODAY())</f>
        <v/>
      </c>
      <c r="M1456" s="101">
        <f>IF($C1456="","",INDEX(Настройки!$V$6:$V$17,MONTH($C1456))&amp;" "&amp;YEAR($C1456))</f>
        <v/>
      </c>
      <c r="N1456" s="57">
        <f>IF($F1456="","",IF(COUNTIF(Постоянные!$C$8:$C$37,$F1456)&gt;0,"есть в Постоянных",IF(COUNTIF(Покупки!$C$7:$C$18,$F1456)&gt;0,"есть в Покупках","")))</f>
        <v/>
      </c>
      <c r="P1456">
        <f>IF($H1456&lt;&gt;"",$H1456,IF($I1456="Оплачено",N($G1456),0))</f>
        <v/>
      </c>
      <c r="Q1456">
        <f>IF($I1456="Отменено",0,IF($G1456&lt;&gt;"",$G1456,N($H1456)))</f>
        <v/>
      </c>
      <c r="R1456">
        <f>IF($C1456="","",IFERROR(DATE(Настройки!$C$8,Настройки!$D$9+MATCH($M1456,Настройки!$X$6:$X$17,0)-1,1),DATE(YEAR($C1456),MONTH($C1456),1)))</f>
        <v/>
      </c>
      <c r="S1456">
        <f>IF(OR($I1456="Оплачено",$H1456&lt;&gt;""),$P1456,$Q1456)</f>
        <v/>
      </c>
      <c r="T1456">
        <f>IF(OR($C1456="",$D1456="Доход",$I1456="Оплачено",$I1456="Отменено",$H1456&lt;&gt;"",$C1456&lt;TODAY()),"",$C1456)</f>
        <v/>
      </c>
      <c r="U1456">
        <f>IF(AND($D1456&lt;&gt;"Доход",COUNTIFS(Счета!$B$10:$B$21,$J1456,Счета!$C$10:$C$21,"Кредитная")&gt;0),1,0)</f>
        <v/>
      </c>
    </row>
    <row r="1457" ht="19" customHeight="1">
      <c r="B1457" s="53">
        <f>IF(AND($C1457="",$F1457=""),"",ROW()-9)</f>
        <v/>
      </c>
      <c r="C1457" s="213" t="n"/>
      <c r="D1457" s="55" t="n"/>
      <c r="E1457" s="55" t="n"/>
      <c r="F1457" s="56" t="n"/>
      <c r="G1457" s="196" t="n"/>
      <c r="H1457" s="196" t="n"/>
      <c r="I1457" s="55" t="n"/>
      <c r="J1457" s="55" t="n"/>
      <c r="K1457" s="55" t="n"/>
      <c r="L1457" s="100">
        <f>IF(OR($C1457="",$I1457="Оплачено",$I1457="Отменено",$H1457&lt;&gt;""),"",$C1457-TODAY())</f>
        <v/>
      </c>
      <c r="M1457" s="101">
        <f>IF($C1457="","",INDEX(Настройки!$V$6:$V$17,MONTH($C1457))&amp;" "&amp;YEAR($C1457))</f>
        <v/>
      </c>
      <c r="N1457" s="57">
        <f>IF($F1457="","",IF(COUNTIF(Постоянные!$C$8:$C$37,$F1457)&gt;0,"есть в Постоянных",IF(COUNTIF(Покупки!$C$7:$C$18,$F1457)&gt;0,"есть в Покупках","")))</f>
        <v/>
      </c>
      <c r="P1457">
        <f>IF($H1457&lt;&gt;"",$H1457,IF($I1457="Оплачено",N($G1457),0))</f>
        <v/>
      </c>
      <c r="Q1457">
        <f>IF($I1457="Отменено",0,IF($G1457&lt;&gt;"",$G1457,N($H1457)))</f>
        <v/>
      </c>
      <c r="R1457">
        <f>IF($C1457="","",IFERROR(DATE(Настройки!$C$8,Настройки!$D$9+MATCH($M1457,Настройки!$X$6:$X$17,0)-1,1),DATE(YEAR($C1457),MONTH($C1457),1)))</f>
        <v/>
      </c>
      <c r="S1457">
        <f>IF(OR($I1457="Оплачено",$H1457&lt;&gt;""),$P1457,$Q1457)</f>
        <v/>
      </c>
      <c r="T1457">
        <f>IF(OR($C1457="",$D1457="Доход",$I1457="Оплачено",$I1457="Отменено",$H1457&lt;&gt;"",$C1457&lt;TODAY()),"",$C1457)</f>
        <v/>
      </c>
      <c r="U1457">
        <f>IF(AND($D1457&lt;&gt;"Доход",COUNTIFS(Счета!$B$10:$B$21,$J1457,Счета!$C$10:$C$21,"Кредитная")&gt;0),1,0)</f>
        <v/>
      </c>
    </row>
    <row r="1458" ht="19" customHeight="1">
      <c r="B1458" s="53">
        <f>IF(AND($C1458="",$F1458=""),"",ROW()-9)</f>
        <v/>
      </c>
      <c r="C1458" s="213" t="n"/>
      <c r="D1458" s="55" t="n"/>
      <c r="E1458" s="55" t="n"/>
      <c r="F1458" s="56" t="n"/>
      <c r="G1458" s="196" t="n"/>
      <c r="H1458" s="196" t="n"/>
      <c r="I1458" s="55" t="n"/>
      <c r="J1458" s="55" t="n"/>
      <c r="K1458" s="55" t="n"/>
      <c r="L1458" s="100">
        <f>IF(OR($C1458="",$I1458="Оплачено",$I1458="Отменено",$H1458&lt;&gt;""),"",$C1458-TODAY())</f>
        <v/>
      </c>
      <c r="M1458" s="101">
        <f>IF($C1458="","",INDEX(Настройки!$V$6:$V$17,MONTH($C1458))&amp;" "&amp;YEAR($C1458))</f>
        <v/>
      </c>
      <c r="N1458" s="57">
        <f>IF($F1458="","",IF(COUNTIF(Постоянные!$C$8:$C$37,$F1458)&gt;0,"есть в Постоянных",IF(COUNTIF(Покупки!$C$7:$C$18,$F1458)&gt;0,"есть в Покупках","")))</f>
        <v/>
      </c>
      <c r="P1458">
        <f>IF($H1458&lt;&gt;"",$H1458,IF($I1458="Оплачено",N($G1458),0))</f>
        <v/>
      </c>
      <c r="Q1458">
        <f>IF($I1458="Отменено",0,IF($G1458&lt;&gt;"",$G1458,N($H1458)))</f>
        <v/>
      </c>
      <c r="R1458">
        <f>IF($C1458="","",IFERROR(DATE(Настройки!$C$8,Настройки!$D$9+MATCH($M1458,Настройки!$X$6:$X$17,0)-1,1),DATE(YEAR($C1458),MONTH($C1458),1)))</f>
        <v/>
      </c>
      <c r="S1458">
        <f>IF(OR($I1458="Оплачено",$H1458&lt;&gt;""),$P1458,$Q1458)</f>
        <v/>
      </c>
      <c r="T1458">
        <f>IF(OR($C1458="",$D1458="Доход",$I1458="Оплачено",$I1458="Отменено",$H1458&lt;&gt;"",$C1458&lt;TODAY()),"",$C1458)</f>
        <v/>
      </c>
      <c r="U1458">
        <f>IF(AND($D1458&lt;&gt;"Доход",COUNTIFS(Счета!$B$10:$B$21,$J1458,Счета!$C$10:$C$21,"Кредитная")&gt;0),1,0)</f>
        <v/>
      </c>
    </row>
    <row r="1459" ht="19" customHeight="1">
      <c r="B1459" s="53">
        <f>IF(AND($C1459="",$F1459=""),"",ROW()-9)</f>
        <v/>
      </c>
      <c r="C1459" s="213" t="n"/>
      <c r="D1459" s="55" t="n"/>
      <c r="E1459" s="55" t="n"/>
      <c r="F1459" s="56" t="n"/>
      <c r="G1459" s="196" t="n"/>
      <c r="H1459" s="196" t="n"/>
      <c r="I1459" s="55" t="n"/>
      <c r="J1459" s="55" t="n"/>
      <c r="K1459" s="55" t="n"/>
      <c r="L1459" s="100">
        <f>IF(OR($C1459="",$I1459="Оплачено",$I1459="Отменено",$H1459&lt;&gt;""),"",$C1459-TODAY())</f>
        <v/>
      </c>
      <c r="M1459" s="101">
        <f>IF($C1459="","",INDEX(Настройки!$V$6:$V$17,MONTH($C1459))&amp;" "&amp;YEAR($C1459))</f>
        <v/>
      </c>
      <c r="N1459" s="57">
        <f>IF($F1459="","",IF(COUNTIF(Постоянные!$C$8:$C$37,$F1459)&gt;0,"есть в Постоянных",IF(COUNTIF(Покупки!$C$7:$C$18,$F1459)&gt;0,"есть в Покупках","")))</f>
        <v/>
      </c>
      <c r="P1459">
        <f>IF($H1459&lt;&gt;"",$H1459,IF($I1459="Оплачено",N($G1459),0))</f>
        <v/>
      </c>
      <c r="Q1459">
        <f>IF($I1459="Отменено",0,IF($G1459&lt;&gt;"",$G1459,N($H1459)))</f>
        <v/>
      </c>
      <c r="R1459">
        <f>IF($C1459="","",IFERROR(DATE(Настройки!$C$8,Настройки!$D$9+MATCH($M1459,Настройки!$X$6:$X$17,0)-1,1),DATE(YEAR($C1459),MONTH($C1459),1)))</f>
        <v/>
      </c>
      <c r="S1459">
        <f>IF(OR($I1459="Оплачено",$H1459&lt;&gt;""),$P1459,$Q1459)</f>
        <v/>
      </c>
      <c r="T1459">
        <f>IF(OR($C1459="",$D1459="Доход",$I1459="Оплачено",$I1459="Отменено",$H1459&lt;&gt;"",$C1459&lt;TODAY()),"",$C1459)</f>
        <v/>
      </c>
      <c r="U1459">
        <f>IF(AND($D1459&lt;&gt;"Доход",COUNTIFS(Счета!$B$10:$B$21,$J1459,Счета!$C$10:$C$21,"Кредитная")&gt;0),1,0)</f>
        <v/>
      </c>
    </row>
    <row r="1460" ht="19" customHeight="1">
      <c r="B1460" s="53">
        <f>IF(AND($C1460="",$F1460=""),"",ROW()-9)</f>
        <v/>
      </c>
      <c r="C1460" s="213" t="n"/>
      <c r="D1460" s="55" t="n"/>
      <c r="E1460" s="55" t="n"/>
      <c r="F1460" s="56" t="n"/>
      <c r="G1460" s="196" t="n"/>
      <c r="H1460" s="196" t="n"/>
      <c r="I1460" s="55" t="n"/>
      <c r="J1460" s="55" t="n"/>
      <c r="K1460" s="55" t="n"/>
      <c r="L1460" s="100">
        <f>IF(OR($C1460="",$I1460="Оплачено",$I1460="Отменено",$H1460&lt;&gt;""),"",$C1460-TODAY())</f>
        <v/>
      </c>
      <c r="M1460" s="101">
        <f>IF($C1460="","",INDEX(Настройки!$V$6:$V$17,MONTH($C1460))&amp;" "&amp;YEAR($C1460))</f>
        <v/>
      </c>
      <c r="N1460" s="57">
        <f>IF($F1460="","",IF(COUNTIF(Постоянные!$C$8:$C$37,$F1460)&gt;0,"есть в Постоянных",IF(COUNTIF(Покупки!$C$7:$C$18,$F1460)&gt;0,"есть в Покупках","")))</f>
        <v/>
      </c>
      <c r="P1460">
        <f>IF($H1460&lt;&gt;"",$H1460,IF($I1460="Оплачено",N($G1460),0))</f>
        <v/>
      </c>
      <c r="Q1460">
        <f>IF($I1460="Отменено",0,IF($G1460&lt;&gt;"",$G1460,N($H1460)))</f>
        <v/>
      </c>
      <c r="R1460">
        <f>IF($C1460="","",IFERROR(DATE(Настройки!$C$8,Настройки!$D$9+MATCH($M1460,Настройки!$X$6:$X$17,0)-1,1),DATE(YEAR($C1460),MONTH($C1460),1)))</f>
        <v/>
      </c>
      <c r="S1460">
        <f>IF(OR($I1460="Оплачено",$H1460&lt;&gt;""),$P1460,$Q1460)</f>
        <v/>
      </c>
      <c r="T1460">
        <f>IF(OR($C1460="",$D1460="Доход",$I1460="Оплачено",$I1460="Отменено",$H1460&lt;&gt;"",$C1460&lt;TODAY()),"",$C1460)</f>
        <v/>
      </c>
      <c r="U1460">
        <f>IF(AND($D1460&lt;&gt;"Доход",COUNTIFS(Счета!$B$10:$B$21,$J1460,Счета!$C$10:$C$21,"Кредитная")&gt;0),1,0)</f>
        <v/>
      </c>
    </row>
    <row r="1461" ht="19" customHeight="1">
      <c r="B1461" s="53">
        <f>IF(AND($C1461="",$F1461=""),"",ROW()-9)</f>
        <v/>
      </c>
      <c r="C1461" s="213" t="n"/>
      <c r="D1461" s="55" t="n"/>
      <c r="E1461" s="55" t="n"/>
      <c r="F1461" s="56" t="n"/>
      <c r="G1461" s="196" t="n"/>
      <c r="H1461" s="196" t="n"/>
      <c r="I1461" s="55" t="n"/>
      <c r="J1461" s="55" t="n"/>
      <c r="K1461" s="55" t="n"/>
      <c r="L1461" s="100">
        <f>IF(OR($C1461="",$I1461="Оплачено",$I1461="Отменено",$H1461&lt;&gt;""),"",$C1461-TODAY())</f>
        <v/>
      </c>
      <c r="M1461" s="101">
        <f>IF($C1461="","",INDEX(Настройки!$V$6:$V$17,MONTH($C1461))&amp;" "&amp;YEAR($C1461))</f>
        <v/>
      </c>
      <c r="N1461" s="57">
        <f>IF($F1461="","",IF(COUNTIF(Постоянные!$C$8:$C$37,$F1461)&gt;0,"есть в Постоянных",IF(COUNTIF(Покупки!$C$7:$C$18,$F1461)&gt;0,"есть в Покупках","")))</f>
        <v/>
      </c>
      <c r="P1461">
        <f>IF($H1461&lt;&gt;"",$H1461,IF($I1461="Оплачено",N($G1461),0))</f>
        <v/>
      </c>
      <c r="Q1461">
        <f>IF($I1461="Отменено",0,IF($G1461&lt;&gt;"",$G1461,N($H1461)))</f>
        <v/>
      </c>
      <c r="R1461">
        <f>IF($C1461="","",IFERROR(DATE(Настройки!$C$8,Настройки!$D$9+MATCH($M1461,Настройки!$X$6:$X$17,0)-1,1),DATE(YEAR($C1461),MONTH($C1461),1)))</f>
        <v/>
      </c>
      <c r="S1461">
        <f>IF(OR($I1461="Оплачено",$H1461&lt;&gt;""),$P1461,$Q1461)</f>
        <v/>
      </c>
      <c r="T1461">
        <f>IF(OR($C1461="",$D1461="Доход",$I1461="Оплачено",$I1461="Отменено",$H1461&lt;&gt;"",$C1461&lt;TODAY()),"",$C1461)</f>
        <v/>
      </c>
      <c r="U1461">
        <f>IF(AND($D1461&lt;&gt;"Доход",COUNTIFS(Счета!$B$10:$B$21,$J1461,Счета!$C$10:$C$21,"Кредитная")&gt;0),1,0)</f>
        <v/>
      </c>
    </row>
    <row r="1462" ht="19" customHeight="1">
      <c r="B1462" s="53">
        <f>IF(AND($C1462="",$F1462=""),"",ROW()-9)</f>
        <v/>
      </c>
      <c r="C1462" s="213" t="n"/>
      <c r="D1462" s="55" t="n"/>
      <c r="E1462" s="55" t="n"/>
      <c r="F1462" s="56" t="n"/>
      <c r="G1462" s="196" t="n"/>
      <c r="H1462" s="196" t="n"/>
      <c r="I1462" s="55" t="n"/>
      <c r="J1462" s="55" t="n"/>
      <c r="K1462" s="55" t="n"/>
      <c r="L1462" s="100">
        <f>IF(OR($C1462="",$I1462="Оплачено",$I1462="Отменено",$H1462&lt;&gt;""),"",$C1462-TODAY())</f>
        <v/>
      </c>
      <c r="M1462" s="101">
        <f>IF($C1462="","",INDEX(Настройки!$V$6:$V$17,MONTH($C1462))&amp;" "&amp;YEAR($C1462))</f>
        <v/>
      </c>
      <c r="N1462" s="57">
        <f>IF($F1462="","",IF(COUNTIF(Постоянные!$C$8:$C$37,$F1462)&gt;0,"есть в Постоянных",IF(COUNTIF(Покупки!$C$7:$C$18,$F1462)&gt;0,"есть в Покупках","")))</f>
        <v/>
      </c>
      <c r="P1462">
        <f>IF($H1462&lt;&gt;"",$H1462,IF($I1462="Оплачено",N($G1462),0))</f>
        <v/>
      </c>
      <c r="Q1462">
        <f>IF($I1462="Отменено",0,IF($G1462&lt;&gt;"",$G1462,N($H1462)))</f>
        <v/>
      </c>
      <c r="R1462">
        <f>IF($C1462="","",IFERROR(DATE(Настройки!$C$8,Настройки!$D$9+MATCH($M1462,Настройки!$X$6:$X$17,0)-1,1),DATE(YEAR($C1462),MONTH($C1462),1)))</f>
        <v/>
      </c>
      <c r="S1462">
        <f>IF(OR($I1462="Оплачено",$H1462&lt;&gt;""),$P1462,$Q1462)</f>
        <v/>
      </c>
      <c r="T1462">
        <f>IF(OR($C1462="",$D1462="Доход",$I1462="Оплачено",$I1462="Отменено",$H1462&lt;&gt;"",$C1462&lt;TODAY()),"",$C1462)</f>
        <v/>
      </c>
      <c r="U1462">
        <f>IF(AND($D1462&lt;&gt;"Доход",COUNTIFS(Счета!$B$10:$B$21,$J1462,Счета!$C$10:$C$21,"Кредитная")&gt;0),1,0)</f>
        <v/>
      </c>
    </row>
    <row r="1463" ht="19" customHeight="1">
      <c r="B1463" s="53">
        <f>IF(AND($C1463="",$F1463=""),"",ROW()-9)</f>
        <v/>
      </c>
      <c r="C1463" s="213" t="n"/>
      <c r="D1463" s="55" t="n"/>
      <c r="E1463" s="55" t="n"/>
      <c r="F1463" s="56" t="n"/>
      <c r="G1463" s="196" t="n"/>
      <c r="H1463" s="196" t="n"/>
      <c r="I1463" s="55" t="n"/>
      <c r="J1463" s="55" t="n"/>
      <c r="K1463" s="55" t="n"/>
      <c r="L1463" s="100">
        <f>IF(OR($C1463="",$I1463="Оплачено",$I1463="Отменено",$H1463&lt;&gt;""),"",$C1463-TODAY())</f>
        <v/>
      </c>
      <c r="M1463" s="101">
        <f>IF($C1463="","",INDEX(Настройки!$V$6:$V$17,MONTH($C1463))&amp;" "&amp;YEAR($C1463))</f>
        <v/>
      </c>
      <c r="N1463" s="57">
        <f>IF($F1463="","",IF(COUNTIF(Постоянные!$C$8:$C$37,$F1463)&gt;0,"есть в Постоянных",IF(COUNTIF(Покупки!$C$7:$C$18,$F1463)&gt;0,"есть в Покупках","")))</f>
        <v/>
      </c>
      <c r="P1463">
        <f>IF($H1463&lt;&gt;"",$H1463,IF($I1463="Оплачено",N($G1463),0))</f>
        <v/>
      </c>
      <c r="Q1463">
        <f>IF($I1463="Отменено",0,IF($G1463&lt;&gt;"",$G1463,N($H1463)))</f>
        <v/>
      </c>
      <c r="R1463">
        <f>IF($C1463="","",IFERROR(DATE(Настройки!$C$8,Настройки!$D$9+MATCH($M1463,Настройки!$X$6:$X$17,0)-1,1),DATE(YEAR($C1463),MONTH($C1463),1)))</f>
        <v/>
      </c>
      <c r="S1463">
        <f>IF(OR($I1463="Оплачено",$H1463&lt;&gt;""),$P1463,$Q1463)</f>
        <v/>
      </c>
      <c r="T1463">
        <f>IF(OR($C1463="",$D1463="Доход",$I1463="Оплачено",$I1463="Отменено",$H1463&lt;&gt;"",$C1463&lt;TODAY()),"",$C1463)</f>
        <v/>
      </c>
      <c r="U1463">
        <f>IF(AND($D1463&lt;&gt;"Доход",COUNTIFS(Счета!$B$10:$B$21,$J1463,Счета!$C$10:$C$21,"Кредитная")&gt;0),1,0)</f>
        <v/>
      </c>
    </row>
    <row r="1464" ht="19" customHeight="1">
      <c r="B1464" s="53">
        <f>IF(AND($C1464="",$F1464=""),"",ROW()-9)</f>
        <v/>
      </c>
      <c r="C1464" s="213" t="n"/>
      <c r="D1464" s="55" t="n"/>
      <c r="E1464" s="55" t="n"/>
      <c r="F1464" s="56" t="n"/>
      <c r="G1464" s="196" t="n"/>
      <c r="H1464" s="196" t="n"/>
      <c r="I1464" s="55" t="n"/>
      <c r="J1464" s="55" t="n"/>
      <c r="K1464" s="55" t="n"/>
      <c r="L1464" s="100">
        <f>IF(OR($C1464="",$I1464="Оплачено",$I1464="Отменено",$H1464&lt;&gt;""),"",$C1464-TODAY())</f>
        <v/>
      </c>
      <c r="M1464" s="101">
        <f>IF($C1464="","",INDEX(Настройки!$V$6:$V$17,MONTH($C1464))&amp;" "&amp;YEAR($C1464))</f>
        <v/>
      </c>
      <c r="N1464" s="57">
        <f>IF($F1464="","",IF(COUNTIF(Постоянные!$C$8:$C$37,$F1464)&gt;0,"есть в Постоянных",IF(COUNTIF(Покупки!$C$7:$C$18,$F1464)&gt;0,"есть в Покупках","")))</f>
        <v/>
      </c>
      <c r="P1464">
        <f>IF($H1464&lt;&gt;"",$H1464,IF($I1464="Оплачено",N($G1464),0))</f>
        <v/>
      </c>
      <c r="Q1464">
        <f>IF($I1464="Отменено",0,IF($G1464&lt;&gt;"",$G1464,N($H1464)))</f>
        <v/>
      </c>
      <c r="R1464">
        <f>IF($C1464="","",IFERROR(DATE(Настройки!$C$8,Настройки!$D$9+MATCH($M1464,Настройки!$X$6:$X$17,0)-1,1),DATE(YEAR($C1464),MONTH($C1464),1)))</f>
        <v/>
      </c>
      <c r="S1464">
        <f>IF(OR($I1464="Оплачено",$H1464&lt;&gt;""),$P1464,$Q1464)</f>
        <v/>
      </c>
      <c r="T1464">
        <f>IF(OR($C1464="",$D1464="Доход",$I1464="Оплачено",$I1464="Отменено",$H1464&lt;&gt;"",$C1464&lt;TODAY()),"",$C1464)</f>
        <v/>
      </c>
      <c r="U1464">
        <f>IF(AND($D1464&lt;&gt;"Доход",COUNTIFS(Счета!$B$10:$B$21,$J1464,Счета!$C$10:$C$21,"Кредитная")&gt;0),1,0)</f>
        <v/>
      </c>
    </row>
    <row r="1465" ht="19" customHeight="1">
      <c r="B1465" s="53">
        <f>IF(AND($C1465="",$F1465=""),"",ROW()-9)</f>
        <v/>
      </c>
      <c r="C1465" s="213" t="n"/>
      <c r="D1465" s="55" t="n"/>
      <c r="E1465" s="55" t="n"/>
      <c r="F1465" s="56" t="n"/>
      <c r="G1465" s="196" t="n"/>
      <c r="H1465" s="196" t="n"/>
      <c r="I1465" s="55" t="n"/>
      <c r="J1465" s="55" t="n"/>
      <c r="K1465" s="55" t="n"/>
      <c r="L1465" s="100">
        <f>IF(OR($C1465="",$I1465="Оплачено",$I1465="Отменено",$H1465&lt;&gt;""),"",$C1465-TODAY())</f>
        <v/>
      </c>
      <c r="M1465" s="101">
        <f>IF($C1465="","",INDEX(Настройки!$V$6:$V$17,MONTH($C1465))&amp;" "&amp;YEAR($C1465))</f>
        <v/>
      </c>
      <c r="N1465" s="57">
        <f>IF($F1465="","",IF(COUNTIF(Постоянные!$C$8:$C$37,$F1465)&gt;0,"есть в Постоянных",IF(COUNTIF(Покупки!$C$7:$C$18,$F1465)&gt;0,"есть в Покупках","")))</f>
        <v/>
      </c>
      <c r="P1465">
        <f>IF($H1465&lt;&gt;"",$H1465,IF($I1465="Оплачено",N($G1465),0))</f>
        <v/>
      </c>
      <c r="Q1465">
        <f>IF($I1465="Отменено",0,IF($G1465&lt;&gt;"",$G1465,N($H1465)))</f>
        <v/>
      </c>
      <c r="R1465">
        <f>IF($C1465="","",IFERROR(DATE(Настройки!$C$8,Настройки!$D$9+MATCH($M1465,Настройки!$X$6:$X$17,0)-1,1),DATE(YEAR($C1465),MONTH($C1465),1)))</f>
        <v/>
      </c>
      <c r="S1465">
        <f>IF(OR($I1465="Оплачено",$H1465&lt;&gt;""),$P1465,$Q1465)</f>
        <v/>
      </c>
      <c r="T1465">
        <f>IF(OR($C1465="",$D1465="Доход",$I1465="Оплачено",$I1465="Отменено",$H1465&lt;&gt;"",$C1465&lt;TODAY()),"",$C1465)</f>
        <v/>
      </c>
      <c r="U1465">
        <f>IF(AND($D1465&lt;&gt;"Доход",COUNTIFS(Счета!$B$10:$B$21,$J1465,Счета!$C$10:$C$21,"Кредитная")&gt;0),1,0)</f>
        <v/>
      </c>
    </row>
    <row r="1466" ht="19" customHeight="1">
      <c r="B1466" s="53">
        <f>IF(AND($C1466="",$F1466=""),"",ROW()-9)</f>
        <v/>
      </c>
      <c r="C1466" s="213" t="n"/>
      <c r="D1466" s="55" t="n"/>
      <c r="E1466" s="55" t="n"/>
      <c r="F1466" s="56" t="n"/>
      <c r="G1466" s="196" t="n"/>
      <c r="H1466" s="196" t="n"/>
      <c r="I1466" s="55" t="n"/>
      <c r="J1466" s="55" t="n"/>
      <c r="K1466" s="55" t="n"/>
      <c r="L1466" s="100">
        <f>IF(OR($C1466="",$I1466="Оплачено",$I1466="Отменено",$H1466&lt;&gt;""),"",$C1466-TODAY())</f>
        <v/>
      </c>
      <c r="M1466" s="101">
        <f>IF($C1466="","",INDEX(Настройки!$V$6:$V$17,MONTH($C1466))&amp;" "&amp;YEAR($C1466))</f>
        <v/>
      </c>
      <c r="N1466" s="57">
        <f>IF($F1466="","",IF(COUNTIF(Постоянные!$C$8:$C$37,$F1466)&gt;0,"есть в Постоянных",IF(COUNTIF(Покупки!$C$7:$C$18,$F1466)&gt;0,"есть в Покупках","")))</f>
        <v/>
      </c>
      <c r="P1466">
        <f>IF($H1466&lt;&gt;"",$H1466,IF($I1466="Оплачено",N($G1466),0))</f>
        <v/>
      </c>
      <c r="Q1466">
        <f>IF($I1466="Отменено",0,IF($G1466&lt;&gt;"",$G1466,N($H1466)))</f>
        <v/>
      </c>
      <c r="R1466">
        <f>IF($C1466="","",IFERROR(DATE(Настройки!$C$8,Настройки!$D$9+MATCH($M1466,Настройки!$X$6:$X$17,0)-1,1),DATE(YEAR($C1466),MONTH($C1466),1)))</f>
        <v/>
      </c>
      <c r="S1466">
        <f>IF(OR($I1466="Оплачено",$H1466&lt;&gt;""),$P1466,$Q1466)</f>
        <v/>
      </c>
      <c r="T1466">
        <f>IF(OR($C1466="",$D1466="Доход",$I1466="Оплачено",$I1466="Отменено",$H1466&lt;&gt;"",$C1466&lt;TODAY()),"",$C1466)</f>
        <v/>
      </c>
      <c r="U1466">
        <f>IF(AND($D1466&lt;&gt;"Доход",COUNTIFS(Счета!$B$10:$B$21,$J1466,Счета!$C$10:$C$21,"Кредитная")&gt;0),1,0)</f>
        <v/>
      </c>
    </row>
    <row r="1467" ht="19" customHeight="1">
      <c r="B1467" s="53">
        <f>IF(AND($C1467="",$F1467=""),"",ROW()-9)</f>
        <v/>
      </c>
      <c r="C1467" s="213" t="n"/>
      <c r="D1467" s="55" t="n"/>
      <c r="E1467" s="55" t="n"/>
      <c r="F1467" s="56" t="n"/>
      <c r="G1467" s="196" t="n"/>
      <c r="H1467" s="196" t="n"/>
      <c r="I1467" s="55" t="n"/>
      <c r="J1467" s="55" t="n"/>
      <c r="K1467" s="55" t="n"/>
      <c r="L1467" s="100">
        <f>IF(OR($C1467="",$I1467="Оплачено",$I1467="Отменено",$H1467&lt;&gt;""),"",$C1467-TODAY())</f>
        <v/>
      </c>
      <c r="M1467" s="101">
        <f>IF($C1467="","",INDEX(Настройки!$V$6:$V$17,MONTH($C1467))&amp;" "&amp;YEAR($C1467))</f>
        <v/>
      </c>
      <c r="N1467" s="57">
        <f>IF($F1467="","",IF(COUNTIF(Постоянные!$C$8:$C$37,$F1467)&gt;0,"есть в Постоянных",IF(COUNTIF(Покупки!$C$7:$C$18,$F1467)&gt;0,"есть в Покупках","")))</f>
        <v/>
      </c>
      <c r="P1467">
        <f>IF($H1467&lt;&gt;"",$H1467,IF($I1467="Оплачено",N($G1467),0))</f>
        <v/>
      </c>
      <c r="Q1467">
        <f>IF($I1467="Отменено",0,IF($G1467&lt;&gt;"",$G1467,N($H1467)))</f>
        <v/>
      </c>
      <c r="R1467">
        <f>IF($C1467="","",IFERROR(DATE(Настройки!$C$8,Настройки!$D$9+MATCH($M1467,Настройки!$X$6:$X$17,0)-1,1),DATE(YEAR($C1467),MONTH($C1467),1)))</f>
        <v/>
      </c>
      <c r="S1467">
        <f>IF(OR($I1467="Оплачено",$H1467&lt;&gt;""),$P1467,$Q1467)</f>
        <v/>
      </c>
      <c r="T1467">
        <f>IF(OR($C1467="",$D1467="Доход",$I1467="Оплачено",$I1467="Отменено",$H1467&lt;&gt;"",$C1467&lt;TODAY()),"",$C1467)</f>
        <v/>
      </c>
      <c r="U1467">
        <f>IF(AND($D1467&lt;&gt;"Доход",COUNTIFS(Счета!$B$10:$B$21,$J1467,Счета!$C$10:$C$21,"Кредитная")&gt;0),1,0)</f>
        <v/>
      </c>
    </row>
    <row r="1468" ht="19" customHeight="1">
      <c r="B1468" s="53">
        <f>IF(AND($C1468="",$F1468=""),"",ROW()-9)</f>
        <v/>
      </c>
      <c r="C1468" s="213" t="n"/>
      <c r="D1468" s="55" t="n"/>
      <c r="E1468" s="55" t="n"/>
      <c r="F1468" s="56" t="n"/>
      <c r="G1468" s="196" t="n"/>
      <c r="H1468" s="196" t="n"/>
      <c r="I1468" s="55" t="n"/>
      <c r="J1468" s="55" t="n"/>
      <c r="K1468" s="55" t="n"/>
      <c r="L1468" s="100">
        <f>IF(OR($C1468="",$I1468="Оплачено",$I1468="Отменено",$H1468&lt;&gt;""),"",$C1468-TODAY())</f>
        <v/>
      </c>
      <c r="M1468" s="101">
        <f>IF($C1468="","",INDEX(Настройки!$V$6:$V$17,MONTH($C1468))&amp;" "&amp;YEAR($C1468))</f>
        <v/>
      </c>
      <c r="N1468" s="57">
        <f>IF($F1468="","",IF(COUNTIF(Постоянные!$C$8:$C$37,$F1468)&gt;0,"есть в Постоянных",IF(COUNTIF(Покупки!$C$7:$C$18,$F1468)&gt;0,"есть в Покупках","")))</f>
        <v/>
      </c>
      <c r="P1468">
        <f>IF($H1468&lt;&gt;"",$H1468,IF($I1468="Оплачено",N($G1468),0))</f>
        <v/>
      </c>
      <c r="Q1468">
        <f>IF($I1468="Отменено",0,IF($G1468&lt;&gt;"",$G1468,N($H1468)))</f>
        <v/>
      </c>
      <c r="R1468">
        <f>IF($C1468="","",IFERROR(DATE(Настройки!$C$8,Настройки!$D$9+MATCH($M1468,Настройки!$X$6:$X$17,0)-1,1),DATE(YEAR($C1468),MONTH($C1468),1)))</f>
        <v/>
      </c>
      <c r="S1468">
        <f>IF(OR($I1468="Оплачено",$H1468&lt;&gt;""),$P1468,$Q1468)</f>
        <v/>
      </c>
      <c r="T1468">
        <f>IF(OR($C1468="",$D1468="Доход",$I1468="Оплачено",$I1468="Отменено",$H1468&lt;&gt;"",$C1468&lt;TODAY()),"",$C1468)</f>
        <v/>
      </c>
      <c r="U1468">
        <f>IF(AND($D1468&lt;&gt;"Доход",COUNTIFS(Счета!$B$10:$B$21,$J1468,Счета!$C$10:$C$21,"Кредитная")&gt;0),1,0)</f>
        <v/>
      </c>
    </row>
    <row r="1469" ht="19" customHeight="1">
      <c r="B1469" s="53">
        <f>IF(AND($C1469="",$F1469=""),"",ROW()-9)</f>
        <v/>
      </c>
      <c r="C1469" s="213" t="n"/>
      <c r="D1469" s="55" t="n"/>
      <c r="E1469" s="55" t="n"/>
      <c r="F1469" s="56" t="n"/>
      <c r="G1469" s="196" t="n"/>
      <c r="H1469" s="196" t="n"/>
      <c r="I1469" s="55" t="n"/>
      <c r="J1469" s="55" t="n"/>
      <c r="K1469" s="55" t="n"/>
      <c r="L1469" s="100">
        <f>IF(OR($C1469="",$I1469="Оплачено",$I1469="Отменено",$H1469&lt;&gt;""),"",$C1469-TODAY())</f>
        <v/>
      </c>
      <c r="M1469" s="101">
        <f>IF($C1469="","",INDEX(Настройки!$V$6:$V$17,MONTH($C1469))&amp;" "&amp;YEAR($C1469))</f>
        <v/>
      </c>
      <c r="N1469" s="57">
        <f>IF($F1469="","",IF(COUNTIF(Постоянные!$C$8:$C$37,$F1469)&gt;0,"есть в Постоянных",IF(COUNTIF(Покупки!$C$7:$C$18,$F1469)&gt;0,"есть в Покупках","")))</f>
        <v/>
      </c>
      <c r="P1469">
        <f>IF($H1469&lt;&gt;"",$H1469,IF($I1469="Оплачено",N($G1469),0))</f>
        <v/>
      </c>
      <c r="Q1469">
        <f>IF($I1469="Отменено",0,IF($G1469&lt;&gt;"",$G1469,N($H1469)))</f>
        <v/>
      </c>
      <c r="R1469">
        <f>IF($C1469="","",IFERROR(DATE(Настройки!$C$8,Настройки!$D$9+MATCH($M1469,Настройки!$X$6:$X$17,0)-1,1),DATE(YEAR($C1469),MONTH($C1469),1)))</f>
        <v/>
      </c>
      <c r="S1469">
        <f>IF(OR($I1469="Оплачено",$H1469&lt;&gt;""),$P1469,$Q1469)</f>
        <v/>
      </c>
      <c r="T1469">
        <f>IF(OR($C1469="",$D1469="Доход",$I1469="Оплачено",$I1469="Отменено",$H1469&lt;&gt;"",$C1469&lt;TODAY()),"",$C1469)</f>
        <v/>
      </c>
      <c r="U1469">
        <f>IF(AND($D1469&lt;&gt;"Доход",COUNTIFS(Счета!$B$10:$B$21,$J1469,Счета!$C$10:$C$21,"Кредитная")&gt;0),1,0)</f>
        <v/>
      </c>
    </row>
    <row r="1470" ht="19" customHeight="1">
      <c r="B1470" s="53">
        <f>IF(AND($C1470="",$F1470=""),"",ROW()-9)</f>
        <v/>
      </c>
      <c r="C1470" s="213" t="n"/>
      <c r="D1470" s="55" t="n"/>
      <c r="E1470" s="55" t="n"/>
      <c r="F1470" s="56" t="n"/>
      <c r="G1470" s="196" t="n"/>
      <c r="H1470" s="196" t="n"/>
      <c r="I1470" s="55" t="n"/>
      <c r="J1470" s="55" t="n"/>
      <c r="K1470" s="55" t="n"/>
      <c r="L1470" s="100">
        <f>IF(OR($C1470="",$I1470="Оплачено",$I1470="Отменено",$H1470&lt;&gt;""),"",$C1470-TODAY())</f>
        <v/>
      </c>
      <c r="M1470" s="101">
        <f>IF($C1470="","",INDEX(Настройки!$V$6:$V$17,MONTH($C1470))&amp;" "&amp;YEAR($C1470))</f>
        <v/>
      </c>
      <c r="N1470" s="57">
        <f>IF($F1470="","",IF(COUNTIF(Постоянные!$C$8:$C$37,$F1470)&gt;0,"есть в Постоянных",IF(COUNTIF(Покупки!$C$7:$C$18,$F1470)&gt;0,"есть в Покупках","")))</f>
        <v/>
      </c>
      <c r="P1470">
        <f>IF($H1470&lt;&gt;"",$H1470,IF($I1470="Оплачено",N($G1470),0))</f>
        <v/>
      </c>
      <c r="Q1470">
        <f>IF($I1470="Отменено",0,IF($G1470&lt;&gt;"",$G1470,N($H1470)))</f>
        <v/>
      </c>
      <c r="R1470">
        <f>IF($C1470="","",IFERROR(DATE(Настройки!$C$8,Настройки!$D$9+MATCH($M1470,Настройки!$X$6:$X$17,0)-1,1),DATE(YEAR($C1470),MONTH($C1470),1)))</f>
        <v/>
      </c>
      <c r="S1470">
        <f>IF(OR($I1470="Оплачено",$H1470&lt;&gt;""),$P1470,$Q1470)</f>
        <v/>
      </c>
      <c r="T1470">
        <f>IF(OR($C1470="",$D1470="Доход",$I1470="Оплачено",$I1470="Отменено",$H1470&lt;&gt;"",$C1470&lt;TODAY()),"",$C1470)</f>
        <v/>
      </c>
      <c r="U1470">
        <f>IF(AND($D1470&lt;&gt;"Доход",COUNTIFS(Счета!$B$10:$B$21,$J1470,Счета!$C$10:$C$21,"Кредитная")&gt;0),1,0)</f>
        <v/>
      </c>
    </row>
    <row r="1471" ht="19" customHeight="1">
      <c r="B1471" s="53">
        <f>IF(AND($C1471="",$F1471=""),"",ROW()-9)</f>
        <v/>
      </c>
      <c r="C1471" s="213" t="n"/>
      <c r="D1471" s="55" t="n"/>
      <c r="E1471" s="55" t="n"/>
      <c r="F1471" s="56" t="n"/>
      <c r="G1471" s="196" t="n"/>
      <c r="H1471" s="196" t="n"/>
      <c r="I1471" s="55" t="n"/>
      <c r="J1471" s="55" t="n"/>
      <c r="K1471" s="55" t="n"/>
      <c r="L1471" s="100">
        <f>IF(OR($C1471="",$I1471="Оплачено",$I1471="Отменено",$H1471&lt;&gt;""),"",$C1471-TODAY())</f>
        <v/>
      </c>
      <c r="M1471" s="101">
        <f>IF($C1471="","",INDEX(Настройки!$V$6:$V$17,MONTH($C1471))&amp;" "&amp;YEAR($C1471))</f>
        <v/>
      </c>
      <c r="N1471" s="57">
        <f>IF($F1471="","",IF(COUNTIF(Постоянные!$C$8:$C$37,$F1471)&gt;0,"есть в Постоянных",IF(COUNTIF(Покупки!$C$7:$C$18,$F1471)&gt;0,"есть в Покупках","")))</f>
        <v/>
      </c>
      <c r="P1471">
        <f>IF($H1471&lt;&gt;"",$H1471,IF($I1471="Оплачено",N($G1471),0))</f>
        <v/>
      </c>
      <c r="Q1471">
        <f>IF($I1471="Отменено",0,IF($G1471&lt;&gt;"",$G1471,N($H1471)))</f>
        <v/>
      </c>
      <c r="R1471">
        <f>IF($C1471="","",IFERROR(DATE(Настройки!$C$8,Настройки!$D$9+MATCH($M1471,Настройки!$X$6:$X$17,0)-1,1),DATE(YEAR($C1471),MONTH($C1471),1)))</f>
        <v/>
      </c>
      <c r="S1471">
        <f>IF(OR($I1471="Оплачено",$H1471&lt;&gt;""),$P1471,$Q1471)</f>
        <v/>
      </c>
      <c r="T1471">
        <f>IF(OR($C1471="",$D1471="Доход",$I1471="Оплачено",$I1471="Отменено",$H1471&lt;&gt;"",$C1471&lt;TODAY()),"",$C1471)</f>
        <v/>
      </c>
      <c r="U1471">
        <f>IF(AND($D1471&lt;&gt;"Доход",COUNTIFS(Счета!$B$10:$B$21,$J1471,Счета!$C$10:$C$21,"Кредитная")&gt;0),1,0)</f>
        <v/>
      </c>
    </row>
    <row r="1472" ht="19" customHeight="1">
      <c r="B1472" s="53">
        <f>IF(AND($C1472="",$F1472=""),"",ROW()-9)</f>
        <v/>
      </c>
      <c r="C1472" s="213" t="n"/>
      <c r="D1472" s="55" t="n"/>
      <c r="E1472" s="55" t="n"/>
      <c r="F1472" s="56" t="n"/>
      <c r="G1472" s="196" t="n"/>
      <c r="H1472" s="196" t="n"/>
      <c r="I1472" s="55" t="n"/>
      <c r="J1472" s="55" t="n"/>
      <c r="K1472" s="55" t="n"/>
      <c r="L1472" s="100">
        <f>IF(OR($C1472="",$I1472="Оплачено",$I1472="Отменено",$H1472&lt;&gt;""),"",$C1472-TODAY())</f>
        <v/>
      </c>
      <c r="M1472" s="101">
        <f>IF($C1472="","",INDEX(Настройки!$V$6:$V$17,MONTH($C1472))&amp;" "&amp;YEAR($C1472))</f>
        <v/>
      </c>
      <c r="N1472" s="57">
        <f>IF($F1472="","",IF(COUNTIF(Постоянные!$C$8:$C$37,$F1472)&gt;0,"есть в Постоянных",IF(COUNTIF(Покупки!$C$7:$C$18,$F1472)&gt;0,"есть в Покупках","")))</f>
        <v/>
      </c>
      <c r="P1472">
        <f>IF($H1472&lt;&gt;"",$H1472,IF($I1472="Оплачено",N($G1472),0))</f>
        <v/>
      </c>
      <c r="Q1472">
        <f>IF($I1472="Отменено",0,IF($G1472&lt;&gt;"",$G1472,N($H1472)))</f>
        <v/>
      </c>
      <c r="R1472">
        <f>IF($C1472="","",IFERROR(DATE(Настройки!$C$8,Настройки!$D$9+MATCH($M1472,Настройки!$X$6:$X$17,0)-1,1),DATE(YEAR($C1472),MONTH($C1472),1)))</f>
        <v/>
      </c>
      <c r="S1472">
        <f>IF(OR($I1472="Оплачено",$H1472&lt;&gt;""),$P1472,$Q1472)</f>
        <v/>
      </c>
      <c r="T1472">
        <f>IF(OR($C1472="",$D1472="Доход",$I1472="Оплачено",$I1472="Отменено",$H1472&lt;&gt;"",$C1472&lt;TODAY()),"",$C1472)</f>
        <v/>
      </c>
      <c r="U1472">
        <f>IF(AND($D1472&lt;&gt;"Доход",COUNTIFS(Счета!$B$10:$B$21,$J1472,Счета!$C$10:$C$21,"Кредитная")&gt;0),1,0)</f>
        <v/>
      </c>
    </row>
    <row r="1473" ht="19" customHeight="1">
      <c r="B1473" s="53">
        <f>IF(AND($C1473="",$F1473=""),"",ROW()-9)</f>
        <v/>
      </c>
      <c r="C1473" s="213" t="n"/>
      <c r="D1473" s="55" t="n"/>
      <c r="E1473" s="55" t="n"/>
      <c r="F1473" s="56" t="n"/>
      <c r="G1473" s="196" t="n"/>
      <c r="H1473" s="196" t="n"/>
      <c r="I1473" s="55" t="n"/>
      <c r="J1473" s="55" t="n"/>
      <c r="K1473" s="55" t="n"/>
      <c r="L1473" s="100">
        <f>IF(OR($C1473="",$I1473="Оплачено",$I1473="Отменено",$H1473&lt;&gt;""),"",$C1473-TODAY())</f>
        <v/>
      </c>
      <c r="M1473" s="101">
        <f>IF($C1473="","",INDEX(Настройки!$V$6:$V$17,MONTH($C1473))&amp;" "&amp;YEAR($C1473))</f>
        <v/>
      </c>
      <c r="N1473" s="57">
        <f>IF($F1473="","",IF(COUNTIF(Постоянные!$C$8:$C$37,$F1473)&gt;0,"есть в Постоянных",IF(COUNTIF(Покупки!$C$7:$C$18,$F1473)&gt;0,"есть в Покупках","")))</f>
        <v/>
      </c>
      <c r="P1473">
        <f>IF($H1473&lt;&gt;"",$H1473,IF($I1473="Оплачено",N($G1473),0))</f>
        <v/>
      </c>
      <c r="Q1473">
        <f>IF($I1473="Отменено",0,IF($G1473&lt;&gt;"",$G1473,N($H1473)))</f>
        <v/>
      </c>
      <c r="R1473">
        <f>IF($C1473="","",IFERROR(DATE(Настройки!$C$8,Настройки!$D$9+MATCH($M1473,Настройки!$X$6:$X$17,0)-1,1),DATE(YEAR($C1473),MONTH($C1473),1)))</f>
        <v/>
      </c>
      <c r="S1473">
        <f>IF(OR($I1473="Оплачено",$H1473&lt;&gt;""),$P1473,$Q1473)</f>
        <v/>
      </c>
      <c r="T1473">
        <f>IF(OR($C1473="",$D1473="Доход",$I1473="Оплачено",$I1473="Отменено",$H1473&lt;&gt;"",$C1473&lt;TODAY()),"",$C1473)</f>
        <v/>
      </c>
      <c r="U1473">
        <f>IF(AND($D1473&lt;&gt;"Доход",COUNTIFS(Счета!$B$10:$B$21,$J1473,Счета!$C$10:$C$21,"Кредитная")&gt;0),1,0)</f>
        <v/>
      </c>
    </row>
    <row r="1474" ht="19" customHeight="1">
      <c r="B1474" s="53">
        <f>IF(AND($C1474="",$F1474=""),"",ROW()-9)</f>
        <v/>
      </c>
      <c r="C1474" s="213" t="n"/>
      <c r="D1474" s="55" t="n"/>
      <c r="E1474" s="55" t="n"/>
      <c r="F1474" s="56" t="n"/>
      <c r="G1474" s="196" t="n"/>
      <c r="H1474" s="196" t="n"/>
      <c r="I1474" s="55" t="n"/>
      <c r="J1474" s="55" t="n"/>
      <c r="K1474" s="55" t="n"/>
      <c r="L1474" s="100">
        <f>IF(OR($C1474="",$I1474="Оплачено",$I1474="Отменено",$H1474&lt;&gt;""),"",$C1474-TODAY())</f>
        <v/>
      </c>
      <c r="M1474" s="101">
        <f>IF($C1474="","",INDEX(Настройки!$V$6:$V$17,MONTH($C1474))&amp;" "&amp;YEAR($C1474))</f>
        <v/>
      </c>
      <c r="N1474" s="57">
        <f>IF($F1474="","",IF(COUNTIF(Постоянные!$C$8:$C$37,$F1474)&gt;0,"есть в Постоянных",IF(COUNTIF(Покупки!$C$7:$C$18,$F1474)&gt;0,"есть в Покупках","")))</f>
        <v/>
      </c>
      <c r="P1474">
        <f>IF($H1474&lt;&gt;"",$H1474,IF($I1474="Оплачено",N($G1474),0))</f>
        <v/>
      </c>
      <c r="Q1474">
        <f>IF($I1474="Отменено",0,IF($G1474&lt;&gt;"",$G1474,N($H1474)))</f>
        <v/>
      </c>
      <c r="R1474">
        <f>IF($C1474="","",IFERROR(DATE(Настройки!$C$8,Настройки!$D$9+MATCH($M1474,Настройки!$X$6:$X$17,0)-1,1),DATE(YEAR($C1474),MONTH($C1474),1)))</f>
        <v/>
      </c>
      <c r="S1474">
        <f>IF(OR($I1474="Оплачено",$H1474&lt;&gt;""),$P1474,$Q1474)</f>
        <v/>
      </c>
      <c r="T1474">
        <f>IF(OR($C1474="",$D1474="Доход",$I1474="Оплачено",$I1474="Отменено",$H1474&lt;&gt;"",$C1474&lt;TODAY()),"",$C1474)</f>
        <v/>
      </c>
      <c r="U1474">
        <f>IF(AND($D1474&lt;&gt;"Доход",COUNTIFS(Счета!$B$10:$B$21,$J1474,Счета!$C$10:$C$21,"Кредитная")&gt;0),1,0)</f>
        <v/>
      </c>
    </row>
    <row r="1475" ht="19" customHeight="1">
      <c r="B1475" s="53">
        <f>IF(AND($C1475="",$F1475=""),"",ROW()-9)</f>
        <v/>
      </c>
      <c r="C1475" s="213" t="n"/>
      <c r="D1475" s="55" t="n"/>
      <c r="E1475" s="55" t="n"/>
      <c r="F1475" s="56" t="n"/>
      <c r="G1475" s="196" t="n"/>
      <c r="H1475" s="196" t="n"/>
      <c r="I1475" s="55" t="n"/>
      <c r="J1475" s="55" t="n"/>
      <c r="K1475" s="55" t="n"/>
      <c r="L1475" s="100">
        <f>IF(OR($C1475="",$I1475="Оплачено",$I1475="Отменено",$H1475&lt;&gt;""),"",$C1475-TODAY())</f>
        <v/>
      </c>
      <c r="M1475" s="101">
        <f>IF($C1475="","",INDEX(Настройки!$V$6:$V$17,MONTH($C1475))&amp;" "&amp;YEAR($C1475))</f>
        <v/>
      </c>
      <c r="N1475" s="57">
        <f>IF($F1475="","",IF(COUNTIF(Постоянные!$C$8:$C$37,$F1475)&gt;0,"есть в Постоянных",IF(COUNTIF(Покупки!$C$7:$C$18,$F1475)&gt;0,"есть в Покупках","")))</f>
        <v/>
      </c>
      <c r="P1475">
        <f>IF($H1475&lt;&gt;"",$H1475,IF($I1475="Оплачено",N($G1475),0))</f>
        <v/>
      </c>
      <c r="Q1475">
        <f>IF($I1475="Отменено",0,IF($G1475&lt;&gt;"",$G1475,N($H1475)))</f>
        <v/>
      </c>
      <c r="R1475">
        <f>IF($C1475="","",IFERROR(DATE(Настройки!$C$8,Настройки!$D$9+MATCH($M1475,Настройки!$X$6:$X$17,0)-1,1),DATE(YEAR($C1475),MONTH($C1475),1)))</f>
        <v/>
      </c>
      <c r="S1475">
        <f>IF(OR($I1475="Оплачено",$H1475&lt;&gt;""),$P1475,$Q1475)</f>
        <v/>
      </c>
      <c r="T1475">
        <f>IF(OR($C1475="",$D1475="Доход",$I1475="Оплачено",$I1475="Отменено",$H1475&lt;&gt;"",$C1475&lt;TODAY()),"",$C1475)</f>
        <v/>
      </c>
      <c r="U1475">
        <f>IF(AND($D1475&lt;&gt;"Доход",COUNTIFS(Счета!$B$10:$B$21,$J1475,Счета!$C$10:$C$21,"Кредитная")&gt;0),1,0)</f>
        <v/>
      </c>
    </row>
    <row r="1476" ht="19" customHeight="1">
      <c r="B1476" s="53">
        <f>IF(AND($C1476="",$F1476=""),"",ROW()-9)</f>
        <v/>
      </c>
      <c r="C1476" s="213" t="n"/>
      <c r="D1476" s="55" t="n"/>
      <c r="E1476" s="55" t="n"/>
      <c r="F1476" s="56" t="n"/>
      <c r="G1476" s="196" t="n"/>
      <c r="H1476" s="196" t="n"/>
      <c r="I1476" s="55" t="n"/>
      <c r="J1476" s="55" t="n"/>
      <c r="K1476" s="55" t="n"/>
      <c r="L1476" s="100">
        <f>IF(OR($C1476="",$I1476="Оплачено",$I1476="Отменено",$H1476&lt;&gt;""),"",$C1476-TODAY())</f>
        <v/>
      </c>
      <c r="M1476" s="101">
        <f>IF($C1476="","",INDEX(Настройки!$V$6:$V$17,MONTH($C1476))&amp;" "&amp;YEAR($C1476))</f>
        <v/>
      </c>
      <c r="N1476" s="57">
        <f>IF($F1476="","",IF(COUNTIF(Постоянные!$C$8:$C$37,$F1476)&gt;0,"есть в Постоянных",IF(COUNTIF(Покупки!$C$7:$C$18,$F1476)&gt;0,"есть в Покупках","")))</f>
        <v/>
      </c>
      <c r="P1476">
        <f>IF($H1476&lt;&gt;"",$H1476,IF($I1476="Оплачено",N($G1476),0))</f>
        <v/>
      </c>
      <c r="Q1476">
        <f>IF($I1476="Отменено",0,IF($G1476&lt;&gt;"",$G1476,N($H1476)))</f>
        <v/>
      </c>
      <c r="R1476">
        <f>IF($C1476="","",IFERROR(DATE(Настройки!$C$8,Настройки!$D$9+MATCH($M1476,Настройки!$X$6:$X$17,0)-1,1),DATE(YEAR($C1476),MONTH($C1476),1)))</f>
        <v/>
      </c>
      <c r="S1476">
        <f>IF(OR($I1476="Оплачено",$H1476&lt;&gt;""),$P1476,$Q1476)</f>
        <v/>
      </c>
      <c r="T1476">
        <f>IF(OR($C1476="",$D1476="Доход",$I1476="Оплачено",$I1476="Отменено",$H1476&lt;&gt;"",$C1476&lt;TODAY()),"",$C1476)</f>
        <v/>
      </c>
      <c r="U1476">
        <f>IF(AND($D1476&lt;&gt;"Доход",COUNTIFS(Счета!$B$10:$B$21,$J1476,Счета!$C$10:$C$21,"Кредитная")&gt;0),1,0)</f>
        <v/>
      </c>
    </row>
    <row r="1477" ht="19" customHeight="1">
      <c r="B1477" s="53">
        <f>IF(AND($C1477="",$F1477=""),"",ROW()-9)</f>
        <v/>
      </c>
      <c r="C1477" s="213" t="n"/>
      <c r="D1477" s="55" t="n"/>
      <c r="E1477" s="55" t="n"/>
      <c r="F1477" s="56" t="n"/>
      <c r="G1477" s="196" t="n"/>
      <c r="H1477" s="196" t="n"/>
      <c r="I1477" s="55" t="n"/>
      <c r="J1477" s="55" t="n"/>
      <c r="K1477" s="55" t="n"/>
      <c r="L1477" s="100">
        <f>IF(OR($C1477="",$I1477="Оплачено",$I1477="Отменено",$H1477&lt;&gt;""),"",$C1477-TODAY())</f>
        <v/>
      </c>
      <c r="M1477" s="101">
        <f>IF($C1477="","",INDEX(Настройки!$V$6:$V$17,MONTH($C1477))&amp;" "&amp;YEAR($C1477))</f>
        <v/>
      </c>
      <c r="N1477" s="57">
        <f>IF($F1477="","",IF(COUNTIF(Постоянные!$C$8:$C$37,$F1477)&gt;0,"есть в Постоянных",IF(COUNTIF(Покупки!$C$7:$C$18,$F1477)&gt;0,"есть в Покупках","")))</f>
        <v/>
      </c>
      <c r="P1477">
        <f>IF($H1477&lt;&gt;"",$H1477,IF($I1477="Оплачено",N($G1477),0))</f>
        <v/>
      </c>
      <c r="Q1477">
        <f>IF($I1477="Отменено",0,IF($G1477&lt;&gt;"",$G1477,N($H1477)))</f>
        <v/>
      </c>
      <c r="R1477">
        <f>IF($C1477="","",IFERROR(DATE(Настройки!$C$8,Настройки!$D$9+MATCH($M1477,Настройки!$X$6:$X$17,0)-1,1),DATE(YEAR($C1477),MONTH($C1477),1)))</f>
        <v/>
      </c>
      <c r="S1477">
        <f>IF(OR($I1477="Оплачено",$H1477&lt;&gt;""),$P1477,$Q1477)</f>
        <v/>
      </c>
      <c r="T1477">
        <f>IF(OR($C1477="",$D1477="Доход",$I1477="Оплачено",$I1477="Отменено",$H1477&lt;&gt;"",$C1477&lt;TODAY()),"",$C1477)</f>
        <v/>
      </c>
      <c r="U1477">
        <f>IF(AND($D1477&lt;&gt;"Доход",COUNTIFS(Счета!$B$10:$B$21,$J1477,Счета!$C$10:$C$21,"Кредитная")&gt;0),1,0)</f>
        <v/>
      </c>
    </row>
    <row r="1478" ht="19" customHeight="1">
      <c r="B1478" s="53">
        <f>IF(AND($C1478="",$F1478=""),"",ROW()-9)</f>
        <v/>
      </c>
      <c r="C1478" s="213" t="n"/>
      <c r="D1478" s="55" t="n"/>
      <c r="E1478" s="55" t="n"/>
      <c r="F1478" s="56" t="n"/>
      <c r="G1478" s="196" t="n"/>
      <c r="H1478" s="196" t="n"/>
      <c r="I1478" s="55" t="n"/>
      <c r="J1478" s="55" t="n"/>
      <c r="K1478" s="55" t="n"/>
      <c r="L1478" s="100">
        <f>IF(OR($C1478="",$I1478="Оплачено",$I1478="Отменено",$H1478&lt;&gt;""),"",$C1478-TODAY())</f>
        <v/>
      </c>
      <c r="M1478" s="101">
        <f>IF($C1478="","",INDEX(Настройки!$V$6:$V$17,MONTH($C1478))&amp;" "&amp;YEAR($C1478))</f>
        <v/>
      </c>
      <c r="N1478" s="57">
        <f>IF($F1478="","",IF(COUNTIF(Постоянные!$C$8:$C$37,$F1478)&gt;0,"есть в Постоянных",IF(COUNTIF(Покупки!$C$7:$C$18,$F1478)&gt;0,"есть в Покупках","")))</f>
        <v/>
      </c>
      <c r="P1478">
        <f>IF($H1478&lt;&gt;"",$H1478,IF($I1478="Оплачено",N($G1478),0))</f>
        <v/>
      </c>
      <c r="Q1478">
        <f>IF($I1478="Отменено",0,IF($G1478&lt;&gt;"",$G1478,N($H1478)))</f>
        <v/>
      </c>
      <c r="R1478">
        <f>IF($C1478="","",IFERROR(DATE(Настройки!$C$8,Настройки!$D$9+MATCH($M1478,Настройки!$X$6:$X$17,0)-1,1),DATE(YEAR($C1478),MONTH($C1478),1)))</f>
        <v/>
      </c>
      <c r="S1478">
        <f>IF(OR($I1478="Оплачено",$H1478&lt;&gt;""),$P1478,$Q1478)</f>
        <v/>
      </c>
      <c r="T1478">
        <f>IF(OR($C1478="",$D1478="Доход",$I1478="Оплачено",$I1478="Отменено",$H1478&lt;&gt;"",$C1478&lt;TODAY()),"",$C1478)</f>
        <v/>
      </c>
      <c r="U1478">
        <f>IF(AND($D1478&lt;&gt;"Доход",COUNTIFS(Счета!$B$10:$B$21,$J1478,Счета!$C$10:$C$21,"Кредитная")&gt;0),1,0)</f>
        <v/>
      </c>
    </row>
    <row r="1479" ht="19" customHeight="1">
      <c r="B1479" s="53">
        <f>IF(AND($C1479="",$F1479=""),"",ROW()-9)</f>
        <v/>
      </c>
      <c r="C1479" s="213" t="n"/>
      <c r="D1479" s="55" t="n"/>
      <c r="E1479" s="55" t="n"/>
      <c r="F1479" s="56" t="n"/>
      <c r="G1479" s="196" t="n"/>
      <c r="H1479" s="196" t="n"/>
      <c r="I1479" s="55" t="n"/>
      <c r="J1479" s="55" t="n"/>
      <c r="K1479" s="55" t="n"/>
      <c r="L1479" s="100">
        <f>IF(OR($C1479="",$I1479="Оплачено",$I1479="Отменено",$H1479&lt;&gt;""),"",$C1479-TODAY())</f>
        <v/>
      </c>
      <c r="M1479" s="101">
        <f>IF($C1479="","",INDEX(Настройки!$V$6:$V$17,MONTH($C1479))&amp;" "&amp;YEAR($C1479))</f>
        <v/>
      </c>
      <c r="N1479" s="57">
        <f>IF($F1479="","",IF(COUNTIF(Постоянные!$C$8:$C$37,$F1479)&gt;0,"есть в Постоянных",IF(COUNTIF(Покупки!$C$7:$C$18,$F1479)&gt;0,"есть в Покупках","")))</f>
        <v/>
      </c>
      <c r="P1479">
        <f>IF($H1479&lt;&gt;"",$H1479,IF($I1479="Оплачено",N($G1479),0))</f>
        <v/>
      </c>
      <c r="Q1479">
        <f>IF($I1479="Отменено",0,IF($G1479&lt;&gt;"",$G1479,N($H1479)))</f>
        <v/>
      </c>
      <c r="R1479">
        <f>IF($C1479="","",IFERROR(DATE(Настройки!$C$8,Настройки!$D$9+MATCH($M1479,Настройки!$X$6:$X$17,0)-1,1),DATE(YEAR($C1479),MONTH($C1479),1)))</f>
        <v/>
      </c>
      <c r="S1479">
        <f>IF(OR($I1479="Оплачено",$H1479&lt;&gt;""),$P1479,$Q1479)</f>
        <v/>
      </c>
      <c r="T1479">
        <f>IF(OR($C1479="",$D1479="Доход",$I1479="Оплачено",$I1479="Отменено",$H1479&lt;&gt;"",$C1479&lt;TODAY()),"",$C1479)</f>
        <v/>
      </c>
      <c r="U1479">
        <f>IF(AND($D1479&lt;&gt;"Доход",COUNTIFS(Счета!$B$10:$B$21,$J1479,Счета!$C$10:$C$21,"Кредитная")&gt;0),1,0)</f>
        <v/>
      </c>
    </row>
    <row r="1480" ht="19" customHeight="1">
      <c r="B1480" s="53">
        <f>IF(AND($C1480="",$F1480=""),"",ROW()-9)</f>
        <v/>
      </c>
      <c r="C1480" s="213" t="n"/>
      <c r="D1480" s="55" t="n"/>
      <c r="E1480" s="55" t="n"/>
      <c r="F1480" s="56" t="n"/>
      <c r="G1480" s="196" t="n"/>
      <c r="H1480" s="196" t="n"/>
      <c r="I1480" s="55" t="n"/>
      <c r="J1480" s="55" t="n"/>
      <c r="K1480" s="55" t="n"/>
      <c r="L1480" s="100">
        <f>IF(OR($C1480="",$I1480="Оплачено",$I1480="Отменено",$H1480&lt;&gt;""),"",$C1480-TODAY())</f>
        <v/>
      </c>
      <c r="M1480" s="101">
        <f>IF($C1480="","",INDEX(Настройки!$V$6:$V$17,MONTH($C1480))&amp;" "&amp;YEAR($C1480))</f>
        <v/>
      </c>
      <c r="N1480" s="57">
        <f>IF($F1480="","",IF(COUNTIF(Постоянные!$C$8:$C$37,$F1480)&gt;0,"есть в Постоянных",IF(COUNTIF(Покупки!$C$7:$C$18,$F1480)&gt;0,"есть в Покупках","")))</f>
        <v/>
      </c>
      <c r="P1480">
        <f>IF($H1480&lt;&gt;"",$H1480,IF($I1480="Оплачено",N($G1480),0))</f>
        <v/>
      </c>
      <c r="Q1480">
        <f>IF($I1480="Отменено",0,IF($G1480&lt;&gt;"",$G1480,N($H1480)))</f>
        <v/>
      </c>
      <c r="R1480">
        <f>IF($C1480="","",IFERROR(DATE(Настройки!$C$8,Настройки!$D$9+MATCH($M1480,Настройки!$X$6:$X$17,0)-1,1),DATE(YEAR($C1480),MONTH($C1480),1)))</f>
        <v/>
      </c>
      <c r="S1480">
        <f>IF(OR($I1480="Оплачено",$H1480&lt;&gt;""),$P1480,$Q1480)</f>
        <v/>
      </c>
      <c r="T1480">
        <f>IF(OR($C1480="",$D1480="Доход",$I1480="Оплачено",$I1480="Отменено",$H1480&lt;&gt;"",$C1480&lt;TODAY()),"",$C1480)</f>
        <v/>
      </c>
      <c r="U1480">
        <f>IF(AND($D1480&lt;&gt;"Доход",COUNTIFS(Счета!$B$10:$B$21,$J1480,Счета!$C$10:$C$21,"Кредитная")&gt;0),1,0)</f>
        <v/>
      </c>
    </row>
    <row r="1481" ht="19" customHeight="1">
      <c r="B1481" s="53">
        <f>IF(AND($C1481="",$F1481=""),"",ROW()-9)</f>
        <v/>
      </c>
      <c r="C1481" s="213" t="n"/>
      <c r="D1481" s="55" t="n"/>
      <c r="E1481" s="55" t="n"/>
      <c r="F1481" s="56" t="n"/>
      <c r="G1481" s="196" t="n"/>
      <c r="H1481" s="196" t="n"/>
      <c r="I1481" s="55" t="n"/>
      <c r="J1481" s="55" t="n"/>
      <c r="K1481" s="55" t="n"/>
      <c r="L1481" s="100">
        <f>IF(OR($C1481="",$I1481="Оплачено",$I1481="Отменено",$H1481&lt;&gt;""),"",$C1481-TODAY())</f>
        <v/>
      </c>
      <c r="M1481" s="101">
        <f>IF($C1481="","",INDEX(Настройки!$V$6:$V$17,MONTH($C1481))&amp;" "&amp;YEAR($C1481))</f>
        <v/>
      </c>
      <c r="N1481" s="57">
        <f>IF($F1481="","",IF(COUNTIF(Постоянные!$C$8:$C$37,$F1481)&gt;0,"есть в Постоянных",IF(COUNTIF(Покупки!$C$7:$C$18,$F1481)&gt;0,"есть в Покупках","")))</f>
        <v/>
      </c>
      <c r="P1481">
        <f>IF($H1481&lt;&gt;"",$H1481,IF($I1481="Оплачено",N($G1481),0))</f>
        <v/>
      </c>
      <c r="Q1481">
        <f>IF($I1481="Отменено",0,IF($G1481&lt;&gt;"",$G1481,N($H1481)))</f>
        <v/>
      </c>
      <c r="R1481">
        <f>IF($C1481="","",IFERROR(DATE(Настройки!$C$8,Настройки!$D$9+MATCH($M1481,Настройки!$X$6:$X$17,0)-1,1),DATE(YEAR($C1481),MONTH($C1481),1)))</f>
        <v/>
      </c>
      <c r="S1481">
        <f>IF(OR($I1481="Оплачено",$H1481&lt;&gt;""),$P1481,$Q1481)</f>
        <v/>
      </c>
      <c r="T1481">
        <f>IF(OR($C1481="",$D1481="Доход",$I1481="Оплачено",$I1481="Отменено",$H1481&lt;&gt;"",$C1481&lt;TODAY()),"",$C1481)</f>
        <v/>
      </c>
      <c r="U1481">
        <f>IF(AND($D1481&lt;&gt;"Доход",COUNTIFS(Счета!$B$10:$B$21,$J1481,Счета!$C$10:$C$21,"Кредитная")&gt;0),1,0)</f>
        <v/>
      </c>
    </row>
    <row r="1482" ht="19" customHeight="1">
      <c r="B1482" s="53">
        <f>IF(AND($C1482="",$F1482=""),"",ROW()-9)</f>
        <v/>
      </c>
      <c r="C1482" s="213" t="n"/>
      <c r="D1482" s="55" t="n"/>
      <c r="E1482" s="55" t="n"/>
      <c r="F1482" s="56" t="n"/>
      <c r="G1482" s="196" t="n"/>
      <c r="H1482" s="196" t="n"/>
      <c r="I1482" s="55" t="n"/>
      <c r="J1482" s="55" t="n"/>
      <c r="K1482" s="55" t="n"/>
      <c r="L1482" s="100">
        <f>IF(OR($C1482="",$I1482="Оплачено",$I1482="Отменено",$H1482&lt;&gt;""),"",$C1482-TODAY())</f>
        <v/>
      </c>
      <c r="M1482" s="101">
        <f>IF($C1482="","",INDEX(Настройки!$V$6:$V$17,MONTH($C1482))&amp;" "&amp;YEAR($C1482))</f>
        <v/>
      </c>
      <c r="N1482" s="57">
        <f>IF($F1482="","",IF(COUNTIF(Постоянные!$C$8:$C$37,$F1482)&gt;0,"есть в Постоянных",IF(COUNTIF(Покупки!$C$7:$C$18,$F1482)&gt;0,"есть в Покупках","")))</f>
        <v/>
      </c>
      <c r="P1482">
        <f>IF($H1482&lt;&gt;"",$H1482,IF($I1482="Оплачено",N($G1482),0))</f>
        <v/>
      </c>
      <c r="Q1482">
        <f>IF($I1482="Отменено",0,IF($G1482&lt;&gt;"",$G1482,N($H1482)))</f>
        <v/>
      </c>
      <c r="R1482">
        <f>IF($C1482="","",IFERROR(DATE(Настройки!$C$8,Настройки!$D$9+MATCH($M1482,Настройки!$X$6:$X$17,0)-1,1),DATE(YEAR($C1482),MONTH($C1482),1)))</f>
        <v/>
      </c>
      <c r="S1482">
        <f>IF(OR($I1482="Оплачено",$H1482&lt;&gt;""),$P1482,$Q1482)</f>
        <v/>
      </c>
      <c r="T1482">
        <f>IF(OR($C1482="",$D1482="Доход",$I1482="Оплачено",$I1482="Отменено",$H1482&lt;&gt;"",$C1482&lt;TODAY()),"",$C1482)</f>
        <v/>
      </c>
      <c r="U1482">
        <f>IF(AND($D1482&lt;&gt;"Доход",COUNTIFS(Счета!$B$10:$B$21,$J1482,Счета!$C$10:$C$21,"Кредитная")&gt;0),1,0)</f>
        <v/>
      </c>
    </row>
    <row r="1483" ht="19" customHeight="1">
      <c r="B1483" s="53">
        <f>IF(AND($C1483="",$F1483=""),"",ROW()-9)</f>
        <v/>
      </c>
      <c r="C1483" s="213" t="n"/>
      <c r="D1483" s="55" t="n"/>
      <c r="E1483" s="55" t="n"/>
      <c r="F1483" s="56" t="n"/>
      <c r="G1483" s="196" t="n"/>
      <c r="H1483" s="196" t="n"/>
      <c r="I1483" s="55" t="n"/>
      <c r="J1483" s="55" t="n"/>
      <c r="K1483" s="55" t="n"/>
      <c r="L1483" s="100">
        <f>IF(OR($C1483="",$I1483="Оплачено",$I1483="Отменено",$H1483&lt;&gt;""),"",$C1483-TODAY())</f>
        <v/>
      </c>
      <c r="M1483" s="101">
        <f>IF($C1483="","",INDEX(Настройки!$V$6:$V$17,MONTH($C1483))&amp;" "&amp;YEAR($C1483))</f>
        <v/>
      </c>
      <c r="N1483" s="57">
        <f>IF($F1483="","",IF(COUNTIF(Постоянные!$C$8:$C$37,$F1483)&gt;0,"есть в Постоянных",IF(COUNTIF(Покупки!$C$7:$C$18,$F1483)&gt;0,"есть в Покупках","")))</f>
        <v/>
      </c>
      <c r="P1483">
        <f>IF($H1483&lt;&gt;"",$H1483,IF($I1483="Оплачено",N($G1483),0))</f>
        <v/>
      </c>
      <c r="Q1483">
        <f>IF($I1483="Отменено",0,IF($G1483&lt;&gt;"",$G1483,N($H1483)))</f>
        <v/>
      </c>
      <c r="R1483">
        <f>IF($C1483="","",IFERROR(DATE(Настройки!$C$8,Настройки!$D$9+MATCH($M1483,Настройки!$X$6:$X$17,0)-1,1),DATE(YEAR($C1483),MONTH($C1483),1)))</f>
        <v/>
      </c>
      <c r="S1483">
        <f>IF(OR($I1483="Оплачено",$H1483&lt;&gt;""),$P1483,$Q1483)</f>
        <v/>
      </c>
      <c r="T1483">
        <f>IF(OR($C1483="",$D1483="Доход",$I1483="Оплачено",$I1483="Отменено",$H1483&lt;&gt;"",$C1483&lt;TODAY()),"",$C1483)</f>
        <v/>
      </c>
      <c r="U1483">
        <f>IF(AND($D1483&lt;&gt;"Доход",COUNTIFS(Счета!$B$10:$B$21,$J1483,Счета!$C$10:$C$21,"Кредитная")&gt;0),1,0)</f>
        <v/>
      </c>
    </row>
    <row r="1484" ht="19" customHeight="1">
      <c r="B1484" s="53">
        <f>IF(AND($C1484="",$F1484=""),"",ROW()-9)</f>
        <v/>
      </c>
      <c r="C1484" s="213" t="n"/>
      <c r="D1484" s="55" t="n"/>
      <c r="E1484" s="55" t="n"/>
      <c r="F1484" s="56" t="n"/>
      <c r="G1484" s="196" t="n"/>
      <c r="H1484" s="196" t="n"/>
      <c r="I1484" s="55" t="n"/>
      <c r="J1484" s="55" t="n"/>
      <c r="K1484" s="55" t="n"/>
      <c r="L1484" s="100">
        <f>IF(OR($C1484="",$I1484="Оплачено",$I1484="Отменено",$H1484&lt;&gt;""),"",$C1484-TODAY())</f>
        <v/>
      </c>
      <c r="M1484" s="101">
        <f>IF($C1484="","",INDEX(Настройки!$V$6:$V$17,MONTH($C1484))&amp;" "&amp;YEAR($C1484))</f>
        <v/>
      </c>
      <c r="N1484" s="57">
        <f>IF($F1484="","",IF(COUNTIF(Постоянные!$C$8:$C$37,$F1484)&gt;0,"есть в Постоянных",IF(COUNTIF(Покупки!$C$7:$C$18,$F1484)&gt;0,"есть в Покупках","")))</f>
        <v/>
      </c>
      <c r="P1484">
        <f>IF($H1484&lt;&gt;"",$H1484,IF($I1484="Оплачено",N($G1484),0))</f>
        <v/>
      </c>
      <c r="Q1484">
        <f>IF($I1484="Отменено",0,IF($G1484&lt;&gt;"",$G1484,N($H1484)))</f>
        <v/>
      </c>
      <c r="R1484">
        <f>IF($C1484="","",IFERROR(DATE(Настройки!$C$8,Настройки!$D$9+MATCH($M1484,Настройки!$X$6:$X$17,0)-1,1),DATE(YEAR($C1484),MONTH($C1484),1)))</f>
        <v/>
      </c>
      <c r="S1484">
        <f>IF(OR($I1484="Оплачено",$H1484&lt;&gt;""),$P1484,$Q1484)</f>
        <v/>
      </c>
      <c r="T1484">
        <f>IF(OR($C1484="",$D1484="Доход",$I1484="Оплачено",$I1484="Отменено",$H1484&lt;&gt;"",$C1484&lt;TODAY()),"",$C1484)</f>
        <v/>
      </c>
      <c r="U1484">
        <f>IF(AND($D1484&lt;&gt;"Доход",COUNTIFS(Счета!$B$10:$B$21,$J1484,Счета!$C$10:$C$21,"Кредитная")&gt;0),1,0)</f>
        <v/>
      </c>
    </row>
    <row r="1485" ht="19" customHeight="1">
      <c r="B1485" s="53">
        <f>IF(AND($C1485="",$F1485=""),"",ROW()-9)</f>
        <v/>
      </c>
      <c r="C1485" s="213" t="n"/>
      <c r="D1485" s="55" t="n"/>
      <c r="E1485" s="55" t="n"/>
      <c r="F1485" s="56" t="n"/>
      <c r="G1485" s="196" t="n"/>
      <c r="H1485" s="196" t="n"/>
      <c r="I1485" s="55" t="n"/>
      <c r="J1485" s="55" t="n"/>
      <c r="K1485" s="55" t="n"/>
      <c r="L1485" s="100">
        <f>IF(OR($C1485="",$I1485="Оплачено",$I1485="Отменено",$H1485&lt;&gt;""),"",$C1485-TODAY())</f>
        <v/>
      </c>
      <c r="M1485" s="101">
        <f>IF($C1485="","",INDEX(Настройки!$V$6:$V$17,MONTH($C1485))&amp;" "&amp;YEAR($C1485))</f>
        <v/>
      </c>
      <c r="N1485" s="57">
        <f>IF($F1485="","",IF(COUNTIF(Постоянные!$C$8:$C$37,$F1485)&gt;0,"есть в Постоянных",IF(COUNTIF(Покупки!$C$7:$C$18,$F1485)&gt;0,"есть в Покупках","")))</f>
        <v/>
      </c>
      <c r="P1485">
        <f>IF($H1485&lt;&gt;"",$H1485,IF($I1485="Оплачено",N($G1485),0))</f>
        <v/>
      </c>
      <c r="Q1485">
        <f>IF($I1485="Отменено",0,IF($G1485&lt;&gt;"",$G1485,N($H1485)))</f>
        <v/>
      </c>
      <c r="R1485">
        <f>IF($C1485="","",IFERROR(DATE(Настройки!$C$8,Настройки!$D$9+MATCH($M1485,Настройки!$X$6:$X$17,0)-1,1),DATE(YEAR($C1485),MONTH($C1485),1)))</f>
        <v/>
      </c>
      <c r="S1485">
        <f>IF(OR($I1485="Оплачено",$H1485&lt;&gt;""),$P1485,$Q1485)</f>
        <v/>
      </c>
      <c r="T1485">
        <f>IF(OR($C1485="",$D1485="Доход",$I1485="Оплачено",$I1485="Отменено",$H1485&lt;&gt;"",$C1485&lt;TODAY()),"",$C1485)</f>
        <v/>
      </c>
      <c r="U1485">
        <f>IF(AND($D1485&lt;&gt;"Доход",COUNTIFS(Счета!$B$10:$B$21,$J1485,Счета!$C$10:$C$21,"Кредитная")&gt;0),1,0)</f>
        <v/>
      </c>
    </row>
    <row r="1486" ht="19" customHeight="1">
      <c r="B1486" s="53">
        <f>IF(AND($C1486="",$F1486=""),"",ROW()-9)</f>
        <v/>
      </c>
      <c r="C1486" s="213" t="n"/>
      <c r="D1486" s="55" t="n"/>
      <c r="E1486" s="55" t="n"/>
      <c r="F1486" s="56" t="n"/>
      <c r="G1486" s="196" t="n"/>
      <c r="H1486" s="196" t="n"/>
      <c r="I1486" s="55" t="n"/>
      <c r="J1486" s="55" t="n"/>
      <c r="K1486" s="55" t="n"/>
      <c r="L1486" s="100">
        <f>IF(OR($C1486="",$I1486="Оплачено",$I1486="Отменено",$H1486&lt;&gt;""),"",$C1486-TODAY())</f>
        <v/>
      </c>
      <c r="M1486" s="101">
        <f>IF($C1486="","",INDEX(Настройки!$V$6:$V$17,MONTH($C1486))&amp;" "&amp;YEAR($C1486))</f>
        <v/>
      </c>
      <c r="N1486" s="57">
        <f>IF($F1486="","",IF(COUNTIF(Постоянные!$C$8:$C$37,$F1486)&gt;0,"есть в Постоянных",IF(COUNTIF(Покупки!$C$7:$C$18,$F1486)&gt;0,"есть в Покупках","")))</f>
        <v/>
      </c>
      <c r="P1486">
        <f>IF($H1486&lt;&gt;"",$H1486,IF($I1486="Оплачено",N($G1486),0))</f>
        <v/>
      </c>
      <c r="Q1486">
        <f>IF($I1486="Отменено",0,IF($G1486&lt;&gt;"",$G1486,N($H1486)))</f>
        <v/>
      </c>
      <c r="R1486">
        <f>IF($C1486="","",IFERROR(DATE(Настройки!$C$8,Настройки!$D$9+MATCH($M1486,Настройки!$X$6:$X$17,0)-1,1),DATE(YEAR($C1486),MONTH($C1486),1)))</f>
        <v/>
      </c>
      <c r="S1486">
        <f>IF(OR($I1486="Оплачено",$H1486&lt;&gt;""),$P1486,$Q1486)</f>
        <v/>
      </c>
      <c r="T1486">
        <f>IF(OR($C1486="",$D1486="Доход",$I1486="Оплачено",$I1486="Отменено",$H1486&lt;&gt;"",$C1486&lt;TODAY()),"",$C1486)</f>
        <v/>
      </c>
      <c r="U1486">
        <f>IF(AND($D1486&lt;&gt;"Доход",COUNTIFS(Счета!$B$10:$B$21,$J1486,Счета!$C$10:$C$21,"Кредитная")&gt;0),1,0)</f>
        <v/>
      </c>
    </row>
    <row r="1487" ht="19" customHeight="1">
      <c r="B1487" s="53">
        <f>IF(AND($C1487="",$F1487=""),"",ROW()-9)</f>
        <v/>
      </c>
      <c r="C1487" s="213" t="n"/>
      <c r="D1487" s="55" t="n"/>
      <c r="E1487" s="55" t="n"/>
      <c r="F1487" s="56" t="n"/>
      <c r="G1487" s="196" t="n"/>
      <c r="H1487" s="196" t="n"/>
      <c r="I1487" s="55" t="n"/>
      <c r="J1487" s="55" t="n"/>
      <c r="K1487" s="55" t="n"/>
      <c r="L1487" s="100">
        <f>IF(OR($C1487="",$I1487="Оплачено",$I1487="Отменено",$H1487&lt;&gt;""),"",$C1487-TODAY())</f>
        <v/>
      </c>
      <c r="M1487" s="101">
        <f>IF($C1487="","",INDEX(Настройки!$V$6:$V$17,MONTH($C1487))&amp;" "&amp;YEAR($C1487))</f>
        <v/>
      </c>
      <c r="N1487" s="57">
        <f>IF($F1487="","",IF(COUNTIF(Постоянные!$C$8:$C$37,$F1487)&gt;0,"есть в Постоянных",IF(COUNTIF(Покупки!$C$7:$C$18,$F1487)&gt;0,"есть в Покупках","")))</f>
        <v/>
      </c>
      <c r="P1487">
        <f>IF($H1487&lt;&gt;"",$H1487,IF($I1487="Оплачено",N($G1487),0))</f>
        <v/>
      </c>
      <c r="Q1487">
        <f>IF($I1487="Отменено",0,IF($G1487&lt;&gt;"",$G1487,N($H1487)))</f>
        <v/>
      </c>
      <c r="R1487">
        <f>IF($C1487="","",IFERROR(DATE(Настройки!$C$8,Настройки!$D$9+MATCH($M1487,Настройки!$X$6:$X$17,0)-1,1),DATE(YEAR($C1487),MONTH($C1487),1)))</f>
        <v/>
      </c>
      <c r="S1487">
        <f>IF(OR($I1487="Оплачено",$H1487&lt;&gt;""),$P1487,$Q1487)</f>
        <v/>
      </c>
      <c r="T1487">
        <f>IF(OR($C1487="",$D1487="Доход",$I1487="Оплачено",$I1487="Отменено",$H1487&lt;&gt;"",$C1487&lt;TODAY()),"",$C1487)</f>
        <v/>
      </c>
      <c r="U1487">
        <f>IF(AND($D1487&lt;&gt;"Доход",COUNTIFS(Счета!$B$10:$B$21,$J1487,Счета!$C$10:$C$21,"Кредитная")&gt;0),1,0)</f>
        <v/>
      </c>
    </row>
    <row r="1488" ht="19" customHeight="1">
      <c r="B1488" s="53">
        <f>IF(AND($C1488="",$F1488=""),"",ROW()-9)</f>
        <v/>
      </c>
      <c r="C1488" s="213" t="n"/>
      <c r="D1488" s="55" t="n"/>
      <c r="E1488" s="55" t="n"/>
      <c r="F1488" s="56" t="n"/>
      <c r="G1488" s="196" t="n"/>
      <c r="H1488" s="196" t="n"/>
      <c r="I1488" s="55" t="n"/>
      <c r="J1488" s="55" t="n"/>
      <c r="K1488" s="55" t="n"/>
      <c r="L1488" s="100">
        <f>IF(OR($C1488="",$I1488="Оплачено",$I1488="Отменено",$H1488&lt;&gt;""),"",$C1488-TODAY())</f>
        <v/>
      </c>
      <c r="M1488" s="101">
        <f>IF($C1488="","",INDEX(Настройки!$V$6:$V$17,MONTH($C1488))&amp;" "&amp;YEAR($C1488))</f>
        <v/>
      </c>
      <c r="N1488" s="57">
        <f>IF($F1488="","",IF(COUNTIF(Постоянные!$C$8:$C$37,$F1488)&gt;0,"есть в Постоянных",IF(COUNTIF(Покупки!$C$7:$C$18,$F1488)&gt;0,"есть в Покупках","")))</f>
        <v/>
      </c>
      <c r="P1488">
        <f>IF($H1488&lt;&gt;"",$H1488,IF($I1488="Оплачено",N($G1488),0))</f>
        <v/>
      </c>
      <c r="Q1488">
        <f>IF($I1488="Отменено",0,IF($G1488&lt;&gt;"",$G1488,N($H1488)))</f>
        <v/>
      </c>
      <c r="R1488">
        <f>IF($C1488="","",IFERROR(DATE(Настройки!$C$8,Настройки!$D$9+MATCH($M1488,Настройки!$X$6:$X$17,0)-1,1),DATE(YEAR($C1488),MONTH($C1488),1)))</f>
        <v/>
      </c>
      <c r="S1488">
        <f>IF(OR($I1488="Оплачено",$H1488&lt;&gt;""),$P1488,$Q1488)</f>
        <v/>
      </c>
      <c r="T1488">
        <f>IF(OR($C1488="",$D1488="Доход",$I1488="Оплачено",$I1488="Отменено",$H1488&lt;&gt;"",$C1488&lt;TODAY()),"",$C1488)</f>
        <v/>
      </c>
      <c r="U1488">
        <f>IF(AND($D1488&lt;&gt;"Доход",COUNTIFS(Счета!$B$10:$B$21,$J1488,Счета!$C$10:$C$21,"Кредитная")&gt;0),1,0)</f>
        <v/>
      </c>
    </row>
    <row r="1489" ht="19" customHeight="1">
      <c r="B1489" s="53">
        <f>IF(AND($C1489="",$F1489=""),"",ROW()-9)</f>
        <v/>
      </c>
      <c r="C1489" s="213" t="n"/>
      <c r="D1489" s="55" t="n"/>
      <c r="E1489" s="55" t="n"/>
      <c r="F1489" s="56" t="n"/>
      <c r="G1489" s="196" t="n"/>
      <c r="H1489" s="196" t="n"/>
      <c r="I1489" s="55" t="n"/>
      <c r="J1489" s="55" t="n"/>
      <c r="K1489" s="55" t="n"/>
      <c r="L1489" s="100">
        <f>IF(OR($C1489="",$I1489="Оплачено",$I1489="Отменено",$H1489&lt;&gt;""),"",$C1489-TODAY())</f>
        <v/>
      </c>
      <c r="M1489" s="101">
        <f>IF($C1489="","",INDEX(Настройки!$V$6:$V$17,MONTH($C1489))&amp;" "&amp;YEAR($C1489))</f>
        <v/>
      </c>
      <c r="N1489" s="57">
        <f>IF($F1489="","",IF(COUNTIF(Постоянные!$C$8:$C$37,$F1489)&gt;0,"есть в Постоянных",IF(COUNTIF(Покупки!$C$7:$C$18,$F1489)&gt;0,"есть в Покупках","")))</f>
        <v/>
      </c>
      <c r="P1489">
        <f>IF($H1489&lt;&gt;"",$H1489,IF($I1489="Оплачено",N($G1489),0))</f>
        <v/>
      </c>
      <c r="Q1489">
        <f>IF($I1489="Отменено",0,IF($G1489&lt;&gt;"",$G1489,N($H1489)))</f>
        <v/>
      </c>
      <c r="R1489">
        <f>IF($C1489="","",IFERROR(DATE(Настройки!$C$8,Настройки!$D$9+MATCH($M1489,Настройки!$X$6:$X$17,0)-1,1),DATE(YEAR($C1489),MONTH($C1489),1)))</f>
        <v/>
      </c>
      <c r="S1489">
        <f>IF(OR($I1489="Оплачено",$H1489&lt;&gt;""),$P1489,$Q1489)</f>
        <v/>
      </c>
      <c r="T1489">
        <f>IF(OR($C1489="",$D1489="Доход",$I1489="Оплачено",$I1489="Отменено",$H1489&lt;&gt;"",$C1489&lt;TODAY()),"",$C1489)</f>
        <v/>
      </c>
      <c r="U1489">
        <f>IF(AND($D1489&lt;&gt;"Доход",COUNTIFS(Счета!$B$10:$B$21,$J1489,Счета!$C$10:$C$21,"Кредитная")&gt;0),1,0)</f>
        <v/>
      </c>
    </row>
    <row r="1490" ht="19" customHeight="1">
      <c r="B1490" s="53">
        <f>IF(AND($C1490="",$F1490=""),"",ROW()-9)</f>
        <v/>
      </c>
      <c r="C1490" s="213" t="n"/>
      <c r="D1490" s="55" t="n"/>
      <c r="E1490" s="55" t="n"/>
      <c r="F1490" s="56" t="n"/>
      <c r="G1490" s="196" t="n"/>
      <c r="H1490" s="196" t="n"/>
      <c r="I1490" s="55" t="n"/>
      <c r="J1490" s="55" t="n"/>
      <c r="K1490" s="55" t="n"/>
      <c r="L1490" s="100">
        <f>IF(OR($C1490="",$I1490="Оплачено",$I1490="Отменено",$H1490&lt;&gt;""),"",$C1490-TODAY())</f>
        <v/>
      </c>
      <c r="M1490" s="101">
        <f>IF($C1490="","",INDEX(Настройки!$V$6:$V$17,MONTH($C1490))&amp;" "&amp;YEAR($C1490))</f>
        <v/>
      </c>
      <c r="N1490" s="57">
        <f>IF($F1490="","",IF(COUNTIF(Постоянные!$C$8:$C$37,$F1490)&gt;0,"есть в Постоянных",IF(COUNTIF(Покупки!$C$7:$C$18,$F1490)&gt;0,"есть в Покупках","")))</f>
        <v/>
      </c>
      <c r="P1490">
        <f>IF($H1490&lt;&gt;"",$H1490,IF($I1490="Оплачено",N($G1490),0))</f>
        <v/>
      </c>
      <c r="Q1490">
        <f>IF($I1490="Отменено",0,IF($G1490&lt;&gt;"",$G1490,N($H1490)))</f>
        <v/>
      </c>
      <c r="R1490">
        <f>IF($C1490="","",IFERROR(DATE(Настройки!$C$8,Настройки!$D$9+MATCH($M1490,Настройки!$X$6:$X$17,0)-1,1),DATE(YEAR($C1490),MONTH($C1490),1)))</f>
        <v/>
      </c>
      <c r="S1490">
        <f>IF(OR($I1490="Оплачено",$H1490&lt;&gt;""),$P1490,$Q1490)</f>
        <v/>
      </c>
      <c r="T1490">
        <f>IF(OR($C1490="",$D1490="Доход",$I1490="Оплачено",$I1490="Отменено",$H1490&lt;&gt;"",$C1490&lt;TODAY()),"",$C1490)</f>
        <v/>
      </c>
      <c r="U1490">
        <f>IF(AND($D1490&lt;&gt;"Доход",COUNTIFS(Счета!$B$10:$B$21,$J1490,Счета!$C$10:$C$21,"Кредитная")&gt;0),1,0)</f>
        <v/>
      </c>
    </row>
    <row r="1491" ht="19" customHeight="1">
      <c r="B1491" s="53">
        <f>IF(AND($C1491="",$F1491=""),"",ROW()-9)</f>
        <v/>
      </c>
      <c r="C1491" s="213" t="n"/>
      <c r="D1491" s="55" t="n"/>
      <c r="E1491" s="55" t="n"/>
      <c r="F1491" s="56" t="n"/>
      <c r="G1491" s="196" t="n"/>
      <c r="H1491" s="196" t="n"/>
      <c r="I1491" s="55" t="n"/>
      <c r="J1491" s="55" t="n"/>
      <c r="K1491" s="55" t="n"/>
      <c r="L1491" s="100">
        <f>IF(OR($C1491="",$I1491="Оплачено",$I1491="Отменено",$H1491&lt;&gt;""),"",$C1491-TODAY())</f>
        <v/>
      </c>
      <c r="M1491" s="101">
        <f>IF($C1491="","",INDEX(Настройки!$V$6:$V$17,MONTH($C1491))&amp;" "&amp;YEAR($C1491))</f>
        <v/>
      </c>
      <c r="N1491" s="57">
        <f>IF($F1491="","",IF(COUNTIF(Постоянные!$C$8:$C$37,$F1491)&gt;0,"есть в Постоянных",IF(COUNTIF(Покупки!$C$7:$C$18,$F1491)&gt;0,"есть в Покупках","")))</f>
        <v/>
      </c>
      <c r="P1491">
        <f>IF($H1491&lt;&gt;"",$H1491,IF($I1491="Оплачено",N($G1491),0))</f>
        <v/>
      </c>
      <c r="Q1491">
        <f>IF($I1491="Отменено",0,IF($G1491&lt;&gt;"",$G1491,N($H1491)))</f>
        <v/>
      </c>
      <c r="R1491">
        <f>IF($C1491="","",IFERROR(DATE(Настройки!$C$8,Настройки!$D$9+MATCH($M1491,Настройки!$X$6:$X$17,0)-1,1),DATE(YEAR($C1491),MONTH($C1491),1)))</f>
        <v/>
      </c>
      <c r="S1491">
        <f>IF(OR($I1491="Оплачено",$H1491&lt;&gt;""),$P1491,$Q1491)</f>
        <v/>
      </c>
      <c r="T1491">
        <f>IF(OR($C1491="",$D1491="Доход",$I1491="Оплачено",$I1491="Отменено",$H1491&lt;&gt;"",$C1491&lt;TODAY()),"",$C1491)</f>
        <v/>
      </c>
      <c r="U1491">
        <f>IF(AND($D1491&lt;&gt;"Доход",COUNTIFS(Счета!$B$10:$B$21,$J1491,Счета!$C$10:$C$21,"Кредитная")&gt;0),1,0)</f>
        <v/>
      </c>
    </row>
    <row r="1492" ht="19" customHeight="1">
      <c r="B1492" s="53">
        <f>IF(AND($C1492="",$F1492=""),"",ROW()-9)</f>
        <v/>
      </c>
      <c r="C1492" s="213" t="n"/>
      <c r="D1492" s="55" t="n"/>
      <c r="E1492" s="55" t="n"/>
      <c r="F1492" s="56" t="n"/>
      <c r="G1492" s="196" t="n"/>
      <c r="H1492" s="196" t="n"/>
      <c r="I1492" s="55" t="n"/>
      <c r="J1492" s="55" t="n"/>
      <c r="K1492" s="55" t="n"/>
      <c r="L1492" s="100">
        <f>IF(OR($C1492="",$I1492="Оплачено",$I1492="Отменено",$H1492&lt;&gt;""),"",$C1492-TODAY())</f>
        <v/>
      </c>
      <c r="M1492" s="101">
        <f>IF($C1492="","",INDEX(Настройки!$V$6:$V$17,MONTH($C1492))&amp;" "&amp;YEAR($C1492))</f>
        <v/>
      </c>
      <c r="N1492" s="57">
        <f>IF($F1492="","",IF(COUNTIF(Постоянные!$C$8:$C$37,$F1492)&gt;0,"есть в Постоянных",IF(COUNTIF(Покупки!$C$7:$C$18,$F1492)&gt;0,"есть в Покупках","")))</f>
        <v/>
      </c>
      <c r="P1492">
        <f>IF($H1492&lt;&gt;"",$H1492,IF($I1492="Оплачено",N($G1492),0))</f>
        <v/>
      </c>
      <c r="Q1492">
        <f>IF($I1492="Отменено",0,IF($G1492&lt;&gt;"",$G1492,N($H1492)))</f>
        <v/>
      </c>
      <c r="R1492">
        <f>IF($C1492="","",IFERROR(DATE(Настройки!$C$8,Настройки!$D$9+MATCH($M1492,Настройки!$X$6:$X$17,0)-1,1),DATE(YEAR($C1492),MONTH($C1492),1)))</f>
        <v/>
      </c>
      <c r="S1492">
        <f>IF(OR($I1492="Оплачено",$H1492&lt;&gt;""),$P1492,$Q1492)</f>
        <v/>
      </c>
      <c r="T1492">
        <f>IF(OR($C1492="",$D1492="Доход",$I1492="Оплачено",$I1492="Отменено",$H1492&lt;&gt;"",$C1492&lt;TODAY()),"",$C1492)</f>
        <v/>
      </c>
      <c r="U1492">
        <f>IF(AND($D1492&lt;&gt;"Доход",COUNTIFS(Счета!$B$10:$B$21,$J1492,Счета!$C$10:$C$21,"Кредитная")&gt;0),1,0)</f>
        <v/>
      </c>
    </row>
    <row r="1493" ht="19" customHeight="1">
      <c r="B1493" s="53">
        <f>IF(AND($C1493="",$F1493=""),"",ROW()-9)</f>
        <v/>
      </c>
      <c r="C1493" s="213" t="n"/>
      <c r="D1493" s="55" t="n"/>
      <c r="E1493" s="55" t="n"/>
      <c r="F1493" s="56" t="n"/>
      <c r="G1493" s="196" t="n"/>
      <c r="H1493" s="196" t="n"/>
      <c r="I1493" s="55" t="n"/>
      <c r="J1493" s="55" t="n"/>
      <c r="K1493" s="55" t="n"/>
      <c r="L1493" s="100">
        <f>IF(OR($C1493="",$I1493="Оплачено",$I1493="Отменено",$H1493&lt;&gt;""),"",$C1493-TODAY())</f>
        <v/>
      </c>
      <c r="M1493" s="101">
        <f>IF($C1493="","",INDEX(Настройки!$V$6:$V$17,MONTH($C1493))&amp;" "&amp;YEAR($C1493))</f>
        <v/>
      </c>
      <c r="N1493" s="57">
        <f>IF($F1493="","",IF(COUNTIF(Постоянные!$C$8:$C$37,$F1493)&gt;0,"есть в Постоянных",IF(COUNTIF(Покупки!$C$7:$C$18,$F1493)&gt;0,"есть в Покупках","")))</f>
        <v/>
      </c>
      <c r="P1493">
        <f>IF($H1493&lt;&gt;"",$H1493,IF($I1493="Оплачено",N($G1493),0))</f>
        <v/>
      </c>
      <c r="Q1493">
        <f>IF($I1493="Отменено",0,IF($G1493&lt;&gt;"",$G1493,N($H1493)))</f>
        <v/>
      </c>
      <c r="R1493">
        <f>IF($C1493="","",IFERROR(DATE(Настройки!$C$8,Настройки!$D$9+MATCH($M1493,Настройки!$X$6:$X$17,0)-1,1),DATE(YEAR($C1493),MONTH($C1493),1)))</f>
        <v/>
      </c>
      <c r="S1493">
        <f>IF(OR($I1493="Оплачено",$H1493&lt;&gt;""),$P1493,$Q1493)</f>
        <v/>
      </c>
      <c r="T1493">
        <f>IF(OR($C1493="",$D1493="Доход",$I1493="Оплачено",$I1493="Отменено",$H1493&lt;&gt;"",$C1493&lt;TODAY()),"",$C1493)</f>
        <v/>
      </c>
      <c r="U1493">
        <f>IF(AND($D1493&lt;&gt;"Доход",COUNTIFS(Счета!$B$10:$B$21,$J1493,Счета!$C$10:$C$21,"Кредитная")&gt;0),1,0)</f>
        <v/>
      </c>
    </row>
    <row r="1494" ht="19" customHeight="1">
      <c r="B1494" s="53">
        <f>IF(AND($C1494="",$F1494=""),"",ROW()-9)</f>
        <v/>
      </c>
      <c r="C1494" s="213" t="n"/>
      <c r="D1494" s="55" t="n"/>
      <c r="E1494" s="55" t="n"/>
      <c r="F1494" s="56" t="n"/>
      <c r="G1494" s="196" t="n"/>
      <c r="H1494" s="196" t="n"/>
      <c r="I1494" s="55" t="n"/>
      <c r="J1494" s="55" t="n"/>
      <c r="K1494" s="55" t="n"/>
      <c r="L1494" s="100">
        <f>IF(OR($C1494="",$I1494="Оплачено",$I1494="Отменено",$H1494&lt;&gt;""),"",$C1494-TODAY())</f>
        <v/>
      </c>
      <c r="M1494" s="101">
        <f>IF($C1494="","",INDEX(Настройки!$V$6:$V$17,MONTH($C1494))&amp;" "&amp;YEAR($C1494))</f>
        <v/>
      </c>
      <c r="N1494" s="57">
        <f>IF($F1494="","",IF(COUNTIF(Постоянные!$C$8:$C$37,$F1494)&gt;0,"есть в Постоянных",IF(COUNTIF(Покупки!$C$7:$C$18,$F1494)&gt;0,"есть в Покупках","")))</f>
        <v/>
      </c>
      <c r="P1494">
        <f>IF($H1494&lt;&gt;"",$H1494,IF($I1494="Оплачено",N($G1494),0))</f>
        <v/>
      </c>
      <c r="Q1494">
        <f>IF($I1494="Отменено",0,IF($G1494&lt;&gt;"",$G1494,N($H1494)))</f>
        <v/>
      </c>
      <c r="R1494">
        <f>IF($C1494="","",IFERROR(DATE(Настройки!$C$8,Настройки!$D$9+MATCH($M1494,Настройки!$X$6:$X$17,0)-1,1),DATE(YEAR($C1494),MONTH($C1494),1)))</f>
        <v/>
      </c>
      <c r="S1494">
        <f>IF(OR($I1494="Оплачено",$H1494&lt;&gt;""),$P1494,$Q1494)</f>
        <v/>
      </c>
      <c r="T1494">
        <f>IF(OR($C1494="",$D1494="Доход",$I1494="Оплачено",$I1494="Отменено",$H1494&lt;&gt;"",$C1494&lt;TODAY()),"",$C1494)</f>
        <v/>
      </c>
      <c r="U1494">
        <f>IF(AND($D1494&lt;&gt;"Доход",COUNTIFS(Счета!$B$10:$B$21,$J1494,Счета!$C$10:$C$21,"Кредитная")&gt;0),1,0)</f>
        <v/>
      </c>
    </row>
    <row r="1495" ht="19" customHeight="1">
      <c r="B1495" s="53">
        <f>IF(AND($C1495="",$F1495=""),"",ROW()-9)</f>
        <v/>
      </c>
      <c r="C1495" s="213" t="n"/>
      <c r="D1495" s="55" t="n"/>
      <c r="E1495" s="55" t="n"/>
      <c r="F1495" s="56" t="n"/>
      <c r="G1495" s="196" t="n"/>
      <c r="H1495" s="196" t="n"/>
      <c r="I1495" s="55" t="n"/>
      <c r="J1495" s="55" t="n"/>
      <c r="K1495" s="55" t="n"/>
      <c r="L1495" s="100">
        <f>IF(OR($C1495="",$I1495="Оплачено",$I1495="Отменено",$H1495&lt;&gt;""),"",$C1495-TODAY())</f>
        <v/>
      </c>
      <c r="M1495" s="101">
        <f>IF($C1495="","",INDEX(Настройки!$V$6:$V$17,MONTH($C1495))&amp;" "&amp;YEAR($C1495))</f>
        <v/>
      </c>
      <c r="N1495" s="57">
        <f>IF($F1495="","",IF(COUNTIF(Постоянные!$C$8:$C$37,$F1495)&gt;0,"есть в Постоянных",IF(COUNTIF(Покупки!$C$7:$C$18,$F1495)&gt;0,"есть в Покупках","")))</f>
        <v/>
      </c>
      <c r="P1495">
        <f>IF($H1495&lt;&gt;"",$H1495,IF($I1495="Оплачено",N($G1495),0))</f>
        <v/>
      </c>
      <c r="Q1495">
        <f>IF($I1495="Отменено",0,IF($G1495&lt;&gt;"",$G1495,N($H1495)))</f>
        <v/>
      </c>
      <c r="R1495">
        <f>IF($C1495="","",IFERROR(DATE(Настройки!$C$8,Настройки!$D$9+MATCH($M1495,Настройки!$X$6:$X$17,0)-1,1),DATE(YEAR($C1495),MONTH($C1495),1)))</f>
        <v/>
      </c>
      <c r="S1495">
        <f>IF(OR($I1495="Оплачено",$H1495&lt;&gt;""),$P1495,$Q1495)</f>
        <v/>
      </c>
      <c r="T1495">
        <f>IF(OR($C1495="",$D1495="Доход",$I1495="Оплачено",$I1495="Отменено",$H1495&lt;&gt;"",$C1495&lt;TODAY()),"",$C1495)</f>
        <v/>
      </c>
      <c r="U1495">
        <f>IF(AND($D1495&lt;&gt;"Доход",COUNTIFS(Счета!$B$10:$B$21,$J1495,Счета!$C$10:$C$21,"Кредитная")&gt;0),1,0)</f>
        <v/>
      </c>
    </row>
    <row r="1496" ht="19" customHeight="1">
      <c r="B1496" s="53">
        <f>IF(AND($C1496="",$F1496=""),"",ROW()-9)</f>
        <v/>
      </c>
      <c r="C1496" s="213" t="n"/>
      <c r="D1496" s="55" t="n"/>
      <c r="E1496" s="55" t="n"/>
      <c r="F1496" s="56" t="n"/>
      <c r="G1496" s="196" t="n"/>
      <c r="H1496" s="196" t="n"/>
      <c r="I1496" s="55" t="n"/>
      <c r="J1496" s="55" t="n"/>
      <c r="K1496" s="55" t="n"/>
      <c r="L1496" s="100">
        <f>IF(OR($C1496="",$I1496="Оплачено",$I1496="Отменено",$H1496&lt;&gt;""),"",$C1496-TODAY())</f>
        <v/>
      </c>
      <c r="M1496" s="101">
        <f>IF($C1496="","",INDEX(Настройки!$V$6:$V$17,MONTH($C1496))&amp;" "&amp;YEAR($C1496))</f>
        <v/>
      </c>
      <c r="N1496" s="57">
        <f>IF($F1496="","",IF(COUNTIF(Постоянные!$C$8:$C$37,$F1496)&gt;0,"есть в Постоянных",IF(COUNTIF(Покупки!$C$7:$C$18,$F1496)&gt;0,"есть в Покупках","")))</f>
        <v/>
      </c>
      <c r="P1496">
        <f>IF($H1496&lt;&gt;"",$H1496,IF($I1496="Оплачено",N($G1496),0))</f>
        <v/>
      </c>
      <c r="Q1496">
        <f>IF($I1496="Отменено",0,IF($G1496&lt;&gt;"",$G1496,N($H1496)))</f>
        <v/>
      </c>
      <c r="R1496">
        <f>IF($C1496="","",IFERROR(DATE(Настройки!$C$8,Настройки!$D$9+MATCH($M1496,Настройки!$X$6:$X$17,0)-1,1),DATE(YEAR($C1496),MONTH($C1496),1)))</f>
        <v/>
      </c>
      <c r="S1496">
        <f>IF(OR($I1496="Оплачено",$H1496&lt;&gt;""),$P1496,$Q1496)</f>
        <v/>
      </c>
      <c r="T1496">
        <f>IF(OR($C1496="",$D1496="Доход",$I1496="Оплачено",$I1496="Отменено",$H1496&lt;&gt;"",$C1496&lt;TODAY()),"",$C1496)</f>
        <v/>
      </c>
      <c r="U1496">
        <f>IF(AND($D1496&lt;&gt;"Доход",COUNTIFS(Счета!$B$10:$B$21,$J1496,Счета!$C$10:$C$21,"Кредитная")&gt;0),1,0)</f>
        <v/>
      </c>
    </row>
    <row r="1497" ht="19" customHeight="1">
      <c r="B1497" s="53">
        <f>IF(AND($C1497="",$F1497=""),"",ROW()-9)</f>
        <v/>
      </c>
      <c r="C1497" s="213" t="n"/>
      <c r="D1497" s="55" t="n"/>
      <c r="E1497" s="55" t="n"/>
      <c r="F1497" s="56" t="n"/>
      <c r="G1497" s="196" t="n"/>
      <c r="H1497" s="196" t="n"/>
      <c r="I1497" s="55" t="n"/>
      <c r="J1497" s="55" t="n"/>
      <c r="K1497" s="55" t="n"/>
      <c r="L1497" s="100">
        <f>IF(OR($C1497="",$I1497="Оплачено",$I1497="Отменено",$H1497&lt;&gt;""),"",$C1497-TODAY())</f>
        <v/>
      </c>
      <c r="M1497" s="101">
        <f>IF($C1497="","",INDEX(Настройки!$V$6:$V$17,MONTH($C1497))&amp;" "&amp;YEAR($C1497))</f>
        <v/>
      </c>
      <c r="N1497" s="57">
        <f>IF($F1497="","",IF(COUNTIF(Постоянные!$C$8:$C$37,$F1497)&gt;0,"есть в Постоянных",IF(COUNTIF(Покупки!$C$7:$C$18,$F1497)&gt;0,"есть в Покупках","")))</f>
        <v/>
      </c>
      <c r="P1497">
        <f>IF($H1497&lt;&gt;"",$H1497,IF($I1497="Оплачено",N($G1497),0))</f>
        <v/>
      </c>
      <c r="Q1497">
        <f>IF($I1497="Отменено",0,IF($G1497&lt;&gt;"",$G1497,N($H1497)))</f>
        <v/>
      </c>
      <c r="R1497">
        <f>IF($C1497="","",IFERROR(DATE(Настройки!$C$8,Настройки!$D$9+MATCH($M1497,Настройки!$X$6:$X$17,0)-1,1),DATE(YEAR($C1497),MONTH($C1497),1)))</f>
        <v/>
      </c>
      <c r="S1497">
        <f>IF(OR($I1497="Оплачено",$H1497&lt;&gt;""),$P1497,$Q1497)</f>
        <v/>
      </c>
      <c r="T1497">
        <f>IF(OR($C1497="",$D1497="Доход",$I1497="Оплачено",$I1497="Отменено",$H1497&lt;&gt;"",$C1497&lt;TODAY()),"",$C1497)</f>
        <v/>
      </c>
      <c r="U1497">
        <f>IF(AND($D1497&lt;&gt;"Доход",COUNTIFS(Счета!$B$10:$B$21,$J1497,Счета!$C$10:$C$21,"Кредитная")&gt;0),1,0)</f>
        <v/>
      </c>
    </row>
    <row r="1498" ht="19" customHeight="1">
      <c r="B1498" s="53">
        <f>IF(AND($C1498="",$F1498=""),"",ROW()-9)</f>
        <v/>
      </c>
      <c r="C1498" s="213" t="n"/>
      <c r="D1498" s="55" t="n"/>
      <c r="E1498" s="55" t="n"/>
      <c r="F1498" s="56" t="n"/>
      <c r="G1498" s="196" t="n"/>
      <c r="H1498" s="196" t="n"/>
      <c r="I1498" s="55" t="n"/>
      <c r="J1498" s="55" t="n"/>
      <c r="K1498" s="55" t="n"/>
      <c r="L1498" s="100">
        <f>IF(OR($C1498="",$I1498="Оплачено",$I1498="Отменено",$H1498&lt;&gt;""),"",$C1498-TODAY())</f>
        <v/>
      </c>
      <c r="M1498" s="101">
        <f>IF($C1498="","",INDEX(Настройки!$V$6:$V$17,MONTH($C1498))&amp;" "&amp;YEAR($C1498))</f>
        <v/>
      </c>
      <c r="N1498" s="57">
        <f>IF($F1498="","",IF(COUNTIF(Постоянные!$C$8:$C$37,$F1498)&gt;0,"есть в Постоянных",IF(COUNTIF(Покупки!$C$7:$C$18,$F1498)&gt;0,"есть в Покупках","")))</f>
        <v/>
      </c>
      <c r="P1498">
        <f>IF($H1498&lt;&gt;"",$H1498,IF($I1498="Оплачено",N($G1498),0))</f>
        <v/>
      </c>
      <c r="Q1498">
        <f>IF($I1498="Отменено",0,IF($G1498&lt;&gt;"",$G1498,N($H1498)))</f>
        <v/>
      </c>
      <c r="R1498">
        <f>IF($C1498="","",IFERROR(DATE(Настройки!$C$8,Настройки!$D$9+MATCH($M1498,Настройки!$X$6:$X$17,0)-1,1),DATE(YEAR($C1498),MONTH($C1498),1)))</f>
        <v/>
      </c>
      <c r="S1498">
        <f>IF(OR($I1498="Оплачено",$H1498&lt;&gt;""),$P1498,$Q1498)</f>
        <v/>
      </c>
      <c r="T1498">
        <f>IF(OR($C1498="",$D1498="Доход",$I1498="Оплачено",$I1498="Отменено",$H1498&lt;&gt;"",$C1498&lt;TODAY()),"",$C1498)</f>
        <v/>
      </c>
      <c r="U1498">
        <f>IF(AND($D1498&lt;&gt;"Доход",COUNTIFS(Счета!$B$10:$B$21,$J1498,Счета!$C$10:$C$21,"Кредитная")&gt;0),1,0)</f>
        <v/>
      </c>
    </row>
    <row r="1499" ht="19" customHeight="1">
      <c r="B1499" s="53">
        <f>IF(AND($C1499="",$F1499=""),"",ROW()-9)</f>
        <v/>
      </c>
      <c r="C1499" s="213" t="n"/>
      <c r="D1499" s="55" t="n"/>
      <c r="E1499" s="55" t="n"/>
      <c r="F1499" s="56" t="n"/>
      <c r="G1499" s="196" t="n"/>
      <c r="H1499" s="196" t="n"/>
      <c r="I1499" s="55" t="n"/>
      <c r="J1499" s="55" t="n"/>
      <c r="K1499" s="55" t="n"/>
      <c r="L1499" s="100">
        <f>IF(OR($C1499="",$I1499="Оплачено",$I1499="Отменено",$H1499&lt;&gt;""),"",$C1499-TODAY())</f>
        <v/>
      </c>
      <c r="M1499" s="101">
        <f>IF($C1499="","",INDEX(Настройки!$V$6:$V$17,MONTH($C1499))&amp;" "&amp;YEAR($C1499))</f>
        <v/>
      </c>
      <c r="N1499" s="57">
        <f>IF($F1499="","",IF(COUNTIF(Постоянные!$C$8:$C$37,$F1499)&gt;0,"есть в Постоянных",IF(COUNTIF(Покупки!$C$7:$C$18,$F1499)&gt;0,"есть в Покупках","")))</f>
        <v/>
      </c>
      <c r="P1499">
        <f>IF($H1499&lt;&gt;"",$H1499,IF($I1499="Оплачено",N($G1499),0))</f>
        <v/>
      </c>
      <c r="Q1499">
        <f>IF($I1499="Отменено",0,IF($G1499&lt;&gt;"",$G1499,N($H1499)))</f>
        <v/>
      </c>
      <c r="R1499">
        <f>IF($C1499="","",IFERROR(DATE(Настройки!$C$8,Настройки!$D$9+MATCH($M1499,Настройки!$X$6:$X$17,0)-1,1),DATE(YEAR($C1499),MONTH($C1499),1)))</f>
        <v/>
      </c>
      <c r="S1499">
        <f>IF(OR($I1499="Оплачено",$H1499&lt;&gt;""),$P1499,$Q1499)</f>
        <v/>
      </c>
      <c r="T1499">
        <f>IF(OR($C1499="",$D1499="Доход",$I1499="Оплачено",$I1499="Отменено",$H1499&lt;&gt;"",$C1499&lt;TODAY()),"",$C1499)</f>
        <v/>
      </c>
      <c r="U1499">
        <f>IF(AND($D1499&lt;&gt;"Доход",COUNTIFS(Счета!$B$10:$B$21,$J1499,Счета!$C$10:$C$21,"Кредитная")&gt;0),1,0)</f>
        <v/>
      </c>
    </row>
    <row r="1500" ht="19" customHeight="1">
      <c r="B1500" s="53">
        <f>IF(AND($C1500="",$F1500=""),"",ROW()-9)</f>
        <v/>
      </c>
      <c r="C1500" s="213" t="n"/>
      <c r="D1500" s="55" t="n"/>
      <c r="E1500" s="55" t="n"/>
      <c r="F1500" s="56" t="n"/>
      <c r="G1500" s="196" t="n"/>
      <c r="H1500" s="196" t="n"/>
      <c r="I1500" s="55" t="n"/>
      <c r="J1500" s="55" t="n"/>
      <c r="K1500" s="55" t="n"/>
      <c r="L1500" s="100">
        <f>IF(OR($C1500="",$I1500="Оплачено",$I1500="Отменено",$H1500&lt;&gt;""),"",$C1500-TODAY())</f>
        <v/>
      </c>
      <c r="M1500" s="101">
        <f>IF($C1500="","",INDEX(Настройки!$V$6:$V$17,MONTH($C1500))&amp;" "&amp;YEAR($C1500))</f>
        <v/>
      </c>
      <c r="N1500" s="57">
        <f>IF($F1500="","",IF(COUNTIF(Постоянные!$C$8:$C$37,$F1500)&gt;0,"есть в Постоянных",IF(COUNTIF(Покупки!$C$7:$C$18,$F1500)&gt;0,"есть в Покупках","")))</f>
        <v/>
      </c>
      <c r="P1500">
        <f>IF($H1500&lt;&gt;"",$H1500,IF($I1500="Оплачено",N($G1500),0))</f>
        <v/>
      </c>
      <c r="Q1500">
        <f>IF($I1500="Отменено",0,IF($G1500&lt;&gt;"",$G1500,N($H1500)))</f>
        <v/>
      </c>
      <c r="R1500">
        <f>IF($C1500="","",IFERROR(DATE(Настройки!$C$8,Настройки!$D$9+MATCH($M1500,Настройки!$X$6:$X$17,0)-1,1),DATE(YEAR($C1500),MONTH($C1500),1)))</f>
        <v/>
      </c>
      <c r="S1500">
        <f>IF(OR($I1500="Оплачено",$H1500&lt;&gt;""),$P1500,$Q1500)</f>
        <v/>
      </c>
      <c r="T1500">
        <f>IF(OR($C1500="",$D1500="Доход",$I1500="Оплачено",$I1500="Отменено",$H1500&lt;&gt;"",$C1500&lt;TODAY()),"",$C1500)</f>
        <v/>
      </c>
      <c r="U1500">
        <f>IF(AND($D1500&lt;&gt;"Доход",COUNTIFS(Счета!$B$10:$B$21,$J1500,Счета!$C$10:$C$21,"Кредитная")&gt;0),1,0)</f>
        <v/>
      </c>
    </row>
    <row r="1501" ht="19" customHeight="1">
      <c r="B1501" s="53">
        <f>IF(AND($C1501="",$F1501=""),"",ROW()-9)</f>
        <v/>
      </c>
      <c r="C1501" s="213" t="n"/>
      <c r="D1501" s="55" t="n"/>
      <c r="E1501" s="55" t="n"/>
      <c r="F1501" s="56" t="n"/>
      <c r="G1501" s="196" t="n"/>
      <c r="H1501" s="196" t="n"/>
      <c r="I1501" s="55" t="n"/>
      <c r="J1501" s="55" t="n"/>
      <c r="K1501" s="55" t="n"/>
      <c r="L1501" s="100">
        <f>IF(OR($C1501="",$I1501="Оплачено",$I1501="Отменено",$H1501&lt;&gt;""),"",$C1501-TODAY())</f>
        <v/>
      </c>
      <c r="M1501" s="101">
        <f>IF($C1501="","",INDEX(Настройки!$V$6:$V$17,MONTH($C1501))&amp;" "&amp;YEAR($C1501))</f>
        <v/>
      </c>
      <c r="N1501" s="57">
        <f>IF($F1501="","",IF(COUNTIF(Постоянные!$C$8:$C$37,$F1501)&gt;0,"есть в Постоянных",IF(COUNTIF(Покупки!$C$7:$C$18,$F1501)&gt;0,"есть в Покупках","")))</f>
        <v/>
      </c>
      <c r="P1501">
        <f>IF($H1501&lt;&gt;"",$H1501,IF($I1501="Оплачено",N($G1501),0))</f>
        <v/>
      </c>
      <c r="Q1501">
        <f>IF($I1501="Отменено",0,IF($G1501&lt;&gt;"",$G1501,N($H1501)))</f>
        <v/>
      </c>
      <c r="R1501">
        <f>IF($C1501="","",IFERROR(DATE(Настройки!$C$8,Настройки!$D$9+MATCH($M1501,Настройки!$X$6:$X$17,0)-1,1),DATE(YEAR($C1501),MONTH($C1501),1)))</f>
        <v/>
      </c>
      <c r="S1501">
        <f>IF(OR($I1501="Оплачено",$H1501&lt;&gt;""),$P1501,$Q1501)</f>
        <v/>
      </c>
      <c r="T1501">
        <f>IF(OR($C1501="",$D1501="Доход",$I1501="Оплачено",$I1501="Отменено",$H1501&lt;&gt;"",$C1501&lt;TODAY()),"",$C1501)</f>
        <v/>
      </c>
      <c r="U1501">
        <f>IF(AND($D1501&lt;&gt;"Доход",COUNTIFS(Счета!$B$10:$B$21,$J1501,Счета!$C$10:$C$21,"Кредитная")&gt;0),1,0)</f>
        <v/>
      </c>
    </row>
    <row r="1502" ht="19" customHeight="1">
      <c r="B1502" s="53">
        <f>IF(AND($C1502="",$F1502=""),"",ROW()-9)</f>
        <v/>
      </c>
      <c r="C1502" s="213" t="n"/>
      <c r="D1502" s="55" t="n"/>
      <c r="E1502" s="55" t="n"/>
      <c r="F1502" s="56" t="n"/>
      <c r="G1502" s="196" t="n"/>
      <c r="H1502" s="196" t="n"/>
      <c r="I1502" s="55" t="n"/>
      <c r="J1502" s="55" t="n"/>
      <c r="K1502" s="55" t="n"/>
      <c r="L1502" s="100">
        <f>IF(OR($C1502="",$I1502="Оплачено",$I1502="Отменено",$H1502&lt;&gt;""),"",$C1502-TODAY())</f>
        <v/>
      </c>
      <c r="M1502" s="101">
        <f>IF($C1502="","",INDEX(Настройки!$V$6:$V$17,MONTH($C1502))&amp;" "&amp;YEAR($C1502))</f>
        <v/>
      </c>
      <c r="N1502" s="57">
        <f>IF($F1502="","",IF(COUNTIF(Постоянные!$C$8:$C$37,$F1502)&gt;0,"есть в Постоянных",IF(COUNTIF(Покупки!$C$7:$C$18,$F1502)&gt;0,"есть в Покупках","")))</f>
        <v/>
      </c>
      <c r="P1502">
        <f>IF($H1502&lt;&gt;"",$H1502,IF($I1502="Оплачено",N($G1502),0))</f>
        <v/>
      </c>
      <c r="Q1502">
        <f>IF($I1502="Отменено",0,IF($G1502&lt;&gt;"",$G1502,N($H1502)))</f>
        <v/>
      </c>
      <c r="R1502">
        <f>IF($C1502="","",IFERROR(DATE(Настройки!$C$8,Настройки!$D$9+MATCH($M1502,Настройки!$X$6:$X$17,0)-1,1),DATE(YEAR($C1502),MONTH($C1502),1)))</f>
        <v/>
      </c>
      <c r="S1502">
        <f>IF(OR($I1502="Оплачено",$H1502&lt;&gt;""),$P1502,$Q1502)</f>
        <v/>
      </c>
      <c r="T1502">
        <f>IF(OR($C1502="",$D1502="Доход",$I1502="Оплачено",$I1502="Отменено",$H1502&lt;&gt;"",$C1502&lt;TODAY()),"",$C1502)</f>
        <v/>
      </c>
      <c r="U1502">
        <f>IF(AND($D1502&lt;&gt;"Доход",COUNTIFS(Счета!$B$10:$B$21,$J1502,Счета!$C$10:$C$21,"Кредитная")&gt;0),1,0)</f>
        <v/>
      </c>
    </row>
    <row r="1503" ht="19" customHeight="1">
      <c r="B1503" s="53">
        <f>IF(AND($C1503="",$F1503=""),"",ROW()-9)</f>
        <v/>
      </c>
      <c r="C1503" s="213" t="n"/>
      <c r="D1503" s="55" t="n"/>
      <c r="E1503" s="55" t="n"/>
      <c r="F1503" s="56" t="n"/>
      <c r="G1503" s="196" t="n"/>
      <c r="H1503" s="196" t="n"/>
      <c r="I1503" s="55" t="n"/>
      <c r="J1503" s="55" t="n"/>
      <c r="K1503" s="55" t="n"/>
      <c r="L1503" s="100">
        <f>IF(OR($C1503="",$I1503="Оплачено",$I1503="Отменено",$H1503&lt;&gt;""),"",$C1503-TODAY())</f>
        <v/>
      </c>
      <c r="M1503" s="101">
        <f>IF($C1503="","",INDEX(Настройки!$V$6:$V$17,MONTH($C1503))&amp;" "&amp;YEAR($C1503))</f>
        <v/>
      </c>
      <c r="N1503" s="57">
        <f>IF($F1503="","",IF(COUNTIF(Постоянные!$C$8:$C$37,$F1503)&gt;0,"есть в Постоянных",IF(COUNTIF(Покупки!$C$7:$C$18,$F1503)&gt;0,"есть в Покупках","")))</f>
        <v/>
      </c>
      <c r="P1503">
        <f>IF($H1503&lt;&gt;"",$H1503,IF($I1503="Оплачено",N($G1503),0))</f>
        <v/>
      </c>
      <c r="Q1503">
        <f>IF($I1503="Отменено",0,IF($G1503&lt;&gt;"",$G1503,N($H1503)))</f>
        <v/>
      </c>
      <c r="R1503">
        <f>IF($C1503="","",IFERROR(DATE(Настройки!$C$8,Настройки!$D$9+MATCH($M1503,Настройки!$X$6:$X$17,0)-1,1),DATE(YEAR($C1503),MONTH($C1503),1)))</f>
        <v/>
      </c>
      <c r="S1503">
        <f>IF(OR($I1503="Оплачено",$H1503&lt;&gt;""),$P1503,$Q1503)</f>
        <v/>
      </c>
      <c r="T1503">
        <f>IF(OR($C1503="",$D1503="Доход",$I1503="Оплачено",$I1503="Отменено",$H1503&lt;&gt;"",$C1503&lt;TODAY()),"",$C1503)</f>
        <v/>
      </c>
      <c r="U1503">
        <f>IF(AND($D1503&lt;&gt;"Доход",COUNTIFS(Счета!$B$10:$B$21,$J1503,Счета!$C$10:$C$21,"Кредитная")&gt;0),1,0)</f>
        <v/>
      </c>
    </row>
    <row r="1504" ht="19" customHeight="1">
      <c r="B1504" s="53">
        <f>IF(AND($C1504="",$F1504=""),"",ROW()-9)</f>
        <v/>
      </c>
      <c r="C1504" s="213" t="n"/>
      <c r="D1504" s="55" t="n"/>
      <c r="E1504" s="55" t="n"/>
      <c r="F1504" s="56" t="n"/>
      <c r="G1504" s="196" t="n"/>
      <c r="H1504" s="196" t="n"/>
      <c r="I1504" s="55" t="n"/>
      <c r="J1504" s="55" t="n"/>
      <c r="K1504" s="55" t="n"/>
      <c r="L1504" s="100">
        <f>IF(OR($C1504="",$I1504="Оплачено",$I1504="Отменено",$H1504&lt;&gt;""),"",$C1504-TODAY())</f>
        <v/>
      </c>
      <c r="M1504" s="101">
        <f>IF($C1504="","",INDEX(Настройки!$V$6:$V$17,MONTH($C1504))&amp;" "&amp;YEAR($C1504))</f>
        <v/>
      </c>
      <c r="N1504" s="57">
        <f>IF($F1504="","",IF(COUNTIF(Постоянные!$C$8:$C$37,$F1504)&gt;0,"есть в Постоянных",IF(COUNTIF(Покупки!$C$7:$C$18,$F1504)&gt;0,"есть в Покупках","")))</f>
        <v/>
      </c>
      <c r="P1504">
        <f>IF($H1504&lt;&gt;"",$H1504,IF($I1504="Оплачено",N($G1504),0))</f>
        <v/>
      </c>
      <c r="Q1504">
        <f>IF($I1504="Отменено",0,IF($G1504&lt;&gt;"",$G1504,N($H1504)))</f>
        <v/>
      </c>
      <c r="R1504">
        <f>IF($C1504="","",IFERROR(DATE(Настройки!$C$8,Настройки!$D$9+MATCH($M1504,Настройки!$X$6:$X$17,0)-1,1),DATE(YEAR($C1504),MONTH($C1504),1)))</f>
        <v/>
      </c>
      <c r="S1504">
        <f>IF(OR($I1504="Оплачено",$H1504&lt;&gt;""),$P1504,$Q1504)</f>
        <v/>
      </c>
      <c r="T1504">
        <f>IF(OR($C1504="",$D1504="Доход",$I1504="Оплачено",$I1504="Отменено",$H1504&lt;&gt;"",$C1504&lt;TODAY()),"",$C1504)</f>
        <v/>
      </c>
      <c r="U1504">
        <f>IF(AND($D1504&lt;&gt;"Доход",COUNTIFS(Счета!$B$10:$B$21,$J1504,Счета!$C$10:$C$21,"Кредитная")&gt;0),1,0)</f>
        <v/>
      </c>
    </row>
    <row r="1505" ht="19" customHeight="1">
      <c r="B1505" s="53">
        <f>IF(AND($C1505="",$F1505=""),"",ROW()-9)</f>
        <v/>
      </c>
      <c r="C1505" s="213" t="n"/>
      <c r="D1505" s="55" t="n"/>
      <c r="E1505" s="55" t="n"/>
      <c r="F1505" s="56" t="n"/>
      <c r="G1505" s="196" t="n"/>
      <c r="H1505" s="196" t="n"/>
      <c r="I1505" s="55" t="n"/>
      <c r="J1505" s="55" t="n"/>
      <c r="K1505" s="55" t="n"/>
      <c r="L1505" s="100">
        <f>IF(OR($C1505="",$I1505="Оплачено",$I1505="Отменено",$H1505&lt;&gt;""),"",$C1505-TODAY())</f>
        <v/>
      </c>
      <c r="M1505" s="101">
        <f>IF($C1505="","",INDEX(Настройки!$V$6:$V$17,MONTH($C1505))&amp;" "&amp;YEAR($C1505))</f>
        <v/>
      </c>
      <c r="N1505" s="57">
        <f>IF($F1505="","",IF(COUNTIF(Постоянные!$C$8:$C$37,$F1505)&gt;0,"есть в Постоянных",IF(COUNTIF(Покупки!$C$7:$C$18,$F1505)&gt;0,"есть в Покупках","")))</f>
        <v/>
      </c>
      <c r="P1505">
        <f>IF($H1505&lt;&gt;"",$H1505,IF($I1505="Оплачено",N($G1505),0))</f>
        <v/>
      </c>
      <c r="Q1505">
        <f>IF($I1505="Отменено",0,IF($G1505&lt;&gt;"",$G1505,N($H1505)))</f>
        <v/>
      </c>
      <c r="R1505">
        <f>IF($C1505="","",IFERROR(DATE(Настройки!$C$8,Настройки!$D$9+MATCH($M1505,Настройки!$X$6:$X$17,0)-1,1),DATE(YEAR($C1505),MONTH($C1505),1)))</f>
        <v/>
      </c>
      <c r="S1505">
        <f>IF(OR($I1505="Оплачено",$H1505&lt;&gt;""),$P1505,$Q1505)</f>
        <v/>
      </c>
      <c r="T1505">
        <f>IF(OR($C1505="",$D1505="Доход",$I1505="Оплачено",$I1505="Отменено",$H1505&lt;&gt;"",$C1505&lt;TODAY()),"",$C1505)</f>
        <v/>
      </c>
      <c r="U1505">
        <f>IF(AND($D1505&lt;&gt;"Доход",COUNTIFS(Счета!$B$10:$B$21,$J1505,Счета!$C$10:$C$21,"Кредитная")&gt;0),1,0)</f>
        <v/>
      </c>
    </row>
    <row r="1506" ht="19" customHeight="1">
      <c r="B1506" s="53">
        <f>IF(AND($C1506="",$F1506=""),"",ROW()-9)</f>
        <v/>
      </c>
      <c r="C1506" s="213" t="n"/>
      <c r="D1506" s="55" t="n"/>
      <c r="E1506" s="55" t="n"/>
      <c r="F1506" s="56" t="n"/>
      <c r="G1506" s="196" t="n"/>
      <c r="H1506" s="196" t="n"/>
      <c r="I1506" s="55" t="n"/>
      <c r="J1506" s="55" t="n"/>
      <c r="K1506" s="55" t="n"/>
      <c r="L1506" s="100">
        <f>IF(OR($C1506="",$I1506="Оплачено",$I1506="Отменено",$H1506&lt;&gt;""),"",$C1506-TODAY())</f>
        <v/>
      </c>
      <c r="M1506" s="101">
        <f>IF($C1506="","",INDEX(Настройки!$V$6:$V$17,MONTH($C1506))&amp;" "&amp;YEAR($C1506))</f>
        <v/>
      </c>
      <c r="N1506" s="57">
        <f>IF($F1506="","",IF(COUNTIF(Постоянные!$C$8:$C$37,$F1506)&gt;0,"есть в Постоянных",IF(COUNTIF(Покупки!$C$7:$C$18,$F1506)&gt;0,"есть в Покупках","")))</f>
        <v/>
      </c>
      <c r="P1506">
        <f>IF($H1506&lt;&gt;"",$H1506,IF($I1506="Оплачено",N($G1506),0))</f>
        <v/>
      </c>
      <c r="Q1506">
        <f>IF($I1506="Отменено",0,IF($G1506&lt;&gt;"",$G1506,N($H1506)))</f>
        <v/>
      </c>
      <c r="R1506">
        <f>IF($C1506="","",IFERROR(DATE(Настройки!$C$8,Настройки!$D$9+MATCH($M1506,Настройки!$X$6:$X$17,0)-1,1),DATE(YEAR($C1506),MONTH($C1506),1)))</f>
        <v/>
      </c>
      <c r="S1506">
        <f>IF(OR($I1506="Оплачено",$H1506&lt;&gt;""),$P1506,$Q1506)</f>
        <v/>
      </c>
      <c r="T1506">
        <f>IF(OR($C1506="",$D1506="Доход",$I1506="Оплачено",$I1506="Отменено",$H1506&lt;&gt;"",$C1506&lt;TODAY()),"",$C1506)</f>
        <v/>
      </c>
      <c r="U1506">
        <f>IF(AND($D1506&lt;&gt;"Доход",COUNTIFS(Счета!$B$10:$B$21,$J1506,Счета!$C$10:$C$21,"Кредитная")&gt;0),1,0)</f>
        <v/>
      </c>
    </row>
    <row r="1507" ht="19" customHeight="1">
      <c r="B1507" s="53">
        <f>IF(AND($C1507="",$F1507=""),"",ROW()-9)</f>
        <v/>
      </c>
      <c r="C1507" s="213" t="n"/>
      <c r="D1507" s="55" t="n"/>
      <c r="E1507" s="55" t="n"/>
      <c r="F1507" s="56" t="n"/>
      <c r="G1507" s="196" t="n"/>
      <c r="H1507" s="196" t="n"/>
      <c r="I1507" s="55" t="n"/>
      <c r="J1507" s="55" t="n"/>
      <c r="K1507" s="55" t="n"/>
      <c r="L1507" s="100">
        <f>IF(OR($C1507="",$I1507="Оплачено",$I1507="Отменено",$H1507&lt;&gt;""),"",$C1507-TODAY())</f>
        <v/>
      </c>
      <c r="M1507" s="101">
        <f>IF($C1507="","",INDEX(Настройки!$V$6:$V$17,MONTH($C1507))&amp;" "&amp;YEAR($C1507))</f>
        <v/>
      </c>
      <c r="N1507" s="57">
        <f>IF($F1507="","",IF(COUNTIF(Постоянные!$C$8:$C$37,$F1507)&gt;0,"есть в Постоянных",IF(COUNTIF(Покупки!$C$7:$C$18,$F1507)&gt;0,"есть в Покупках","")))</f>
        <v/>
      </c>
      <c r="P1507">
        <f>IF($H1507&lt;&gt;"",$H1507,IF($I1507="Оплачено",N($G1507),0))</f>
        <v/>
      </c>
      <c r="Q1507">
        <f>IF($I1507="Отменено",0,IF($G1507&lt;&gt;"",$G1507,N($H1507)))</f>
        <v/>
      </c>
      <c r="R1507">
        <f>IF($C1507="","",IFERROR(DATE(Настройки!$C$8,Настройки!$D$9+MATCH($M1507,Настройки!$X$6:$X$17,0)-1,1),DATE(YEAR($C1507),MONTH($C1507),1)))</f>
        <v/>
      </c>
      <c r="S1507">
        <f>IF(OR($I1507="Оплачено",$H1507&lt;&gt;""),$P1507,$Q1507)</f>
        <v/>
      </c>
      <c r="T1507">
        <f>IF(OR($C1507="",$D1507="Доход",$I1507="Оплачено",$I1507="Отменено",$H1507&lt;&gt;"",$C1507&lt;TODAY()),"",$C1507)</f>
        <v/>
      </c>
      <c r="U1507">
        <f>IF(AND($D1507&lt;&gt;"Доход",COUNTIFS(Счета!$B$10:$B$21,$J1507,Счета!$C$10:$C$21,"Кредитная")&gt;0),1,0)</f>
        <v/>
      </c>
    </row>
    <row r="1508" ht="19" customHeight="1">
      <c r="B1508" s="53">
        <f>IF(AND($C1508="",$F1508=""),"",ROW()-9)</f>
        <v/>
      </c>
      <c r="C1508" s="213" t="n"/>
      <c r="D1508" s="55" t="n"/>
      <c r="E1508" s="55" t="n"/>
      <c r="F1508" s="56" t="n"/>
      <c r="G1508" s="196" t="n"/>
      <c r="H1508" s="196" t="n"/>
      <c r="I1508" s="55" t="n"/>
      <c r="J1508" s="55" t="n"/>
      <c r="K1508" s="55" t="n"/>
      <c r="L1508" s="100">
        <f>IF(OR($C1508="",$I1508="Оплачено",$I1508="Отменено",$H1508&lt;&gt;""),"",$C1508-TODAY())</f>
        <v/>
      </c>
      <c r="M1508" s="101">
        <f>IF($C1508="","",INDEX(Настройки!$V$6:$V$17,MONTH($C1508))&amp;" "&amp;YEAR($C1508))</f>
        <v/>
      </c>
      <c r="N1508" s="57">
        <f>IF($F1508="","",IF(COUNTIF(Постоянные!$C$8:$C$37,$F1508)&gt;0,"есть в Постоянных",IF(COUNTIF(Покупки!$C$7:$C$18,$F1508)&gt;0,"есть в Покупках","")))</f>
        <v/>
      </c>
      <c r="P1508">
        <f>IF($H1508&lt;&gt;"",$H1508,IF($I1508="Оплачено",N($G1508),0))</f>
        <v/>
      </c>
      <c r="Q1508">
        <f>IF($I1508="Отменено",0,IF($G1508&lt;&gt;"",$G1508,N($H1508)))</f>
        <v/>
      </c>
      <c r="R1508">
        <f>IF($C1508="","",IFERROR(DATE(Настройки!$C$8,Настройки!$D$9+MATCH($M1508,Настройки!$X$6:$X$17,0)-1,1),DATE(YEAR($C1508),MONTH($C1508),1)))</f>
        <v/>
      </c>
      <c r="S1508">
        <f>IF(OR($I1508="Оплачено",$H1508&lt;&gt;""),$P1508,$Q1508)</f>
        <v/>
      </c>
      <c r="T1508">
        <f>IF(OR($C1508="",$D1508="Доход",$I1508="Оплачено",$I1508="Отменено",$H1508&lt;&gt;"",$C1508&lt;TODAY()),"",$C1508)</f>
        <v/>
      </c>
      <c r="U1508">
        <f>IF(AND($D1508&lt;&gt;"Доход",COUNTIFS(Счета!$B$10:$B$21,$J1508,Счета!$C$10:$C$21,"Кредитная")&gt;0),1,0)</f>
        <v/>
      </c>
    </row>
    <row r="1509" ht="19" customHeight="1">
      <c r="B1509" s="53">
        <f>IF(AND($C1509="",$F1509=""),"",ROW()-9)</f>
        <v/>
      </c>
      <c r="C1509" s="213" t="n"/>
      <c r="D1509" s="55" t="n"/>
      <c r="E1509" s="55" t="n"/>
      <c r="F1509" s="56" t="n"/>
      <c r="G1509" s="196" t="n"/>
      <c r="H1509" s="196" t="n"/>
      <c r="I1509" s="55" t="n"/>
      <c r="J1509" s="55" t="n"/>
      <c r="K1509" s="55" t="n"/>
      <c r="L1509" s="100">
        <f>IF(OR($C1509="",$I1509="Оплачено",$I1509="Отменено",$H1509&lt;&gt;""),"",$C1509-TODAY())</f>
        <v/>
      </c>
      <c r="M1509" s="101">
        <f>IF($C1509="","",INDEX(Настройки!$V$6:$V$17,MONTH($C1509))&amp;" "&amp;YEAR($C1509))</f>
        <v/>
      </c>
      <c r="N1509" s="57">
        <f>IF($F1509="","",IF(COUNTIF(Постоянные!$C$8:$C$37,$F1509)&gt;0,"есть в Постоянных",IF(COUNTIF(Покупки!$C$7:$C$18,$F1509)&gt;0,"есть в Покупках","")))</f>
        <v/>
      </c>
      <c r="P1509">
        <f>IF($H1509&lt;&gt;"",$H1509,IF($I1509="Оплачено",N($G1509),0))</f>
        <v/>
      </c>
      <c r="Q1509">
        <f>IF($I1509="Отменено",0,IF($G1509&lt;&gt;"",$G1509,N($H1509)))</f>
        <v/>
      </c>
      <c r="R1509">
        <f>IF($C1509="","",IFERROR(DATE(Настройки!$C$8,Настройки!$D$9+MATCH($M1509,Настройки!$X$6:$X$17,0)-1,1),DATE(YEAR($C1509),MONTH($C1509),1)))</f>
        <v/>
      </c>
      <c r="S1509">
        <f>IF(OR($I1509="Оплачено",$H1509&lt;&gt;""),$P1509,$Q1509)</f>
        <v/>
      </c>
      <c r="T1509">
        <f>IF(OR($C1509="",$D1509="Доход",$I1509="Оплачено",$I1509="Отменено",$H1509&lt;&gt;"",$C1509&lt;TODAY()),"",$C1509)</f>
        <v/>
      </c>
      <c r="U1509">
        <f>IF(AND($D1509&lt;&gt;"Доход",COUNTIFS(Счета!$B$10:$B$21,$J1509,Счета!$C$10:$C$21,"Кредитная")&gt;0),1,0)</f>
        <v/>
      </c>
    </row>
    <row r="1511">
      <c r="C1511" s="50" t="inlineStr">
        <is>
          <t>Факт: вписанная «Сумма факт», а если её нет и статус «Оплачено» — сумма план. «Отменено» убирает трату из плана. Возврат денег — отрицательная сумма факт. «Месяц учёта» — в какой месяц статистики идёт строка (зарплата в конце месяца → следующий).</t>
        </is>
      </c>
    </row>
  </sheetData>
  <autoFilter ref="B9:N1509"/>
  <mergeCells count="13">
    <mergeCell ref="C6:D6"/>
    <mergeCell ref="I6:J6"/>
    <mergeCell ref="M6:N6"/>
    <mergeCell ref="C1511:N1511"/>
    <mergeCell ref="C5:D5"/>
    <mergeCell ref="G5:H5"/>
    <mergeCell ref="K5:L5"/>
    <mergeCell ref="I5:J5"/>
    <mergeCell ref="M5:N5"/>
    <mergeCell ref="G6:H6"/>
    <mergeCell ref="K6:L6"/>
    <mergeCell ref="B3:N3"/>
    <mergeCell ref="B2:N2"/>
  </mergeCells>
  <conditionalFormatting sqref="C10:M1509">
    <cfRule type="expression" priority="1" dxfId="3">
      <formula>AND($C10&gt;0,$C10&lt;TODAY(),$I10&lt;&gt;"Оплачено",$I10&lt;&gt;"Отменено",$H10="",$D10&lt;&gt;"Доход")</formula>
    </cfRule>
    <cfRule type="expression" priority="2" dxfId="4">
      <formula>AND($C10&gt;0,$C10-TODAY()&gt;=0,$C10-TODAY()&lt;=7,$I10&lt;&gt;"Оплачено",$I10&lt;&gt;"Отменено",$H10="")</formula>
    </cfRule>
    <cfRule type="expression" priority="3" dxfId="6">
      <formula>OR($I10="Оплачено",$H10&lt;&gt;"")</formula>
    </cfRule>
  </conditionalFormatting>
  <conditionalFormatting sqref="F10:F1509">
    <cfRule type="expression" priority="4" dxfId="7">
      <formula>$I10="Отменено"</formula>
    </cfRule>
  </conditionalFormatting>
  <conditionalFormatting sqref="G10:H1509">
    <cfRule type="expression" priority="5" dxfId="1">
      <formula>$U10=1</formula>
    </cfRule>
    <cfRule type="expression" priority="6" dxfId="2">
      <formula>$D10="Доход"</formula>
    </cfRule>
  </conditionalFormatting>
  <conditionalFormatting sqref="M10:M1509">
    <cfRule type="expression" priority="7" dxfId="8">
      <formula>AND($C10&lt;&gt;"",$R10&lt;&gt;DATE(YEAR($C10),MONTH($C10),1))</formula>
    </cfRule>
  </conditionalFormatting>
  <conditionalFormatting sqref="N10:N1509">
    <cfRule type="expression" priority="8" dxfId="4">
      <formula>$N10&lt;&gt;""</formula>
    </cfRule>
  </conditionalFormatting>
  <dataValidations count="6">
    <dataValidation sqref="D10:D1509" showDropDown="0" showInputMessage="0" showErrorMessage="0" allowBlank="1" type="list">
      <formula1>"Расход,Доход"</formula1>
    </dataValidation>
    <dataValidation sqref="E10:E1509" showDropDown="0" showInputMessage="0" showErrorMessage="0" allowBlank="1" type="list">
      <formula1>IF($D10="Доход",Доходы_список,Расходы_список)</formula1>
    </dataValidation>
    <dataValidation sqref="I10:I1509" showDropDown="0" showInputMessage="0" showErrorMessage="0" allowBlank="1" type="list">
      <formula1>Настройки!$P$6:$P$9</formula1>
    </dataValidation>
    <dataValidation sqref="J10:J1509" showDropDown="0" showInputMessage="0" showErrorMessage="0" allowBlank="1" type="list">
      <formula1>Счета_список</formula1>
    </dataValidation>
    <dataValidation sqref="K10:K1509" showDropDown="0" showInputMessage="0" showErrorMessage="0" allowBlank="1" type="list">
      <formula1>Настройки!$R$6:$R$8</formula1>
    </dataValidation>
    <dataValidation sqref="M10:M1509" showDropDown="0" showInputMessage="0" showErrorMessage="0" allowBlank="1" type="list">
      <formula1>Настройки!$X$6:$X$17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46E5"/>
    <outlinePr summaryBelow="1" summaryRight="1"/>
    <pageSetUpPr/>
  </sheetPr>
  <dimension ref="B2:AJ367"/>
  <sheetViews>
    <sheetView showGridLines="0" zoomScale="10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9" customWidth="1" min="4" max="4"/>
    <col width="20" customWidth="1" min="5" max="5"/>
    <col width="7" customWidth="1" min="6" max="6"/>
    <col width="12" customWidth="1" min="7" max="7"/>
    <col width="8" customWidth="1" min="8" max="8"/>
    <col width="11" customWidth="1" min="9" max="9"/>
    <col width="11" customWidth="1" min="10" max="10"/>
    <col width="21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2.5" customWidth="1" min="24" max="24"/>
    <col width="11" customWidth="1" min="25" max="25"/>
    <col width="8" customWidth="1" min="26" max="26"/>
    <col width="16" customWidth="1" min="27" max="27"/>
    <col width="10" customWidth="1" min="28" max="28"/>
    <col width="10" customWidth="1" min="29" max="29"/>
    <col width="11" customWidth="1" min="30" max="30"/>
    <col width="16" customWidth="1" min="31" max="31"/>
    <col width="2.5" customWidth="1" min="32" max="32"/>
    <col width="11" customWidth="1" min="33" max="33"/>
    <col width="8" customWidth="1" min="34" max="34"/>
    <col width="16" customWidth="1" min="35" max="35"/>
    <col width="10" customWidth="1" min="36" max="36"/>
  </cols>
  <sheetData>
    <row r="1" ht="6" customHeight="1"/>
    <row r="2" ht="34" customHeight="1">
      <c r="B2" s="1" t="inlineStr">
        <is>
          <t>Постоянные платежи и доходы</t>
        </is>
      </c>
    </row>
    <row r="3" ht="20" customHeight="1">
      <c r="B3" s="3" t="inlineStr">
        <is>
          <t>Вводишь один раз. Заплатила — ✓ в клетке месяца; другая сумма — впиши число</t>
        </is>
      </c>
    </row>
    <row r="4">
      <c r="B4" s="7" t="inlineStr">
        <is>
          <t>✓ — оплачено по плану · число — оплачено столько · пусто — ещё нет. Серые клетки — месяцы без списания. «Раз в N мес.»: пусто — каждый месяц, 3 — раз в квартал (с месяца «Действует с»).</t>
        </is>
      </c>
    </row>
    <row r="5">
      <c r="Y5" s="102" t="inlineStr">
        <is>
          <t>Развёртка на учётный год — считается сама</t>
        </is>
      </c>
      <c r="AG5" s="102" t="inlineStr">
        <is>
          <t>Развёртка на прогноз</t>
        </is>
      </c>
    </row>
    <row r="6" hidden="1">
      <c r="L6" s="212">
        <f>DATE(Настройки!$C$8,Настройки!$D$9+0,1)</f>
        <v/>
      </c>
      <c r="M6" s="212">
        <f>DATE(Настройки!$C$8,Настройки!$D$9+1,1)</f>
        <v/>
      </c>
      <c r="N6" s="212">
        <f>DATE(Настройки!$C$8,Настройки!$D$9+2,1)</f>
        <v/>
      </c>
      <c r="O6" s="212">
        <f>DATE(Настройки!$C$8,Настройки!$D$9+3,1)</f>
        <v/>
      </c>
      <c r="P6" s="212">
        <f>DATE(Настройки!$C$8,Настройки!$D$9+4,1)</f>
        <v/>
      </c>
      <c r="Q6" s="212">
        <f>DATE(Настройки!$C$8,Настройки!$D$9+5,1)</f>
        <v/>
      </c>
      <c r="R6" s="212">
        <f>DATE(Настройки!$C$8,Настройки!$D$9+6,1)</f>
        <v/>
      </c>
      <c r="S6" s="212">
        <f>DATE(Настройки!$C$8,Настройки!$D$9+7,1)</f>
        <v/>
      </c>
      <c r="T6" s="212">
        <f>DATE(Настройки!$C$8,Настройки!$D$9+8,1)</f>
        <v/>
      </c>
      <c r="U6" s="212">
        <f>DATE(Настройки!$C$8,Настройки!$D$9+9,1)</f>
        <v/>
      </c>
      <c r="V6" s="212">
        <f>DATE(Настройки!$C$8,Настройки!$D$9+10,1)</f>
        <v/>
      </c>
      <c r="W6" s="212">
        <f>DATE(Настройки!$C$8,Настройки!$D$9+11,1)</f>
        <v/>
      </c>
    </row>
    <row r="7" ht="34" customHeight="1">
      <c r="B7" s="103" t="inlineStr">
        <is>
          <t>№</t>
        </is>
      </c>
      <c r="C7" s="52" t="inlineStr">
        <is>
          <t>Что</t>
        </is>
      </c>
      <c r="D7" s="52" t="inlineStr">
        <is>
          <t>Тип</t>
        </is>
      </c>
      <c r="E7" s="52" t="inlineStr">
        <is>
          <t>Категория</t>
        </is>
      </c>
      <c r="F7" s="52" t="inlineStr">
        <is>
          <t>День</t>
        </is>
      </c>
      <c r="G7" s="52" t="inlineStr">
        <is>
          <t>Сумма</t>
        </is>
      </c>
      <c r="H7" s="52" t="inlineStr">
        <is>
          <t>Раз в
N мес.</t>
        </is>
      </c>
      <c r="I7" s="52" t="inlineStr">
        <is>
          <t>Действует с</t>
        </is>
      </c>
      <c r="J7" s="52" t="inlineStr">
        <is>
          <t>по</t>
        </is>
      </c>
      <c r="K7" s="52" t="inlineStr">
        <is>
          <t>Счёт</t>
        </is>
      </c>
      <c r="L7" s="104">
        <f>Настройки!$X$6</f>
        <v/>
      </c>
      <c r="M7" s="104">
        <f>Настройки!$X$7</f>
        <v/>
      </c>
      <c r="N7" s="104">
        <f>Настройки!$X$8</f>
        <v/>
      </c>
      <c r="O7" s="104">
        <f>Настройки!$X$9</f>
        <v/>
      </c>
      <c r="P7" s="104">
        <f>Настройки!$X$10</f>
        <v/>
      </c>
      <c r="Q7" s="104">
        <f>Настройки!$X$11</f>
        <v/>
      </c>
      <c r="R7" s="104">
        <f>Настройки!$X$12</f>
        <v/>
      </c>
      <c r="S7" s="104">
        <f>Настройки!$X$13</f>
        <v/>
      </c>
      <c r="T7" s="104">
        <f>Настройки!$X$14</f>
        <v/>
      </c>
      <c r="U7" s="104">
        <f>Настройки!$X$15</f>
        <v/>
      </c>
      <c r="V7" s="104">
        <f>Настройки!$X$16</f>
        <v/>
      </c>
      <c r="W7" s="104">
        <f>Настройки!$X$17</f>
        <v/>
      </c>
      <c r="Y7" s="105" t="inlineStr">
        <is>
          <t>Дата</t>
        </is>
      </c>
      <c r="Z7" s="105" t="inlineStr">
        <is>
          <t>Тип</t>
        </is>
      </c>
      <c r="AA7" s="105" t="inlineStr">
        <is>
          <t>Категория</t>
        </is>
      </c>
      <c r="AB7" s="105" t="inlineStr">
        <is>
          <t>План</t>
        </is>
      </c>
      <c r="AC7" s="105" t="inlineStr">
        <is>
          <t>Факт</t>
        </is>
      </c>
      <c r="AD7" s="105" t="inlineStr">
        <is>
          <t>Месяц</t>
        </is>
      </c>
      <c r="AE7" s="105" t="inlineStr">
        <is>
          <t>Счёт</t>
        </is>
      </c>
      <c r="AG7" s="105" t="inlineStr">
        <is>
          <t>Дата</t>
        </is>
      </c>
      <c r="AH7" s="105" t="inlineStr">
        <is>
          <t>Тип</t>
        </is>
      </c>
      <c r="AI7" s="105" t="inlineStr">
        <is>
          <t>Категория</t>
        </is>
      </c>
      <c r="AJ7" s="105" t="inlineStr">
        <is>
          <t>Ожидаемо</t>
        </is>
      </c>
    </row>
    <row r="8" ht="20" customHeight="1">
      <c r="B8" s="53" t="n">
        <v>1</v>
      </c>
      <c r="C8" s="56" t="inlineStr">
        <is>
          <t>Аренда</t>
        </is>
      </c>
      <c r="D8" s="55" t="inlineStr">
        <is>
          <t>Расход</t>
        </is>
      </c>
      <c r="E8" s="55" t="inlineStr">
        <is>
          <t>Жильё</t>
        </is>
      </c>
      <c r="F8" s="87" t="n">
        <v>5</v>
      </c>
      <c r="G8" s="196" t="n">
        <v>900</v>
      </c>
      <c r="H8" s="87" t="n"/>
      <c r="I8" s="242" t="n">
        <v>46296</v>
      </c>
      <c r="J8" s="242" t="n"/>
      <c r="K8" s="107" t="inlineStr">
        <is>
          <t>Карта</t>
        </is>
      </c>
      <c r="L8" s="108" t="inlineStr">
        <is>
          <t>✓</t>
        </is>
      </c>
      <c r="M8" s="108" t="n">
        <v>950</v>
      </c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Y8" s="243">
        <f>IF(OR($C8="",$F8=""),"",DATE(YEAR($L$6),MONTH($L$6),MIN($F8,DAY((DATE(YEAR($L$6),MONTH($L$6)+1,1)-1)))))</f>
        <v/>
      </c>
      <c r="Z8" s="110">
        <f>IF($C8="","",IF($D8="Доход","Доход","Расход"))</f>
        <v/>
      </c>
      <c r="AA8" s="110">
        <f>IF($C8="","",$E8)</f>
        <v/>
      </c>
      <c r="AB8" s="110">
        <f>IF($C8="",0,IF(AND(OR($I8="",$I8&lt;=(DATE(YEAR($L$6),MONTH($L$6)+1,1)-1)),OR($J8="",$J8&gt;=$L$6),MOD((YEAR($L$6)*12+MONTH($L$6))-(YEAR(IF($I8="",$L$6,$I8))*12+MONTH(IF($I8="",$L$6,$I8))),MAX(1,N($H8)))=0),N($G8),0))</f>
        <v/>
      </c>
      <c r="AC8" s="110">
        <f>IF($C8="",0,IF(L8="✓",N($G8),IF(ISNUMBER(L8),L8,0)))</f>
        <v/>
      </c>
      <c r="AD8" s="243">
        <f>IF($C8="","",$L$6)</f>
        <v/>
      </c>
      <c r="AE8" s="110">
        <f>IF($C8="","",$K8)</f>
        <v/>
      </c>
      <c r="AG8" s="243">
        <f>IF(OR($C8="",$F8=""),"",DATE(YEAR(DATE(Настройки!$C$6,Настройки!$D$7+0,1)),MONTH(DATE(Настройки!$C$6,Настройки!$D$7+0,1)),MIN($F8,DAY((DATE(Настройки!$C$6,Настройки!$D$7+0+1,1)-1)))))</f>
        <v/>
      </c>
      <c r="AH8" s="110">
        <f>IF($C8="","",IF($D8="Доход","Доход","Расход"))</f>
        <v/>
      </c>
      <c r="AI8" s="110">
        <f>IF($C8="","",$E8)</f>
        <v/>
      </c>
      <c r="AJ8" s="110">
        <f>IF($C8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8:$W8,((YEAR(DATE(Настройки!$C$6,Настройки!$D$7+0,1))*12+MONTH(DATE(Настройки!$C$6,Настройки!$D$7+0,1)))-(YEAR($L$6)*12+MONTH($L$6)))+1)="✓",N($G8),IF(ISNUMBER(INDEX($L8:$W8,((YEAR(DATE(Настройки!$C$6,Настройки!$D$7+0,1))*12+MONTH(DATE(Настройки!$C$6,Настройки!$D$7+0,1)))-(YEAR($L$6)*12+MONTH($L$6)))+1)),INDEX($L8:$W8,((YEAR(DATE(Настройки!$C$6,Настройки!$D$7+0,1))*12+MONTH(DATE(Настройки!$C$6,Настройки!$D$7+0,1)))-(YEAR($L$6)*12+MONTH($L$6)))+1),IF(AND(OR($I8="",$I8&lt;=(DATE(Настройки!$C$6,Настройки!$D$7+0+1,1)-1)),OR($J8="",$J8&gt;=DATE(Настройки!$C$6,Настройки!$D$7+0,1)),MOD((YEAR(DATE(Настройки!$C$6,Настройки!$D$7+0,1))*12+MONTH(DATE(Настройки!$C$6,Настройки!$D$7+0,1)))-(YEAR(IF($I8="",$L$6,$I8))*12+MONTH(IF($I8="",$L$6,$I8))),MAX(1,N($H8)))=0),N($G8),0))),IF(AND(OR($I8="",$I8&lt;=(DATE(Настройки!$C$6,Настройки!$D$7+0+1,1)-1)),OR($J8="",$J8&gt;=DATE(Настройки!$C$6,Настройки!$D$7+0,1)),MOD((YEAR(DATE(Настройки!$C$6,Настройки!$D$7+0,1))*12+MONTH(DATE(Настройки!$C$6,Настройки!$D$7+0,1)))-(YEAR(IF($I8="",$L$6,$I8))*12+MONTH(IF($I8="",$L$6,$I8))),MAX(1,N($H8)))=0),N($G8),0)))</f>
        <v/>
      </c>
    </row>
    <row r="9" ht="20" customHeight="1">
      <c r="B9" s="53" t="n">
        <v>2</v>
      </c>
      <c r="C9" s="56" t="inlineStr">
        <is>
          <t>Подписка</t>
        </is>
      </c>
      <c r="D9" s="55" t="inlineStr">
        <is>
          <t>Расход</t>
        </is>
      </c>
      <c r="E9" s="55" t="inlineStr">
        <is>
          <t>Подписки</t>
        </is>
      </c>
      <c r="F9" s="87" t="n">
        <v>10</v>
      </c>
      <c r="G9" s="196" t="n">
        <v>10</v>
      </c>
      <c r="H9" s="87" t="n"/>
      <c r="I9" s="242" t="n">
        <v>46327</v>
      </c>
      <c r="J9" s="242" t="n"/>
      <c r="K9" s="107" t="inlineStr">
        <is>
          <t>Кредитка</t>
        </is>
      </c>
      <c r="L9" s="108" t="n"/>
      <c r="M9" s="108" t="inlineStr">
        <is>
          <t>✓</t>
        </is>
      </c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Y9" s="243">
        <f>IF(OR($C9="",$F9=""),"",DATE(YEAR($L$6),MONTH($L$6),MIN($F9,DAY((DATE(YEAR($L$6),MONTH($L$6)+1,1)-1)))))</f>
        <v/>
      </c>
      <c r="Z9" s="110">
        <f>IF($C9="","",IF($D9="Доход","Доход","Расход"))</f>
        <v/>
      </c>
      <c r="AA9" s="110">
        <f>IF($C9="","",$E9)</f>
        <v/>
      </c>
      <c r="AB9" s="110">
        <f>IF($C9="",0,IF(AND(OR($I9="",$I9&lt;=(DATE(YEAR($L$6),MONTH($L$6)+1,1)-1)),OR($J9="",$J9&gt;=$L$6),MOD((YEAR($L$6)*12+MONTH($L$6))-(YEAR(IF($I9="",$L$6,$I9))*12+MONTH(IF($I9="",$L$6,$I9))),MAX(1,N($H9)))=0),N($G9),0))</f>
        <v/>
      </c>
      <c r="AC9" s="110">
        <f>IF($C9="",0,IF(L9="✓",N($G9),IF(ISNUMBER(L9),L9,0)))</f>
        <v/>
      </c>
      <c r="AD9" s="243">
        <f>IF($C9="","",$L$6)</f>
        <v/>
      </c>
      <c r="AE9" s="110">
        <f>IF($C9="","",$K9)</f>
        <v/>
      </c>
      <c r="AG9" s="243">
        <f>IF(OR($C9="",$F9=""),"",DATE(YEAR(DATE(Настройки!$C$6,Настройки!$D$7+0,1)),MONTH(DATE(Настройки!$C$6,Настройки!$D$7+0,1)),MIN($F9,DAY((DATE(Настройки!$C$6,Настройки!$D$7+0+1,1)-1)))))</f>
        <v/>
      </c>
      <c r="AH9" s="110">
        <f>IF($C9="","",IF($D9="Доход","Доход","Расход"))</f>
        <v/>
      </c>
      <c r="AI9" s="110">
        <f>IF($C9="","",$E9)</f>
        <v/>
      </c>
      <c r="AJ9" s="110">
        <f>IF($C9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9:$W9,((YEAR(DATE(Настройки!$C$6,Настройки!$D$7+0,1))*12+MONTH(DATE(Настройки!$C$6,Настройки!$D$7+0,1)))-(YEAR($L$6)*12+MONTH($L$6)))+1)="✓",N($G9),IF(ISNUMBER(INDEX($L9:$W9,((YEAR(DATE(Настройки!$C$6,Настройки!$D$7+0,1))*12+MONTH(DATE(Настройки!$C$6,Настройки!$D$7+0,1)))-(YEAR($L$6)*12+MONTH($L$6)))+1)),INDEX($L9:$W9,((YEAR(DATE(Настройки!$C$6,Настройки!$D$7+0,1))*12+MONTH(DATE(Настройки!$C$6,Настройки!$D$7+0,1)))-(YEAR($L$6)*12+MONTH($L$6)))+1),IF(AND(OR($I9="",$I9&lt;=(DATE(Настройки!$C$6,Настройки!$D$7+0+1,1)-1)),OR($J9="",$J9&gt;=DATE(Настройки!$C$6,Настройки!$D$7+0,1)),MOD((YEAR(DATE(Настройки!$C$6,Настройки!$D$7+0,1))*12+MONTH(DATE(Настройки!$C$6,Настройки!$D$7+0,1)))-(YEAR(IF($I9="",$L$6,$I9))*12+MONTH(IF($I9="",$L$6,$I9))),MAX(1,N($H9)))=0),N($G9),0))),IF(AND(OR($I9="",$I9&lt;=(DATE(Настройки!$C$6,Настройки!$D$7+0+1,1)-1)),OR($J9="",$J9&gt;=DATE(Настройки!$C$6,Настройки!$D$7+0,1)),MOD((YEAR(DATE(Настройки!$C$6,Настройки!$D$7+0,1))*12+MONTH(DATE(Настройки!$C$6,Настройки!$D$7+0,1)))-(YEAR(IF($I9="",$L$6,$I9))*12+MONTH(IF($I9="",$L$6,$I9))),MAX(1,N($H9)))=0),N($G9),0)))</f>
        <v/>
      </c>
    </row>
    <row r="10" ht="20" customHeight="1">
      <c r="B10" s="53" t="n">
        <v>3</v>
      </c>
      <c r="C10" s="56" t="inlineStr">
        <is>
          <t>ЗП бонус</t>
        </is>
      </c>
      <c r="D10" s="55" t="inlineStr">
        <is>
          <t>Доход</t>
        </is>
      </c>
      <c r="E10" s="55" t="inlineStr">
        <is>
          <t>Премия</t>
        </is>
      </c>
      <c r="F10" s="87" t="n">
        <v>20</v>
      </c>
      <c r="G10" s="196" t="n">
        <v>200</v>
      </c>
      <c r="H10" s="87" t="n"/>
      <c r="I10" s="242" t="n"/>
      <c r="J10" s="242" t="n"/>
      <c r="K10" s="107" t="inlineStr">
        <is>
          <t>Карта</t>
        </is>
      </c>
      <c r="L10" s="108" t="inlineStr">
        <is>
          <t>✓</t>
        </is>
      </c>
      <c r="M10" s="108" t="n"/>
      <c r="N10" s="108" t="n"/>
      <c r="O10" s="108" t="n"/>
      <c r="P10" s="108" t="n"/>
      <c r="Q10" s="108" t="n"/>
      <c r="R10" s="108" t="n"/>
      <c r="S10" s="108" t="n"/>
      <c r="T10" s="108" t="n"/>
      <c r="U10" s="108" t="n"/>
      <c r="V10" s="108" t="n"/>
      <c r="W10" s="108" t="n"/>
      <c r="Y10" s="243">
        <f>IF(OR($C10="",$F10=""),"",DATE(YEAR($L$6),MONTH($L$6),MIN($F10,DAY((DATE(YEAR($L$6),MONTH($L$6)+1,1)-1)))))</f>
        <v/>
      </c>
      <c r="Z10" s="110">
        <f>IF($C10="","",IF($D10="Доход","Доход","Расход"))</f>
        <v/>
      </c>
      <c r="AA10" s="110">
        <f>IF($C10="","",$E10)</f>
        <v/>
      </c>
      <c r="AB10" s="110">
        <f>IF($C10="",0,IF(AND(OR($I10="",$I10&lt;=(DATE(YEAR($L$6),MONTH($L$6)+1,1)-1)),OR($J10="",$J10&gt;=$L$6),MOD((YEAR($L$6)*12+MONTH($L$6))-(YEAR(IF($I10="",$L$6,$I10))*12+MONTH(IF($I10="",$L$6,$I10))),MAX(1,N($H10)))=0),N($G10),0))</f>
        <v/>
      </c>
      <c r="AC10" s="110">
        <f>IF($C10="",0,IF(L10="✓",N($G10),IF(ISNUMBER(L10),L10,0)))</f>
        <v/>
      </c>
      <c r="AD10" s="243">
        <f>IF($C10="","",$L$6)</f>
        <v/>
      </c>
      <c r="AE10" s="110">
        <f>IF($C10="","",$K10)</f>
        <v/>
      </c>
      <c r="AG10" s="243">
        <f>IF(OR($C10="",$F10=""),"",DATE(YEAR(DATE(Настройки!$C$6,Настройки!$D$7+0,1)),MONTH(DATE(Настройки!$C$6,Настройки!$D$7+0,1)),MIN($F10,DAY((DATE(Настройки!$C$6,Настройки!$D$7+0+1,1)-1)))))</f>
        <v/>
      </c>
      <c r="AH10" s="110">
        <f>IF($C10="","",IF($D10="Доход","Доход","Расход"))</f>
        <v/>
      </c>
      <c r="AI10" s="110">
        <f>IF($C10="","",$E10)</f>
        <v/>
      </c>
      <c r="AJ10" s="110">
        <f>IF($C10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10:$W10,((YEAR(DATE(Настройки!$C$6,Настройки!$D$7+0,1))*12+MONTH(DATE(Настройки!$C$6,Настройки!$D$7+0,1)))-(YEAR($L$6)*12+MONTH($L$6)))+1)="✓",N($G10),IF(ISNUMBER(INDEX($L10:$W10,((YEAR(DATE(Настройки!$C$6,Настройки!$D$7+0,1))*12+MONTH(DATE(Настройки!$C$6,Настройки!$D$7+0,1)))-(YEAR($L$6)*12+MONTH($L$6)))+1)),INDEX($L10:$W10,((YEAR(DATE(Настройки!$C$6,Настройки!$D$7+0,1))*12+MONTH(DATE(Настройки!$C$6,Настройки!$D$7+0,1)))-(YEAR($L$6)*12+MONTH($L$6)))+1),IF(AND(OR($I10="",$I10&lt;=(DATE(Настройки!$C$6,Настройки!$D$7+0+1,1)-1)),OR($J10="",$J10&gt;=DATE(Настройки!$C$6,Настройки!$D$7+0,1)),MOD((YEAR(DATE(Настройки!$C$6,Настройки!$D$7+0,1))*12+MONTH(DATE(Настройки!$C$6,Настройки!$D$7+0,1)))-(YEAR(IF($I10="",$L$6,$I10))*12+MONTH(IF($I10="",$L$6,$I10))),MAX(1,N($H10)))=0),N($G10),0))),IF(AND(OR($I10="",$I10&lt;=(DATE(Настройки!$C$6,Настройки!$D$7+0+1,1)-1)),OR($J10="",$J10&gt;=DATE(Настройки!$C$6,Настройки!$D$7+0,1)),MOD((YEAR(DATE(Настройки!$C$6,Настройки!$D$7+0,1))*12+MONTH(DATE(Настройки!$C$6,Настройки!$D$7+0,1)))-(YEAR(IF($I10="",$L$6,$I10))*12+MONTH(IF($I10="",$L$6,$I10))),MAX(1,N($H10)))=0),N($G10),0)))</f>
        <v/>
      </c>
    </row>
    <row r="11" ht="20" customHeight="1">
      <c r="B11" s="53" t="n">
        <v>4</v>
      </c>
      <c r="C11" s="56" t="inlineStr">
        <is>
          <t>Страховка</t>
        </is>
      </c>
      <c r="D11" s="55" t="inlineStr">
        <is>
          <t>Расход</t>
        </is>
      </c>
      <c r="E11" s="55" t="inlineStr">
        <is>
          <t>Подписки</t>
        </is>
      </c>
      <c r="F11" s="87" t="n">
        <v>15</v>
      </c>
      <c r="G11" s="196" t="n">
        <v>30</v>
      </c>
      <c r="H11" s="87" t="n">
        <v>3</v>
      </c>
      <c r="I11" s="242" t="n">
        <v>46327</v>
      </c>
      <c r="J11" s="242" t="n"/>
      <c r="K11" s="107" t="inlineStr">
        <is>
          <t>Карта</t>
        </is>
      </c>
      <c r="L11" s="108" t="n"/>
      <c r="M11" s="108" t="n"/>
      <c r="N11" s="108" t="n"/>
      <c r="O11" s="108" t="n"/>
      <c r="P11" s="108" t="n"/>
      <c r="Q11" s="108" t="n"/>
      <c r="R11" s="108" t="n"/>
      <c r="S11" s="108" t="n"/>
      <c r="T11" s="108" t="n"/>
      <c r="U11" s="108" t="n"/>
      <c r="V11" s="108" t="n"/>
      <c r="W11" s="108" t="n"/>
      <c r="Y11" s="243">
        <f>IF(OR($C11="",$F11=""),"",DATE(YEAR($L$6),MONTH($L$6),MIN($F11,DAY((DATE(YEAR($L$6),MONTH($L$6)+1,1)-1)))))</f>
        <v/>
      </c>
      <c r="Z11" s="110">
        <f>IF($C11="","",IF($D11="Доход","Доход","Расход"))</f>
        <v/>
      </c>
      <c r="AA11" s="110">
        <f>IF($C11="","",$E11)</f>
        <v/>
      </c>
      <c r="AB11" s="110">
        <f>IF($C11="",0,IF(AND(OR($I11="",$I11&lt;=(DATE(YEAR($L$6),MONTH($L$6)+1,1)-1)),OR($J11="",$J11&gt;=$L$6),MOD((YEAR($L$6)*12+MONTH($L$6))-(YEAR(IF($I11="",$L$6,$I11))*12+MONTH(IF($I11="",$L$6,$I11))),MAX(1,N($H11)))=0),N($G11),0))</f>
        <v/>
      </c>
      <c r="AC11" s="110">
        <f>IF($C11="",0,IF(L11="✓",N($G11),IF(ISNUMBER(L11),L11,0)))</f>
        <v/>
      </c>
      <c r="AD11" s="243">
        <f>IF($C11="","",$L$6)</f>
        <v/>
      </c>
      <c r="AE11" s="110">
        <f>IF($C11="","",$K11)</f>
        <v/>
      </c>
      <c r="AG11" s="243">
        <f>IF(OR($C11="",$F11=""),"",DATE(YEAR(DATE(Настройки!$C$6,Настройки!$D$7+0,1)),MONTH(DATE(Настройки!$C$6,Настройки!$D$7+0,1)),MIN($F11,DAY((DATE(Настройки!$C$6,Настройки!$D$7+0+1,1)-1)))))</f>
        <v/>
      </c>
      <c r="AH11" s="110">
        <f>IF($C11="","",IF($D11="Доход","Доход","Расход"))</f>
        <v/>
      </c>
      <c r="AI11" s="110">
        <f>IF($C11="","",$E11)</f>
        <v/>
      </c>
      <c r="AJ11" s="110">
        <f>IF($C11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11:$W11,((YEAR(DATE(Настройки!$C$6,Настройки!$D$7+0,1))*12+MONTH(DATE(Настройки!$C$6,Настройки!$D$7+0,1)))-(YEAR($L$6)*12+MONTH($L$6)))+1)="✓",N($G11),IF(ISNUMBER(INDEX($L11:$W11,((YEAR(DATE(Настройки!$C$6,Настройки!$D$7+0,1))*12+MONTH(DATE(Настройки!$C$6,Настройки!$D$7+0,1)))-(YEAR($L$6)*12+MONTH($L$6)))+1)),INDEX($L11:$W11,((YEAR(DATE(Настройки!$C$6,Настройки!$D$7+0,1))*12+MONTH(DATE(Настройки!$C$6,Настройки!$D$7+0,1)))-(YEAR($L$6)*12+MONTH($L$6)))+1),IF(AND(OR($I11="",$I11&lt;=(DATE(Настройки!$C$6,Настройки!$D$7+0+1,1)-1)),OR($J11="",$J11&gt;=DATE(Настройки!$C$6,Настройки!$D$7+0,1)),MOD((YEAR(DATE(Настройки!$C$6,Настройки!$D$7+0,1))*12+MONTH(DATE(Настройки!$C$6,Настройки!$D$7+0,1)))-(YEAR(IF($I11="",$L$6,$I11))*12+MONTH(IF($I11="",$L$6,$I11))),MAX(1,N($H11)))=0),N($G11),0))),IF(AND(OR($I11="",$I11&lt;=(DATE(Настройки!$C$6,Настройки!$D$7+0+1,1)-1)),OR($J11="",$J11&gt;=DATE(Настройки!$C$6,Настройки!$D$7+0,1)),MOD((YEAR(DATE(Настройки!$C$6,Настройки!$D$7+0,1))*12+MONTH(DATE(Настройки!$C$6,Настройки!$D$7+0,1)))-(YEAR(IF($I11="",$L$6,$I11))*12+MONTH(IF($I11="",$L$6,$I11))),MAX(1,N($H11)))=0),N($G11),0)))</f>
        <v/>
      </c>
    </row>
    <row r="12" ht="20" customHeight="1">
      <c r="B12" s="53" t="n">
        <v>5</v>
      </c>
      <c r="C12" s="56" t="n"/>
      <c r="D12" s="55" t="n"/>
      <c r="E12" s="55" t="n"/>
      <c r="F12" s="87" t="n"/>
      <c r="G12" s="196" t="n"/>
      <c r="H12" s="87" t="n"/>
      <c r="I12" s="242" t="n"/>
      <c r="J12" s="242" t="n"/>
      <c r="K12" s="107" t="n"/>
      <c r="L12" s="108" t="n"/>
      <c r="M12" s="108" t="n"/>
      <c r="N12" s="108" t="n"/>
      <c r="O12" s="108" t="n"/>
      <c r="P12" s="108" t="n"/>
      <c r="Q12" s="108" t="n"/>
      <c r="R12" s="108" t="n"/>
      <c r="S12" s="108" t="n"/>
      <c r="T12" s="108" t="n"/>
      <c r="U12" s="108" t="n"/>
      <c r="V12" s="108" t="n"/>
      <c r="W12" s="108" t="n"/>
      <c r="Y12" s="243">
        <f>IF(OR($C12="",$F12=""),"",DATE(YEAR($L$6),MONTH($L$6),MIN($F12,DAY((DATE(YEAR($L$6),MONTH($L$6)+1,1)-1)))))</f>
        <v/>
      </c>
      <c r="Z12" s="110">
        <f>IF($C12="","",IF($D12="Доход","Доход","Расход"))</f>
        <v/>
      </c>
      <c r="AA12" s="110">
        <f>IF($C12="","",$E12)</f>
        <v/>
      </c>
      <c r="AB12" s="110">
        <f>IF($C12="",0,IF(AND(OR($I12="",$I12&lt;=(DATE(YEAR($L$6),MONTH($L$6)+1,1)-1)),OR($J12="",$J12&gt;=$L$6),MOD((YEAR($L$6)*12+MONTH($L$6))-(YEAR(IF($I12="",$L$6,$I12))*12+MONTH(IF($I12="",$L$6,$I12))),MAX(1,N($H12)))=0),N($G12),0))</f>
        <v/>
      </c>
      <c r="AC12" s="110">
        <f>IF($C12="",0,IF(L12="✓",N($G12),IF(ISNUMBER(L12),L12,0)))</f>
        <v/>
      </c>
      <c r="AD12" s="243">
        <f>IF($C12="","",$L$6)</f>
        <v/>
      </c>
      <c r="AE12" s="110">
        <f>IF($C12="","",$K12)</f>
        <v/>
      </c>
      <c r="AG12" s="243">
        <f>IF(OR($C12="",$F12=""),"",DATE(YEAR(DATE(Настройки!$C$6,Настройки!$D$7+0,1)),MONTH(DATE(Настройки!$C$6,Настройки!$D$7+0,1)),MIN($F12,DAY((DATE(Настройки!$C$6,Настройки!$D$7+0+1,1)-1)))))</f>
        <v/>
      </c>
      <c r="AH12" s="110">
        <f>IF($C12="","",IF($D12="Доход","Доход","Расход"))</f>
        <v/>
      </c>
      <c r="AI12" s="110">
        <f>IF($C12="","",$E12)</f>
        <v/>
      </c>
      <c r="AJ12" s="110">
        <f>IF($C12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12:$W12,((YEAR(DATE(Настройки!$C$6,Настройки!$D$7+0,1))*12+MONTH(DATE(Настройки!$C$6,Настройки!$D$7+0,1)))-(YEAR($L$6)*12+MONTH($L$6)))+1)="✓",N($G12),IF(ISNUMBER(INDEX($L12:$W12,((YEAR(DATE(Настройки!$C$6,Настройки!$D$7+0,1))*12+MONTH(DATE(Настройки!$C$6,Настройки!$D$7+0,1)))-(YEAR($L$6)*12+MONTH($L$6)))+1)),INDEX($L12:$W12,((YEAR(DATE(Настройки!$C$6,Настройки!$D$7+0,1))*12+MONTH(DATE(Настройки!$C$6,Настройки!$D$7+0,1)))-(YEAR($L$6)*12+MONTH($L$6)))+1),IF(AND(OR($I12="",$I12&lt;=(DATE(Настройки!$C$6,Настройки!$D$7+0+1,1)-1)),OR($J12="",$J12&gt;=DATE(Настройки!$C$6,Настройки!$D$7+0,1)),MOD((YEAR(DATE(Настройки!$C$6,Настройки!$D$7+0,1))*12+MONTH(DATE(Настройки!$C$6,Настройки!$D$7+0,1)))-(YEAR(IF($I12="",$L$6,$I12))*12+MONTH(IF($I12="",$L$6,$I12))),MAX(1,N($H12)))=0),N($G12),0))),IF(AND(OR($I12="",$I12&lt;=(DATE(Настройки!$C$6,Настройки!$D$7+0+1,1)-1)),OR($J12="",$J12&gt;=DATE(Настройки!$C$6,Настройки!$D$7+0,1)),MOD((YEAR(DATE(Настройки!$C$6,Настройки!$D$7+0,1))*12+MONTH(DATE(Настройки!$C$6,Настройки!$D$7+0,1)))-(YEAR(IF($I12="",$L$6,$I12))*12+MONTH(IF($I12="",$L$6,$I12))),MAX(1,N($H12)))=0),N($G12),0)))</f>
        <v/>
      </c>
    </row>
    <row r="13" ht="20" customHeight="1">
      <c r="B13" s="53" t="n">
        <v>6</v>
      </c>
      <c r="C13" s="56" t="n"/>
      <c r="D13" s="55" t="n"/>
      <c r="E13" s="55" t="n"/>
      <c r="F13" s="87" t="n"/>
      <c r="G13" s="196" t="n"/>
      <c r="H13" s="87" t="n"/>
      <c r="I13" s="242" t="n"/>
      <c r="J13" s="242" t="n"/>
      <c r="K13" s="107" t="n"/>
      <c r="L13" s="108" t="n"/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Y13" s="243">
        <f>IF(OR($C13="",$F13=""),"",DATE(YEAR($L$6),MONTH($L$6),MIN($F13,DAY((DATE(YEAR($L$6),MONTH($L$6)+1,1)-1)))))</f>
        <v/>
      </c>
      <c r="Z13" s="110">
        <f>IF($C13="","",IF($D13="Доход","Доход","Расход"))</f>
        <v/>
      </c>
      <c r="AA13" s="110">
        <f>IF($C13="","",$E13)</f>
        <v/>
      </c>
      <c r="AB13" s="110">
        <f>IF($C13="",0,IF(AND(OR($I13="",$I13&lt;=(DATE(YEAR($L$6),MONTH($L$6)+1,1)-1)),OR($J13="",$J13&gt;=$L$6),MOD((YEAR($L$6)*12+MONTH($L$6))-(YEAR(IF($I13="",$L$6,$I13))*12+MONTH(IF($I13="",$L$6,$I13))),MAX(1,N($H13)))=0),N($G13),0))</f>
        <v/>
      </c>
      <c r="AC13" s="110">
        <f>IF($C13="",0,IF(L13="✓",N($G13),IF(ISNUMBER(L13),L13,0)))</f>
        <v/>
      </c>
      <c r="AD13" s="243">
        <f>IF($C13="","",$L$6)</f>
        <v/>
      </c>
      <c r="AE13" s="110">
        <f>IF($C13="","",$K13)</f>
        <v/>
      </c>
      <c r="AG13" s="243">
        <f>IF(OR($C13="",$F13=""),"",DATE(YEAR(DATE(Настройки!$C$6,Настройки!$D$7+0,1)),MONTH(DATE(Настройки!$C$6,Настройки!$D$7+0,1)),MIN($F13,DAY((DATE(Настройки!$C$6,Настройки!$D$7+0+1,1)-1)))))</f>
        <v/>
      </c>
      <c r="AH13" s="110">
        <f>IF($C13="","",IF($D13="Доход","Доход","Расход"))</f>
        <v/>
      </c>
      <c r="AI13" s="110">
        <f>IF($C13="","",$E13)</f>
        <v/>
      </c>
      <c r="AJ13" s="110">
        <f>IF($C13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13:$W13,((YEAR(DATE(Настройки!$C$6,Настройки!$D$7+0,1))*12+MONTH(DATE(Настройки!$C$6,Настройки!$D$7+0,1)))-(YEAR($L$6)*12+MONTH($L$6)))+1)="✓",N($G13),IF(ISNUMBER(INDEX($L13:$W13,((YEAR(DATE(Настройки!$C$6,Настройки!$D$7+0,1))*12+MONTH(DATE(Настройки!$C$6,Настройки!$D$7+0,1)))-(YEAR($L$6)*12+MONTH($L$6)))+1)),INDEX($L13:$W13,((YEAR(DATE(Настройки!$C$6,Настройки!$D$7+0,1))*12+MONTH(DATE(Настройки!$C$6,Настройки!$D$7+0,1)))-(YEAR($L$6)*12+MONTH($L$6)))+1),IF(AND(OR($I13="",$I13&lt;=(DATE(Настройки!$C$6,Настройки!$D$7+0+1,1)-1)),OR($J13="",$J13&gt;=DATE(Настройки!$C$6,Настройки!$D$7+0,1)),MOD((YEAR(DATE(Настройки!$C$6,Настройки!$D$7+0,1))*12+MONTH(DATE(Настройки!$C$6,Настройки!$D$7+0,1)))-(YEAR(IF($I13="",$L$6,$I13))*12+MONTH(IF($I13="",$L$6,$I13))),MAX(1,N($H13)))=0),N($G13),0))),IF(AND(OR($I13="",$I13&lt;=(DATE(Настройки!$C$6,Настройки!$D$7+0+1,1)-1)),OR($J13="",$J13&gt;=DATE(Настройки!$C$6,Настройки!$D$7+0,1)),MOD((YEAR(DATE(Настройки!$C$6,Настройки!$D$7+0,1))*12+MONTH(DATE(Настройки!$C$6,Настройки!$D$7+0,1)))-(YEAR(IF($I13="",$L$6,$I13))*12+MONTH(IF($I13="",$L$6,$I13))),MAX(1,N($H13)))=0),N($G13),0)))</f>
        <v/>
      </c>
    </row>
    <row r="14" ht="20" customHeight="1">
      <c r="B14" s="53" t="n">
        <v>7</v>
      </c>
      <c r="C14" s="56" t="n"/>
      <c r="D14" s="55" t="n"/>
      <c r="E14" s="55" t="n"/>
      <c r="F14" s="87" t="n"/>
      <c r="G14" s="196" t="n"/>
      <c r="H14" s="87" t="n"/>
      <c r="I14" s="242" t="n"/>
      <c r="J14" s="242" t="n"/>
      <c r="K14" s="107" t="n"/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Y14" s="243">
        <f>IF(OR($C14="",$F14=""),"",DATE(YEAR($L$6),MONTH($L$6),MIN($F14,DAY((DATE(YEAR($L$6),MONTH($L$6)+1,1)-1)))))</f>
        <v/>
      </c>
      <c r="Z14" s="110">
        <f>IF($C14="","",IF($D14="Доход","Доход","Расход"))</f>
        <v/>
      </c>
      <c r="AA14" s="110">
        <f>IF($C14="","",$E14)</f>
        <v/>
      </c>
      <c r="AB14" s="110">
        <f>IF($C14="",0,IF(AND(OR($I14="",$I14&lt;=(DATE(YEAR($L$6),MONTH($L$6)+1,1)-1)),OR($J14="",$J14&gt;=$L$6),MOD((YEAR($L$6)*12+MONTH($L$6))-(YEAR(IF($I14="",$L$6,$I14))*12+MONTH(IF($I14="",$L$6,$I14))),MAX(1,N($H14)))=0),N($G14),0))</f>
        <v/>
      </c>
      <c r="AC14" s="110">
        <f>IF($C14="",0,IF(L14="✓",N($G14),IF(ISNUMBER(L14),L14,0)))</f>
        <v/>
      </c>
      <c r="AD14" s="243">
        <f>IF($C14="","",$L$6)</f>
        <v/>
      </c>
      <c r="AE14" s="110">
        <f>IF($C14="","",$K14)</f>
        <v/>
      </c>
      <c r="AG14" s="243">
        <f>IF(OR($C14="",$F14=""),"",DATE(YEAR(DATE(Настройки!$C$6,Настройки!$D$7+0,1)),MONTH(DATE(Настройки!$C$6,Настройки!$D$7+0,1)),MIN($F14,DAY((DATE(Настройки!$C$6,Настройки!$D$7+0+1,1)-1)))))</f>
        <v/>
      </c>
      <c r="AH14" s="110">
        <f>IF($C14="","",IF($D14="Доход","Доход","Расход"))</f>
        <v/>
      </c>
      <c r="AI14" s="110">
        <f>IF($C14="","",$E14)</f>
        <v/>
      </c>
      <c r="AJ14" s="110">
        <f>IF($C14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14:$W14,((YEAR(DATE(Настройки!$C$6,Настройки!$D$7+0,1))*12+MONTH(DATE(Настройки!$C$6,Настройки!$D$7+0,1)))-(YEAR($L$6)*12+MONTH($L$6)))+1)="✓",N($G14),IF(ISNUMBER(INDEX($L14:$W14,((YEAR(DATE(Настройки!$C$6,Настройки!$D$7+0,1))*12+MONTH(DATE(Настройки!$C$6,Настройки!$D$7+0,1)))-(YEAR($L$6)*12+MONTH($L$6)))+1)),INDEX($L14:$W14,((YEAR(DATE(Настройки!$C$6,Настройки!$D$7+0,1))*12+MONTH(DATE(Настройки!$C$6,Настройки!$D$7+0,1)))-(YEAR($L$6)*12+MONTH($L$6)))+1),IF(AND(OR($I14="",$I14&lt;=(DATE(Настройки!$C$6,Настройки!$D$7+0+1,1)-1)),OR($J14="",$J14&gt;=DATE(Настройки!$C$6,Настройки!$D$7+0,1)),MOD((YEAR(DATE(Настройки!$C$6,Настройки!$D$7+0,1))*12+MONTH(DATE(Настройки!$C$6,Настройки!$D$7+0,1)))-(YEAR(IF($I14="",$L$6,$I14))*12+MONTH(IF($I14="",$L$6,$I14))),MAX(1,N($H14)))=0),N($G14),0))),IF(AND(OR($I14="",$I14&lt;=(DATE(Настройки!$C$6,Настройки!$D$7+0+1,1)-1)),OR($J14="",$J14&gt;=DATE(Настройки!$C$6,Настройки!$D$7+0,1)),MOD((YEAR(DATE(Настройки!$C$6,Настройки!$D$7+0,1))*12+MONTH(DATE(Настройки!$C$6,Настройки!$D$7+0,1)))-(YEAR(IF($I14="",$L$6,$I14))*12+MONTH(IF($I14="",$L$6,$I14))),MAX(1,N($H14)))=0),N($G14),0)))</f>
        <v/>
      </c>
    </row>
    <row r="15" ht="20" customHeight="1">
      <c r="B15" s="53" t="n">
        <v>8</v>
      </c>
      <c r="C15" s="56" t="n"/>
      <c r="D15" s="55" t="n"/>
      <c r="E15" s="55" t="n"/>
      <c r="F15" s="87" t="n"/>
      <c r="G15" s="196" t="n"/>
      <c r="H15" s="87" t="n"/>
      <c r="I15" s="242" t="n"/>
      <c r="J15" s="242" t="n"/>
      <c r="K15" s="107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Y15" s="243">
        <f>IF(OR($C15="",$F15=""),"",DATE(YEAR($L$6),MONTH($L$6),MIN($F15,DAY((DATE(YEAR($L$6),MONTH($L$6)+1,1)-1)))))</f>
        <v/>
      </c>
      <c r="Z15" s="110">
        <f>IF($C15="","",IF($D15="Доход","Доход","Расход"))</f>
        <v/>
      </c>
      <c r="AA15" s="110">
        <f>IF($C15="","",$E15)</f>
        <v/>
      </c>
      <c r="AB15" s="110">
        <f>IF($C15="",0,IF(AND(OR($I15="",$I15&lt;=(DATE(YEAR($L$6),MONTH($L$6)+1,1)-1)),OR($J15="",$J15&gt;=$L$6),MOD((YEAR($L$6)*12+MONTH($L$6))-(YEAR(IF($I15="",$L$6,$I15))*12+MONTH(IF($I15="",$L$6,$I15))),MAX(1,N($H15)))=0),N($G15),0))</f>
        <v/>
      </c>
      <c r="AC15" s="110">
        <f>IF($C15="",0,IF(L15="✓",N($G15),IF(ISNUMBER(L15),L15,0)))</f>
        <v/>
      </c>
      <c r="AD15" s="243">
        <f>IF($C15="","",$L$6)</f>
        <v/>
      </c>
      <c r="AE15" s="110">
        <f>IF($C15="","",$K15)</f>
        <v/>
      </c>
      <c r="AG15" s="243">
        <f>IF(OR($C15="",$F15=""),"",DATE(YEAR(DATE(Настройки!$C$6,Настройки!$D$7+0,1)),MONTH(DATE(Настройки!$C$6,Настройки!$D$7+0,1)),MIN($F15,DAY((DATE(Настройки!$C$6,Настройки!$D$7+0+1,1)-1)))))</f>
        <v/>
      </c>
      <c r="AH15" s="110">
        <f>IF($C15="","",IF($D15="Доход","Доход","Расход"))</f>
        <v/>
      </c>
      <c r="AI15" s="110">
        <f>IF($C15="","",$E15)</f>
        <v/>
      </c>
      <c r="AJ15" s="110">
        <f>IF($C15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15:$W15,((YEAR(DATE(Настройки!$C$6,Настройки!$D$7+0,1))*12+MONTH(DATE(Настройки!$C$6,Настройки!$D$7+0,1)))-(YEAR($L$6)*12+MONTH($L$6)))+1)="✓",N($G15),IF(ISNUMBER(INDEX($L15:$W15,((YEAR(DATE(Настройки!$C$6,Настройки!$D$7+0,1))*12+MONTH(DATE(Настройки!$C$6,Настройки!$D$7+0,1)))-(YEAR($L$6)*12+MONTH($L$6)))+1)),INDEX($L15:$W15,((YEAR(DATE(Настройки!$C$6,Настройки!$D$7+0,1))*12+MONTH(DATE(Настройки!$C$6,Настройки!$D$7+0,1)))-(YEAR($L$6)*12+MONTH($L$6)))+1),IF(AND(OR($I15="",$I15&lt;=(DATE(Настройки!$C$6,Настройки!$D$7+0+1,1)-1)),OR($J15="",$J15&gt;=DATE(Настройки!$C$6,Настройки!$D$7+0,1)),MOD((YEAR(DATE(Настройки!$C$6,Настройки!$D$7+0,1))*12+MONTH(DATE(Настройки!$C$6,Настройки!$D$7+0,1)))-(YEAR(IF($I15="",$L$6,$I15))*12+MONTH(IF($I15="",$L$6,$I15))),MAX(1,N($H15)))=0),N($G15),0))),IF(AND(OR($I15="",$I15&lt;=(DATE(Настройки!$C$6,Настройки!$D$7+0+1,1)-1)),OR($J15="",$J15&gt;=DATE(Настройки!$C$6,Настройки!$D$7+0,1)),MOD((YEAR(DATE(Настройки!$C$6,Настройки!$D$7+0,1))*12+MONTH(DATE(Настройки!$C$6,Настройки!$D$7+0,1)))-(YEAR(IF($I15="",$L$6,$I15))*12+MONTH(IF($I15="",$L$6,$I15))),MAX(1,N($H15)))=0),N($G15),0)))</f>
        <v/>
      </c>
    </row>
    <row r="16" ht="20" customHeight="1">
      <c r="B16" s="53" t="n">
        <v>9</v>
      </c>
      <c r="C16" s="56" t="n"/>
      <c r="D16" s="55" t="n"/>
      <c r="E16" s="55" t="n"/>
      <c r="F16" s="87" t="n"/>
      <c r="G16" s="196" t="n"/>
      <c r="H16" s="87" t="n"/>
      <c r="I16" s="242" t="n"/>
      <c r="J16" s="242" t="n"/>
      <c r="K16" s="107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Y16" s="243">
        <f>IF(OR($C16="",$F16=""),"",DATE(YEAR($L$6),MONTH($L$6),MIN($F16,DAY((DATE(YEAR($L$6),MONTH($L$6)+1,1)-1)))))</f>
        <v/>
      </c>
      <c r="Z16" s="110">
        <f>IF($C16="","",IF($D16="Доход","Доход","Расход"))</f>
        <v/>
      </c>
      <c r="AA16" s="110">
        <f>IF($C16="","",$E16)</f>
        <v/>
      </c>
      <c r="AB16" s="110">
        <f>IF($C16="",0,IF(AND(OR($I16="",$I16&lt;=(DATE(YEAR($L$6),MONTH($L$6)+1,1)-1)),OR($J16="",$J16&gt;=$L$6),MOD((YEAR($L$6)*12+MONTH($L$6))-(YEAR(IF($I16="",$L$6,$I16))*12+MONTH(IF($I16="",$L$6,$I16))),MAX(1,N($H16)))=0),N($G16),0))</f>
        <v/>
      </c>
      <c r="AC16" s="110">
        <f>IF($C16="",0,IF(L16="✓",N($G16),IF(ISNUMBER(L16),L16,0)))</f>
        <v/>
      </c>
      <c r="AD16" s="243">
        <f>IF($C16="","",$L$6)</f>
        <v/>
      </c>
      <c r="AE16" s="110">
        <f>IF($C16="","",$K16)</f>
        <v/>
      </c>
      <c r="AG16" s="243">
        <f>IF(OR($C16="",$F16=""),"",DATE(YEAR(DATE(Настройки!$C$6,Настройки!$D$7+0,1)),MONTH(DATE(Настройки!$C$6,Настройки!$D$7+0,1)),MIN($F16,DAY((DATE(Настройки!$C$6,Настройки!$D$7+0+1,1)-1)))))</f>
        <v/>
      </c>
      <c r="AH16" s="110">
        <f>IF($C16="","",IF($D16="Доход","Доход","Расход"))</f>
        <v/>
      </c>
      <c r="AI16" s="110">
        <f>IF($C16="","",$E16)</f>
        <v/>
      </c>
      <c r="AJ16" s="110">
        <f>IF($C16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16:$W16,((YEAR(DATE(Настройки!$C$6,Настройки!$D$7+0,1))*12+MONTH(DATE(Настройки!$C$6,Настройки!$D$7+0,1)))-(YEAR($L$6)*12+MONTH($L$6)))+1)="✓",N($G16),IF(ISNUMBER(INDEX($L16:$W16,((YEAR(DATE(Настройки!$C$6,Настройки!$D$7+0,1))*12+MONTH(DATE(Настройки!$C$6,Настройки!$D$7+0,1)))-(YEAR($L$6)*12+MONTH($L$6)))+1)),INDEX($L16:$W16,((YEAR(DATE(Настройки!$C$6,Настройки!$D$7+0,1))*12+MONTH(DATE(Настройки!$C$6,Настройки!$D$7+0,1)))-(YEAR($L$6)*12+MONTH($L$6)))+1),IF(AND(OR($I16="",$I16&lt;=(DATE(Настройки!$C$6,Настройки!$D$7+0+1,1)-1)),OR($J16="",$J16&gt;=DATE(Настройки!$C$6,Настройки!$D$7+0,1)),MOD((YEAR(DATE(Настройки!$C$6,Настройки!$D$7+0,1))*12+MONTH(DATE(Настройки!$C$6,Настройки!$D$7+0,1)))-(YEAR(IF($I16="",$L$6,$I16))*12+MONTH(IF($I16="",$L$6,$I16))),MAX(1,N($H16)))=0),N($G16),0))),IF(AND(OR($I16="",$I16&lt;=(DATE(Настройки!$C$6,Настройки!$D$7+0+1,1)-1)),OR($J16="",$J16&gt;=DATE(Настройки!$C$6,Настройки!$D$7+0,1)),MOD((YEAR(DATE(Настройки!$C$6,Настройки!$D$7+0,1))*12+MONTH(DATE(Настройки!$C$6,Настройки!$D$7+0,1)))-(YEAR(IF($I16="",$L$6,$I16))*12+MONTH(IF($I16="",$L$6,$I16))),MAX(1,N($H16)))=0),N($G16),0)))</f>
        <v/>
      </c>
    </row>
    <row r="17" ht="20" customHeight="1">
      <c r="B17" s="53" t="n">
        <v>10</v>
      </c>
      <c r="C17" s="56" t="n"/>
      <c r="D17" s="55" t="n"/>
      <c r="E17" s="55" t="n"/>
      <c r="F17" s="87" t="n"/>
      <c r="G17" s="196" t="n"/>
      <c r="H17" s="87" t="n"/>
      <c r="I17" s="242" t="n"/>
      <c r="J17" s="242" t="n"/>
      <c r="K17" s="107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Y17" s="243">
        <f>IF(OR($C17="",$F17=""),"",DATE(YEAR($L$6),MONTH($L$6),MIN($F17,DAY((DATE(YEAR($L$6),MONTH($L$6)+1,1)-1)))))</f>
        <v/>
      </c>
      <c r="Z17" s="110">
        <f>IF($C17="","",IF($D17="Доход","Доход","Расход"))</f>
        <v/>
      </c>
      <c r="AA17" s="110">
        <f>IF($C17="","",$E17)</f>
        <v/>
      </c>
      <c r="AB17" s="110">
        <f>IF($C17="",0,IF(AND(OR($I17="",$I17&lt;=(DATE(YEAR($L$6),MONTH($L$6)+1,1)-1)),OR($J17="",$J17&gt;=$L$6),MOD((YEAR($L$6)*12+MONTH($L$6))-(YEAR(IF($I17="",$L$6,$I17))*12+MONTH(IF($I17="",$L$6,$I17))),MAX(1,N($H17)))=0),N($G17),0))</f>
        <v/>
      </c>
      <c r="AC17" s="110">
        <f>IF($C17="",0,IF(L17="✓",N($G17),IF(ISNUMBER(L17),L17,0)))</f>
        <v/>
      </c>
      <c r="AD17" s="243">
        <f>IF($C17="","",$L$6)</f>
        <v/>
      </c>
      <c r="AE17" s="110">
        <f>IF($C17="","",$K17)</f>
        <v/>
      </c>
      <c r="AG17" s="243">
        <f>IF(OR($C17="",$F17=""),"",DATE(YEAR(DATE(Настройки!$C$6,Настройки!$D$7+0,1)),MONTH(DATE(Настройки!$C$6,Настройки!$D$7+0,1)),MIN($F17,DAY((DATE(Настройки!$C$6,Настройки!$D$7+0+1,1)-1)))))</f>
        <v/>
      </c>
      <c r="AH17" s="110">
        <f>IF($C17="","",IF($D17="Доход","Доход","Расход"))</f>
        <v/>
      </c>
      <c r="AI17" s="110">
        <f>IF($C17="","",$E17)</f>
        <v/>
      </c>
      <c r="AJ17" s="110">
        <f>IF($C17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17:$W17,((YEAR(DATE(Настройки!$C$6,Настройки!$D$7+0,1))*12+MONTH(DATE(Настройки!$C$6,Настройки!$D$7+0,1)))-(YEAR($L$6)*12+MONTH($L$6)))+1)="✓",N($G17),IF(ISNUMBER(INDEX($L17:$W17,((YEAR(DATE(Настройки!$C$6,Настройки!$D$7+0,1))*12+MONTH(DATE(Настройки!$C$6,Настройки!$D$7+0,1)))-(YEAR($L$6)*12+MONTH($L$6)))+1)),INDEX($L17:$W17,((YEAR(DATE(Настройки!$C$6,Настройки!$D$7+0,1))*12+MONTH(DATE(Настройки!$C$6,Настройки!$D$7+0,1)))-(YEAR($L$6)*12+MONTH($L$6)))+1),IF(AND(OR($I17="",$I17&lt;=(DATE(Настройки!$C$6,Настройки!$D$7+0+1,1)-1)),OR($J17="",$J17&gt;=DATE(Настройки!$C$6,Настройки!$D$7+0,1)),MOD((YEAR(DATE(Настройки!$C$6,Настройки!$D$7+0,1))*12+MONTH(DATE(Настройки!$C$6,Настройки!$D$7+0,1)))-(YEAR(IF($I17="",$L$6,$I17))*12+MONTH(IF($I17="",$L$6,$I17))),MAX(1,N($H17)))=0),N($G17),0))),IF(AND(OR($I17="",$I17&lt;=(DATE(Настройки!$C$6,Настройки!$D$7+0+1,1)-1)),OR($J17="",$J17&gt;=DATE(Настройки!$C$6,Настройки!$D$7+0,1)),MOD((YEAR(DATE(Настройки!$C$6,Настройки!$D$7+0,1))*12+MONTH(DATE(Настройки!$C$6,Настройки!$D$7+0,1)))-(YEAR(IF($I17="",$L$6,$I17))*12+MONTH(IF($I17="",$L$6,$I17))),MAX(1,N($H17)))=0),N($G17),0)))</f>
        <v/>
      </c>
    </row>
    <row r="18" ht="20" customHeight="1">
      <c r="B18" s="53" t="n">
        <v>11</v>
      </c>
      <c r="C18" s="56" t="n"/>
      <c r="D18" s="55" t="n"/>
      <c r="E18" s="55" t="n"/>
      <c r="F18" s="87" t="n"/>
      <c r="G18" s="196" t="n"/>
      <c r="H18" s="87" t="n"/>
      <c r="I18" s="242" t="n"/>
      <c r="J18" s="242" t="n"/>
      <c r="K18" s="107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Y18" s="243">
        <f>IF(OR($C18="",$F18=""),"",DATE(YEAR($L$6),MONTH($L$6),MIN($F18,DAY((DATE(YEAR($L$6),MONTH($L$6)+1,1)-1)))))</f>
        <v/>
      </c>
      <c r="Z18" s="110">
        <f>IF($C18="","",IF($D18="Доход","Доход","Расход"))</f>
        <v/>
      </c>
      <c r="AA18" s="110">
        <f>IF($C18="","",$E18)</f>
        <v/>
      </c>
      <c r="AB18" s="110">
        <f>IF($C18="",0,IF(AND(OR($I18="",$I18&lt;=(DATE(YEAR($L$6),MONTH($L$6)+1,1)-1)),OR($J18="",$J18&gt;=$L$6),MOD((YEAR($L$6)*12+MONTH($L$6))-(YEAR(IF($I18="",$L$6,$I18))*12+MONTH(IF($I18="",$L$6,$I18))),MAX(1,N($H18)))=0),N($G18),0))</f>
        <v/>
      </c>
      <c r="AC18" s="110">
        <f>IF($C18="",0,IF(L18="✓",N($G18),IF(ISNUMBER(L18),L18,0)))</f>
        <v/>
      </c>
      <c r="AD18" s="243">
        <f>IF($C18="","",$L$6)</f>
        <v/>
      </c>
      <c r="AE18" s="110">
        <f>IF($C18="","",$K18)</f>
        <v/>
      </c>
      <c r="AG18" s="243">
        <f>IF(OR($C18="",$F18=""),"",DATE(YEAR(DATE(Настройки!$C$6,Настройки!$D$7+0,1)),MONTH(DATE(Настройки!$C$6,Настройки!$D$7+0,1)),MIN($F18,DAY((DATE(Настройки!$C$6,Настройки!$D$7+0+1,1)-1)))))</f>
        <v/>
      </c>
      <c r="AH18" s="110">
        <f>IF($C18="","",IF($D18="Доход","Доход","Расход"))</f>
        <v/>
      </c>
      <c r="AI18" s="110">
        <f>IF($C18="","",$E18)</f>
        <v/>
      </c>
      <c r="AJ18" s="110">
        <f>IF($C18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18:$W18,((YEAR(DATE(Настройки!$C$6,Настройки!$D$7+0,1))*12+MONTH(DATE(Настройки!$C$6,Настройки!$D$7+0,1)))-(YEAR($L$6)*12+MONTH($L$6)))+1)="✓",N($G18),IF(ISNUMBER(INDEX($L18:$W18,((YEAR(DATE(Настройки!$C$6,Настройки!$D$7+0,1))*12+MONTH(DATE(Настройки!$C$6,Настройки!$D$7+0,1)))-(YEAR($L$6)*12+MONTH($L$6)))+1)),INDEX($L18:$W18,((YEAR(DATE(Настройки!$C$6,Настройки!$D$7+0,1))*12+MONTH(DATE(Настройки!$C$6,Настройки!$D$7+0,1)))-(YEAR($L$6)*12+MONTH($L$6)))+1),IF(AND(OR($I18="",$I18&lt;=(DATE(Настройки!$C$6,Настройки!$D$7+0+1,1)-1)),OR($J18="",$J18&gt;=DATE(Настройки!$C$6,Настройки!$D$7+0,1)),MOD((YEAR(DATE(Настройки!$C$6,Настройки!$D$7+0,1))*12+MONTH(DATE(Настройки!$C$6,Настройки!$D$7+0,1)))-(YEAR(IF($I18="",$L$6,$I18))*12+MONTH(IF($I18="",$L$6,$I18))),MAX(1,N($H18)))=0),N($G18),0))),IF(AND(OR($I18="",$I18&lt;=(DATE(Настройки!$C$6,Настройки!$D$7+0+1,1)-1)),OR($J18="",$J18&gt;=DATE(Настройки!$C$6,Настройки!$D$7+0,1)),MOD((YEAR(DATE(Настройки!$C$6,Настройки!$D$7+0,1))*12+MONTH(DATE(Настройки!$C$6,Настройки!$D$7+0,1)))-(YEAR(IF($I18="",$L$6,$I18))*12+MONTH(IF($I18="",$L$6,$I18))),MAX(1,N($H18)))=0),N($G18),0)))</f>
        <v/>
      </c>
    </row>
    <row r="19" ht="20" customHeight="1">
      <c r="B19" s="53" t="n">
        <v>12</v>
      </c>
      <c r="C19" s="56" t="n"/>
      <c r="D19" s="55" t="n"/>
      <c r="E19" s="55" t="n"/>
      <c r="F19" s="87" t="n"/>
      <c r="G19" s="196" t="n"/>
      <c r="H19" s="87" t="n"/>
      <c r="I19" s="242" t="n"/>
      <c r="J19" s="242" t="n"/>
      <c r="K19" s="107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Y19" s="243">
        <f>IF(OR($C19="",$F19=""),"",DATE(YEAR($L$6),MONTH($L$6),MIN($F19,DAY((DATE(YEAR($L$6),MONTH($L$6)+1,1)-1)))))</f>
        <v/>
      </c>
      <c r="Z19" s="110">
        <f>IF($C19="","",IF($D19="Доход","Доход","Расход"))</f>
        <v/>
      </c>
      <c r="AA19" s="110">
        <f>IF($C19="","",$E19)</f>
        <v/>
      </c>
      <c r="AB19" s="110">
        <f>IF($C19="",0,IF(AND(OR($I19="",$I19&lt;=(DATE(YEAR($L$6),MONTH($L$6)+1,1)-1)),OR($J19="",$J19&gt;=$L$6),MOD((YEAR($L$6)*12+MONTH($L$6))-(YEAR(IF($I19="",$L$6,$I19))*12+MONTH(IF($I19="",$L$6,$I19))),MAX(1,N($H19)))=0),N($G19),0))</f>
        <v/>
      </c>
      <c r="AC19" s="110">
        <f>IF($C19="",0,IF(L19="✓",N($G19),IF(ISNUMBER(L19),L19,0)))</f>
        <v/>
      </c>
      <c r="AD19" s="243">
        <f>IF($C19="","",$L$6)</f>
        <v/>
      </c>
      <c r="AE19" s="110">
        <f>IF($C19="","",$K19)</f>
        <v/>
      </c>
      <c r="AG19" s="243">
        <f>IF(OR($C19="",$F19=""),"",DATE(YEAR(DATE(Настройки!$C$6,Настройки!$D$7+0,1)),MONTH(DATE(Настройки!$C$6,Настройки!$D$7+0,1)),MIN($F19,DAY((DATE(Настройки!$C$6,Настройки!$D$7+0+1,1)-1)))))</f>
        <v/>
      </c>
      <c r="AH19" s="110">
        <f>IF($C19="","",IF($D19="Доход","Доход","Расход"))</f>
        <v/>
      </c>
      <c r="AI19" s="110">
        <f>IF($C19="","",$E19)</f>
        <v/>
      </c>
      <c r="AJ19" s="110">
        <f>IF($C19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19:$W19,((YEAR(DATE(Настройки!$C$6,Настройки!$D$7+0,1))*12+MONTH(DATE(Настройки!$C$6,Настройки!$D$7+0,1)))-(YEAR($L$6)*12+MONTH($L$6)))+1)="✓",N($G19),IF(ISNUMBER(INDEX($L19:$W19,((YEAR(DATE(Настройки!$C$6,Настройки!$D$7+0,1))*12+MONTH(DATE(Настройки!$C$6,Настройки!$D$7+0,1)))-(YEAR($L$6)*12+MONTH($L$6)))+1)),INDEX($L19:$W19,((YEAR(DATE(Настройки!$C$6,Настройки!$D$7+0,1))*12+MONTH(DATE(Настройки!$C$6,Настройки!$D$7+0,1)))-(YEAR($L$6)*12+MONTH($L$6)))+1),IF(AND(OR($I19="",$I19&lt;=(DATE(Настройки!$C$6,Настройки!$D$7+0+1,1)-1)),OR($J19="",$J19&gt;=DATE(Настройки!$C$6,Настройки!$D$7+0,1)),MOD((YEAR(DATE(Настройки!$C$6,Настройки!$D$7+0,1))*12+MONTH(DATE(Настройки!$C$6,Настройки!$D$7+0,1)))-(YEAR(IF($I19="",$L$6,$I19))*12+MONTH(IF($I19="",$L$6,$I19))),MAX(1,N($H19)))=0),N($G19),0))),IF(AND(OR($I19="",$I19&lt;=(DATE(Настройки!$C$6,Настройки!$D$7+0+1,1)-1)),OR($J19="",$J19&gt;=DATE(Настройки!$C$6,Настройки!$D$7+0,1)),MOD((YEAR(DATE(Настройки!$C$6,Настройки!$D$7+0,1))*12+MONTH(DATE(Настройки!$C$6,Настройки!$D$7+0,1)))-(YEAR(IF($I19="",$L$6,$I19))*12+MONTH(IF($I19="",$L$6,$I19))),MAX(1,N($H19)))=0),N($G19),0)))</f>
        <v/>
      </c>
    </row>
    <row r="20" ht="20" customHeight="1">
      <c r="B20" s="53" t="n">
        <v>13</v>
      </c>
      <c r="C20" s="56" t="n"/>
      <c r="D20" s="55" t="n"/>
      <c r="E20" s="55" t="n"/>
      <c r="F20" s="87" t="n"/>
      <c r="G20" s="196" t="n"/>
      <c r="H20" s="87" t="n"/>
      <c r="I20" s="242" t="n"/>
      <c r="J20" s="242" t="n"/>
      <c r="K20" s="107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Y20" s="243">
        <f>IF(OR($C20="",$F20=""),"",DATE(YEAR($L$6),MONTH($L$6),MIN($F20,DAY((DATE(YEAR($L$6),MONTH($L$6)+1,1)-1)))))</f>
        <v/>
      </c>
      <c r="Z20" s="110">
        <f>IF($C20="","",IF($D20="Доход","Доход","Расход"))</f>
        <v/>
      </c>
      <c r="AA20" s="110">
        <f>IF($C20="","",$E20)</f>
        <v/>
      </c>
      <c r="AB20" s="110">
        <f>IF($C20="",0,IF(AND(OR($I20="",$I20&lt;=(DATE(YEAR($L$6),MONTH($L$6)+1,1)-1)),OR($J20="",$J20&gt;=$L$6),MOD((YEAR($L$6)*12+MONTH($L$6))-(YEAR(IF($I20="",$L$6,$I20))*12+MONTH(IF($I20="",$L$6,$I20))),MAX(1,N($H20)))=0),N($G20),0))</f>
        <v/>
      </c>
      <c r="AC20" s="110">
        <f>IF($C20="",0,IF(L20="✓",N($G20),IF(ISNUMBER(L20),L20,0)))</f>
        <v/>
      </c>
      <c r="AD20" s="243">
        <f>IF($C20="","",$L$6)</f>
        <v/>
      </c>
      <c r="AE20" s="110">
        <f>IF($C20="","",$K20)</f>
        <v/>
      </c>
      <c r="AG20" s="243">
        <f>IF(OR($C20="",$F20=""),"",DATE(YEAR(DATE(Настройки!$C$6,Настройки!$D$7+0,1)),MONTH(DATE(Настройки!$C$6,Настройки!$D$7+0,1)),MIN($F20,DAY((DATE(Настройки!$C$6,Настройки!$D$7+0+1,1)-1)))))</f>
        <v/>
      </c>
      <c r="AH20" s="110">
        <f>IF($C20="","",IF($D20="Доход","Доход","Расход"))</f>
        <v/>
      </c>
      <c r="AI20" s="110">
        <f>IF($C20="","",$E20)</f>
        <v/>
      </c>
      <c r="AJ20" s="110">
        <f>IF($C20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20:$W20,((YEAR(DATE(Настройки!$C$6,Настройки!$D$7+0,1))*12+MONTH(DATE(Настройки!$C$6,Настройки!$D$7+0,1)))-(YEAR($L$6)*12+MONTH($L$6)))+1)="✓",N($G20),IF(ISNUMBER(INDEX($L20:$W20,((YEAR(DATE(Настройки!$C$6,Настройки!$D$7+0,1))*12+MONTH(DATE(Настройки!$C$6,Настройки!$D$7+0,1)))-(YEAR($L$6)*12+MONTH($L$6)))+1)),INDEX($L20:$W20,((YEAR(DATE(Настройки!$C$6,Настройки!$D$7+0,1))*12+MONTH(DATE(Настройки!$C$6,Настройки!$D$7+0,1)))-(YEAR($L$6)*12+MONTH($L$6)))+1),IF(AND(OR($I20="",$I20&lt;=(DATE(Настройки!$C$6,Настройки!$D$7+0+1,1)-1)),OR($J20="",$J20&gt;=DATE(Настройки!$C$6,Настройки!$D$7+0,1)),MOD((YEAR(DATE(Настройки!$C$6,Настройки!$D$7+0,1))*12+MONTH(DATE(Настройки!$C$6,Настройки!$D$7+0,1)))-(YEAR(IF($I20="",$L$6,$I20))*12+MONTH(IF($I20="",$L$6,$I20))),MAX(1,N($H20)))=0),N($G20),0))),IF(AND(OR($I20="",$I20&lt;=(DATE(Настройки!$C$6,Настройки!$D$7+0+1,1)-1)),OR($J20="",$J20&gt;=DATE(Настройки!$C$6,Настройки!$D$7+0,1)),MOD((YEAR(DATE(Настройки!$C$6,Настройки!$D$7+0,1))*12+MONTH(DATE(Настройки!$C$6,Настройки!$D$7+0,1)))-(YEAR(IF($I20="",$L$6,$I20))*12+MONTH(IF($I20="",$L$6,$I20))),MAX(1,N($H20)))=0),N($G20),0)))</f>
        <v/>
      </c>
    </row>
    <row r="21" ht="20" customHeight="1">
      <c r="B21" s="53" t="n">
        <v>14</v>
      </c>
      <c r="C21" s="56" t="n"/>
      <c r="D21" s="55" t="n"/>
      <c r="E21" s="55" t="n"/>
      <c r="F21" s="87" t="n"/>
      <c r="G21" s="196" t="n"/>
      <c r="H21" s="87" t="n"/>
      <c r="I21" s="242" t="n"/>
      <c r="J21" s="242" t="n"/>
      <c r="K21" s="107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Y21" s="243">
        <f>IF(OR($C21="",$F21=""),"",DATE(YEAR($L$6),MONTH($L$6),MIN($F21,DAY((DATE(YEAR($L$6),MONTH($L$6)+1,1)-1)))))</f>
        <v/>
      </c>
      <c r="Z21" s="110">
        <f>IF($C21="","",IF($D21="Доход","Доход","Расход"))</f>
        <v/>
      </c>
      <c r="AA21" s="110">
        <f>IF($C21="","",$E21)</f>
        <v/>
      </c>
      <c r="AB21" s="110">
        <f>IF($C21="",0,IF(AND(OR($I21="",$I21&lt;=(DATE(YEAR($L$6),MONTH($L$6)+1,1)-1)),OR($J21="",$J21&gt;=$L$6),MOD((YEAR($L$6)*12+MONTH($L$6))-(YEAR(IF($I21="",$L$6,$I21))*12+MONTH(IF($I21="",$L$6,$I21))),MAX(1,N($H21)))=0),N($G21),0))</f>
        <v/>
      </c>
      <c r="AC21" s="110">
        <f>IF($C21="",0,IF(L21="✓",N($G21),IF(ISNUMBER(L21),L21,0)))</f>
        <v/>
      </c>
      <c r="AD21" s="243">
        <f>IF($C21="","",$L$6)</f>
        <v/>
      </c>
      <c r="AE21" s="110">
        <f>IF($C21="","",$K21)</f>
        <v/>
      </c>
      <c r="AG21" s="243">
        <f>IF(OR($C21="",$F21=""),"",DATE(YEAR(DATE(Настройки!$C$6,Настройки!$D$7+0,1)),MONTH(DATE(Настройки!$C$6,Настройки!$D$7+0,1)),MIN($F21,DAY((DATE(Настройки!$C$6,Настройки!$D$7+0+1,1)-1)))))</f>
        <v/>
      </c>
      <c r="AH21" s="110">
        <f>IF($C21="","",IF($D21="Доход","Доход","Расход"))</f>
        <v/>
      </c>
      <c r="AI21" s="110">
        <f>IF($C21="","",$E21)</f>
        <v/>
      </c>
      <c r="AJ21" s="110">
        <f>IF($C21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21:$W21,((YEAR(DATE(Настройки!$C$6,Настройки!$D$7+0,1))*12+MONTH(DATE(Настройки!$C$6,Настройки!$D$7+0,1)))-(YEAR($L$6)*12+MONTH($L$6)))+1)="✓",N($G21),IF(ISNUMBER(INDEX($L21:$W21,((YEAR(DATE(Настройки!$C$6,Настройки!$D$7+0,1))*12+MONTH(DATE(Настройки!$C$6,Настройки!$D$7+0,1)))-(YEAR($L$6)*12+MONTH($L$6)))+1)),INDEX($L21:$W21,((YEAR(DATE(Настройки!$C$6,Настройки!$D$7+0,1))*12+MONTH(DATE(Настройки!$C$6,Настройки!$D$7+0,1)))-(YEAR($L$6)*12+MONTH($L$6)))+1),IF(AND(OR($I21="",$I21&lt;=(DATE(Настройки!$C$6,Настройки!$D$7+0+1,1)-1)),OR($J21="",$J21&gt;=DATE(Настройки!$C$6,Настройки!$D$7+0,1)),MOD((YEAR(DATE(Настройки!$C$6,Настройки!$D$7+0,1))*12+MONTH(DATE(Настройки!$C$6,Настройки!$D$7+0,1)))-(YEAR(IF($I21="",$L$6,$I21))*12+MONTH(IF($I21="",$L$6,$I21))),MAX(1,N($H21)))=0),N($G21),0))),IF(AND(OR($I21="",$I21&lt;=(DATE(Настройки!$C$6,Настройки!$D$7+0+1,1)-1)),OR($J21="",$J21&gt;=DATE(Настройки!$C$6,Настройки!$D$7+0,1)),MOD((YEAR(DATE(Настройки!$C$6,Настройки!$D$7+0,1))*12+MONTH(DATE(Настройки!$C$6,Настройки!$D$7+0,1)))-(YEAR(IF($I21="",$L$6,$I21))*12+MONTH(IF($I21="",$L$6,$I21))),MAX(1,N($H21)))=0),N($G21),0)))</f>
        <v/>
      </c>
    </row>
    <row r="22" ht="20" customHeight="1">
      <c r="B22" s="53" t="n">
        <v>15</v>
      </c>
      <c r="C22" s="56" t="n"/>
      <c r="D22" s="55" t="n"/>
      <c r="E22" s="55" t="n"/>
      <c r="F22" s="87" t="n"/>
      <c r="G22" s="196" t="n"/>
      <c r="H22" s="87" t="n"/>
      <c r="I22" s="242" t="n"/>
      <c r="J22" s="242" t="n"/>
      <c r="K22" s="107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Y22" s="243">
        <f>IF(OR($C22="",$F22=""),"",DATE(YEAR($L$6),MONTH($L$6),MIN($F22,DAY((DATE(YEAR($L$6),MONTH($L$6)+1,1)-1)))))</f>
        <v/>
      </c>
      <c r="Z22" s="110">
        <f>IF($C22="","",IF($D22="Доход","Доход","Расход"))</f>
        <v/>
      </c>
      <c r="AA22" s="110">
        <f>IF($C22="","",$E22)</f>
        <v/>
      </c>
      <c r="AB22" s="110">
        <f>IF($C22="",0,IF(AND(OR($I22="",$I22&lt;=(DATE(YEAR($L$6),MONTH($L$6)+1,1)-1)),OR($J22="",$J22&gt;=$L$6),MOD((YEAR($L$6)*12+MONTH($L$6))-(YEAR(IF($I22="",$L$6,$I22))*12+MONTH(IF($I22="",$L$6,$I22))),MAX(1,N($H22)))=0),N($G22),0))</f>
        <v/>
      </c>
      <c r="AC22" s="110">
        <f>IF($C22="",0,IF(L22="✓",N($G22),IF(ISNUMBER(L22),L22,0)))</f>
        <v/>
      </c>
      <c r="AD22" s="243">
        <f>IF($C22="","",$L$6)</f>
        <v/>
      </c>
      <c r="AE22" s="110">
        <f>IF($C22="","",$K22)</f>
        <v/>
      </c>
      <c r="AG22" s="243">
        <f>IF(OR($C22="",$F22=""),"",DATE(YEAR(DATE(Настройки!$C$6,Настройки!$D$7+0,1)),MONTH(DATE(Настройки!$C$6,Настройки!$D$7+0,1)),MIN($F22,DAY((DATE(Настройки!$C$6,Настройки!$D$7+0+1,1)-1)))))</f>
        <v/>
      </c>
      <c r="AH22" s="110">
        <f>IF($C22="","",IF($D22="Доход","Доход","Расход"))</f>
        <v/>
      </c>
      <c r="AI22" s="110">
        <f>IF($C22="","",$E22)</f>
        <v/>
      </c>
      <c r="AJ22" s="110">
        <f>IF($C22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22:$W22,((YEAR(DATE(Настройки!$C$6,Настройки!$D$7+0,1))*12+MONTH(DATE(Настройки!$C$6,Настройки!$D$7+0,1)))-(YEAR($L$6)*12+MONTH($L$6)))+1)="✓",N($G22),IF(ISNUMBER(INDEX($L22:$W22,((YEAR(DATE(Настройки!$C$6,Настройки!$D$7+0,1))*12+MONTH(DATE(Настройки!$C$6,Настройки!$D$7+0,1)))-(YEAR($L$6)*12+MONTH($L$6)))+1)),INDEX($L22:$W22,((YEAR(DATE(Настройки!$C$6,Настройки!$D$7+0,1))*12+MONTH(DATE(Настройки!$C$6,Настройки!$D$7+0,1)))-(YEAR($L$6)*12+MONTH($L$6)))+1),IF(AND(OR($I22="",$I22&lt;=(DATE(Настройки!$C$6,Настройки!$D$7+0+1,1)-1)),OR($J22="",$J22&gt;=DATE(Настройки!$C$6,Настройки!$D$7+0,1)),MOD((YEAR(DATE(Настройки!$C$6,Настройки!$D$7+0,1))*12+MONTH(DATE(Настройки!$C$6,Настройки!$D$7+0,1)))-(YEAR(IF($I22="",$L$6,$I22))*12+MONTH(IF($I22="",$L$6,$I22))),MAX(1,N($H22)))=0),N($G22),0))),IF(AND(OR($I22="",$I22&lt;=(DATE(Настройки!$C$6,Настройки!$D$7+0+1,1)-1)),OR($J22="",$J22&gt;=DATE(Настройки!$C$6,Настройки!$D$7+0,1)),MOD((YEAR(DATE(Настройки!$C$6,Настройки!$D$7+0,1))*12+MONTH(DATE(Настройки!$C$6,Настройки!$D$7+0,1)))-(YEAR(IF($I22="",$L$6,$I22))*12+MONTH(IF($I22="",$L$6,$I22))),MAX(1,N($H22)))=0),N($G22),0)))</f>
        <v/>
      </c>
    </row>
    <row r="23" ht="20" customHeight="1">
      <c r="B23" s="53" t="n">
        <v>16</v>
      </c>
      <c r="C23" s="56" t="n"/>
      <c r="D23" s="55" t="n"/>
      <c r="E23" s="55" t="n"/>
      <c r="F23" s="87" t="n"/>
      <c r="G23" s="196" t="n"/>
      <c r="H23" s="87" t="n"/>
      <c r="I23" s="242" t="n"/>
      <c r="J23" s="242" t="n"/>
      <c r="K23" s="107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Y23" s="243">
        <f>IF(OR($C23="",$F23=""),"",DATE(YEAR($L$6),MONTH($L$6),MIN($F23,DAY((DATE(YEAR($L$6),MONTH($L$6)+1,1)-1)))))</f>
        <v/>
      </c>
      <c r="Z23" s="110">
        <f>IF($C23="","",IF($D23="Доход","Доход","Расход"))</f>
        <v/>
      </c>
      <c r="AA23" s="110">
        <f>IF($C23="","",$E23)</f>
        <v/>
      </c>
      <c r="AB23" s="110">
        <f>IF($C23="",0,IF(AND(OR($I23="",$I23&lt;=(DATE(YEAR($L$6),MONTH($L$6)+1,1)-1)),OR($J23="",$J23&gt;=$L$6),MOD((YEAR($L$6)*12+MONTH($L$6))-(YEAR(IF($I23="",$L$6,$I23))*12+MONTH(IF($I23="",$L$6,$I23))),MAX(1,N($H23)))=0),N($G23),0))</f>
        <v/>
      </c>
      <c r="AC23" s="110">
        <f>IF($C23="",0,IF(L23="✓",N($G23),IF(ISNUMBER(L23),L23,0)))</f>
        <v/>
      </c>
      <c r="AD23" s="243">
        <f>IF($C23="","",$L$6)</f>
        <v/>
      </c>
      <c r="AE23" s="110">
        <f>IF($C23="","",$K23)</f>
        <v/>
      </c>
      <c r="AG23" s="243">
        <f>IF(OR($C23="",$F23=""),"",DATE(YEAR(DATE(Настройки!$C$6,Настройки!$D$7+0,1)),MONTH(DATE(Настройки!$C$6,Настройки!$D$7+0,1)),MIN($F23,DAY((DATE(Настройки!$C$6,Настройки!$D$7+0+1,1)-1)))))</f>
        <v/>
      </c>
      <c r="AH23" s="110">
        <f>IF($C23="","",IF($D23="Доход","Доход","Расход"))</f>
        <v/>
      </c>
      <c r="AI23" s="110">
        <f>IF($C23="","",$E23)</f>
        <v/>
      </c>
      <c r="AJ23" s="110">
        <f>IF($C23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23:$W23,((YEAR(DATE(Настройки!$C$6,Настройки!$D$7+0,1))*12+MONTH(DATE(Настройки!$C$6,Настройки!$D$7+0,1)))-(YEAR($L$6)*12+MONTH($L$6)))+1)="✓",N($G23),IF(ISNUMBER(INDEX($L23:$W23,((YEAR(DATE(Настройки!$C$6,Настройки!$D$7+0,1))*12+MONTH(DATE(Настройки!$C$6,Настройки!$D$7+0,1)))-(YEAR($L$6)*12+MONTH($L$6)))+1)),INDEX($L23:$W23,((YEAR(DATE(Настройки!$C$6,Настройки!$D$7+0,1))*12+MONTH(DATE(Настройки!$C$6,Настройки!$D$7+0,1)))-(YEAR($L$6)*12+MONTH($L$6)))+1),IF(AND(OR($I23="",$I23&lt;=(DATE(Настройки!$C$6,Настройки!$D$7+0+1,1)-1)),OR($J23="",$J23&gt;=DATE(Настройки!$C$6,Настройки!$D$7+0,1)),MOD((YEAR(DATE(Настройки!$C$6,Настройки!$D$7+0,1))*12+MONTH(DATE(Настройки!$C$6,Настройки!$D$7+0,1)))-(YEAR(IF($I23="",$L$6,$I23))*12+MONTH(IF($I23="",$L$6,$I23))),MAX(1,N($H23)))=0),N($G23),0))),IF(AND(OR($I23="",$I23&lt;=(DATE(Настройки!$C$6,Настройки!$D$7+0+1,1)-1)),OR($J23="",$J23&gt;=DATE(Настройки!$C$6,Настройки!$D$7+0,1)),MOD((YEAR(DATE(Настройки!$C$6,Настройки!$D$7+0,1))*12+MONTH(DATE(Настройки!$C$6,Настройки!$D$7+0,1)))-(YEAR(IF($I23="",$L$6,$I23))*12+MONTH(IF($I23="",$L$6,$I23))),MAX(1,N($H23)))=0),N($G23),0)))</f>
        <v/>
      </c>
    </row>
    <row r="24" ht="20" customHeight="1">
      <c r="B24" s="53" t="n">
        <v>17</v>
      </c>
      <c r="C24" s="56" t="n"/>
      <c r="D24" s="55" t="n"/>
      <c r="E24" s="55" t="n"/>
      <c r="F24" s="87" t="n"/>
      <c r="G24" s="196" t="n"/>
      <c r="H24" s="87" t="n"/>
      <c r="I24" s="242" t="n"/>
      <c r="J24" s="242" t="n"/>
      <c r="K24" s="107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Y24" s="243">
        <f>IF(OR($C24="",$F24=""),"",DATE(YEAR($L$6),MONTH($L$6),MIN($F24,DAY((DATE(YEAR($L$6),MONTH($L$6)+1,1)-1)))))</f>
        <v/>
      </c>
      <c r="Z24" s="110">
        <f>IF($C24="","",IF($D24="Доход","Доход","Расход"))</f>
        <v/>
      </c>
      <c r="AA24" s="110">
        <f>IF($C24="","",$E24)</f>
        <v/>
      </c>
      <c r="AB24" s="110">
        <f>IF($C24="",0,IF(AND(OR($I24="",$I24&lt;=(DATE(YEAR($L$6),MONTH($L$6)+1,1)-1)),OR($J24="",$J24&gt;=$L$6),MOD((YEAR($L$6)*12+MONTH($L$6))-(YEAR(IF($I24="",$L$6,$I24))*12+MONTH(IF($I24="",$L$6,$I24))),MAX(1,N($H24)))=0),N($G24),0))</f>
        <v/>
      </c>
      <c r="AC24" s="110">
        <f>IF($C24="",0,IF(L24="✓",N($G24),IF(ISNUMBER(L24),L24,0)))</f>
        <v/>
      </c>
      <c r="AD24" s="243">
        <f>IF($C24="","",$L$6)</f>
        <v/>
      </c>
      <c r="AE24" s="110">
        <f>IF($C24="","",$K24)</f>
        <v/>
      </c>
      <c r="AG24" s="243">
        <f>IF(OR($C24="",$F24=""),"",DATE(YEAR(DATE(Настройки!$C$6,Настройки!$D$7+0,1)),MONTH(DATE(Настройки!$C$6,Настройки!$D$7+0,1)),MIN($F24,DAY((DATE(Настройки!$C$6,Настройки!$D$7+0+1,1)-1)))))</f>
        <v/>
      </c>
      <c r="AH24" s="110">
        <f>IF($C24="","",IF($D24="Доход","Доход","Расход"))</f>
        <v/>
      </c>
      <c r="AI24" s="110">
        <f>IF($C24="","",$E24)</f>
        <v/>
      </c>
      <c r="AJ24" s="110">
        <f>IF($C24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24:$W24,((YEAR(DATE(Настройки!$C$6,Настройки!$D$7+0,1))*12+MONTH(DATE(Настройки!$C$6,Настройки!$D$7+0,1)))-(YEAR($L$6)*12+MONTH($L$6)))+1)="✓",N($G24),IF(ISNUMBER(INDEX($L24:$W24,((YEAR(DATE(Настройки!$C$6,Настройки!$D$7+0,1))*12+MONTH(DATE(Настройки!$C$6,Настройки!$D$7+0,1)))-(YEAR($L$6)*12+MONTH($L$6)))+1)),INDEX($L24:$W24,((YEAR(DATE(Настройки!$C$6,Настройки!$D$7+0,1))*12+MONTH(DATE(Настройки!$C$6,Настройки!$D$7+0,1)))-(YEAR($L$6)*12+MONTH($L$6)))+1),IF(AND(OR($I24="",$I24&lt;=(DATE(Настройки!$C$6,Настройки!$D$7+0+1,1)-1)),OR($J24="",$J24&gt;=DATE(Настройки!$C$6,Настройки!$D$7+0,1)),MOD((YEAR(DATE(Настройки!$C$6,Настройки!$D$7+0,1))*12+MONTH(DATE(Настройки!$C$6,Настройки!$D$7+0,1)))-(YEAR(IF($I24="",$L$6,$I24))*12+MONTH(IF($I24="",$L$6,$I24))),MAX(1,N($H24)))=0),N($G24),0))),IF(AND(OR($I24="",$I24&lt;=(DATE(Настройки!$C$6,Настройки!$D$7+0+1,1)-1)),OR($J24="",$J24&gt;=DATE(Настройки!$C$6,Настройки!$D$7+0,1)),MOD((YEAR(DATE(Настройки!$C$6,Настройки!$D$7+0,1))*12+MONTH(DATE(Настройки!$C$6,Настройки!$D$7+0,1)))-(YEAR(IF($I24="",$L$6,$I24))*12+MONTH(IF($I24="",$L$6,$I24))),MAX(1,N($H24)))=0),N($G24),0)))</f>
        <v/>
      </c>
    </row>
    <row r="25" ht="20" customHeight="1">
      <c r="B25" s="53" t="n">
        <v>18</v>
      </c>
      <c r="C25" s="56" t="n"/>
      <c r="D25" s="55" t="n"/>
      <c r="E25" s="55" t="n"/>
      <c r="F25" s="87" t="n"/>
      <c r="G25" s="196" t="n"/>
      <c r="H25" s="87" t="n"/>
      <c r="I25" s="242" t="n"/>
      <c r="J25" s="242" t="n"/>
      <c r="K25" s="107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Y25" s="243">
        <f>IF(OR($C25="",$F25=""),"",DATE(YEAR($L$6),MONTH($L$6),MIN($F25,DAY((DATE(YEAR($L$6),MONTH($L$6)+1,1)-1)))))</f>
        <v/>
      </c>
      <c r="Z25" s="110">
        <f>IF($C25="","",IF($D25="Доход","Доход","Расход"))</f>
        <v/>
      </c>
      <c r="AA25" s="110">
        <f>IF($C25="","",$E25)</f>
        <v/>
      </c>
      <c r="AB25" s="110">
        <f>IF($C25="",0,IF(AND(OR($I25="",$I25&lt;=(DATE(YEAR($L$6),MONTH($L$6)+1,1)-1)),OR($J25="",$J25&gt;=$L$6),MOD((YEAR($L$6)*12+MONTH($L$6))-(YEAR(IF($I25="",$L$6,$I25))*12+MONTH(IF($I25="",$L$6,$I25))),MAX(1,N($H25)))=0),N($G25),0))</f>
        <v/>
      </c>
      <c r="AC25" s="110">
        <f>IF($C25="",0,IF(L25="✓",N($G25),IF(ISNUMBER(L25),L25,0)))</f>
        <v/>
      </c>
      <c r="AD25" s="243">
        <f>IF($C25="","",$L$6)</f>
        <v/>
      </c>
      <c r="AE25" s="110">
        <f>IF($C25="","",$K25)</f>
        <v/>
      </c>
      <c r="AG25" s="243">
        <f>IF(OR($C25="",$F25=""),"",DATE(YEAR(DATE(Настройки!$C$6,Настройки!$D$7+0,1)),MONTH(DATE(Настройки!$C$6,Настройки!$D$7+0,1)),MIN($F25,DAY((DATE(Настройки!$C$6,Настройки!$D$7+0+1,1)-1)))))</f>
        <v/>
      </c>
      <c r="AH25" s="110">
        <f>IF($C25="","",IF($D25="Доход","Доход","Расход"))</f>
        <v/>
      </c>
      <c r="AI25" s="110">
        <f>IF($C25="","",$E25)</f>
        <v/>
      </c>
      <c r="AJ25" s="110">
        <f>IF($C25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25:$W25,((YEAR(DATE(Настройки!$C$6,Настройки!$D$7+0,1))*12+MONTH(DATE(Настройки!$C$6,Настройки!$D$7+0,1)))-(YEAR($L$6)*12+MONTH($L$6)))+1)="✓",N($G25),IF(ISNUMBER(INDEX($L25:$W25,((YEAR(DATE(Настройки!$C$6,Настройки!$D$7+0,1))*12+MONTH(DATE(Настройки!$C$6,Настройки!$D$7+0,1)))-(YEAR($L$6)*12+MONTH($L$6)))+1)),INDEX($L25:$W25,((YEAR(DATE(Настройки!$C$6,Настройки!$D$7+0,1))*12+MONTH(DATE(Настройки!$C$6,Настройки!$D$7+0,1)))-(YEAR($L$6)*12+MONTH($L$6)))+1),IF(AND(OR($I25="",$I25&lt;=(DATE(Настройки!$C$6,Настройки!$D$7+0+1,1)-1)),OR($J25="",$J25&gt;=DATE(Настройки!$C$6,Настройки!$D$7+0,1)),MOD((YEAR(DATE(Настройки!$C$6,Настройки!$D$7+0,1))*12+MONTH(DATE(Настройки!$C$6,Настройки!$D$7+0,1)))-(YEAR(IF($I25="",$L$6,$I25))*12+MONTH(IF($I25="",$L$6,$I25))),MAX(1,N($H25)))=0),N($G25),0))),IF(AND(OR($I25="",$I25&lt;=(DATE(Настройки!$C$6,Настройки!$D$7+0+1,1)-1)),OR($J25="",$J25&gt;=DATE(Настройки!$C$6,Настройки!$D$7+0,1)),MOD((YEAR(DATE(Настройки!$C$6,Настройки!$D$7+0,1))*12+MONTH(DATE(Настройки!$C$6,Настройки!$D$7+0,1)))-(YEAR(IF($I25="",$L$6,$I25))*12+MONTH(IF($I25="",$L$6,$I25))),MAX(1,N($H25)))=0),N($G25),0)))</f>
        <v/>
      </c>
    </row>
    <row r="26" ht="20" customHeight="1">
      <c r="B26" s="53" t="n">
        <v>19</v>
      </c>
      <c r="C26" s="56" t="n"/>
      <c r="D26" s="55" t="n"/>
      <c r="E26" s="55" t="n"/>
      <c r="F26" s="87" t="n"/>
      <c r="G26" s="196" t="n"/>
      <c r="H26" s="87" t="n"/>
      <c r="I26" s="242" t="n"/>
      <c r="J26" s="242" t="n"/>
      <c r="K26" s="107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Y26" s="243">
        <f>IF(OR($C26="",$F26=""),"",DATE(YEAR($L$6),MONTH($L$6),MIN($F26,DAY((DATE(YEAR($L$6),MONTH($L$6)+1,1)-1)))))</f>
        <v/>
      </c>
      <c r="Z26" s="110">
        <f>IF($C26="","",IF($D26="Доход","Доход","Расход"))</f>
        <v/>
      </c>
      <c r="AA26" s="110">
        <f>IF($C26="","",$E26)</f>
        <v/>
      </c>
      <c r="AB26" s="110">
        <f>IF($C26="",0,IF(AND(OR($I26="",$I26&lt;=(DATE(YEAR($L$6),MONTH($L$6)+1,1)-1)),OR($J26="",$J26&gt;=$L$6),MOD((YEAR($L$6)*12+MONTH($L$6))-(YEAR(IF($I26="",$L$6,$I26))*12+MONTH(IF($I26="",$L$6,$I26))),MAX(1,N($H26)))=0),N($G26),0))</f>
        <v/>
      </c>
      <c r="AC26" s="110">
        <f>IF($C26="",0,IF(L26="✓",N($G26),IF(ISNUMBER(L26),L26,0)))</f>
        <v/>
      </c>
      <c r="AD26" s="243">
        <f>IF($C26="","",$L$6)</f>
        <v/>
      </c>
      <c r="AE26" s="110">
        <f>IF($C26="","",$K26)</f>
        <v/>
      </c>
      <c r="AG26" s="243">
        <f>IF(OR($C26="",$F26=""),"",DATE(YEAR(DATE(Настройки!$C$6,Настройки!$D$7+0,1)),MONTH(DATE(Настройки!$C$6,Настройки!$D$7+0,1)),MIN($F26,DAY((DATE(Настройки!$C$6,Настройки!$D$7+0+1,1)-1)))))</f>
        <v/>
      </c>
      <c r="AH26" s="110">
        <f>IF($C26="","",IF($D26="Доход","Доход","Расход"))</f>
        <v/>
      </c>
      <c r="AI26" s="110">
        <f>IF($C26="","",$E26)</f>
        <v/>
      </c>
      <c r="AJ26" s="110">
        <f>IF($C26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26:$W26,((YEAR(DATE(Настройки!$C$6,Настройки!$D$7+0,1))*12+MONTH(DATE(Настройки!$C$6,Настройки!$D$7+0,1)))-(YEAR($L$6)*12+MONTH($L$6)))+1)="✓",N($G26),IF(ISNUMBER(INDEX($L26:$W26,((YEAR(DATE(Настройки!$C$6,Настройки!$D$7+0,1))*12+MONTH(DATE(Настройки!$C$6,Настройки!$D$7+0,1)))-(YEAR($L$6)*12+MONTH($L$6)))+1)),INDEX($L26:$W26,((YEAR(DATE(Настройки!$C$6,Настройки!$D$7+0,1))*12+MONTH(DATE(Настройки!$C$6,Настройки!$D$7+0,1)))-(YEAR($L$6)*12+MONTH($L$6)))+1),IF(AND(OR($I26="",$I26&lt;=(DATE(Настройки!$C$6,Настройки!$D$7+0+1,1)-1)),OR($J26="",$J26&gt;=DATE(Настройки!$C$6,Настройки!$D$7+0,1)),MOD((YEAR(DATE(Настройки!$C$6,Настройки!$D$7+0,1))*12+MONTH(DATE(Настройки!$C$6,Настройки!$D$7+0,1)))-(YEAR(IF($I26="",$L$6,$I26))*12+MONTH(IF($I26="",$L$6,$I26))),MAX(1,N($H26)))=0),N($G26),0))),IF(AND(OR($I26="",$I26&lt;=(DATE(Настройки!$C$6,Настройки!$D$7+0+1,1)-1)),OR($J26="",$J26&gt;=DATE(Настройки!$C$6,Настройки!$D$7+0,1)),MOD((YEAR(DATE(Настройки!$C$6,Настройки!$D$7+0,1))*12+MONTH(DATE(Настройки!$C$6,Настройки!$D$7+0,1)))-(YEAR(IF($I26="",$L$6,$I26))*12+MONTH(IF($I26="",$L$6,$I26))),MAX(1,N($H26)))=0),N($G26),0)))</f>
        <v/>
      </c>
    </row>
    <row r="27" ht="20" customHeight="1">
      <c r="B27" s="53" t="n">
        <v>20</v>
      </c>
      <c r="C27" s="56" t="n"/>
      <c r="D27" s="55" t="n"/>
      <c r="E27" s="55" t="n"/>
      <c r="F27" s="87" t="n"/>
      <c r="G27" s="196" t="n"/>
      <c r="H27" s="87" t="n"/>
      <c r="I27" s="242" t="n"/>
      <c r="J27" s="242" t="n"/>
      <c r="K27" s="107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Y27" s="243">
        <f>IF(OR($C27="",$F27=""),"",DATE(YEAR($L$6),MONTH($L$6),MIN($F27,DAY((DATE(YEAR($L$6),MONTH($L$6)+1,1)-1)))))</f>
        <v/>
      </c>
      <c r="Z27" s="110">
        <f>IF($C27="","",IF($D27="Доход","Доход","Расход"))</f>
        <v/>
      </c>
      <c r="AA27" s="110">
        <f>IF($C27="","",$E27)</f>
        <v/>
      </c>
      <c r="AB27" s="110">
        <f>IF($C27="",0,IF(AND(OR($I27="",$I27&lt;=(DATE(YEAR($L$6),MONTH($L$6)+1,1)-1)),OR($J27="",$J27&gt;=$L$6),MOD((YEAR($L$6)*12+MONTH($L$6))-(YEAR(IF($I27="",$L$6,$I27))*12+MONTH(IF($I27="",$L$6,$I27))),MAX(1,N($H27)))=0),N($G27),0))</f>
        <v/>
      </c>
      <c r="AC27" s="110">
        <f>IF($C27="",0,IF(L27="✓",N($G27),IF(ISNUMBER(L27),L27,0)))</f>
        <v/>
      </c>
      <c r="AD27" s="243">
        <f>IF($C27="","",$L$6)</f>
        <v/>
      </c>
      <c r="AE27" s="110">
        <f>IF($C27="","",$K27)</f>
        <v/>
      </c>
      <c r="AG27" s="243">
        <f>IF(OR($C27="",$F27=""),"",DATE(YEAR(DATE(Настройки!$C$6,Настройки!$D$7+0,1)),MONTH(DATE(Настройки!$C$6,Настройки!$D$7+0,1)),MIN($F27,DAY((DATE(Настройки!$C$6,Настройки!$D$7+0+1,1)-1)))))</f>
        <v/>
      </c>
      <c r="AH27" s="110">
        <f>IF($C27="","",IF($D27="Доход","Доход","Расход"))</f>
        <v/>
      </c>
      <c r="AI27" s="110">
        <f>IF($C27="","",$E27)</f>
        <v/>
      </c>
      <c r="AJ27" s="110">
        <f>IF($C27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27:$W27,((YEAR(DATE(Настройки!$C$6,Настройки!$D$7+0,1))*12+MONTH(DATE(Настройки!$C$6,Настройки!$D$7+0,1)))-(YEAR($L$6)*12+MONTH($L$6)))+1)="✓",N($G27),IF(ISNUMBER(INDEX($L27:$W27,((YEAR(DATE(Настройки!$C$6,Настройки!$D$7+0,1))*12+MONTH(DATE(Настройки!$C$6,Настройки!$D$7+0,1)))-(YEAR($L$6)*12+MONTH($L$6)))+1)),INDEX($L27:$W27,((YEAR(DATE(Настройки!$C$6,Настройки!$D$7+0,1))*12+MONTH(DATE(Настройки!$C$6,Настройки!$D$7+0,1)))-(YEAR($L$6)*12+MONTH($L$6)))+1),IF(AND(OR($I27="",$I27&lt;=(DATE(Настройки!$C$6,Настройки!$D$7+0+1,1)-1)),OR($J27="",$J27&gt;=DATE(Настройки!$C$6,Настройки!$D$7+0,1)),MOD((YEAR(DATE(Настройки!$C$6,Настройки!$D$7+0,1))*12+MONTH(DATE(Настройки!$C$6,Настройки!$D$7+0,1)))-(YEAR(IF($I27="",$L$6,$I27))*12+MONTH(IF($I27="",$L$6,$I27))),MAX(1,N($H27)))=0),N($G27),0))),IF(AND(OR($I27="",$I27&lt;=(DATE(Настройки!$C$6,Настройки!$D$7+0+1,1)-1)),OR($J27="",$J27&gt;=DATE(Настройки!$C$6,Настройки!$D$7+0,1)),MOD((YEAR(DATE(Настройки!$C$6,Настройки!$D$7+0,1))*12+MONTH(DATE(Настройки!$C$6,Настройки!$D$7+0,1)))-(YEAR(IF($I27="",$L$6,$I27))*12+MONTH(IF($I27="",$L$6,$I27))),MAX(1,N($H27)))=0),N($G27),0)))</f>
        <v/>
      </c>
    </row>
    <row r="28" ht="20" customHeight="1">
      <c r="B28" s="53" t="n">
        <v>21</v>
      </c>
      <c r="C28" s="56" t="n"/>
      <c r="D28" s="55" t="n"/>
      <c r="E28" s="55" t="n"/>
      <c r="F28" s="87" t="n"/>
      <c r="G28" s="196" t="n"/>
      <c r="H28" s="87" t="n"/>
      <c r="I28" s="242" t="n"/>
      <c r="J28" s="242" t="n"/>
      <c r="K28" s="107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Y28" s="243">
        <f>IF(OR($C28="",$F28=""),"",DATE(YEAR($L$6),MONTH($L$6),MIN($F28,DAY((DATE(YEAR($L$6),MONTH($L$6)+1,1)-1)))))</f>
        <v/>
      </c>
      <c r="Z28" s="110">
        <f>IF($C28="","",IF($D28="Доход","Доход","Расход"))</f>
        <v/>
      </c>
      <c r="AA28" s="110">
        <f>IF($C28="","",$E28)</f>
        <v/>
      </c>
      <c r="AB28" s="110">
        <f>IF($C28="",0,IF(AND(OR($I28="",$I28&lt;=(DATE(YEAR($L$6),MONTH($L$6)+1,1)-1)),OR($J28="",$J28&gt;=$L$6),MOD((YEAR($L$6)*12+MONTH($L$6))-(YEAR(IF($I28="",$L$6,$I28))*12+MONTH(IF($I28="",$L$6,$I28))),MAX(1,N($H28)))=0),N($G28),0))</f>
        <v/>
      </c>
      <c r="AC28" s="110">
        <f>IF($C28="",0,IF(L28="✓",N($G28),IF(ISNUMBER(L28),L28,0)))</f>
        <v/>
      </c>
      <c r="AD28" s="243">
        <f>IF($C28="","",$L$6)</f>
        <v/>
      </c>
      <c r="AE28" s="110">
        <f>IF($C28="","",$K28)</f>
        <v/>
      </c>
      <c r="AG28" s="243">
        <f>IF(OR($C28="",$F28=""),"",DATE(YEAR(DATE(Настройки!$C$6,Настройки!$D$7+0,1)),MONTH(DATE(Настройки!$C$6,Настройки!$D$7+0,1)),MIN($F28,DAY((DATE(Настройки!$C$6,Настройки!$D$7+0+1,1)-1)))))</f>
        <v/>
      </c>
      <c r="AH28" s="110">
        <f>IF($C28="","",IF($D28="Доход","Доход","Расход"))</f>
        <v/>
      </c>
      <c r="AI28" s="110">
        <f>IF($C28="","",$E28)</f>
        <v/>
      </c>
      <c r="AJ28" s="110">
        <f>IF($C28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28:$W28,((YEAR(DATE(Настройки!$C$6,Настройки!$D$7+0,1))*12+MONTH(DATE(Настройки!$C$6,Настройки!$D$7+0,1)))-(YEAR($L$6)*12+MONTH($L$6)))+1)="✓",N($G28),IF(ISNUMBER(INDEX($L28:$W28,((YEAR(DATE(Настройки!$C$6,Настройки!$D$7+0,1))*12+MONTH(DATE(Настройки!$C$6,Настройки!$D$7+0,1)))-(YEAR($L$6)*12+MONTH($L$6)))+1)),INDEX($L28:$W28,((YEAR(DATE(Настройки!$C$6,Настройки!$D$7+0,1))*12+MONTH(DATE(Настройки!$C$6,Настройки!$D$7+0,1)))-(YEAR($L$6)*12+MONTH($L$6)))+1),IF(AND(OR($I28="",$I28&lt;=(DATE(Настройки!$C$6,Настройки!$D$7+0+1,1)-1)),OR($J28="",$J28&gt;=DATE(Настройки!$C$6,Настройки!$D$7+0,1)),MOD((YEAR(DATE(Настройки!$C$6,Настройки!$D$7+0,1))*12+MONTH(DATE(Настройки!$C$6,Настройки!$D$7+0,1)))-(YEAR(IF($I28="",$L$6,$I28))*12+MONTH(IF($I28="",$L$6,$I28))),MAX(1,N($H28)))=0),N($G28),0))),IF(AND(OR($I28="",$I28&lt;=(DATE(Настройки!$C$6,Настройки!$D$7+0+1,1)-1)),OR($J28="",$J28&gt;=DATE(Настройки!$C$6,Настройки!$D$7+0,1)),MOD((YEAR(DATE(Настройки!$C$6,Настройки!$D$7+0,1))*12+MONTH(DATE(Настройки!$C$6,Настройки!$D$7+0,1)))-(YEAR(IF($I28="",$L$6,$I28))*12+MONTH(IF($I28="",$L$6,$I28))),MAX(1,N($H28)))=0),N($G28),0)))</f>
        <v/>
      </c>
    </row>
    <row r="29" ht="20" customHeight="1">
      <c r="B29" s="53" t="n">
        <v>22</v>
      </c>
      <c r="C29" s="56" t="n"/>
      <c r="D29" s="55" t="n"/>
      <c r="E29" s="55" t="n"/>
      <c r="F29" s="87" t="n"/>
      <c r="G29" s="196" t="n"/>
      <c r="H29" s="87" t="n"/>
      <c r="I29" s="242" t="n"/>
      <c r="J29" s="242" t="n"/>
      <c r="K29" s="107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Y29" s="243">
        <f>IF(OR($C29="",$F29=""),"",DATE(YEAR($L$6),MONTH($L$6),MIN($F29,DAY((DATE(YEAR($L$6),MONTH($L$6)+1,1)-1)))))</f>
        <v/>
      </c>
      <c r="Z29" s="110">
        <f>IF($C29="","",IF($D29="Доход","Доход","Расход"))</f>
        <v/>
      </c>
      <c r="AA29" s="110">
        <f>IF($C29="","",$E29)</f>
        <v/>
      </c>
      <c r="AB29" s="110">
        <f>IF($C29="",0,IF(AND(OR($I29="",$I29&lt;=(DATE(YEAR($L$6),MONTH($L$6)+1,1)-1)),OR($J29="",$J29&gt;=$L$6),MOD((YEAR($L$6)*12+MONTH($L$6))-(YEAR(IF($I29="",$L$6,$I29))*12+MONTH(IF($I29="",$L$6,$I29))),MAX(1,N($H29)))=0),N($G29),0))</f>
        <v/>
      </c>
      <c r="AC29" s="110">
        <f>IF($C29="",0,IF(L29="✓",N($G29),IF(ISNUMBER(L29),L29,0)))</f>
        <v/>
      </c>
      <c r="AD29" s="243">
        <f>IF($C29="","",$L$6)</f>
        <v/>
      </c>
      <c r="AE29" s="110">
        <f>IF($C29="","",$K29)</f>
        <v/>
      </c>
      <c r="AG29" s="243">
        <f>IF(OR($C29="",$F29=""),"",DATE(YEAR(DATE(Настройки!$C$6,Настройки!$D$7+0,1)),MONTH(DATE(Настройки!$C$6,Настройки!$D$7+0,1)),MIN($F29,DAY((DATE(Настройки!$C$6,Настройки!$D$7+0+1,1)-1)))))</f>
        <v/>
      </c>
      <c r="AH29" s="110">
        <f>IF($C29="","",IF($D29="Доход","Доход","Расход"))</f>
        <v/>
      </c>
      <c r="AI29" s="110">
        <f>IF($C29="","",$E29)</f>
        <v/>
      </c>
      <c r="AJ29" s="110">
        <f>IF($C29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29:$W29,((YEAR(DATE(Настройки!$C$6,Настройки!$D$7+0,1))*12+MONTH(DATE(Настройки!$C$6,Настройки!$D$7+0,1)))-(YEAR($L$6)*12+MONTH($L$6)))+1)="✓",N($G29),IF(ISNUMBER(INDEX($L29:$W29,((YEAR(DATE(Настройки!$C$6,Настройки!$D$7+0,1))*12+MONTH(DATE(Настройки!$C$6,Настройки!$D$7+0,1)))-(YEAR($L$6)*12+MONTH($L$6)))+1)),INDEX($L29:$W29,((YEAR(DATE(Настройки!$C$6,Настройки!$D$7+0,1))*12+MONTH(DATE(Настройки!$C$6,Настройки!$D$7+0,1)))-(YEAR($L$6)*12+MONTH($L$6)))+1),IF(AND(OR($I29="",$I29&lt;=(DATE(Настройки!$C$6,Настройки!$D$7+0+1,1)-1)),OR($J29="",$J29&gt;=DATE(Настройки!$C$6,Настройки!$D$7+0,1)),MOD((YEAR(DATE(Настройки!$C$6,Настройки!$D$7+0,1))*12+MONTH(DATE(Настройки!$C$6,Настройки!$D$7+0,1)))-(YEAR(IF($I29="",$L$6,$I29))*12+MONTH(IF($I29="",$L$6,$I29))),MAX(1,N($H29)))=0),N($G29),0))),IF(AND(OR($I29="",$I29&lt;=(DATE(Настройки!$C$6,Настройки!$D$7+0+1,1)-1)),OR($J29="",$J29&gt;=DATE(Настройки!$C$6,Настройки!$D$7+0,1)),MOD((YEAR(DATE(Настройки!$C$6,Настройки!$D$7+0,1))*12+MONTH(DATE(Настройки!$C$6,Настройки!$D$7+0,1)))-(YEAR(IF($I29="",$L$6,$I29))*12+MONTH(IF($I29="",$L$6,$I29))),MAX(1,N($H29)))=0),N($G29),0)))</f>
        <v/>
      </c>
    </row>
    <row r="30" ht="20" customHeight="1">
      <c r="B30" s="53" t="n">
        <v>23</v>
      </c>
      <c r="C30" s="56" t="n"/>
      <c r="D30" s="55" t="n"/>
      <c r="E30" s="55" t="n"/>
      <c r="F30" s="87" t="n"/>
      <c r="G30" s="196" t="n"/>
      <c r="H30" s="87" t="n"/>
      <c r="I30" s="242" t="n"/>
      <c r="J30" s="242" t="n"/>
      <c r="K30" s="107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Y30" s="243">
        <f>IF(OR($C30="",$F30=""),"",DATE(YEAR($L$6),MONTH($L$6),MIN($F30,DAY((DATE(YEAR($L$6),MONTH($L$6)+1,1)-1)))))</f>
        <v/>
      </c>
      <c r="Z30" s="110">
        <f>IF($C30="","",IF($D30="Доход","Доход","Расход"))</f>
        <v/>
      </c>
      <c r="AA30" s="110">
        <f>IF($C30="","",$E30)</f>
        <v/>
      </c>
      <c r="AB30" s="110">
        <f>IF($C30="",0,IF(AND(OR($I30="",$I30&lt;=(DATE(YEAR($L$6),MONTH($L$6)+1,1)-1)),OR($J30="",$J30&gt;=$L$6),MOD((YEAR($L$6)*12+MONTH($L$6))-(YEAR(IF($I30="",$L$6,$I30))*12+MONTH(IF($I30="",$L$6,$I30))),MAX(1,N($H30)))=0),N($G30),0))</f>
        <v/>
      </c>
      <c r="AC30" s="110">
        <f>IF($C30="",0,IF(L30="✓",N($G30),IF(ISNUMBER(L30),L30,0)))</f>
        <v/>
      </c>
      <c r="AD30" s="243">
        <f>IF($C30="","",$L$6)</f>
        <v/>
      </c>
      <c r="AE30" s="110">
        <f>IF($C30="","",$K30)</f>
        <v/>
      </c>
      <c r="AG30" s="243">
        <f>IF(OR($C30="",$F30=""),"",DATE(YEAR(DATE(Настройки!$C$6,Настройки!$D$7+0,1)),MONTH(DATE(Настройки!$C$6,Настройки!$D$7+0,1)),MIN($F30,DAY((DATE(Настройки!$C$6,Настройки!$D$7+0+1,1)-1)))))</f>
        <v/>
      </c>
      <c r="AH30" s="110">
        <f>IF($C30="","",IF($D30="Доход","Доход","Расход"))</f>
        <v/>
      </c>
      <c r="AI30" s="110">
        <f>IF($C30="","",$E30)</f>
        <v/>
      </c>
      <c r="AJ30" s="110">
        <f>IF($C30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30:$W30,((YEAR(DATE(Настройки!$C$6,Настройки!$D$7+0,1))*12+MONTH(DATE(Настройки!$C$6,Настройки!$D$7+0,1)))-(YEAR($L$6)*12+MONTH($L$6)))+1)="✓",N($G30),IF(ISNUMBER(INDEX($L30:$W30,((YEAR(DATE(Настройки!$C$6,Настройки!$D$7+0,1))*12+MONTH(DATE(Настройки!$C$6,Настройки!$D$7+0,1)))-(YEAR($L$6)*12+MONTH($L$6)))+1)),INDEX($L30:$W30,((YEAR(DATE(Настройки!$C$6,Настройки!$D$7+0,1))*12+MONTH(DATE(Настройки!$C$6,Настройки!$D$7+0,1)))-(YEAR($L$6)*12+MONTH($L$6)))+1),IF(AND(OR($I30="",$I30&lt;=(DATE(Настройки!$C$6,Настройки!$D$7+0+1,1)-1)),OR($J30="",$J30&gt;=DATE(Настройки!$C$6,Настройки!$D$7+0,1)),MOD((YEAR(DATE(Настройки!$C$6,Настройки!$D$7+0,1))*12+MONTH(DATE(Настройки!$C$6,Настройки!$D$7+0,1)))-(YEAR(IF($I30="",$L$6,$I30))*12+MONTH(IF($I30="",$L$6,$I30))),MAX(1,N($H30)))=0),N($G30),0))),IF(AND(OR($I30="",$I30&lt;=(DATE(Настройки!$C$6,Настройки!$D$7+0+1,1)-1)),OR($J30="",$J30&gt;=DATE(Настройки!$C$6,Настройки!$D$7+0,1)),MOD((YEAR(DATE(Настройки!$C$6,Настройки!$D$7+0,1))*12+MONTH(DATE(Настройки!$C$6,Настройки!$D$7+0,1)))-(YEAR(IF($I30="",$L$6,$I30))*12+MONTH(IF($I30="",$L$6,$I30))),MAX(1,N($H30)))=0),N($G30),0)))</f>
        <v/>
      </c>
    </row>
    <row r="31" ht="20" customHeight="1">
      <c r="B31" s="53" t="n">
        <v>24</v>
      </c>
      <c r="C31" s="56" t="n"/>
      <c r="D31" s="55" t="n"/>
      <c r="E31" s="55" t="n"/>
      <c r="F31" s="87" t="n"/>
      <c r="G31" s="196" t="n"/>
      <c r="H31" s="87" t="n"/>
      <c r="I31" s="242" t="n"/>
      <c r="J31" s="242" t="n"/>
      <c r="K31" s="107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Y31" s="243">
        <f>IF(OR($C31="",$F31=""),"",DATE(YEAR($L$6),MONTH($L$6),MIN($F31,DAY((DATE(YEAR($L$6),MONTH($L$6)+1,1)-1)))))</f>
        <v/>
      </c>
      <c r="Z31" s="110">
        <f>IF($C31="","",IF($D31="Доход","Доход","Расход"))</f>
        <v/>
      </c>
      <c r="AA31" s="110">
        <f>IF($C31="","",$E31)</f>
        <v/>
      </c>
      <c r="AB31" s="110">
        <f>IF($C31="",0,IF(AND(OR($I31="",$I31&lt;=(DATE(YEAR($L$6),MONTH($L$6)+1,1)-1)),OR($J31="",$J31&gt;=$L$6),MOD((YEAR($L$6)*12+MONTH($L$6))-(YEAR(IF($I31="",$L$6,$I31))*12+MONTH(IF($I31="",$L$6,$I31))),MAX(1,N($H31)))=0),N($G31),0))</f>
        <v/>
      </c>
      <c r="AC31" s="110">
        <f>IF($C31="",0,IF(L31="✓",N($G31),IF(ISNUMBER(L31),L31,0)))</f>
        <v/>
      </c>
      <c r="AD31" s="243">
        <f>IF($C31="","",$L$6)</f>
        <v/>
      </c>
      <c r="AE31" s="110">
        <f>IF($C31="","",$K31)</f>
        <v/>
      </c>
      <c r="AG31" s="243">
        <f>IF(OR($C31="",$F31=""),"",DATE(YEAR(DATE(Настройки!$C$6,Настройки!$D$7+0,1)),MONTH(DATE(Настройки!$C$6,Настройки!$D$7+0,1)),MIN($F31,DAY((DATE(Настройки!$C$6,Настройки!$D$7+0+1,1)-1)))))</f>
        <v/>
      </c>
      <c r="AH31" s="110">
        <f>IF($C31="","",IF($D31="Доход","Доход","Расход"))</f>
        <v/>
      </c>
      <c r="AI31" s="110">
        <f>IF($C31="","",$E31)</f>
        <v/>
      </c>
      <c r="AJ31" s="110">
        <f>IF($C31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31:$W31,((YEAR(DATE(Настройки!$C$6,Настройки!$D$7+0,1))*12+MONTH(DATE(Настройки!$C$6,Настройки!$D$7+0,1)))-(YEAR($L$6)*12+MONTH($L$6)))+1)="✓",N($G31),IF(ISNUMBER(INDEX($L31:$W31,((YEAR(DATE(Настройки!$C$6,Настройки!$D$7+0,1))*12+MONTH(DATE(Настройки!$C$6,Настройки!$D$7+0,1)))-(YEAR($L$6)*12+MONTH($L$6)))+1)),INDEX($L31:$W31,((YEAR(DATE(Настройки!$C$6,Настройки!$D$7+0,1))*12+MONTH(DATE(Настройки!$C$6,Настройки!$D$7+0,1)))-(YEAR($L$6)*12+MONTH($L$6)))+1),IF(AND(OR($I31="",$I31&lt;=(DATE(Настройки!$C$6,Настройки!$D$7+0+1,1)-1)),OR($J31="",$J31&gt;=DATE(Настройки!$C$6,Настройки!$D$7+0,1)),MOD((YEAR(DATE(Настройки!$C$6,Настройки!$D$7+0,1))*12+MONTH(DATE(Настройки!$C$6,Настройки!$D$7+0,1)))-(YEAR(IF($I31="",$L$6,$I31))*12+MONTH(IF($I31="",$L$6,$I31))),MAX(1,N($H31)))=0),N($G31),0))),IF(AND(OR($I31="",$I31&lt;=(DATE(Настройки!$C$6,Настройки!$D$7+0+1,1)-1)),OR($J31="",$J31&gt;=DATE(Настройки!$C$6,Настройки!$D$7+0,1)),MOD((YEAR(DATE(Настройки!$C$6,Настройки!$D$7+0,1))*12+MONTH(DATE(Настройки!$C$6,Настройки!$D$7+0,1)))-(YEAR(IF($I31="",$L$6,$I31))*12+MONTH(IF($I31="",$L$6,$I31))),MAX(1,N($H31)))=0),N($G31),0)))</f>
        <v/>
      </c>
    </row>
    <row r="32" ht="20" customHeight="1">
      <c r="B32" s="53" t="n">
        <v>25</v>
      </c>
      <c r="C32" s="56" t="n"/>
      <c r="D32" s="55" t="n"/>
      <c r="E32" s="55" t="n"/>
      <c r="F32" s="87" t="n"/>
      <c r="G32" s="196" t="n"/>
      <c r="H32" s="87" t="n"/>
      <c r="I32" s="242" t="n"/>
      <c r="J32" s="242" t="n"/>
      <c r="K32" s="107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Y32" s="243">
        <f>IF(OR($C32="",$F32=""),"",DATE(YEAR($L$6),MONTH($L$6),MIN($F32,DAY((DATE(YEAR($L$6),MONTH($L$6)+1,1)-1)))))</f>
        <v/>
      </c>
      <c r="Z32" s="110">
        <f>IF($C32="","",IF($D32="Доход","Доход","Расход"))</f>
        <v/>
      </c>
      <c r="AA32" s="110">
        <f>IF($C32="","",$E32)</f>
        <v/>
      </c>
      <c r="AB32" s="110">
        <f>IF($C32="",0,IF(AND(OR($I32="",$I32&lt;=(DATE(YEAR($L$6),MONTH($L$6)+1,1)-1)),OR($J32="",$J32&gt;=$L$6),MOD((YEAR($L$6)*12+MONTH($L$6))-(YEAR(IF($I32="",$L$6,$I32))*12+MONTH(IF($I32="",$L$6,$I32))),MAX(1,N($H32)))=0),N($G32),0))</f>
        <v/>
      </c>
      <c r="AC32" s="110">
        <f>IF($C32="",0,IF(L32="✓",N($G32),IF(ISNUMBER(L32),L32,0)))</f>
        <v/>
      </c>
      <c r="AD32" s="243">
        <f>IF($C32="","",$L$6)</f>
        <v/>
      </c>
      <c r="AE32" s="110">
        <f>IF($C32="","",$K32)</f>
        <v/>
      </c>
      <c r="AG32" s="243">
        <f>IF(OR($C32="",$F32=""),"",DATE(YEAR(DATE(Настройки!$C$6,Настройки!$D$7+0,1)),MONTH(DATE(Настройки!$C$6,Настройки!$D$7+0,1)),MIN($F32,DAY((DATE(Настройки!$C$6,Настройки!$D$7+0+1,1)-1)))))</f>
        <v/>
      </c>
      <c r="AH32" s="110">
        <f>IF($C32="","",IF($D32="Доход","Доход","Расход"))</f>
        <v/>
      </c>
      <c r="AI32" s="110">
        <f>IF($C32="","",$E32)</f>
        <v/>
      </c>
      <c r="AJ32" s="110">
        <f>IF($C32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32:$W32,((YEAR(DATE(Настройки!$C$6,Настройки!$D$7+0,1))*12+MONTH(DATE(Настройки!$C$6,Настройки!$D$7+0,1)))-(YEAR($L$6)*12+MONTH($L$6)))+1)="✓",N($G32),IF(ISNUMBER(INDEX($L32:$W32,((YEAR(DATE(Настройки!$C$6,Настройки!$D$7+0,1))*12+MONTH(DATE(Настройки!$C$6,Настройки!$D$7+0,1)))-(YEAR($L$6)*12+MONTH($L$6)))+1)),INDEX($L32:$W32,((YEAR(DATE(Настройки!$C$6,Настройки!$D$7+0,1))*12+MONTH(DATE(Настройки!$C$6,Настройки!$D$7+0,1)))-(YEAR($L$6)*12+MONTH($L$6)))+1),IF(AND(OR($I32="",$I32&lt;=(DATE(Настройки!$C$6,Настройки!$D$7+0+1,1)-1)),OR($J32="",$J32&gt;=DATE(Настройки!$C$6,Настройки!$D$7+0,1)),MOD((YEAR(DATE(Настройки!$C$6,Настройки!$D$7+0,1))*12+MONTH(DATE(Настройки!$C$6,Настройки!$D$7+0,1)))-(YEAR(IF($I32="",$L$6,$I32))*12+MONTH(IF($I32="",$L$6,$I32))),MAX(1,N($H32)))=0),N($G32),0))),IF(AND(OR($I32="",$I32&lt;=(DATE(Настройки!$C$6,Настройки!$D$7+0+1,1)-1)),OR($J32="",$J32&gt;=DATE(Настройки!$C$6,Настройки!$D$7+0,1)),MOD((YEAR(DATE(Настройки!$C$6,Настройки!$D$7+0,1))*12+MONTH(DATE(Настройки!$C$6,Настройки!$D$7+0,1)))-(YEAR(IF($I32="",$L$6,$I32))*12+MONTH(IF($I32="",$L$6,$I32))),MAX(1,N($H32)))=0),N($G32),0)))</f>
        <v/>
      </c>
    </row>
    <row r="33" ht="20" customHeight="1">
      <c r="B33" s="53" t="n">
        <v>26</v>
      </c>
      <c r="C33" s="56" t="n"/>
      <c r="D33" s="55" t="n"/>
      <c r="E33" s="55" t="n"/>
      <c r="F33" s="87" t="n"/>
      <c r="G33" s="196" t="n"/>
      <c r="H33" s="87" t="n"/>
      <c r="I33" s="242" t="n"/>
      <c r="J33" s="242" t="n"/>
      <c r="K33" s="107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Y33" s="243">
        <f>IF(OR($C33="",$F33=""),"",DATE(YEAR($L$6),MONTH($L$6),MIN($F33,DAY((DATE(YEAR($L$6),MONTH($L$6)+1,1)-1)))))</f>
        <v/>
      </c>
      <c r="Z33" s="110">
        <f>IF($C33="","",IF($D33="Доход","Доход","Расход"))</f>
        <v/>
      </c>
      <c r="AA33" s="110">
        <f>IF($C33="","",$E33)</f>
        <v/>
      </c>
      <c r="AB33" s="110">
        <f>IF($C33="",0,IF(AND(OR($I33="",$I33&lt;=(DATE(YEAR($L$6),MONTH($L$6)+1,1)-1)),OR($J33="",$J33&gt;=$L$6),MOD((YEAR($L$6)*12+MONTH($L$6))-(YEAR(IF($I33="",$L$6,$I33))*12+MONTH(IF($I33="",$L$6,$I33))),MAX(1,N($H33)))=0),N($G33),0))</f>
        <v/>
      </c>
      <c r="AC33" s="110">
        <f>IF($C33="",0,IF(L33="✓",N($G33),IF(ISNUMBER(L33),L33,0)))</f>
        <v/>
      </c>
      <c r="AD33" s="243">
        <f>IF($C33="","",$L$6)</f>
        <v/>
      </c>
      <c r="AE33" s="110">
        <f>IF($C33="","",$K33)</f>
        <v/>
      </c>
      <c r="AG33" s="243">
        <f>IF(OR($C33="",$F33=""),"",DATE(YEAR(DATE(Настройки!$C$6,Настройки!$D$7+0,1)),MONTH(DATE(Настройки!$C$6,Настройки!$D$7+0,1)),MIN($F33,DAY((DATE(Настройки!$C$6,Настройки!$D$7+0+1,1)-1)))))</f>
        <v/>
      </c>
      <c r="AH33" s="110">
        <f>IF($C33="","",IF($D33="Доход","Доход","Расход"))</f>
        <v/>
      </c>
      <c r="AI33" s="110">
        <f>IF($C33="","",$E33)</f>
        <v/>
      </c>
      <c r="AJ33" s="110">
        <f>IF($C33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33:$W33,((YEAR(DATE(Настройки!$C$6,Настройки!$D$7+0,1))*12+MONTH(DATE(Настройки!$C$6,Настройки!$D$7+0,1)))-(YEAR($L$6)*12+MONTH($L$6)))+1)="✓",N($G33),IF(ISNUMBER(INDEX($L33:$W33,((YEAR(DATE(Настройки!$C$6,Настройки!$D$7+0,1))*12+MONTH(DATE(Настройки!$C$6,Настройки!$D$7+0,1)))-(YEAR($L$6)*12+MONTH($L$6)))+1)),INDEX($L33:$W33,((YEAR(DATE(Настройки!$C$6,Настройки!$D$7+0,1))*12+MONTH(DATE(Настройки!$C$6,Настройки!$D$7+0,1)))-(YEAR($L$6)*12+MONTH($L$6)))+1),IF(AND(OR($I33="",$I33&lt;=(DATE(Настройки!$C$6,Настройки!$D$7+0+1,1)-1)),OR($J33="",$J33&gt;=DATE(Настройки!$C$6,Настройки!$D$7+0,1)),MOD((YEAR(DATE(Настройки!$C$6,Настройки!$D$7+0,1))*12+MONTH(DATE(Настройки!$C$6,Настройки!$D$7+0,1)))-(YEAR(IF($I33="",$L$6,$I33))*12+MONTH(IF($I33="",$L$6,$I33))),MAX(1,N($H33)))=0),N($G33),0))),IF(AND(OR($I33="",$I33&lt;=(DATE(Настройки!$C$6,Настройки!$D$7+0+1,1)-1)),OR($J33="",$J33&gt;=DATE(Настройки!$C$6,Настройки!$D$7+0,1)),MOD((YEAR(DATE(Настройки!$C$6,Настройки!$D$7+0,1))*12+MONTH(DATE(Настройки!$C$6,Настройки!$D$7+0,1)))-(YEAR(IF($I33="",$L$6,$I33))*12+MONTH(IF($I33="",$L$6,$I33))),MAX(1,N($H33)))=0),N($G33),0)))</f>
        <v/>
      </c>
    </row>
    <row r="34" ht="20" customHeight="1">
      <c r="B34" s="53" t="n">
        <v>27</v>
      </c>
      <c r="C34" s="56" t="n"/>
      <c r="D34" s="55" t="n"/>
      <c r="E34" s="55" t="n"/>
      <c r="F34" s="87" t="n"/>
      <c r="G34" s="196" t="n"/>
      <c r="H34" s="87" t="n"/>
      <c r="I34" s="242" t="n"/>
      <c r="J34" s="242" t="n"/>
      <c r="K34" s="107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Y34" s="243">
        <f>IF(OR($C34="",$F34=""),"",DATE(YEAR($L$6),MONTH($L$6),MIN($F34,DAY((DATE(YEAR($L$6),MONTH($L$6)+1,1)-1)))))</f>
        <v/>
      </c>
      <c r="Z34" s="110">
        <f>IF($C34="","",IF($D34="Доход","Доход","Расход"))</f>
        <v/>
      </c>
      <c r="AA34" s="110">
        <f>IF($C34="","",$E34)</f>
        <v/>
      </c>
      <c r="AB34" s="110">
        <f>IF($C34="",0,IF(AND(OR($I34="",$I34&lt;=(DATE(YEAR($L$6),MONTH($L$6)+1,1)-1)),OR($J34="",$J34&gt;=$L$6),MOD((YEAR($L$6)*12+MONTH($L$6))-(YEAR(IF($I34="",$L$6,$I34))*12+MONTH(IF($I34="",$L$6,$I34))),MAX(1,N($H34)))=0),N($G34),0))</f>
        <v/>
      </c>
      <c r="AC34" s="110">
        <f>IF($C34="",0,IF(L34="✓",N($G34),IF(ISNUMBER(L34),L34,0)))</f>
        <v/>
      </c>
      <c r="AD34" s="243">
        <f>IF($C34="","",$L$6)</f>
        <v/>
      </c>
      <c r="AE34" s="110">
        <f>IF($C34="","",$K34)</f>
        <v/>
      </c>
      <c r="AG34" s="243">
        <f>IF(OR($C34="",$F34=""),"",DATE(YEAR(DATE(Настройки!$C$6,Настройки!$D$7+0,1)),MONTH(DATE(Настройки!$C$6,Настройки!$D$7+0,1)),MIN($F34,DAY((DATE(Настройки!$C$6,Настройки!$D$7+0+1,1)-1)))))</f>
        <v/>
      </c>
      <c r="AH34" s="110">
        <f>IF($C34="","",IF($D34="Доход","Доход","Расход"))</f>
        <v/>
      </c>
      <c r="AI34" s="110">
        <f>IF($C34="","",$E34)</f>
        <v/>
      </c>
      <c r="AJ34" s="110">
        <f>IF($C34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34:$W34,((YEAR(DATE(Настройки!$C$6,Настройки!$D$7+0,1))*12+MONTH(DATE(Настройки!$C$6,Настройки!$D$7+0,1)))-(YEAR($L$6)*12+MONTH($L$6)))+1)="✓",N($G34),IF(ISNUMBER(INDEX($L34:$W34,((YEAR(DATE(Настройки!$C$6,Настройки!$D$7+0,1))*12+MONTH(DATE(Настройки!$C$6,Настройки!$D$7+0,1)))-(YEAR($L$6)*12+MONTH($L$6)))+1)),INDEX($L34:$W34,((YEAR(DATE(Настройки!$C$6,Настройки!$D$7+0,1))*12+MONTH(DATE(Настройки!$C$6,Настройки!$D$7+0,1)))-(YEAR($L$6)*12+MONTH($L$6)))+1),IF(AND(OR($I34="",$I34&lt;=(DATE(Настройки!$C$6,Настройки!$D$7+0+1,1)-1)),OR($J34="",$J34&gt;=DATE(Настройки!$C$6,Настройки!$D$7+0,1)),MOD((YEAR(DATE(Настройки!$C$6,Настройки!$D$7+0,1))*12+MONTH(DATE(Настройки!$C$6,Настройки!$D$7+0,1)))-(YEAR(IF($I34="",$L$6,$I34))*12+MONTH(IF($I34="",$L$6,$I34))),MAX(1,N($H34)))=0),N($G34),0))),IF(AND(OR($I34="",$I34&lt;=(DATE(Настройки!$C$6,Настройки!$D$7+0+1,1)-1)),OR($J34="",$J34&gt;=DATE(Настройки!$C$6,Настройки!$D$7+0,1)),MOD((YEAR(DATE(Настройки!$C$6,Настройки!$D$7+0,1))*12+MONTH(DATE(Настройки!$C$6,Настройки!$D$7+0,1)))-(YEAR(IF($I34="",$L$6,$I34))*12+MONTH(IF($I34="",$L$6,$I34))),MAX(1,N($H34)))=0),N($G34),0)))</f>
        <v/>
      </c>
    </row>
    <row r="35" ht="20" customHeight="1">
      <c r="B35" s="53" t="n">
        <v>28</v>
      </c>
      <c r="C35" s="56" t="n"/>
      <c r="D35" s="55" t="n"/>
      <c r="E35" s="55" t="n"/>
      <c r="F35" s="87" t="n"/>
      <c r="G35" s="196" t="n"/>
      <c r="H35" s="87" t="n"/>
      <c r="I35" s="242" t="n"/>
      <c r="J35" s="242" t="n"/>
      <c r="K35" s="107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Y35" s="243">
        <f>IF(OR($C35="",$F35=""),"",DATE(YEAR($L$6),MONTH($L$6),MIN($F35,DAY((DATE(YEAR($L$6),MONTH($L$6)+1,1)-1)))))</f>
        <v/>
      </c>
      <c r="Z35" s="110">
        <f>IF($C35="","",IF($D35="Доход","Доход","Расход"))</f>
        <v/>
      </c>
      <c r="AA35" s="110">
        <f>IF($C35="","",$E35)</f>
        <v/>
      </c>
      <c r="AB35" s="110">
        <f>IF($C35="",0,IF(AND(OR($I35="",$I35&lt;=(DATE(YEAR($L$6),MONTH($L$6)+1,1)-1)),OR($J35="",$J35&gt;=$L$6),MOD((YEAR($L$6)*12+MONTH($L$6))-(YEAR(IF($I35="",$L$6,$I35))*12+MONTH(IF($I35="",$L$6,$I35))),MAX(1,N($H35)))=0),N($G35),0))</f>
        <v/>
      </c>
      <c r="AC35" s="110">
        <f>IF($C35="",0,IF(L35="✓",N($G35),IF(ISNUMBER(L35),L35,0)))</f>
        <v/>
      </c>
      <c r="AD35" s="243">
        <f>IF($C35="","",$L$6)</f>
        <v/>
      </c>
      <c r="AE35" s="110">
        <f>IF($C35="","",$K35)</f>
        <v/>
      </c>
      <c r="AG35" s="243">
        <f>IF(OR($C35="",$F35=""),"",DATE(YEAR(DATE(Настройки!$C$6,Настройки!$D$7+0,1)),MONTH(DATE(Настройки!$C$6,Настройки!$D$7+0,1)),MIN($F35,DAY((DATE(Настройки!$C$6,Настройки!$D$7+0+1,1)-1)))))</f>
        <v/>
      </c>
      <c r="AH35" s="110">
        <f>IF($C35="","",IF($D35="Доход","Доход","Расход"))</f>
        <v/>
      </c>
      <c r="AI35" s="110">
        <f>IF($C35="","",$E35)</f>
        <v/>
      </c>
      <c r="AJ35" s="110">
        <f>IF($C35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35:$W35,((YEAR(DATE(Настройки!$C$6,Настройки!$D$7+0,1))*12+MONTH(DATE(Настройки!$C$6,Настройки!$D$7+0,1)))-(YEAR($L$6)*12+MONTH($L$6)))+1)="✓",N($G35),IF(ISNUMBER(INDEX($L35:$W35,((YEAR(DATE(Настройки!$C$6,Настройки!$D$7+0,1))*12+MONTH(DATE(Настройки!$C$6,Настройки!$D$7+0,1)))-(YEAR($L$6)*12+MONTH($L$6)))+1)),INDEX($L35:$W35,((YEAR(DATE(Настройки!$C$6,Настройки!$D$7+0,1))*12+MONTH(DATE(Настройки!$C$6,Настройки!$D$7+0,1)))-(YEAR($L$6)*12+MONTH($L$6)))+1),IF(AND(OR($I35="",$I35&lt;=(DATE(Настройки!$C$6,Настройки!$D$7+0+1,1)-1)),OR($J35="",$J35&gt;=DATE(Настройки!$C$6,Настройки!$D$7+0,1)),MOD((YEAR(DATE(Настройки!$C$6,Настройки!$D$7+0,1))*12+MONTH(DATE(Настройки!$C$6,Настройки!$D$7+0,1)))-(YEAR(IF($I35="",$L$6,$I35))*12+MONTH(IF($I35="",$L$6,$I35))),MAX(1,N($H35)))=0),N($G35),0))),IF(AND(OR($I35="",$I35&lt;=(DATE(Настройки!$C$6,Настройки!$D$7+0+1,1)-1)),OR($J35="",$J35&gt;=DATE(Настройки!$C$6,Настройки!$D$7+0,1)),MOD((YEAR(DATE(Настройки!$C$6,Настройки!$D$7+0,1))*12+MONTH(DATE(Настройки!$C$6,Настройки!$D$7+0,1)))-(YEAR(IF($I35="",$L$6,$I35))*12+MONTH(IF($I35="",$L$6,$I35))),MAX(1,N($H35)))=0),N($G35),0)))</f>
        <v/>
      </c>
    </row>
    <row r="36" ht="20" customHeight="1">
      <c r="B36" s="53" t="n">
        <v>29</v>
      </c>
      <c r="C36" s="56" t="n"/>
      <c r="D36" s="55" t="n"/>
      <c r="E36" s="55" t="n"/>
      <c r="F36" s="87" t="n"/>
      <c r="G36" s="196" t="n"/>
      <c r="H36" s="87" t="n"/>
      <c r="I36" s="242" t="n"/>
      <c r="J36" s="242" t="n"/>
      <c r="K36" s="107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Y36" s="243">
        <f>IF(OR($C36="",$F36=""),"",DATE(YEAR($L$6),MONTH($L$6),MIN($F36,DAY((DATE(YEAR($L$6),MONTH($L$6)+1,1)-1)))))</f>
        <v/>
      </c>
      <c r="Z36" s="110">
        <f>IF($C36="","",IF($D36="Доход","Доход","Расход"))</f>
        <v/>
      </c>
      <c r="AA36" s="110">
        <f>IF($C36="","",$E36)</f>
        <v/>
      </c>
      <c r="AB36" s="110">
        <f>IF($C36="",0,IF(AND(OR($I36="",$I36&lt;=(DATE(YEAR($L$6),MONTH($L$6)+1,1)-1)),OR($J36="",$J36&gt;=$L$6),MOD((YEAR($L$6)*12+MONTH($L$6))-(YEAR(IF($I36="",$L$6,$I36))*12+MONTH(IF($I36="",$L$6,$I36))),MAX(1,N($H36)))=0),N($G36),0))</f>
        <v/>
      </c>
      <c r="AC36" s="110">
        <f>IF($C36="",0,IF(L36="✓",N($G36),IF(ISNUMBER(L36),L36,0)))</f>
        <v/>
      </c>
      <c r="AD36" s="243">
        <f>IF($C36="","",$L$6)</f>
        <v/>
      </c>
      <c r="AE36" s="110">
        <f>IF($C36="","",$K36)</f>
        <v/>
      </c>
      <c r="AG36" s="243">
        <f>IF(OR($C36="",$F36=""),"",DATE(YEAR(DATE(Настройки!$C$6,Настройки!$D$7+0,1)),MONTH(DATE(Настройки!$C$6,Настройки!$D$7+0,1)),MIN($F36,DAY((DATE(Настройки!$C$6,Настройки!$D$7+0+1,1)-1)))))</f>
        <v/>
      </c>
      <c r="AH36" s="110">
        <f>IF($C36="","",IF($D36="Доход","Доход","Расход"))</f>
        <v/>
      </c>
      <c r="AI36" s="110">
        <f>IF($C36="","",$E36)</f>
        <v/>
      </c>
      <c r="AJ36" s="110">
        <f>IF($C36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36:$W36,((YEAR(DATE(Настройки!$C$6,Настройки!$D$7+0,1))*12+MONTH(DATE(Настройки!$C$6,Настройки!$D$7+0,1)))-(YEAR($L$6)*12+MONTH($L$6)))+1)="✓",N($G36),IF(ISNUMBER(INDEX($L36:$W36,((YEAR(DATE(Настройки!$C$6,Настройки!$D$7+0,1))*12+MONTH(DATE(Настройки!$C$6,Настройки!$D$7+0,1)))-(YEAR($L$6)*12+MONTH($L$6)))+1)),INDEX($L36:$W36,((YEAR(DATE(Настройки!$C$6,Настройки!$D$7+0,1))*12+MONTH(DATE(Настройки!$C$6,Настройки!$D$7+0,1)))-(YEAR($L$6)*12+MONTH($L$6)))+1),IF(AND(OR($I36="",$I36&lt;=(DATE(Настройки!$C$6,Настройки!$D$7+0+1,1)-1)),OR($J36="",$J36&gt;=DATE(Настройки!$C$6,Настройки!$D$7+0,1)),MOD((YEAR(DATE(Настройки!$C$6,Настройки!$D$7+0,1))*12+MONTH(DATE(Настройки!$C$6,Настройки!$D$7+0,1)))-(YEAR(IF($I36="",$L$6,$I36))*12+MONTH(IF($I36="",$L$6,$I36))),MAX(1,N($H36)))=0),N($G36),0))),IF(AND(OR($I36="",$I36&lt;=(DATE(Настройки!$C$6,Настройки!$D$7+0+1,1)-1)),OR($J36="",$J36&gt;=DATE(Настройки!$C$6,Настройки!$D$7+0,1)),MOD((YEAR(DATE(Настройки!$C$6,Настройки!$D$7+0,1))*12+MONTH(DATE(Настройки!$C$6,Настройки!$D$7+0,1)))-(YEAR(IF($I36="",$L$6,$I36))*12+MONTH(IF($I36="",$L$6,$I36))),MAX(1,N($H36)))=0),N($G36),0)))</f>
        <v/>
      </c>
    </row>
    <row r="37" ht="20" customHeight="1">
      <c r="B37" s="53" t="n">
        <v>30</v>
      </c>
      <c r="C37" s="56" t="n"/>
      <c r="D37" s="55" t="n"/>
      <c r="E37" s="55" t="n"/>
      <c r="F37" s="87" t="n"/>
      <c r="G37" s="196" t="n"/>
      <c r="H37" s="87" t="n"/>
      <c r="I37" s="242" t="n"/>
      <c r="J37" s="242" t="n"/>
      <c r="K37" s="107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Y37" s="243">
        <f>IF(OR($C37="",$F37=""),"",DATE(YEAR($L$6),MONTH($L$6),MIN($F37,DAY((DATE(YEAR($L$6),MONTH($L$6)+1,1)-1)))))</f>
        <v/>
      </c>
      <c r="Z37" s="110">
        <f>IF($C37="","",IF($D37="Доход","Доход","Расход"))</f>
        <v/>
      </c>
      <c r="AA37" s="110">
        <f>IF($C37="","",$E37)</f>
        <v/>
      </c>
      <c r="AB37" s="110">
        <f>IF($C37="",0,IF(AND(OR($I37="",$I37&lt;=(DATE(YEAR($L$6),MONTH($L$6)+1,1)-1)),OR($J37="",$J37&gt;=$L$6),MOD((YEAR($L$6)*12+MONTH($L$6))-(YEAR(IF($I37="",$L$6,$I37))*12+MONTH(IF($I37="",$L$6,$I37))),MAX(1,N($H37)))=0),N($G37),0))</f>
        <v/>
      </c>
      <c r="AC37" s="110">
        <f>IF($C37="",0,IF(L37="✓",N($G37),IF(ISNUMBER(L37),L37,0)))</f>
        <v/>
      </c>
      <c r="AD37" s="243">
        <f>IF($C37="","",$L$6)</f>
        <v/>
      </c>
      <c r="AE37" s="110">
        <f>IF($C37="","",$K37)</f>
        <v/>
      </c>
      <c r="AG37" s="243">
        <f>IF(OR($C37="",$F37=""),"",DATE(YEAR(DATE(Настройки!$C$6,Настройки!$D$7+0,1)),MONTH(DATE(Настройки!$C$6,Настройки!$D$7+0,1)),MIN($F37,DAY((DATE(Настройки!$C$6,Настройки!$D$7+0+1,1)-1)))))</f>
        <v/>
      </c>
      <c r="AH37" s="110">
        <f>IF($C37="","",IF($D37="Доход","Доход","Расход"))</f>
        <v/>
      </c>
      <c r="AI37" s="110">
        <f>IF($C37="","",$E37)</f>
        <v/>
      </c>
      <c r="AJ37" s="110">
        <f>IF($C37="",0,IF(AND(((YEAR(DATE(Настройки!$C$6,Настройки!$D$7+0,1))*12+MONTH(DATE(Настройки!$C$6,Настройки!$D$7+0,1)))-(YEAR($L$6)*12+MONTH($L$6)))&gt;=0,((YEAR(DATE(Настройки!$C$6,Настройки!$D$7+0,1))*12+MONTH(DATE(Настройки!$C$6,Настройки!$D$7+0,1)))-(YEAR($L$6)*12+MONTH($L$6)))&lt;=11),IF(INDEX($L37:$W37,((YEAR(DATE(Настройки!$C$6,Настройки!$D$7+0,1))*12+MONTH(DATE(Настройки!$C$6,Настройки!$D$7+0,1)))-(YEAR($L$6)*12+MONTH($L$6)))+1)="✓",N($G37),IF(ISNUMBER(INDEX($L37:$W37,((YEAR(DATE(Настройки!$C$6,Настройки!$D$7+0,1))*12+MONTH(DATE(Настройки!$C$6,Настройки!$D$7+0,1)))-(YEAR($L$6)*12+MONTH($L$6)))+1)),INDEX($L37:$W37,((YEAR(DATE(Настройки!$C$6,Настройки!$D$7+0,1))*12+MONTH(DATE(Настройки!$C$6,Настройки!$D$7+0,1)))-(YEAR($L$6)*12+MONTH($L$6)))+1),IF(AND(OR($I37="",$I37&lt;=(DATE(Настройки!$C$6,Настройки!$D$7+0+1,1)-1)),OR($J37="",$J37&gt;=DATE(Настройки!$C$6,Настройки!$D$7+0,1)),MOD((YEAR(DATE(Настройки!$C$6,Настройки!$D$7+0,1))*12+MONTH(DATE(Настройки!$C$6,Настройки!$D$7+0,1)))-(YEAR(IF($I37="",$L$6,$I37))*12+MONTH(IF($I37="",$L$6,$I37))),MAX(1,N($H37)))=0),N($G37),0))),IF(AND(OR($I37="",$I37&lt;=(DATE(Настройки!$C$6,Настройки!$D$7+0+1,1)-1)),OR($J37="",$J37&gt;=DATE(Настройки!$C$6,Настройки!$D$7+0,1)),MOD((YEAR(DATE(Настройки!$C$6,Настройки!$D$7+0,1))*12+MONTH(DATE(Настройки!$C$6,Настройки!$D$7+0,1)))-(YEAR(IF($I37="",$L$6,$I37))*12+MONTH(IF($I37="",$L$6,$I37))),MAX(1,N($H37)))=0),N($G37),0)))</f>
        <v/>
      </c>
    </row>
    <row r="38" ht="21" customHeight="1">
      <c r="B38" s="111" t="inlineStr">
        <is>
          <t>Оплачено расходов</t>
        </is>
      </c>
      <c r="G38" s="244">
        <f>SUMPRODUCT(($D$8:$D$37&lt;&gt;"Доход")*$G$8:$G$37/(($H$8:$H$37&lt;=1)+($H$8:$H$37&gt;1)*$H$8:$H$37))</f>
        <v/>
      </c>
      <c r="H38" s="113" t="inlineStr">
        <is>
          <t>← в среднем в месяц</t>
        </is>
      </c>
      <c r="K38" s="2" t="n"/>
      <c r="L38" s="114">
        <f>SUMIFS(Постоянные!$AC$8:$AC$367,Постоянные!$Z$8:$Z$367,"Расход",Постоянные!$AD$8:$AD$367,L$6)</f>
        <v/>
      </c>
      <c r="M38" s="114">
        <f>SUMIFS(Постоянные!$AC$8:$AC$367,Постоянные!$Z$8:$Z$367,"Расход",Постоянные!$AD$8:$AD$367,M$6)</f>
        <v/>
      </c>
      <c r="N38" s="114">
        <f>SUMIFS(Постоянные!$AC$8:$AC$367,Постоянные!$Z$8:$Z$367,"Расход",Постоянные!$AD$8:$AD$367,N$6)</f>
        <v/>
      </c>
      <c r="O38" s="114">
        <f>SUMIFS(Постоянные!$AC$8:$AC$367,Постоянные!$Z$8:$Z$367,"Расход",Постоянные!$AD$8:$AD$367,O$6)</f>
        <v/>
      </c>
      <c r="P38" s="114">
        <f>SUMIFS(Постоянные!$AC$8:$AC$367,Постоянные!$Z$8:$Z$367,"Расход",Постоянные!$AD$8:$AD$367,P$6)</f>
        <v/>
      </c>
      <c r="Q38" s="114">
        <f>SUMIFS(Постоянные!$AC$8:$AC$367,Постоянные!$Z$8:$Z$367,"Расход",Постоянные!$AD$8:$AD$367,Q$6)</f>
        <v/>
      </c>
      <c r="R38" s="114">
        <f>SUMIFS(Постоянные!$AC$8:$AC$367,Постоянные!$Z$8:$Z$367,"Расход",Постоянные!$AD$8:$AD$367,R$6)</f>
        <v/>
      </c>
      <c r="S38" s="114">
        <f>SUMIFS(Постоянные!$AC$8:$AC$367,Постоянные!$Z$8:$Z$367,"Расход",Постоянные!$AD$8:$AD$367,S$6)</f>
        <v/>
      </c>
      <c r="T38" s="114">
        <f>SUMIFS(Постоянные!$AC$8:$AC$367,Постоянные!$Z$8:$Z$367,"Расход",Постоянные!$AD$8:$AD$367,T$6)</f>
        <v/>
      </c>
      <c r="U38" s="114">
        <f>SUMIFS(Постоянные!$AC$8:$AC$367,Постоянные!$Z$8:$Z$367,"Расход",Постоянные!$AD$8:$AD$367,U$6)</f>
        <v/>
      </c>
      <c r="V38" s="114">
        <f>SUMIFS(Постоянные!$AC$8:$AC$367,Постоянные!$Z$8:$Z$367,"Расход",Постоянные!$AD$8:$AD$367,V$6)</f>
        <v/>
      </c>
      <c r="W38" s="114">
        <f>SUMIFS(Постоянные!$AC$8:$AC$367,Постоянные!$Z$8:$Z$367,"Расход",Постоянные!$AD$8:$AD$367,W$6)</f>
        <v/>
      </c>
      <c r="Y38" s="243">
        <f>IF(OR($C8="",$F8=""),"",DATE(YEAR($M$6),MONTH($M$6),MIN($F8,DAY((DATE(YEAR($M$6),MONTH($M$6)+1,1)-1)))))</f>
        <v/>
      </c>
      <c r="Z38" s="110">
        <f>IF($C8="","",IF($D8="Доход","Доход","Расход"))</f>
        <v/>
      </c>
      <c r="AA38" s="110">
        <f>IF($C8="","",$E8)</f>
        <v/>
      </c>
      <c r="AB38" s="110">
        <f>IF($C8="",0,IF(AND(OR($I8="",$I8&lt;=(DATE(YEAR($M$6),MONTH($M$6)+1,1)-1)),OR($J8="",$J8&gt;=$M$6),MOD((YEAR($M$6)*12+MONTH($M$6))-(YEAR(IF($I8="",$L$6,$I8))*12+MONTH(IF($I8="",$L$6,$I8))),MAX(1,N($H8)))=0),N($G8),0))</f>
        <v/>
      </c>
      <c r="AC38" s="110">
        <f>IF($C8="",0,IF(M8="✓",N($G8),IF(ISNUMBER(M8),M8,0)))</f>
        <v/>
      </c>
      <c r="AD38" s="243">
        <f>IF($C8="","",$M$6)</f>
        <v/>
      </c>
      <c r="AE38" s="110">
        <f>IF($C8="","",$K8)</f>
        <v/>
      </c>
      <c r="AG38" s="243">
        <f>IF(OR($C8="",$F8=""),"",DATE(YEAR(DATE(Настройки!$C$6,Настройки!$D$7+1,1)),MONTH(DATE(Настройки!$C$6,Настройки!$D$7+1,1)),MIN($F8,DAY((DATE(Настройки!$C$6,Настройки!$D$7+1+1,1)-1)))))</f>
        <v/>
      </c>
      <c r="AH38" s="110">
        <f>IF($C8="","",IF($D8="Доход","Доход","Расход"))</f>
        <v/>
      </c>
      <c r="AI38" s="110">
        <f>IF($C8="","",$E8)</f>
        <v/>
      </c>
      <c r="AJ38" s="110">
        <f>IF($C8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8:$W8,((YEAR(DATE(Настройки!$C$6,Настройки!$D$7+1,1))*12+MONTH(DATE(Настройки!$C$6,Настройки!$D$7+1,1)))-(YEAR($L$6)*12+MONTH($L$6)))+1)="✓",N($G8),IF(ISNUMBER(INDEX($L8:$W8,((YEAR(DATE(Настройки!$C$6,Настройки!$D$7+1,1))*12+MONTH(DATE(Настройки!$C$6,Настройки!$D$7+1,1)))-(YEAR($L$6)*12+MONTH($L$6)))+1)),INDEX($L8:$W8,((YEAR(DATE(Настройки!$C$6,Настройки!$D$7+1,1))*12+MONTH(DATE(Настройки!$C$6,Настройки!$D$7+1,1)))-(YEAR($L$6)*12+MONTH($L$6)))+1),IF(AND(OR($I8="",$I8&lt;=(DATE(Настройки!$C$6,Настройки!$D$7+1+1,1)-1)),OR($J8="",$J8&gt;=DATE(Настройки!$C$6,Настройки!$D$7+1,1)),MOD((YEAR(DATE(Настройки!$C$6,Настройки!$D$7+1,1))*12+MONTH(DATE(Настройки!$C$6,Настройки!$D$7+1,1)))-(YEAR(IF($I8="",$L$6,$I8))*12+MONTH(IF($I8="",$L$6,$I8))),MAX(1,N($H8)))=0),N($G8),0))),IF(AND(OR($I8="",$I8&lt;=(DATE(Настройки!$C$6,Настройки!$D$7+1+1,1)-1)),OR($J8="",$J8&gt;=DATE(Настройки!$C$6,Настройки!$D$7+1,1)),MOD((YEAR(DATE(Настройки!$C$6,Настройки!$D$7+1,1))*12+MONTH(DATE(Настройки!$C$6,Настройки!$D$7+1,1)))-(YEAR(IF($I8="",$L$6,$I8))*12+MONTH(IF($I8="",$L$6,$I8))),MAX(1,N($H8)))=0),N($G8),0)))</f>
        <v/>
      </c>
    </row>
    <row r="39" ht="21" customHeight="1">
      <c r="B39" s="115" t="inlineStr">
        <is>
          <t>Получено доходов</t>
        </is>
      </c>
      <c r="G39" s="245">
        <f>SUMPRODUCT(($D$8:$D$37="Доход")*$G$8:$G$37/(($H$8:$H$37&lt;=1)+($H$8:$H$37&gt;1)*$H$8:$H$37))</f>
        <v/>
      </c>
      <c r="H39" s="116" t="n"/>
      <c r="I39" s="116" t="n"/>
      <c r="J39" s="116" t="n"/>
      <c r="K39" s="116" t="n"/>
      <c r="L39" s="118">
        <f>SUMIFS(Постоянные!$AC$8:$AC$367,Постоянные!$Z$8:$Z$367,"Доход",Постоянные!$AD$8:$AD$367,L$6)</f>
        <v/>
      </c>
      <c r="M39" s="118">
        <f>SUMIFS(Постоянные!$AC$8:$AC$367,Постоянные!$Z$8:$Z$367,"Доход",Постоянные!$AD$8:$AD$367,M$6)</f>
        <v/>
      </c>
      <c r="N39" s="118">
        <f>SUMIFS(Постоянные!$AC$8:$AC$367,Постоянные!$Z$8:$Z$367,"Доход",Постоянные!$AD$8:$AD$367,N$6)</f>
        <v/>
      </c>
      <c r="O39" s="118">
        <f>SUMIFS(Постоянные!$AC$8:$AC$367,Постоянные!$Z$8:$Z$367,"Доход",Постоянные!$AD$8:$AD$367,O$6)</f>
        <v/>
      </c>
      <c r="P39" s="118">
        <f>SUMIFS(Постоянные!$AC$8:$AC$367,Постоянные!$Z$8:$Z$367,"Доход",Постоянные!$AD$8:$AD$367,P$6)</f>
        <v/>
      </c>
      <c r="Q39" s="118">
        <f>SUMIFS(Постоянные!$AC$8:$AC$367,Постоянные!$Z$8:$Z$367,"Доход",Постоянные!$AD$8:$AD$367,Q$6)</f>
        <v/>
      </c>
      <c r="R39" s="118">
        <f>SUMIFS(Постоянные!$AC$8:$AC$367,Постоянные!$Z$8:$Z$367,"Доход",Постоянные!$AD$8:$AD$367,R$6)</f>
        <v/>
      </c>
      <c r="S39" s="118">
        <f>SUMIFS(Постоянные!$AC$8:$AC$367,Постоянные!$Z$8:$Z$367,"Доход",Постоянные!$AD$8:$AD$367,S$6)</f>
        <v/>
      </c>
      <c r="T39" s="118">
        <f>SUMIFS(Постоянные!$AC$8:$AC$367,Постоянные!$Z$8:$Z$367,"Доход",Постоянные!$AD$8:$AD$367,T$6)</f>
        <v/>
      </c>
      <c r="U39" s="118">
        <f>SUMIFS(Постоянные!$AC$8:$AC$367,Постоянные!$Z$8:$Z$367,"Доход",Постоянные!$AD$8:$AD$367,U$6)</f>
        <v/>
      </c>
      <c r="V39" s="118">
        <f>SUMIFS(Постоянные!$AC$8:$AC$367,Постоянные!$Z$8:$Z$367,"Доход",Постоянные!$AD$8:$AD$367,V$6)</f>
        <v/>
      </c>
      <c r="W39" s="118">
        <f>SUMIFS(Постоянные!$AC$8:$AC$367,Постоянные!$Z$8:$Z$367,"Доход",Постоянные!$AD$8:$AD$367,W$6)</f>
        <v/>
      </c>
      <c r="Y39" s="243">
        <f>IF(OR($C9="",$F9=""),"",DATE(YEAR($M$6),MONTH($M$6),MIN($F9,DAY((DATE(YEAR($M$6),MONTH($M$6)+1,1)-1)))))</f>
        <v/>
      </c>
      <c r="Z39" s="110">
        <f>IF($C9="","",IF($D9="Доход","Доход","Расход"))</f>
        <v/>
      </c>
      <c r="AA39" s="110">
        <f>IF($C9="","",$E9)</f>
        <v/>
      </c>
      <c r="AB39" s="110">
        <f>IF($C9="",0,IF(AND(OR($I9="",$I9&lt;=(DATE(YEAR($M$6),MONTH($M$6)+1,1)-1)),OR($J9="",$J9&gt;=$M$6),MOD((YEAR($M$6)*12+MONTH($M$6))-(YEAR(IF($I9="",$L$6,$I9))*12+MONTH(IF($I9="",$L$6,$I9))),MAX(1,N($H9)))=0),N($G9),0))</f>
        <v/>
      </c>
      <c r="AC39" s="110">
        <f>IF($C9="",0,IF(M9="✓",N($G9),IF(ISNUMBER(M9),M9,0)))</f>
        <v/>
      </c>
      <c r="AD39" s="243">
        <f>IF($C9="","",$M$6)</f>
        <v/>
      </c>
      <c r="AE39" s="110">
        <f>IF($C9="","",$K9)</f>
        <v/>
      </c>
      <c r="AG39" s="243">
        <f>IF(OR($C9="",$F9=""),"",DATE(YEAR(DATE(Настройки!$C$6,Настройки!$D$7+1,1)),MONTH(DATE(Настройки!$C$6,Настройки!$D$7+1,1)),MIN($F9,DAY((DATE(Настройки!$C$6,Настройки!$D$7+1+1,1)-1)))))</f>
        <v/>
      </c>
      <c r="AH39" s="110">
        <f>IF($C9="","",IF($D9="Доход","Доход","Расход"))</f>
        <v/>
      </c>
      <c r="AI39" s="110">
        <f>IF($C9="","",$E9)</f>
        <v/>
      </c>
      <c r="AJ39" s="110">
        <f>IF($C9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9:$W9,((YEAR(DATE(Настройки!$C$6,Настройки!$D$7+1,1))*12+MONTH(DATE(Настройки!$C$6,Настройки!$D$7+1,1)))-(YEAR($L$6)*12+MONTH($L$6)))+1)="✓",N($G9),IF(ISNUMBER(INDEX($L9:$W9,((YEAR(DATE(Настройки!$C$6,Настройки!$D$7+1,1))*12+MONTH(DATE(Настройки!$C$6,Настройки!$D$7+1,1)))-(YEAR($L$6)*12+MONTH($L$6)))+1)),INDEX($L9:$W9,((YEAR(DATE(Настройки!$C$6,Настройки!$D$7+1,1))*12+MONTH(DATE(Настройки!$C$6,Настройки!$D$7+1,1)))-(YEAR($L$6)*12+MONTH($L$6)))+1),IF(AND(OR($I9="",$I9&lt;=(DATE(Настройки!$C$6,Настройки!$D$7+1+1,1)-1)),OR($J9="",$J9&gt;=DATE(Настройки!$C$6,Настройки!$D$7+1,1)),MOD((YEAR(DATE(Настройки!$C$6,Настройки!$D$7+1,1))*12+MONTH(DATE(Настройки!$C$6,Настройки!$D$7+1,1)))-(YEAR(IF($I9="",$L$6,$I9))*12+MONTH(IF($I9="",$L$6,$I9))),MAX(1,N($H9)))=0),N($G9),0))),IF(AND(OR($I9="",$I9&lt;=(DATE(Настройки!$C$6,Настройки!$D$7+1+1,1)-1)),OR($J9="",$J9&gt;=DATE(Настройки!$C$6,Настройки!$D$7+1,1)),MOD((YEAR(DATE(Настройки!$C$6,Настройки!$D$7+1,1))*12+MONTH(DATE(Настройки!$C$6,Настройки!$D$7+1,1)))-(YEAR(IF($I9="",$L$6,$I9))*12+MONTH(IF($I9="",$L$6,$I9))),MAX(1,N($H9)))=0),N($G9),0)))</f>
        <v/>
      </c>
    </row>
    <row r="40">
      <c r="Y40" s="243">
        <f>IF(OR($C10="",$F10=""),"",DATE(YEAR($M$6),MONTH($M$6),MIN($F10,DAY((DATE(YEAR($M$6),MONTH($M$6)+1,1)-1)))))</f>
        <v/>
      </c>
      <c r="Z40" s="110">
        <f>IF($C10="","",IF($D10="Доход","Доход","Расход"))</f>
        <v/>
      </c>
      <c r="AA40" s="110">
        <f>IF($C10="","",$E10)</f>
        <v/>
      </c>
      <c r="AB40" s="110">
        <f>IF($C10="",0,IF(AND(OR($I10="",$I10&lt;=(DATE(YEAR($M$6),MONTH($M$6)+1,1)-1)),OR($J10="",$J10&gt;=$M$6),MOD((YEAR($M$6)*12+MONTH($M$6))-(YEAR(IF($I10="",$L$6,$I10))*12+MONTH(IF($I10="",$L$6,$I10))),MAX(1,N($H10)))=0),N($G10),0))</f>
        <v/>
      </c>
      <c r="AC40" s="110">
        <f>IF($C10="",0,IF(M10="✓",N($G10),IF(ISNUMBER(M10),M10,0)))</f>
        <v/>
      </c>
      <c r="AD40" s="243">
        <f>IF($C10="","",$M$6)</f>
        <v/>
      </c>
      <c r="AE40" s="110">
        <f>IF($C10="","",$K10)</f>
        <v/>
      </c>
      <c r="AG40" s="243">
        <f>IF(OR($C10="",$F10=""),"",DATE(YEAR(DATE(Настройки!$C$6,Настройки!$D$7+1,1)),MONTH(DATE(Настройки!$C$6,Настройки!$D$7+1,1)),MIN($F10,DAY((DATE(Настройки!$C$6,Настройки!$D$7+1+1,1)-1)))))</f>
        <v/>
      </c>
      <c r="AH40" s="110">
        <f>IF($C10="","",IF($D10="Доход","Доход","Расход"))</f>
        <v/>
      </c>
      <c r="AI40" s="110">
        <f>IF($C10="","",$E10)</f>
        <v/>
      </c>
      <c r="AJ40" s="110">
        <f>IF($C10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10:$W10,((YEAR(DATE(Настройки!$C$6,Настройки!$D$7+1,1))*12+MONTH(DATE(Настройки!$C$6,Настройки!$D$7+1,1)))-(YEAR($L$6)*12+MONTH($L$6)))+1)="✓",N($G10),IF(ISNUMBER(INDEX($L10:$W10,((YEAR(DATE(Настройки!$C$6,Настройки!$D$7+1,1))*12+MONTH(DATE(Настройки!$C$6,Настройки!$D$7+1,1)))-(YEAR($L$6)*12+MONTH($L$6)))+1)),INDEX($L10:$W10,((YEAR(DATE(Настройки!$C$6,Настройки!$D$7+1,1))*12+MONTH(DATE(Настройки!$C$6,Настройки!$D$7+1,1)))-(YEAR($L$6)*12+MONTH($L$6)))+1),IF(AND(OR($I10="",$I10&lt;=(DATE(Настройки!$C$6,Настройки!$D$7+1+1,1)-1)),OR($J10="",$J10&gt;=DATE(Настройки!$C$6,Настройки!$D$7+1,1)),MOD((YEAR(DATE(Настройки!$C$6,Настройки!$D$7+1,1))*12+MONTH(DATE(Настройки!$C$6,Настройки!$D$7+1,1)))-(YEAR(IF($I10="",$L$6,$I10))*12+MONTH(IF($I10="",$L$6,$I10))),MAX(1,N($H10)))=0),N($G10),0))),IF(AND(OR($I10="",$I10&lt;=(DATE(Настройки!$C$6,Настройки!$D$7+1+1,1)-1)),OR($J10="",$J10&gt;=DATE(Настройки!$C$6,Настройки!$D$7+1,1)),MOD((YEAR(DATE(Настройки!$C$6,Настройки!$D$7+1,1))*12+MONTH(DATE(Настройки!$C$6,Настройки!$D$7+1,1)))-(YEAR(IF($I10="",$L$6,$I10))*12+MONTH(IF($I10="",$L$6,$I10))),MAX(1,N($H10)))=0),N($G10),0)))</f>
        <v/>
      </c>
    </row>
    <row r="41">
      <c r="Y41" s="243">
        <f>IF(OR($C11="",$F11=""),"",DATE(YEAR($M$6),MONTH($M$6),MIN($F11,DAY((DATE(YEAR($M$6),MONTH($M$6)+1,1)-1)))))</f>
        <v/>
      </c>
      <c r="Z41" s="110">
        <f>IF($C11="","",IF($D11="Доход","Доход","Расход"))</f>
        <v/>
      </c>
      <c r="AA41" s="110">
        <f>IF($C11="","",$E11)</f>
        <v/>
      </c>
      <c r="AB41" s="110">
        <f>IF($C11="",0,IF(AND(OR($I11="",$I11&lt;=(DATE(YEAR($M$6),MONTH($M$6)+1,1)-1)),OR($J11="",$J11&gt;=$M$6),MOD((YEAR($M$6)*12+MONTH($M$6))-(YEAR(IF($I11="",$L$6,$I11))*12+MONTH(IF($I11="",$L$6,$I11))),MAX(1,N($H11)))=0),N($G11),0))</f>
        <v/>
      </c>
      <c r="AC41" s="110">
        <f>IF($C11="",0,IF(M11="✓",N($G11),IF(ISNUMBER(M11),M11,0)))</f>
        <v/>
      </c>
      <c r="AD41" s="243">
        <f>IF($C11="","",$M$6)</f>
        <v/>
      </c>
      <c r="AE41" s="110">
        <f>IF($C11="","",$K11)</f>
        <v/>
      </c>
      <c r="AG41" s="243">
        <f>IF(OR($C11="",$F11=""),"",DATE(YEAR(DATE(Настройки!$C$6,Настройки!$D$7+1,1)),MONTH(DATE(Настройки!$C$6,Настройки!$D$7+1,1)),MIN($F11,DAY((DATE(Настройки!$C$6,Настройки!$D$7+1+1,1)-1)))))</f>
        <v/>
      </c>
      <c r="AH41" s="110">
        <f>IF($C11="","",IF($D11="Доход","Доход","Расход"))</f>
        <v/>
      </c>
      <c r="AI41" s="110">
        <f>IF($C11="","",$E11)</f>
        <v/>
      </c>
      <c r="AJ41" s="110">
        <f>IF($C11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11:$W11,((YEAR(DATE(Настройки!$C$6,Настройки!$D$7+1,1))*12+MONTH(DATE(Настройки!$C$6,Настройки!$D$7+1,1)))-(YEAR($L$6)*12+MONTH($L$6)))+1)="✓",N($G11),IF(ISNUMBER(INDEX($L11:$W11,((YEAR(DATE(Настройки!$C$6,Настройки!$D$7+1,1))*12+MONTH(DATE(Настройки!$C$6,Настройки!$D$7+1,1)))-(YEAR($L$6)*12+MONTH($L$6)))+1)),INDEX($L11:$W11,((YEAR(DATE(Настройки!$C$6,Настройки!$D$7+1,1))*12+MONTH(DATE(Настройки!$C$6,Настройки!$D$7+1,1)))-(YEAR($L$6)*12+MONTH($L$6)))+1),IF(AND(OR($I11="",$I11&lt;=(DATE(Настройки!$C$6,Настройки!$D$7+1+1,1)-1)),OR($J11="",$J11&gt;=DATE(Настройки!$C$6,Настройки!$D$7+1,1)),MOD((YEAR(DATE(Настройки!$C$6,Настройки!$D$7+1,1))*12+MONTH(DATE(Настройки!$C$6,Настройки!$D$7+1,1)))-(YEAR(IF($I11="",$L$6,$I11))*12+MONTH(IF($I11="",$L$6,$I11))),MAX(1,N($H11)))=0),N($G11),0))),IF(AND(OR($I11="",$I11&lt;=(DATE(Настройки!$C$6,Настройки!$D$7+1+1,1)-1)),OR($J11="",$J11&gt;=DATE(Настройки!$C$6,Настройки!$D$7+1,1)),MOD((YEAR(DATE(Настройки!$C$6,Настройки!$D$7+1,1))*12+MONTH(DATE(Настройки!$C$6,Настройки!$D$7+1,1)))-(YEAR(IF($I11="",$L$6,$I11))*12+MONTH(IF($I11="",$L$6,$I11))),MAX(1,N($H11)))=0),N($G11),0)))</f>
        <v/>
      </c>
    </row>
    <row r="42">
      <c r="Y42" s="243">
        <f>IF(OR($C12="",$F12=""),"",DATE(YEAR($M$6),MONTH($M$6),MIN($F12,DAY((DATE(YEAR($M$6),MONTH($M$6)+1,1)-1)))))</f>
        <v/>
      </c>
      <c r="Z42" s="110">
        <f>IF($C12="","",IF($D12="Доход","Доход","Расход"))</f>
        <v/>
      </c>
      <c r="AA42" s="110">
        <f>IF($C12="","",$E12)</f>
        <v/>
      </c>
      <c r="AB42" s="110">
        <f>IF($C12="",0,IF(AND(OR($I12="",$I12&lt;=(DATE(YEAR($M$6),MONTH($M$6)+1,1)-1)),OR($J12="",$J12&gt;=$M$6),MOD((YEAR($M$6)*12+MONTH($M$6))-(YEAR(IF($I12="",$L$6,$I12))*12+MONTH(IF($I12="",$L$6,$I12))),MAX(1,N($H12)))=0),N($G12),0))</f>
        <v/>
      </c>
      <c r="AC42" s="110">
        <f>IF($C12="",0,IF(M12="✓",N($G12),IF(ISNUMBER(M12),M12,0)))</f>
        <v/>
      </c>
      <c r="AD42" s="243">
        <f>IF($C12="","",$M$6)</f>
        <v/>
      </c>
      <c r="AE42" s="110">
        <f>IF($C12="","",$K12)</f>
        <v/>
      </c>
      <c r="AG42" s="243">
        <f>IF(OR($C12="",$F12=""),"",DATE(YEAR(DATE(Настройки!$C$6,Настройки!$D$7+1,1)),MONTH(DATE(Настройки!$C$6,Настройки!$D$7+1,1)),MIN($F12,DAY((DATE(Настройки!$C$6,Настройки!$D$7+1+1,1)-1)))))</f>
        <v/>
      </c>
      <c r="AH42" s="110">
        <f>IF($C12="","",IF($D12="Доход","Доход","Расход"))</f>
        <v/>
      </c>
      <c r="AI42" s="110">
        <f>IF($C12="","",$E12)</f>
        <v/>
      </c>
      <c r="AJ42" s="110">
        <f>IF($C12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12:$W12,((YEAR(DATE(Настройки!$C$6,Настройки!$D$7+1,1))*12+MONTH(DATE(Настройки!$C$6,Настройки!$D$7+1,1)))-(YEAR($L$6)*12+MONTH($L$6)))+1)="✓",N($G12),IF(ISNUMBER(INDEX($L12:$W12,((YEAR(DATE(Настройки!$C$6,Настройки!$D$7+1,1))*12+MONTH(DATE(Настройки!$C$6,Настройки!$D$7+1,1)))-(YEAR($L$6)*12+MONTH($L$6)))+1)),INDEX($L12:$W12,((YEAR(DATE(Настройки!$C$6,Настройки!$D$7+1,1))*12+MONTH(DATE(Настройки!$C$6,Настройки!$D$7+1,1)))-(YEAR($L$6)*12+MONTH($L$6)))+1),IF(AND(OR($I12="",$I12&lt;=(DATE(Настройки!$C$6,Настройки!$D$7+1+1,1)-1)),OR($J12="",$J12&gt;=DATE(Настройки!$C$6,Настройки!$D$7+1,1)),MOD((YEAR(DATE(Настройки!$C$6,Настройки!$D$7+1,1))*12+MONTH(DATE(Настройки!$C$6,Настройки!$D$7+1,1)))-(YEAR(IF($I12="",$L$6,$I12))*12+MONTH(IF($I12="",$L$6,$I12))),MAX(1,N($H12)))=0),N($G12),0))),IF(AND(OR($I12="",$I12&lt;=(DATE(Настройки!$C$6,Настройки!$D$7+1+1,1)-1)),OR($J12="",$J12&gt;=DATE(Настройки!$C$6,Настройки!$D$7+1,1)),MOD((YEAR(DATE(Настройки!$C$6,Настройки!$D$7+1,1))*12+MONTH(DATE(Настройки!$C$6,Настройки!$D$7+1,1)))-(YEAR(IF($I12="",$L$6,$I12))*12+MONTH(IF($I12="",$L$6,$I12))),MAX(1,N($H12)))=0),N($G12),0)))</f>
        <v/>
      </c>
    </row>
    <row r="43">
      <c r="Y43" s="243">
        <f>IF(OR($C13="",$F13=""),"",DATE(YEAR($M$6),MONTH($M$6),MIN($F13,DAY((DATE(YEAR($M$6),MONTH($M$6)+1,1)-1)))))</f>
        <v/>
      </c>
      <c r="Z43" s="110">
        <f>IF($C13="","",IF($D13="Доход","Доход","Расход"))</f>
        <v/>
      </c>
      <c r="AA43" s="110">
        <f>IF($C13="","",$E13)</f>
        <v/>
      </c>
      <c r="AB43" s="110">
        <f>IF($C13="",0,IF(AND(OR($I13="",$I13&lt;=(DATE(YEAR($M$6),MONTH($M$6)+1,1)-1)),OR($J13="",$J13&gt;=$M$6),MOD((YEAR($M$6)*12+MONTH($M$6))-(YEAR(IF($I13="",$L$6,$I13))*12+MONTH(IF($I13="",$L$6,$I13))),MAX(1,N($H13)))=0),N($G13),0))</f>
        <v/>
      </c>
      <c r="AC43" s="110">
        <f>IF($C13="",0,IF(M13="✓",N($G13),IF(ISNUMBER(M13),M13,0)))</f>
        <v/>
      </c>
      <c r="AD43" s="243">
        <f>IF($C13="","",$M$6)</f>
        <v/>
      </c>
      <c r="AE43" s="110">
        <f>IF($C13="","",$K13)</f>
        <v/>
      </c>
      <c r="AG43" s="243">
        <f>IF(OR($C13="",$F13=""),"",DATE(YEAR(DATE(Настройки!$C$6,Настройки!$D$7+1,1)),MONTH(DATE(Настройки!$C$6,Настройки!$D$7+1,1)),MIN($F13,DAY((DATE(Настройки!$C$6,Настройки!$D$7+1+1,1)-1)))))</f>
        <v/>
      </c>
      <c r="AH43" s="110">
        <f>IF($C13="","",IF($D13="Доход","Доход","Расход"))</f>
        <v/>
      </c>
      <c r="AI43" s="110">
        <f>IF($C13="","",$E13)</f>
        <v/>
      </c>
      <c r="AJ43" s="110">
        <f>IF($C13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13:$W13,((YEAR(DATE(Настройки!$C$6,Настройки!$D$7+1,1))*12+MONTH(DATE(Настройки!$C$6,Настройки!$D$7+1,1)))-(YEAR($L$6)*12+MONTH($L$6)))+1)="✓",N($G13),IF(ISNUMBER(INDEX($L13:$W13,((YEAR(DATE(Настройки!$C$6,Настройки!$D$7+1,1))*12+MONTH(DATE(Настройки!$C$6,Настройки!$D$7+1,1)))-(YEAR($L$6)*12+MONTH($L$6)))+1)),INDEX($L13:$W13,((YEAR(DATE(Настройки!$C$6,Настройки!$D$7+1,1))*12+MONTH(DATE(Настройки!$C$6,Настройки!$D$7+1,1)))-(YEAR($L$6)*12+MONTH($L$6)))+1),IF(AND(OR($I13="",$I13&lt;=(DATE(Настройки!$C$6,Настройки!$D$7+1+1,1)-1)),OR($J13="",$J13&gt;=DATE(Настройки!$C$6,Настройки!$D$7+1,1)),MOD((YEAR(DATE(Настройки!$C$6,Настройки!$D$7+1,1))*12+MONTH(DATE(Настройки!$C$6,Настройки!$D$7+1,1)))-(YEAR(IF($I13="",$L$6,$I13))*12+MONTH(IF($I13="",$L$6,$I13))),MAX(1,N($H13)))=0),N($G13),0))),IF(AND(OR($I13="",$I13&lt;=(DATE(Настройки!$C$6,Настройки!$D$7+1+1,1)-1)),OR($J13="",$J13&gt;=DATE(Настройки!$C$6,Настройки!$D$7+1,1)),MOD((YEAR(DATE(Настройки!$C$6,Настройки!$D$7+1,1))*12+MONTH(DATE(Настройки!$C$6,Настройки!$D$7+1,1)))-(YEAR(IF($I13="",$L$6,$I13))*12+MONTH(IF($I13="",$L$6,$I13))),MAX(1,N($H13)))=0),N($G13),0)))</f>
        <v/>
      </c>
    </row>
    <row r="44">
      <c r="Y44" s="243">
        <f>IF(OR($C14="",$F14=""),"",DATE(YEAR($M$6),MONTH($M$6),MIN($F14,DAY((DATE(YEAR($M$6),MONTH($M$6)+1,1)-1)))))</f>
        <v/>
      </c>
      <c r="Z44" s="110">
        <f>IF($C14="","",IF($D14="Доход","Доход","Расход"))</f>
        <v/>
      </c>
      <c r="AA44" s="110">
        <f>IF($C14="","",$E14)</f>
        <v/>
      </c>
      <c r="AB44" s="110">
        <f>IF($C14="",0,IF(AND(OR($I14="",$I14&lt;=(DATE(YEAR($M$6),MONTH($M$6)+1,1)-1)),OR($J14="",$J14&gt;=$M$6),MOD((YEAR($M$6)*12+MONTH($M$6))-(YEAR(IF($I14="",$L$6,$I14))*12+MONTH(IF($I14="",$L$6,$I14))),MAX(1,N($H14)))=0),N($G14),0))</f>
        <v/>
      </c>
      <c r="AC44" s="110">
        <f>IF($C14="",0,IF(M14="✓",N($G14),IF(ISNUMBER(M14),M14,0)))</f>
        <v/>
      </c>
      <c r="AD44" s="243">
        <f>IF($C14="","",$M$6)</f>
        <v/>
      </c>
      <c r="AE44" s="110">
        <f>IF($C14="","",$K14)</f>
        <v/>
      </c>
      <c r="AG44" s="243">
        <f>IF(OR($C14="",$F14=""),"",DATE(YEAR(DATE(Настройки!$C$6,Настройки!$D$7+1,1)),MONTH(DATE(Настройки!$C$6,Настройки!$D$7+1,1)),MIN($F14,DAY((DATE(Настройки!$C$6,Настройки!$D$7+1+1,1)-1)))))</f>
        <v/>
      </c>
      <c r="AH44" s="110">
        <f>IF($C14="","",IF($D14="Доход","Доход","Расход"))</f>
        <v/>
      </c>
      <c r="AI44" s="110">
        <f>IF($C14="","",$E14)</f>
        <v/>
      </c>
      <c r="AJ44" s="110">
        <f>IF($C14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14:$W14,((YEAR(DATE(Настройки!$C$6,Настройки!$D$7+1,1))*12+MONTH(DATE(Настройки!$C$6,Настройки!$D$7+1,1)))-(YEAR($L$6)*12+MONTH($L$6)))+1)="✓",N($G14),IF(ISNUMBER(INDEX($L14:$W14,((YEAR(DATE(Настройки!$C$6,Настройки!$D$7+1,1))*12+MONTH(DATE(Настройки!$C$6,Настройки!$D$7+1,1)))-(YEAR($L$6)*12+MONTH($L$6)))+1)),INDEX($L14:$W14,((YEAR(DATE(Настройки!$C$6,Настройки!$D$7+1,1))*12+MONTH(DATE(Настройки!$C$6,Настройки!$D$7+1,1)))-(YEAR($L$6)*12+MONTH($L$6)))+1),IF(AND(OR($I14="",$I14&lt;=(DATE(Настройки!$C$6,Настройки!$D$7+1+1,1)-1)),OR($J14="",$J14&gt;=DATE(Настройки!$C$6,Настройки!$D$7+1,1)),MOD((YEAR(DATE(Настройки!$C$6,Настройки!$D$7+1,1))*12+MONTH(DATE(Настройки!$C$6,Настройки!$D$7+1,1)))-(YEAR(IF($I14="",$L$6,$I14))*12+MONTH(IF($I14="",$L$6,$I14))),MAX(1,N($H14)))=0),N($G14),0))),IF(AND(OR($I14="",$I14&lt;=(DATE(Настройки!$C$6,Настройки!$D$7+1+1,1)-1)),OR($J14="",$J14&gt;=DATE(Настройки!$C$6,Настройки!$D$7+1,1)),MOD((YEAR(DATE(Настройки!$C$6,Настройки!$D$7+1,1))*12+MONTH(DATE(Настройки!$C$6,Настройки!$D$7+1,1)))-(YEAR(IF($I14="",$L$6,$I14))*12+MONTH(IF($I14="",$L$6,$I14))),MAX(1,N($H14)))=0),N($G14),0)))</f>
        <v/>
      </c>
    </row>
    <row r="45">
      <c r="Y45" s="243">
        <f>IF(OR($C15="",$F15=""),"",DATE(YEAR($M$6),MONTH($M$6),MIN($F15,DAY((DATE(YEAR($M$6),MONTH($M$6)+1,1)-1)))))</f>
        <v/>
      </c>
      <c r="Z45" s="110">
        <f>IF($C15="","",IF($D15="Доход","Доход","Расход"))</f>
        <v/>
      </c>
      <c r="AA45" s="110">
        <f>IF($C15="","",$E15)</f>
        <v/>
      </c>
      <c r="AB45" s="110">
        <f>IF($C15="",0,IF(AND(OR($I15="",$I15&lt;=(DATE(YEAR($M$6),MONTH($M$6)+1,1)-1)),OR($J15="",$J15&gt;=$M$6),MOD((YEAR($M$6)*12+MONTH($M$6))-(YEAR(IF($I15="",$L$6,$I15))*12+MONTH(IF($I15="",$L$6,$I15))),MAX(1,N($H15)))=0),N($G15),0))</f>
        <v/>
      </c>
      <c r="AC45" s="110">
        <f>IF($C15="",0,IF(M15="✓",N($G15),IF(ISNUMBER(M15),M15,0)))</f>
        <v/>
      </c>
      <c r="AD45" s="243">
        <f>IF($C15="","",$M$6)</f>
        <v/>
      </c>
      <c r="AE45" s="110">
        <f>IF($C15="","",$K15)</f>
        <v/>
      </c>
      <c r="AG45" s="243">
        <f>IF(OR($C15="",$F15=""),"",DATE(YEAR(DATE(Настройки!$C$6,Настройки!$D$7+1,1)),MONTH(DATE(Настройки!$C$6,Настройки!$D$7+1,1)),MIN($F15,DAY((DATE(Настройки!$C$6,Настройки!$D$7+1+1,1)-1)))))</f>
        <v/>
      </c>
      <c r="AH45" s="110">
        <f>IF($C15="","",IF($D15="Доход","Доход","Расход"))</f>
        <v/>
      </c>
      <c r="AI45" s="110">
        <f>IF($C15="","",$E15)</f>
        <v/>
      </c>
      <c r="AJ45" s="110">
        <f>IF($C15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15:$W15,((YEAR(DATE(Настройки!$C$6,Настройки!$D$7+1,1))*12+MONTH(DATE(Настройки!$C$6,Настройки!$D$7+1,1)))-(YEAR($L$6)*12+MONTH($L$6)))+1)="✓",N($G15),IF(ISNUMBER(INDEX($L15:$W15,((YEAR(DATE(Настройки!$C$6,Настройки!$D$7+1,1))*12+MONTH(DATE(Настройки!$C$6,Настройки!$D$7+1,1)))-(YEAR($L$6)*12+MONTH($L$6)))+1)),INDEX($L15:$W15,((YEAR(DATE(Настройки!$C$6,Настройки!$D$7+1,1))*12+MONTH(DATE(Настройки!$C$6,Настройки!$D$7+1,1)))-(YEAR($L$6)*12+MONTH($L$6)))+1),IF(AND(OR($I15="",$I15&lt;=(DATE(Настройки!$C$6,Настройки!$D$7+1+1,1)-1)),OR($J15="",$J15&gt;=DATE(Настройки!$C$6,Настройки!$D$7+1,1)),MOD((YEAR(DATE(Настройки!$C$6,Настройки!$D$7+1,1))*12+MONTH(DATE(Настройки!$C$6,Настройки!$D$7+1,1)))-(YEAR(IF($I15="",$L$6,$I15))*12+MONTH(IF($I15="",$L$6,$I15))),MAX(1,N($H15)))=0),N($G15),0))),IF(AND(OR($I15="",$I15&lt;=(DATE(Настройки!$C$6,Настройки!$D$7+1+1,1)-1)),OR($J15="",$J15&gt;=DATE(Настройки!$C$6,Настройки!$D$7+1,1)),MOD((YEAR(DATE(Настройки!$C$6,Настройки!$D$7+1,1))*12+MONTH(DATE(Настройки!$C$6,Настройки!$D$7+1,1)))-(YEAR(IF($I15="",$L$6,$I15))*12+MONTH(IF($I15="",$L$6,$I15))),MAX(1,N($H15)))=0),N($G15),0)))</f>
        <v/>
      </c>
    </row>
    <row r="46">
      <c r="Y46" s="243">
        <f>IF(OR($C16="",$F16=""),"",DATE(YEAR($M$6),MONTH($M$6),MIN($F16,DAY((DATE(YEAR($M$6),MONTH($M$6)+1,1)-1)))))</f>
        <v/>
      </c>
      <c r="Z46" s="110">
        <f>IF($C16="","",IF($D16="Доход","Доход","Расход"))</f>
        <v/>
      </c>
      <c r="AA46" s="110">
        <f>IF($C16="","",$E16)</f>
        <v/>
      </c>
      <c r="AB46" s="110">
        <f>IF($C16="",0,IF(AND(OR($I16="",$I16&lt;=(DATE(YEAR($M$6),MONTH($M$6)+1,1)-1)),OR($J16="",$J16&gt;=$M$6),MOD((YEAR($M$6)*12+MONTH($M$6))-(YEAR(IF($I16="",$L$6,$I16))*12+MONTH(IF($I16="",$L$6,$I16))),MAX(1,N($H16)))=0),N($G16),0))</f>
        <v/>
      </c>
      <c r="AC46" s="110">
        <f>IF($C16="",0,IF(M16="✓",N($G16),IF(ISNUMBER(M16),M16,0)))</f>
        <v/>
      </c>
      <c r="AD46" s="243">
        <f>IF($C16="","",$M$6)</f>
        <v/>
      </c>
      <c r="AE46" s="110">
        <f>IF($C16="","",$K16)</f>
        <v/>
      </c>
      <c r="AG46" s="243">
        <f>IF(OR($C16="",$F16=""),"",DATE(YEAR(DATE(Настройки!$C$6,Настройки!$D$7+1,1)),MONTH(DATE(Настройки!$C$6,Настройки!$D$7+1,1)),MIN($F16,DAY((DATE(Настройки!$C$6,Настройки!$D$7+1+1,1)-1)))))</f>
        <v/>
      </c>
      <c r="AH46" s="110">
        <f>IF($C16="","",IF($D16="Доход","Доход","Расход"))</f>
        <v/>
      </c>
      <c r="AI46" s="110">
        <f>IF($C16="","",$E16)</f>
        <v/>
      </c>
      <c r="AJ46" s="110">
        <f>IF($C16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16:$W16,((YEAR(DATE(Настройки!$C$6,Настройки!$D$7+1,1))*12+MONTH(DATE(Настройки!$C$6,Настройки!$D$7+1,1)))-(YEAR($L$6)*12+MONTH($L$6)))+1)="✓",N($G16),IF(ISNUMBER(INDEX($L16:$W16,((YEAR(DATE(Настройки!$C$6,Настройки!$D$7+1,1))*12+MONTH(DATE(Настройки!$C$6,Настройки!$D$7+1,1)))-(YEAR($L$6)*12+MONTH($L$6)))+1)),INDEX($L16:$W16,((YEAR(DATE(Настройки!$C$6,Настройки!$D$7+1,1))*12+MONTH(DATE(Настройки!$C$6,Настройки!$D$7+1,1)))-(YEAR($L$6)*12+MONTH($L$6)))+1),IF(AND(OR($I16="",$I16&lt;=(DATE(Настройки!$C$6,Настройки!$D$7+1+1,1)-1)),OR($J16="",$J16&gt;=DATE(Настройки!$C$6,Настройки!$D$7+1,1)),MOD((YEAR(DATE(Настройки!$C$6,Настройки!$D$7+1,1))*12+MONTH(DATE(Настройки!$C$6,Настройки!$D$7+1,1)))-(YEAR(IF($I16="",$L$6,$I16))*12+MONTH(IF($I16="",$L$6,$I16))),MAX(1,N($H16)))=0),N($G16),0))),IF(AND(OR($I16="",$I16&lt;=(DATE(Настройки!$C$6,Настройки!$D$7+1+1,1)-1)),OR($J16="",$J16&gt;=DATE(Настройки!$C$6,Настройки!$D$7+1,1)),MOD((YEAR(DATE(Настройки!$C$6,Настройки!$D$7+1,1))*12+MONTH(DATE(Настройки!$C$6,Настройки!$D$7+1,1)))-(YEAR(IF($I16="",$L$6,$I16))*12+MONTH(IF($I16="",$L$6,$I16))),MAX(1,N($H16)))=0),N($G16),0)))</f>
        <v/>
      </c>
    </row>
    <row r="47">
      <c r="Y47" s="243">
        <f>IF(OR($C17="",$F17=""),"",DATE(YEAR($M$6),MONTH($M$6),MIN($F17,DAY((DATE(YEAR($M$6),MONTH($M$6)+1,1)-1)))))</f>
        <v/>
      </c>
      <c r="Z47" s="110">
        <f>IF($C17="","",IF($D17="Доход","Доход","Расход"))</f>
        <v/>
      </c>
      <c r="AA47" s="110">
        <f>IF($C17="","",$E17)</f>
        <v/>
      </c>
      <c r="AB47" s="110">
        <f>IF($C17="",0,IF(AND(OR($I17="",$I17&lt;=(DATE(YEAR($M$6),MONTH($M$6)+1,1)-1)),OR($J17="",$J17&gt;=$M$6),MOD((YEAR($M$6)*12+MONTH($M$6))-(YEAR(IF($I17="",$L$6,$I17))*12+MONTH(IF($I17="",$L$6,$I17))),MAX(1,N($H17)))=0),N($G17),0))</f>
        <v/>
      </c>
      <c r="AC47" s="110">
        <f>IF($C17="",0,IF(M17="✓",N($G17),IF(ISNUMBER(M17),M17,0)))</f>
        <v/>
      </c>
      <c r="AD47" s="243">
        <f>IF($C17="","",$M$6)</f>
        <v/>
      </c>
      <c r="AE47" s="110">
        <f>IF($C17="","",$K17)</f>
        <v/>
      </c>
      <c r="AG47" s="243">
        <f>IF(OR($C17="",$F17=""),"",DATE(YEAR(DATE(Настройки!$C$6,Настройки!$D$7+1,1)),MONTH(DATE(Настройки!$C$6,Настройки!$D$7+1,1)),MIN($F17,DAY((DATE(Настройки!$C$6,Настройки!$D$7+1+1,1)-1)))))</f>
        <v/>
      </c>
      <c r="AH47" s="110">
        <f>IF($C17="","",IF($D17="Доход","Доход","Расход"))</f>
        <v/>
      </c>
      <c r="AI47" s="110">
        <f>IF($C17="","",$E17)</f>
        <v/>
      </c>
      <c r="AJ47" s="110">
        <f>IF($C17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17:$W17,((YEAR(DATE(Настройки!$C$6,Настройки!$D$7+1,1))*12+MONTH(DATE(Настройки!$C$6,Настройки!$D$7+1,1)))-(YEAR($L$6)*12+MONTH($L$6)))+1)="✓",N($G17),IF(ISNUMBER(INDEX($L17:$W17,((YEAR(DATE(Настройки!$C$6,Настройки!$D$7+1,1))*12+MONTH(DATE(Настройки!$C$6,Настройки!$D$7+1,1)))-(YEAR($L$6)*12+MONTH($L$6)))+1)),INDEX($L17:$W17,((YEAR(DATE(Настройки!$C$6,Настройки!$D$7+1,1))*12+MONTH(DATE(Настройки!$C$6,Настройки!$D$7+1,1)))-(YEAR($L$6)*12+MONTH($L$6)))+1),IF(AND(OR($I17="",$I17&lt;=(DATE(Настройки!$C$6,Настройки!$D$7+1+1,1)-1)),OR($J17="",$J17&gt;=DATE(Настройки!$C$6,Настройки!$D$7+1,1)),MOD((YEAR(DATE(Настройки!$C$6,Настройки!$D$7+1,1))*12+MONTH(DATE(Настройки!$C$6,Настройки!$D$7+1,1)))-(YEAR(IF($I17="",$L$6,$I17))*12+MONTH(IF($I17="",$L$6,$I17))),MAX(1,N($H17)))=0),N($G17),0))),IF(AND(OR($I17="",$I17&lt;=(DATE(Настройки!$C$6,Настройки!$D$7+1+1,1)-1)),OR($J17="",$J17&gt;=DATE(Настройки!$C$6,Настройки!$D$7+1,1)),MOD((YEAR(DATE(Настройки!$C$6,Настройки!$D$7+1,1))*12+MONTH(DATE(Настройки!$C$6,Настройки!$D$7+1,1)))-(YEAR(IF($I17="",$L$6,$I17))*12+MONTH(IF($I17="",$L$6,$I17))),MAX(1,N($H17)))=0),N($G17),0)))</f>
        <v/>
      </c>
    </row>
    <row r="48">
      <c r="Y48" s="243">
        <f>IF(OR($C18="",$F18=""),"",DATE(YEAR($M$6),MONTH($M$6),MIN($F18,DAY((DATE(YEAR($M$6),MONTH($M$6)+1,1)-1)))))</f>
        <v/>
      </c>
      <c r="Z48" s="110">
        <f>IF($C18="","",IF($D18="Доход","Доход","Расход"))</f>
        <v/>
      </c>
      <c r="AA48" s="110">
        <f>IF($C18="","",$E18)</f>
        <v/>
      </c>
      <c r="AB48" s="110">
        <f>IF($C18="",0,IF(AND(OR($I18="",$I18&lt;=(DATE(YEAR($M$6),MONTH($M$6)+1,1)-1)),OR($J18="",$J18&gt;=$M$6),MOD((YEAR($M$6)*12+MONTH($M$6))-(YEAR(IF($I18="",$L$6,$I18))*12+MONTH(IF($I18="",$L$6,$I18))),MAX(1,N($H18)))=0),N($G18),0))</f>
        <v/>
      </c>
      <c r="AC48" s="110">
        <f>IF($C18="",0,IF(M18="✓",N($G18),IF(ISNUMBER(M18),M18,0)))</f>
        <v/>
      </c>
      <c r="AD48" s="243">
        <f>IF($C18="","",$M$6)</f>
        <v/>
      </c>
      <c r="AE48" s="110">
        <f>IF($C18="","",$K18)</f>
        <v/>
      </c>
      <c r="AG48" s="243">
        <f>IF(OR($C18="",$F18=""),"",DATE(YEAR(DATE(Настройки!$C$6,Настройки!$D$7+1,1)),MONTH(DATE(Настройки!$C$6,Настройки!$D$7+1,1)),MIN($F18,DAY((DATE(Настройки!$C$6,Настройки!$D$7+1+1,1)-1)))))</f>
        <v/>
      </c>
      <c r="AH48" s="110">
        <f>IF($C18="","",IF($D18="Доход","Доход","Расход"))</f>
        <v/>
      </c>
      <c r="AI48" s="110">
        <f>IF($C18="","",$E18)</f>
        <v/>
      </c>
      <c r="AJ48" s="110">
        <f>IF($C18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18:$W18,((YEAR(DATE(Настройки!$C$6,Настройки!$D$7+1,1))*12+MONTH(DATE(Настройки!$C$6,Настройки!$D$7+1,1)))-(YEAR($L$6)*12+MONTH($L$6)))+1)="✓",N($G18),IF(ISNUMBER(INDEX($L18:$W18,((YEAR(DATE(Настройки!$C$6,Настройки!$D$7+1,1))*12+MONTH(DATE(Настройки!$C$6,Настройки!$D$7+1,1)))-(YEAR($L$6)*12+MONTH($L$6)))+1)),INDEX($L18:$W18,((YEAR(DATE(Настройки!$C$6,Настройки!$D$7+1,1))*12+MONTH(DATE(Настройки!$C$6,Настройки!$D$7+1,1)))-(YEAR($L$6)*12+MONTH($L$6)))+1),IF(AND(OR($I18="",$I18&lt;=(DATE(Настройки!$C$6,Настройки!$D$7+1+1,1)-1)),OR($J18="",$J18&gt;=DATE(Настройки!$C$6,Настройки!$D$7+1,1)),MOD((YEAR(DATE(Настройки!$C$6,Настройки!$D$7+1,1))*12+MONTH(DATE(Настройки!$C$6,Настройки!$D$7+1,1)))-(YEAR(IF($I18="",$L$6,$I18))*12+MONTH(IF($I18="",$L$6,$I18))),MAX(1,N($H18)))=0),N($G18),0))),IF(AND(OR($I18="",$I18&lt;=(DATE(Настройки!$C$6,Настройки!$D$7+1+1,1)-1)),OR($J18="",$J18&gt;=DATE(Настройки!$C$6,Настройки!$D$7+1,1)),MOD((YEAR(DATE(Настройки!$C$6,Настройки!$D$7+1,1))*12+MONTH(DATE(Настройки!$C$6,Настройки!$D$7+1,1)))-(YEAR(IF($I18="",$L$6,$I18))*12+MONTH(IF($I18="",$L$6,$I18))),MAX(1,N($H18)))=0),N($G18),0)))</f>
        <v/>
      </c>
    </row>
    <row r="49">
      <c r="Y49" s="243">
        <f>IF(OR($C19="",$F19=""),"",DATE(YEAR($M$6),MONTH($M$6),MIN($F19,DAY((DATE(YEAR($M$6),MONTH($M$6)+1,1)-1)))))</f>
        <v/>
      </c>
      <c r="Z49" s="110">
        <f>IF($C19="","",IF($D19="Доход","Доход","Расход"))</f>
        <v/>
      </c>
      <c r="AA49" s="110">
        <f>IF($C19="","",$E19)</f>
        <v/>
      </c>
      <c r="AB49" s="110">
        <f>IF($C19="",0,IF(AND(OR($I19="",$I19&lt;=(DATE(YEAR($M$6),MONTH($M$6)+1,1)-1)),OR($J19="",$J19&gt;=$M$6),MOD((YEAR($M$6)*12+MONTH($M$6))-(YEAR(IF($I19="",$L$6,$I19))*12+MONTH(IF($I19="",$L$6,$I19))),MAX(1,N($H19)))=0),N($G19),0))</f>
        <v/>
      </c>
      <c r="AC49" s="110">
        <f>IF($C19="",0,IF(M19="✓",N($G19),IF(ISNUMBER(M19),M19,0)))</f>
        <v/>
      </c>
      <c r="AD49" s="243">
        <f>IF($C19="","",$M$6)</f>
        <v/>
      </c>
      <c r="AE49" s="110">
        <f>IF($C19="","",$K19)</f>
        <v/>
      </c>
      <c r="AG49" s="243">
        <f>IF(OR($C19="",$F19=""),"",DATE(YEAR(DATE(Настройки!$C$6,Настройки!$D$7+1,1)),MONTH(DATE(Настройки!$C$6,Настройки!$D$7+1,1)),MIN($F19,DAY((DATE(Настройки!$C$6,Настройки!$D$7+1+1,1)-1)))))</f>
        <v/>
      </c>
      <c r="AH49" s="110">
        <f>IF($C19="","",IF($D19="Доход","Доход","Расход"))</f>
        <v/>
      </c>
      <c r="AI49" s="110">
        <f>IF($C19="","",$E19)</f>
        <v/>
      </c>
      <c r="AJ49" s="110">
        <f>IF($C19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19:$W19,((YEAR(DATE(Настройки!$C$6,Настройки!$D$7+1,1))*12+MONTH(DATE(Настройки!$C$6,Настройки!$D$7+1,1)))-(YEAR($L$6)*12+MONTH($L$6)))+1)="✓",N($G19),IF(ISNUMBER(INDEX($L19:$W19,((YEAR(DATE(Настройки!$C$6,Настройки!$D$7+1,1))*12+MONTH(DATE(Настройки!$C$6,Настройки!$D$7+1,1)))-(YEAR($L$6)*12+MONTH($L$6)))+1)),INDEX($L19:$W19,((YEAR(DATE(Настройки!$C$6,Настройки!$D$7+1,1))*12+MONTH(DATE(Настройки!$C$6,Настройки!$D$7+1,1)))-(YEAR($L$6)*12+MONTH($L$6)))+1),IF(AND(OR($I19="",$I19&lt;=(DATE(Настройки!$C$6,Настройки!$D$7+1+1,1)-1)),OR($J19="",$J19&gt;=DATE(Настройки!$C$6,Настройки!$D$7+1,1)),MOD((YEAR(DATE(Настройки!$C$6,Настройки!$D$7+1,1))*12+MONTH(DATE(Настройки!$C$6,Настройки!$D$7+1,1)))-(YEAR(IF($I19="",$L$6,$I19))*12+MONTH(IF($I19="",$L$6,$I19))),MAX(1,N($H19)))=0),N($G19),0))),IF(AND(OR($I19="",$I19&lt;=(DATE(Настройки!$C$6,Настройки!$D$7+1+1,1)-1)),OR($J19="",$J19&gt;=DATE(Настройки!$C$6,Настройки!$D$7+1,1)),MOD((YEAR(DATE(Настройки!$C$6,Настройки!$D$7+1,1))*12+MONTH(DATE(Настройки!$C$6,Настройки!$D$7+1,1)))-(YEAR(IF($I19="",$L$6,$I19))*12+MONTH(IF($I19="",$L$6,$I19))),MAX(1,N($H19)))=0),N($G19),0)))</f>
        <v/>
      </c>
    </row>
    <row r="50">
      <c r="Y50" s="243">
        <f>IF(OR($C20="",$F20=""),"",DATE(YEAR($M$6),MONTH($M$6),MIN($F20,DAY((DATE(YEAR($M$6),MONTH($M$6)+1,1)-1)))))</f>
        <v/>
      </c>
      <c r="Z50" s="110">
        <f>IF($C20="","",IF($D20="Доход","Доход","Расход"))</f>
        <v/>
      </c>
      <c r="AA50" s="110">
        <f>IF($C20="","",$E20)</f>
        <v/>
      </c>
      <c r="AB50" s="110">
        <f>IF($C20="",0,IF(AND(OR($I20="",$I20&lt;=(DATE(YEAR($M$6),MONTH($M$6)+1,1)-1)),OR($J20="",$J20&gt;=$M$6),MOD((YEAR($M$6)*12+MONTH($M$6))-(YEAR(IF($I20="",$L$6,$I20))*12+MONTH(IF($I20="",$L$6,$I20))),MAX(1,N($H20)))=0),N($G20),0))</f>
        <v/>
      </c>
      <c r="AC50" s="110">
        <f>IF($C20="",0,IF(M20="✓",N($G20),IF(ISNUMBER(M20),M20,0)))</f>
        <v/>
      </c>
      <c r="AD50" s="243">
        <f>IF($C20="","",$M$6)</f>
        <v/>
      </c>
      <c r="AE50" s="110">
        <f>IF($C20="","",$K20)</f>
        <v/>
      </c>
      <c r="AG50" s="243">
        <f>IF(OR($C20="",$F20=""),"",DATE(YEAR(DATE(Настройки!$C$6,Настройки!$D$7+1,1)),MONTH(DATE(Настройки!$C$6,Настройки!$D$7+1,1)),MIN($F20,DAY((DATE(Настройки!$C$6,Настройки!$D$7+1+1,1)-1)))))</f>
        <v/>
      </c>
      <c r="AH50" s="110">
        <f>IF($C20="","",IF($D20="Доход","Доход","Расход"))</f>
        <v/>
      </c>
      <c r="AI50" s="110">
        <f>IF($C20="","",$E20)</f>
        <v/>
      </c>
      <c r="AJ50" s="110">
        <f>IF($C20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20:$W20,((YEAR(DATE(Настройки!$C$6,Настройки!$D$7+1,1))*12+MONTH(DATE(Настройки!$C$6,Настройки!$D$7+1,1)))-(YEAR($L$6)*12+MONTH($L$6)))+1)="✓",N($G20),IF(ISNUMBER(INDEX($L20:$W20,((YEAR(DATE(Настройки!$C$6,Настройки!$D$7+1,1))*12+MONTH(DATE(Настройки!$C$6,Настройки!$D$7+1,1)))-(YEAR($L$6)*12+MONTH($L$6)))+1)),INDEX($L20:$W20,((YEAR(DATE(Настройки!$C$6,Настройки!$D$7+1,1))*12+MONTH(DATE(Настройки!$C$6,Настройки!$D$7+1,1)))-(YEAR($L$6)*12+MONTH($L$6)))+1),IF(AND(OR($I20="",$I20&lt;=(DATE(Настройки!$C$6,Настройки!$D$7+1+1,1)-1)),OR($J20="",$J20&gt;=DATE(Настройки!$C$6,Настройки!$D$7+1,1)),MOD((YEAR(DATE(Настройки!$C$6,Настройки!$D$7+1,1))*12+MONTH(DATE(Настройки!$C$6,Настройки!$D$7+1,1)))-(YEAR(IF($I20="",$L$6,$I20))*12+MONTH(IF($I20="",$L$6,$I20))),MAX(1,N($H20)))=0),N($G20),0))),IF(AND(OR($I20="",$I20&lt;=(DATE(Настройки!$C$6,Настройки!$D$7+1+1,1)-1)),OR($J20="",$J20&gt;=DATE(Настройки!$C$6,Настройки!$D$7+1,1)),MOD((YEAR(DATE(Настройки!$C$6,Настройки!$D$7+1,1))*12+MONTH(DATE(Настройки!$C$6,Настройки!$D$7+1,1)))-(YEAR(IF($I20="",$L$6,$I20))*12+MONTH(IF($I20="",$L$6,$I20))),MAX(1,N($H20)))=0),N($G20),0)))</f>
        <v/>
      </c>
    </row>
    <row r="51">
      <c r="Y51" s="243">
        <f>IF(OR($C21="",$F21=""),"",DATE(YEAR($M$6),MONTH($M$6),MIN($F21,DAY((DATE(YEAR($M$6),MONTH($M$6)+1,1)-1)))))</f>
        <v/>
      </c>
      <c r="Z51" s="110">
        <f>IF($C21="","",IF($D21="Доход","Доход","Расход"))</f>
        <v/>
      </c>
      <c r="AA51" s="110">
        <f>IF($C21="","",$E21)</f>
        <v/>
      </c>
      <c r="AB51" s="110">
        <f>IF($C21="",0,IF(AND(OR($I21="",$I21&lt;=(DATE(YEAR($M$6),MONTH($M$6)+1,1)-1)),OR($J21="",$J21&gt;=$M$6),MOD((YEAR($M$6)*12+MONTH($M$6))-(YEAR(IF($I21="",$L$6,$I21))*12+MONTH(IF($I21="",$L$6,$I21))),MAX(1,N($H21)))=0),N($G21),0))</f>
        <v/>
      </c>
      <c r="AC51" s="110">
        <f>IF($C21="",0,IF(M21="✓",N($G21),IF(ISNUMBER(M21),M21,0)))</f>
        <v/>
      </c>
      <c r="AD51" s="243">
        <f>IF($C21="","",$M$6)</f>
        <v/>
      </c>
      <c r="AE51" s="110">
        <f>IF($C21="","",$K21)</f>
        <v/>
      </c>
      <c r="AG51" s="243">
        <f>IF(OR($C21="",$F21=""),"",DATE(YEAR(DATE(Настройки!$C$6,Настройки!$D$7+1,1)),MONTH(DATE(Настройки!$C$6,Настройки!$D$7+1,1)),MIN($F21,DAY((DATE(Настройки!$C$6,Настройки!$D$7+1+1,1)-1)))))</f>
        <v/>
      </c>
      <c r="AH51" s="110">
        <f>IF($C21="","",IF($D21="Доход","Доход","Расход"))</f>
        <v/>
      </c>
      <c r="AI51" s="110">
        <f>IF($C21="","",$E21)</f>
        <v/>
      </c>
      <c r="AJ51" s="110">
        <f>IF($C21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21:$W21,((YEAR(DATE(Настройки!$C$6,Настройки!$D$7+1,1))*12+MONTH(DATE(Настройки!$C$6,Настройки!$D$7+1,1)))-(YEAR($L$6)*12+MONTH($L$6)))+1)="✓",N($G21),IF(ISNUMBER(INDEX($L21:$W21,((YEAR(DATE(Настройки!$C$6,Настройки!$D$7+1,1))*12+MONTH(DATE(Настройки!$C$6,Настройки!$D$7+1,1)))-(YEAR($L$6)*12+MONTH($L$6)))+1)),INDEX($L21:$W21,((YEAR(DATE(Настройки!$C$6,Настройки!$D$7+1,1))*12+MONTH(DATE(Настройки!$C$6,Настройки!$D$7+1,1)))-(YEAR($L$6)*12+MONTH($L$6)))+1),IF(AND(OR($I21="",$I21&lt;=(DATE(Настройки!$C$6,Настройки!$D$7+1+1,1)-1)),OR($J21="",$J21&gt;=DATE(Настройки!$C$6,Настройки!$D$7+1,1)),MOD((YEAR(DATE(Настройки!$C$6,Настройки!$D$7+1,1))*12+MONTH(DATE(Настройки!$C$6,Настройки!$D$7+1,1)))-(YEAR(IF($I21="",$L$6,$I21))*12+MONTH(IF($I21="",$L$6,$I21))),MAX(1,N($H21)))=0),N($G21),0))),IF(AND(OR($I21="",$I21&lt;=(DATE(Настройки!$C$6,Настройки!$D$7+1+1,1)-1)),OR($J21="",$J21&gt;=DATE(Настройки!$C$6,Настройки!$D$7+1,1)),MOD((YEAR(DATE(Настройки!$C$6,Настройки!$D$7+1,1))*12+MONTH(DATE(Настройки!$C$6,Настройки!$D$7+1,1)))-(YEAR(IF($I21="",$L$6,$I21))*12+MONTH(IF($I21="",$L$6,$I21))),MAX(1,N($H21)))=0),N($G21),0)))</f>
        <v/>
      </c>
    </row>
    <row r="52">
      <c r="Y52" s="243">
        <f>IF(OR($C22="",$F22=""),"",DATE(YEAR($M$6),MONTH($M$6),MIN($F22,DAY((DATE(YEAR($M$6),MONTH($M$6)+1,1)-1)))))</f>
        <v/>
      </c>
      <c r="Z52" s="110">
        <f>IF($C22="","",IF($D22="Доход","Доход","Расход"))</f>
        <v/>
      </c>
      <c r="AA52" s="110">
        <f>IF($C22="","",$E22)</f>
        <v/>
      </c>
      <c r="AB52" s="110">
        <f>IF($C22="",0,IF(AND(OR($I22="",$I22&lt;=(DATE(YEAR($M$6),MONTH($M$6)+1,1)-1)),OR($J22="",$J22&gt;=$M$6),MOD((YEAR($M$6)*12+MONTH($M$6))-(YEAR(IF($I22="",$L$6,$I22))*12+MONTH(IF($I22="",$L$6,$I22))),MAX(1,N($H22)))=0),N($G22),0))</f>
        <v/>
      </c>
      <c r="AC52" s="110">
        <f>IF($C22="",0,IF(M22="✓",N($G22),IF(ISNUMBER(M22),M22,0)))</f>
        <v/>
      </c>
      <c r="AD52" s="243">
        <f>IF($C22="","",$M$6)</f>
        <v/>
      </c>
      <c r="AE52" s="110">
        <f>IF($C22="","",$K22)</f>
        <v/>
      </c>
      <c r="AG52" s="243">
        <f>IF(OR($C22="",$F22=""),"",DATE(YEAR(DATE(Настройки!$C$6,Настройки!$D$7+1,1)),MONTH(DATE(Настройки!$C$6,Настройки!$D$7+1,1)),MIN($F22,DAY((DATE(Настройки!$C$6,Настройки!$D$7+1+1,1)-1)))))</f>
        <v/>
      </c>
      <c r="AH52" s="110">
        <f>IF($C22="","",IF($D22="Доход","Доход","Расход"))</f>
        <v/>
      </c>
      <c r="AI52" s="110">
        <f>IF($C22="","",$E22)</f>
        <v/>
      </c>
      <c r="AJ52" s="110">
        <f>IF($C22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22:$W22,((YEAR(DATE(Настройки!$C$6,Настройки!$D$7+1,1))*12+MONTH(DATE(Настройки!$C$6,Настройки!$D$7+1,1)))-(YEAR($L$6)*12+MONTH($L$6)))+1)="✓",N($G22),IF(ISNUMBER(INDEX($L22:$W22,((YEAR(DATE(Настройки!$C$6,Настройки!$D$7+1,1))*12+MONTH(DATE(Настройки!$C$6,Настройки!$D$7+1,1)))-(YEAR($L$6)*12+MONTH($L$6)))+1)),INDEX($L22:$W22,((YEAR(DATE(Настройки!$C$6,Настройки!$D$7+1,1))*12+MONTH(DATE(Настройки!$C$6,Настройки!$D$7+1,1)))-(YEAR($L$6)*12+MONTH($L$6)))+1),IF(AND(OR($I22="",$I22&lt;=(DATE(Настройки!$C$6,Настройки!$D$7+1+1,1)-1)),OR($J22="",$J22&gt;=DATE(Настройки!$C$6,Настройки!$D$7+1,1)),MOD((YEAR(DATE(Настройки!$C$6,Настройки!$D$7+1,1))*12+MONTH(DATE(Настройки!$C$6,Настройки!$D$7+1,1)))-(YEAR(IF($I22="",$L$6,$I22))*12+MONTH(IF($I22="",$L$6,$I22))),MAX(1,N($H22)))=0),N($G22),0))),IF(AND(OR($I22="",$I22&lt;=(DATE(Настройки!$C$6,Настройки!$D$7+1+1,1)-1)),OR($J22="",$J22&gt;=DATE(Настройки!$C$6,Настройки!$D$7+1,1)),MOD((YEAR(DATE(Настройки!$C$6,Настройки!$D$7+1,1))*12+MONTH(DATE(Настройки!$C$6,Настройки!$D$7+1,1)))-(YEAR(IF($I22="",$L$6,$I22))*12+MONTH(IF($I22="",$L$6,$I22))),MAX(1,N($H22)))=0),N($G22),0)))</f>
        <v/>
      </c>
    </row>
    <row r="53">
      <c r="Y53" s="243">
        <f>IF(OR($C23="",$F23=""),"",DATE(YEAR($M$6),MONTH($M$6),MIN($F23,DAY((DATE(YEAR($M$6),MONTH($M$6)+1,1)-1)))))</f>
        <v/>
      </c>
      <c r="Z53" s="110">
        <f>IF($C23="","",IF($D23="Доход","Доход","Расход"))</f>
        <v/>
      </c>
      <c r="AA53" s="110">
        <f>IF($C23="","",$E23)</f>
        <v/>
      </c>
      <c r="AB53" s="110">
        <f>IF($C23="",0,IF(AND(OR($I23="",$I23&lt;=(DATE(YEAR($M$6),MONTH($M$6)+1,1)-1)),OR($J23="",$J23&gt;=$M$6),MOD((YEAR($M$6)*12+MONTH($M$6))-(YEAR(IF($I23="",$L$6,$I23))*12+MONTH(IF($I23="",$L$6,$I23))),MAX(1,N($H23)))=0),N($G23),0))</f>
        <v/>
      </c>
      <c r="AC53" s="110">
        <f>IF($C23="",0,IF(M23="✓",N($G23),IF(ISNUMBER(M23),M23,0)))</f>
        <v/>
      </c>
      <c r="AD53" s="243">
        <f>IF($C23="","",$M$6)</f>
        <v/>
      </c>
      <c r="AE53" s="110">
        <f>IF($C23="","",$K23)</f>
        <v/>
      </c>
      <c r="AG53" s="243">
        <f>IF(OR($C23="",$F23=""),"",DATE(YEAR(DATE(Настройки!$C$6,Настройки!$D$7+1,1)),MONTH(DATE(Настройки!$C$6,Настройки!$D$7+1,1)),MIN($F23,DAY((DATE(Настройки!$C$6,Настройки!$D$7+1+1,1)-1)))))</f>
        <v/>
      </c>
      <c r="AH53" s="110">
        <f>IF($C23="","",IF($D23="Доход","Доход","Расход"))</f>
        <v/>
      </c>
      <c r="AI53" s="110">
        <f>IF($C23="","",$E23)</f>
        <v/>
      </c>
      <c r="AJ53" s="110">
        <f>IF($C23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23:$W23,((YEAR(DATE(Настройки!$C$6,Настройки!$D$7+1,1))*12+MONTH(DATE(Настройки!$C$6,Настройки!$D$7+1,1)))-(YEAR($L$6)*12+MONTH($L$6)))+1)="✓",N($G23),IF(ISNUMBER(INDEX($L23:$W23,((YEAR(DATE(Настройки!$C$6,Настройки!$D$7+1,1))*12+MONTH(DATE(Настройки!$C$6,Настройки!$D$7+1,1)))-(YEAR($L$6)*12+MONTH($L$6)))+1)),INDEX($L23:$W23,((YEAR(DATE(Настройки!$C$6,Настройки!$D$7+1,1))*12+MONTH(DATE(Настройки!$C$6,Настройки!$D$7+1,1)))-(YEAR($L$6)*12+MONTH($L$6)))+1),IF(AND(OR($I23="",$I23&lt;=(DATE(Настройки!$C$6,Настройки!$D$7+1+1,1)-1)),OR($J23="",$J23&gt;=DATE(Настройки!$C$6,Настройки!$D$7+1,1)),MOD((YEAR(DATE(Настройки!$C$6,Настройки!$D$7+1,1))*12+MONTH(DATE(Настройки!$C$6,Настройки!$D$7+1,1)))-(YEAR(IF($I23="",$L$6,$I23))*12+MONTH(IF($I23="",$L$6,$I23))),MAX(1,N($H23)))=0),N($G23),0))),IF(AND(OR($I23="",$I23&lt;=(DATE(Настройки!$C$6,Настройки!$D$7+1+1,1)-1)),OR($J23="",$J23&gt;=DATE(Настройки!$C$6,Настройки!$D$7+1,1)),MOD((YEAR(DATE(Настройки!$C$6,Настройки!$D$7+1,1))*12+MONTH(DATE(Настройки!$C$6,Настройки!$D$7+1,1)))-(YEAR(IF($I23="",$L$6,$I23))*12+MONTH(IF($I23="",$L$6,$I23))),MAX(1,N($H23)))=0),N($G23),0)))</f>
        <v/>
      </c>
    </row>
    <row r="54">
      <c r="Y54" s="243">
        <f>IF(OR($C24="",$F24=""),"",DATE(YEAR($M$6),MONTH($M$6),MIN($F24,DAY((DATE(YEAR($M$6),MONTH($M$6)+1,1)-1)))))</f>
        <v/>
      </c>
      <c r="Z54" s="110">
        <f>IF($C24="","",IF($D24="Доход","Доход","Расход"))</f>
        <v/>
      </c>
      <c r="AA54" s="110">
        <f>IF($C24="","",$E24)</f>
        <v/>
      </c>
      <c r="AB54" s="110">
        <f>IF($C24="",0,IF(AND(OR($I24="",$I24&lt;=(DATE(YEAR($M$6),MONTH($M$6)+1,1)-1)),OR($J24="",$J24&gt;=$M$6),MOD((YEAR($M$6)*12+MONTH($M$6))-(YEAR(IF($I24="",$L$6,$I24))*12+MONTH(IF($I24="",$L$6,$I24))),MAX(1,N($H24)))=0),N($G24),0))</f>
        <v/>
      </c>
      <c r="AC54" s="110">
        <f>IF($C24="",0,IF(M24="✓",N($G24),IF(ISNUMBER(M24),M24,0)))</f>
        <v/>
      </c>
      <c r="AD54" s="243">
        <f>IF($C24="","",$M$6)</f>
        <v/>
      </c>
      <c r="AE54" s="110">
        <f>IF($C24="","",$K24)</f>
        <v/>
      </c>
      <c r="AG54" s="243">
        <f>IF(OR($C24="",$F24=""),"",DATE(YEAR(DATE(Настройки!$C$6,Настройки!$D$7+1,1)),MONTH(DATE(Настройки!$C$6,Настройки!$D$7+1,1)),MIN($F24,DAY((DATE(Настройки!$C$6,Настройки!$D$7+1+1,1)-1)))))</f>
        <v/>
      </c>
      <c r="AH54" s="110">
        <f>IF($C24="","",IF($D24="Доход","Доход","Расход"))</f>
        <v/>
      </c>
      <c r="AI54" s="110">
        <f>IF($C24="","",$E24)</f>
        <v/>
      </c>
      <c r="AJ54" s="110">
        <f>IF($C24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24:$W24,((YEAR(DATE(Настройки!$C$6,Настройки!$D$7+1,1))*12+MONTH(DATE(Настройки!$C$6,Настройки!$D$7+1,1)))-(YEAR($L$6)*12+MONTH($L$6)))+1)="✓",N($G24),IF(ISNUMBER(INDEX($L24:$W24,((YEAR(DATE(Настройки!$C$6,Настройки!$D$7+1,1))*12+MONTH(DATE(Настройки!$C$6,Настройки!$D$7+1,1)))-(YEAR($L$6)*12+MONTH($L$6)))+1)),INDEX($L24:$W24,((YEAR(DATE(Настройки!$C$6,Настройки!$D$7+1,1))*12+MONTH(DATE(Настройки!$C$6,Настройки!$D$7+1,1)))-(YEAR($L$6)*12+MONTH($L$6)))+1),IF(AND(OR($I24="",$I24&lt;=(DATE(Настройки!$C$6,Настройки!$D$7+1+1,1)-1)),OR($J24="",$J24&gt;=DATE(Настройки!$C$6,Настройки!$D$7+1,1)),MOD((YEAR(DATE(Настройки!$C$6,Настройки!$D$7+1,1))*12+MONTH(DATE(Настройки!$C$6,Настройки!$D$7+1,1)))-(YEAR(IF($I24="",$L$6,$I24))*12+MONTH(IF($I24="",$L$6,$I24))),MAX(1,N($H24)))=0),N($G24),0))),IF(AND(OR($I24="",$I24&lt;=(DATE(Настройки!$C$6,Настройки!$D$7+1+1,1)-1)),OR($J24="",$J24&gt;=DATE(Настройки!$C$6,Настройки!$D$7+1,1)),MOD((YEAR(DATE(Настройки!$C$6,Настройки!$D$7+1,1))*12+MONTH(DATE(Настройки!$C$6,Настройки!$D$7+1,1)))-(YEAR(IF($I24="",$L$6,$I24))*12+MONTH(IF($I24="",$L$6,$I24))),MAX(1,N($H24)))=0),N($G24),0)))</f>
        <v/>
      </c>
    </row>
    <row r="55">
      <c r="Y55" s="243">
        <f>IF(OR($C25="",$F25=""),"",DATE(YEAR($M$6),MONTH($M$6),MIN($F25,DAY((DATE(YEAR($M$6),MONTH($M$6)+1,1)-1)))))</f>
        <v/>
      </c>
      <c r="Z55" s="110">
        <f>IF($C25="","",IF($D25="Доход","Доход","Расход"))</f>
        <v/>
      </c>
      <c r="AA55" s="110">
        <f>IF($C25="","",$E25)</f>
        <v/>
      </c>
      <c r="AB55" s="110">
        <f>IF($C25="",0,IF(AND(OR($I25="",$I25&lt;=(DATE(YEAR($M$6),MONTH($M$6)+1,1)-1)),OR($J25="",$J25&gt;=$M$6),MOD((YEAR($M$6)*12+MONTH($M$6))-(YEAR(IF($I25="",$L$6,$I25))*12+MONTH(IF($I25="",$L$6,$I25))),MAX(1,N($H25)))=0),N($G25),0))</f>
        <v/>
      </c>
      <c r="AC55" s="110">
        <f>IF($C25="",0,IF(M25="✓",N($G25),IF(ISNUMBER(M25),M25,0)))</f>
        <v/>
      </c>
      <c r="AD55" s="243">
        <f>IF($C25="","",$M$6)</f>
        <v/>
      </c>
      <c r="AE55" s="110">
        <f>IF($C25="","",$K25)</f>
        <v/>
      </c>
      <c r="AG55" s="243">
        <f>IF(OR($C25="",$F25=""),"",DATE(YEAR(DATE(Настройки!$C$6,Настройки!$D$7+1,1)),MONTH(DATE(Настройки!$C$6,Настройки!$D$7+1,1)),MIN($F25,DAY((DATE(Настройки!$C$6,Настройки!$D$7+1+1,1)-1)))))</f>
        <v/>
      </c>
      <c r="AH55" s="110">
        <f>IF($C25="","",IF($D25="Доход","Доход","Расход"))</f>
        <v/>
      </c>
      <c r="AI55" s="110">
        <f>IF($C25="","",$E25)</f>
        <v/>
      </c>
      <c r="AJ55" s="110">
        <f>IF($C25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25:$W25,((YEAR(DATE(Настройки!$C$6,Настройки!$D$7+1,1))*12+MONTH(DATE(Настройки!$C$6,Настройки!$D$7+1,1)))-(YEAR($L$6)*12+MONTH($L$6)))+1)="✓",N($G25),IF(ISNUMBER(INDEX($L25:$W25,((YEAR(DATE(Настройки!$C$6,Настройки!$D$7+1,1))*12+MONTH(DATE(Настройки!$C$6,Настройки!$D$7+1,1)))-(YEAR($L$6)*12+MONTH($L$6)))+1)),INDEX($L25:$W25,((YEAR(DATE(Настройки!$C$6,Настройки!$D$7+1,1))*12+MONTH(DATE(Настройки!$C$6,Настройки!$D$7+1,1)))-(YEAR($L$6)*12+MONTH($L$6)))+1),IF(AND(OR($I25="",$I25&lt;=(DATE(Настройки!$C$6,Настройки!$D$7+1+1,1)-1)),OR($J25="",$J25&gt;=DATE(Настройки!$C$6,Настройки!$D$7+1,1)),MOD((YEAR(DATE(Настройки!$C$6,Настройки!$D$7+1,1))*12+MONTH(DATE(Настройки!$C$6,Настройки!$D$7+1,1)))-(YEAR(IF($I25="",$L$6,$I25))*12+MONTH(IF($I25="",$L$6,$I25))),MAX(1,N($H25)))=0),N($G25),0))),IF(AND(OR($I25="",$I25&lt;=(DATE(Настройки!$C$6,Настройки!$D$7+1+1,1)-1)),OR($J25="",$J25&gt;=DATE(Настройки!$C$6,Настройки!$D$7+1,1)),MOD((YEAR(DATE(Настройки!$C$6,Настройки!$D$7+1,1))*12+MONTH(DATE(Настройки!$C$6,Настройки!$D$7+1,1)))-(YEAR(IF($I25="",$L$6,$I25))*12+MONTH(IF($I25="",$L$6,$I25))),MAX(1,N($H25)))=0),N($G25),0)))</f>
        <v/>
      </c>
    </row>
    <row r="56">
      <c r="Y56" s="243">
        <f>IF(OR($C26="",$F26=""),"",DATE(YEAR($M$6),MONTH($M$6),MIN($F26,DAY((DATE(YEAR($M$6),MONTH($M$6)+1,1)-1)))))</f>
        <v/>
      </c>
      <c r="Z56" s="110">
        <f>IF($C26="","",IF($D26="Доход","Доход","Расход"))</f>
        <v/>
      </c>
      <c r="AA56" s="110">
        <f>IF($C26="","",$E26)</f>
        <v/>
      </c>
      <c r="AB56" s="110">
        <f>IF($C26="",0,IF(AND(OR($I26="",$I26&lt;=(DATE(YEAR($M$6),MONTH($M$6)+1,1)-1)),OR($J26="",$J26&gt;=$M$6),MOD((YEAR($M$6)*12+MONTH($M$6))-(YEAR(IF($I26="",$L$6,$I26))*12+MONTH(IF($I26="",$L$6,$I26))),MAX(1,N($H26)))=0),N($G26),0))</f>
        <v/>
      </c>
      <c r="AC56" s="110">
        <f>IF($C26="",0,IF(M26="✓",N($G26),IF(ISNUMBER(M26),M26,0)))</f>
        <v/>
      </c>
      <c r="AD56" s="243">
        <f>IF($C26="","",$M$6)</f>
        <v/>
      </c>
      <c r="AE56" s="110">
        <f>IF($C26="","",$K26)</f>
        <v/>
      </c>
      <c r="AG56" s="243">
        <f>IF(OR($C26="",$F26=""),"",DATE(YEAR(DATE(Настройки!$C$6,Настройки!$D$7+1,1)),MONTH(DATE(Настройки!$C$6,Настройки!$D$7+1,1)),MIN($F26,DAY((DATE(Настройки!$C$6,Настройки!$D$7+1+1,1)-1)))))</f>
        <v/>
      </c>
      <c r="AH56" s="110">
        <f>IF($C26="","",IF($D26="Доход","Доход","Расход"))</f>
        <v/>
      </c>
      <c r="AI56" s="110">
        <f>IF($C26="","",$E26)</f>
        <v/>
      </c>
      <c r="AJ56" s="110">
        <f>IF($C26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26:$W26,((YEAR(DATE(Настройки!$C$6,Настройки!$D$7+1,1))*12+MONTH(DATE(Настройки!$C$6,Настройки!$D$7+1,1)))-(YEAR($L$6)*12+MONTH($L$6)))+1)="✓",N($G26),IF(ISNUMBER(INDEX($L26:$W26,((YEAR(DATE(Настройки!$C$6,Настройки!$D$7+1,1))*12+MONTH(DATE(Настройки!$C$6,Настройки!$D$7+1,1)))-(YEAR($L$6)*12+MONTH($L$6)))+1)),INDEX($L26:$W26,((YEAR(DATE(Настройки!$C$6,Настройки!$D$7+1,1))*12+MONTH(DATE(Настройки!$C$6,Настройки!$D$7+1,1)))-(YEAR($L$6)*12+MONTH($L$6)))+1),IF(AND(OR($I26="",$I26&lt;=(DATE(Настройки!$C$6,Настройки!$D$7+1+1,1)-1)),OR($J26="",$J26&gt;=DATE(Настройки!$C$6,Настройки!$D$7+1,1)),MOD((YEAR(DATE(Настройки!$C$6,Настройки!$D$7+1,1))*12+MONTH(DATE(Настройки!$C$6,Настройки!$D$7+1,1)))-(YEAR(IF($I26="",$L$6,$I26))*12+MONTH(IF($I26="",$L$6,$I26))),MAX(1,N($H26)))=0),N($G26),0))),IF(AND(OR($I26="",$I26&lt;=(DATE(Настройки!$C$6,Настройки!$D$7+1+1,1)-1)),OR($J26="",$J26&gt;=DATE(Настройки!$C$6,Настройки!$D$7+1,1)),MOD((YEAR(DATE(Настройки!$C$6,Настройки!$D$7+1,1))*12+MONTH(DATE(Настройки!$C$6,Настройки!$D$7+1,1)))-(YEAR(IF($I26="",$L$6,$I26))*12+MONTH(IF($I26="",$L$6,$I26))),MAX(1,N($H26)))=0),N($G26),0)))</f>
        <v/>
      </c>
    </row>
    <row r="57">
      <c r="Y57" s="243">
        <f>IF(OR($C27="",$F27=""),"",DATE(YEAR($M$6),MONTH($M$6),MIN($F27,DAY((DATE(YEAR($M$6),MONTH($M$6)+1,1)-1)))))</f>
        <v/>
      </c>
      <c r="Z57" s="110">
        <f>IF($C27="","",IF($D27="Доход","Доход","Расход"))</f>
        <v/>
      </c>
      <c r="AA57" s="110">
        <f>IF($C27="","",$E27)</f>
        <v/>
      </c>
      <c r="AB57" s="110">
        <f>IF($C27="",0,IF(AND(OR($I27="",$I27&lt;=(DATE(YEAR($M$6),MONTH($M$6)+1,1)-1)),OR($J27="",$J27&gt;=$M$6),MOD((YEAR($M$6)*12+MONTH($M$6))-(YEAR(IF($I27="",$L$6,$I27))*12+MONTH(IF($I27="",$L$6,$I27))),MAX(1,N($H27)))=0),N($G27),0))</f>
        <v/>
      </c>
      <c r="AC57" s="110">
        <f>IF($C27="",0,IF(M27="✓",N($G27),IF(ISNUMBER(M27),M27,0)))</f>
        <v/>
      </c>
      <c r="AD57" s="243">
        <f>IF($C27="","",$M$6)</f>
        <v/>
      </c>
      <c r="AE57" s="110">
        <f>IF($C27="","",$K27)</f>
        <v/>
      </c>
      <c r="AG57" s="243">
        <f>IF(OR($C27="",$F27=""),"",DATE(YEAR(DATE(Настройки!$C$6,Настройки!$D$7+1,1)),MONTH(DATE(Настройки!$C$6,Настройки!$D$7+1,1)),MIN($F27,DAY((DATE(Настройки!$C$6,Настройки!$D$7+1+1,1)-1)))))</f>
        <v/>
      </c>
      <c r="AH57" s="110">
        <f>IF($C27="","",IF($D27="Доход","Доход","Расход"))</f>
        <v/>
      </c>
      <c r="AI57" s="110">
        <f>IF($C27="","",$E27)</f>
        <v/>
      </c>
      <c r="AJ57" s="110">
        <f>IF($C27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27:$W27,((YEAR(DATE(Настройки!$C$6,Настройки!$D$7+1,1))*12+MONTH(DATE(Настройки!$C$6,Настройки!$D$7+1,1)))-(YEAR($L$6)*12+MONTH($L$6)))+1)="✓",N($G27),IF(ISNUMBER(INDEX($L27:$W27,((YEAR(DATE(Настройки!$C$6,Настройки!$D$7+1,1))*12+MONTH(DATE(Настройки!$C$6,Настройки!$D$7+1,1)))-(YEAR($L$6)*12+MONTH($L$6)))+1)),INDEX($L27:$W27,((YEAR(DATE(Настройки!$C$6,Настройки!$D$7+1,1))*12+MONTH(DATE(Настройки!$C$6,Настройки!$D$7+1,1)))-(YEAR($L$6)*12+MONTH($L$6)))+1),IF(AND(OR($I27="",$I27&lt;=(DATE(Настройки!$C$6,Настройки!$D$7+1+1,1)-1)),OR($J27="",$J27&gt;=DATE(Настройки!$C$6,Настройки!$D$7+1,1)),MOD((YEAR(DATE(Настройки!$C$6,Настройки!$D$7+1,1))*12+MONTH(DATE(Настройки!$C$6,Настройки!$D$7+1,1)))-(YEAR(IF($I27="",$L$6,$I27))*12+MONTH(IF($I27="",$L$6,$I27))),MAX(1,N($H27)))=0),N($G27),0))),IF(AND(OR($I27="",$I27&lt;=(DATE(Настройки!$C$6,Настройки!$D$7+1+1,1)-1)),OR($J27="",$J27&gt;=DATE(Настройки!$C$6,Настройки!$D$7+1,1)),MOD((YEAR(DATE(Настройки!$C$6,Настройки!$D$7+1,1))*12+MONTH(DATE(Настройки!$C$6,Настройки!$D$7+1,1)))-(YEAR(IF($I27="",$L$6,$I27))*12+MONTH(IF($I27="",$L$6,$I27))),MAX(1,N($H27)))=0),N($G27),0)))</f>
        <v/>
      </c>
    </row>
    <row r="58">
      <c r="Y58" s="243">
        <f>IF(OR($C28="",$F28=""),"",DATE(YEAR($M$6),MONTH($M$6),MIN($F28,DAY((DATE(YEAR($M$6),MONTH($M$6)+1,1)-1)))))</f>
        <v/>
      </c>
      <c r="Z58" s="110">
        <f>IF($C28="","",IF($D28="Доход","Доход","Расход"))</f>
        <v/>
      </c>
      <c r="AA58" s="110">
        <f>IF($C28="","",$E28)</f>
        <v/>
      </c>
      <c r="AB58" s="110">
        <f>IF($C28="",0,IF(AND(OR($I28="",$I28&lt;=(DATE(YEAR($M$6),MONTH($M$6)+1,1)-1)),OR($J28="",$J28&gt;=$M$6),MOD((YEAR($M$6)*12+MONTH($M$6))-(YEAR(IF($I28="",$L$6,$I28))*12+MONTH(IF($I28="",$L$6,$I28))),MAX(1,N($H28)))=0),N($G28),0))</f>
        <v/>
      </c>
      <c r="AC58" s="110">
        <f>IF($C28="",0,IF(M28="✓",N($G28),IF(ISNUMBER(M28),M28,0)))</f>
        <v/>
      </c>
      <c r="AD58" s="243">
        <f>IF($C28="","",$M$6)</f>
        <v/>
      </c>
      <c r="AE58" s="110">
        <f>IF($C28="","",$K28)</f>
        <v/>
      </c>
      <c r="AG58" s="243">
        <f>IF(OR($C28="",$F28=""),"",DATE(YEAR(DATE(Настройки!$C$6,Настройки!$D$7+1,1)),MONTH(DATE(Настройки!$C$6,Настройки!$D$7+1,1)),MIN($F28,DAY((DATE(Настройки!$C$6,Настройки!$D$7+1+1,1)-1)))))</f>
        <v/>
      </c>
      <c r="AH58" s="110">
        <f>IF($C28="","",IF($D28="Доход","Доход","Расход"))</f>
        <v/>
      </c>
      <c r="AI58" s="110">
        <f>IF($C28="","",$E28)</f>
        <v/>
      </c>
      <c r="AJ58" s="110">
        <f>IF($C28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28:$W28,((YEAR(DATE(Настройки!$C$6,Настройки!$D$7+1,1))*12+MONTH(DATE(Настройки!$C$6,Настройки!$D$7+1,1)))-(YEAR($L$6)*12+MONTH($L$6)))+1)="✓",N($G28),IF(ISNUMBER(INDEX($L28:$W28,((YEAR(DATE(Настройки!$C$6,Настройки!$D$7+1,1))*12+MONTH(DATE(Настройки!$C$6,Настройки!$D$7+1,1)))-(YEAR($L$6)*12+MONTH($L$6)))+1)),INDEX($L28:$W28,((YEAR(DATE(Настройки!$C$6,Настройки!$D$7+1,1))*12+MONTH(DATE(Настройки!$C$6,Настройки!$D$7+1,1)))-(YEAR($L$6)*12+MONTH($L$6)))+1),IF(AND(OR($I28="",$I28&lt;=(DATE(Настройки!$C$6,Настройки!$D$7+1+1,1)-1)),OR($J28="",$J28&gt;=DATE(Настройки!$C$6,Настройки!$D$7+1,1)),MOD((YEAR(DATE(Настройки!$C$6,Настройки!$D$7+1,1))*12+MONTH(DATE(Настройки!$C$6,Настройки!$D$7+1,1)))-(YEAR(IF($I28="",$L$6,$I28))*12+MONTH(IF($I28="",$L$6,$I28))),MAX(1,N($H28)))=0),N($G28),0))),IF(AND(OR($I28="",$I28&lt;=(DATE(Настройки!$C$6,Настройки!$D$7+1+1,1)-1)),OR($J28="",$J28&gt;=DATE(Настройки!$C$6,Настройки!$D$7+1,1)),MOD((YEAR(DATE(Настройки!$C$6,Настройки!$D$7+1,1))*12+MONTH(DATE(Настройки!$C$6,Настройки!$D$7+1,1)))-(YEAR(IF($I28="",$L$6,$I28))*12+MONTH(IF($I28="",$L$6,$I28))),MAX(1,N($H28)))=0),N($G28),0)))</f>
        <v/>
      </c>
    </row>
    <row r="59">
      <c r="Y59" s="243">
        <f>IF(OR($C29="",$F29=""),"",DATE(YEAR($M$6),MONTH($M$6),MIN($F29,DAY((DATE(YEAR($M$6),MONTH($M$6)+1,1)-1)))))</f>
        <v/>
      </c>
      <c r="Z59" s="110">
        <f>IF($C29="","",IF($D29="Доход","Доход","Расход"))</f>
        <v/>
      </c>
      <c r="AA59" s="110">
        <f>IF($C29="","",$E29)</f>
        <v/>
      </c>
      <c r="AB59" s="110">
        <f>IF($C29="",0,IF(AND(OR($I29="",$I29&lt;=(DATE(YEAR($M$6),MONTH($M$6)+1,1)-1)),OR($J29="",$J29&gt;=$M$6),MOD((YEAR($M$6)*12+MONTH($M$6))-(YEAR(IF($I29="",$L$6,$I29))*12+MONTH(IF($I29="",$L$6,$I29))),MAX(1,N($H29)))=0),N($G29),0))</f>
        <v/>
      </c>
      <c r="AC59" s="110">
        <f>IF($C29="",0,IF(M29="✓",N($G29),IF(ISNUMBER(M29),M29,0)))</f>
        <v/>
      </c>
      <c r="AD59" s="243">
        <f>IF($C29="","",$M$6)</f>
        <v/>
      </c>
      <c r="AE59" s="110">
        <f>IF($C29="","",$K29)</f>
        <v/>
      </c>
      <c r="AG59" s="243">
        <f>IF(OR($C29="",$F29=""),"",DATE(YEAR(DATE(Настройки!$C$6,Настройки!$D$7+1,1)),MONTH(DATE(Настройки!$C$6,Настройки!$D$7+1,1)),MIN($F29,DAY((DATE(Настройки!$C$6,Настройки!$D$7+1+1,1)-1)))))</f>
        <v/>
      </c>
      <c r="AH59" s="110">
        <f>IF($C29="","",IF($D29="Доход","Доход","Расход"))</f>
        <v/>
      </c>
      <c r="AI59" s="110">
        <f>IF($C29="","",$E29)</f>
        <v/>
      </c>
      <c r="AJ59" s="110">
        <f>IF($C29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29:$W29,((YEAR(DATE(Настройки!$C$6,Настройки!$D$7+1,1))*12+MONTH(DATE(Настройки!$C$6,Настройки!$D$7+1,1)))-(YEAR($L$6)*12+MONTH($L$6)))+1)="✓",N($G29),IF(ISNUMBER(INDEX($L29:$W29,((YEAR(DATE(Настройки!$C$6,Настройки!$D$7+1,1))*12+MONTH(DATE(Настройки!$C$6,Настройки!$D$7+1,1)))-(YEAR($L$6)*12+MONTH($L$6)))+1)),INDEX($L29:$W29,((YEAR(DATE(Настройки!$C$6,Настройки!$D$7+1,1))*12+MONTH(DATE(Настройки!$C$6,Настройки!$D$7+1,1)))-(YEAR($L$6)*12+MONTH($L$6)))+1),IF(AND(OR($I29="",$I29&lt;=(DATE(Настройки!$C$6,Настройки!$D$7+1+1,1)-1)),OR($J29="",$J29&gt;=DATE(Настройки!$C$6,Настройки!$D$7+1,1)),MOD((YEAR(DATE(Настройки!$C$6,Настройки!$D$7+1,1))*12+MONTH(DATE(Настройки!$C$6,Настройки!$D$7+1,1)))-(YEAR(IF($I29="",$L$6,$I29))*12+MONTH(IF($I29="",$L$6,$I29))),MAX(1,N($H29)))=0),N($G29),0))),IF(AND(OR($I29="",$I29&lt;=(DATE(Настройки!$C$6,Настройки!$D$7+1+1,1)-1)),OR($J29="",$J29&gt;=DATE(Настройки!$C$6,Настройки!$D$7+1,1)),MOD((YEAR(DATE(Настройки!$C$6,Настройки!$D$7+1,1))*12+MONTH(DATE(Настройки!$C$6,Настройки!$D$7+1,1)))-(YEAR(IF($I29="",$L$6,$I29))*12+MONTH(IF($I29="",$L$6,$I29))),MAX(1,N($H29)))=0),N($G29),0)))</f>
        <v/>
      </c>
    </row>
    <row r="60">
      <c r="Y60" s="243">
        <f>IF(OR($C30="",$F30=""),"",DATE(YEAR($M$6),MONTH($M$6),MIN($F30,DAY((DATE(YEAR($M$6),MONTH($M$6)+1,1)-1)))))</f>
        <v/>
      </c>
      <c r="Z60" s="110">
        <f>IF($C30="","",IF($D30="Доход","Доход","Расход"))</f>
        <v/>
      </c>
      <c r="AA60" s="110">
        <f>IF($C30="","",$E30)</f>
        <v/>
      </c>
      <c r="AB60" s="110">
        <f>IF($C30="",0,IF(AND(OR($I30="",$I30&lt;=(DATE(YEAR($M$6),MONTH($M$6)+1,1)-1)),OR($J30="",$J30&gt;=$M$6),MOD((YEAR($M$6)*12+MONTH($M$6))-(YEAR(IF($I30="",$L$6,$I30))*12+MONTH(IF($I30="",$L$6,$I30))),MAX(1,N($H30)))=0),N($G30),0))</f>
        <v/>
      </c>
      <c r="AC60" s="110">
        <f>IF($C30="",0,IF(M30="✓",N($G30),IF(ISNUMBER(M30),M30,0)))</f>
        <v/>
      </c>
      <c r="AD60" s="243">
        <f>IF($C30="","",$M$6)</f>
        <v/>
      </c>
      <c r="AE60" s="110">
        <f>IF($C30="","",$K30)</f>
        <v/>
      </c>
      <c r="AG60" s="243">
        <f>IF(OR($C30="",$F30=""),"",DATE(YEAR(DATE(Настройки!$C$6,Настройки!$D$7+1,1)),MONTH(DATE(Настройки!$C$6,Настройки!$D$7+1,1)),MIN($F30,DAY((DATE(Настройки!$C$6,Настройки!$D$7+1+1,1)-1)))))</f>
        <v/>
      </c>
      <c r="AH60" s="110">
        <f>IF($C30="","",IF($D30="Доход","Доход","Расход"))</f>
        <v/>
      </c>
      <c r="AI60" s="110">
        <f>IF($C30="","",$E30)</f>
        <v/>
      </c>
      <c r="AJ60" s="110">
        <f>IF($C30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30:$W30,((YEAR(DATE(Настройки!$C$6,Настройки!$D$7+1,1))*12+MONTH(DATE(Настройки!$C$6,Настройки!$D$7+1,1)))-(YEAR($L$6)*12+MONTH($L$6)))+1)="✓",N($G30),IF(ISNUMBER(INDEX($L30:$W30,((YEAR(DATE(Настройки!$C$6,Настройки!$D$7+1,1))*12+MONTH(DATE(Настройки!$C$6,Настройки!$D$7+1,1)))-(YEAR($L$6)*12+MONTH($L$6)))+1)),INDEX($L30:$W30,((YEAR(DATE(Настройки!$C$6,Настройки!$D$7+1,1))*12+MONTH(DATE(Настройки!$C$6,Настройки!$D$7+1,1)))-(YEAR($L$6)*12+MONTH($L$6)))+1),IF(AND(OR($I30="",$I30&lt;=(DATE(Настройки!$C$6,Настройки!$D$7+1+1,1)-1)),OR($J30="",$J30&gt;=DATE(Настройки!$C$6,Настройки!$D$7+1,1)),MOD((YEAR(DATE(Настройки!$C$6,Настройки!$D$7+1,1))*12+MONTH(DATE(Настройки!$C$6,Настройки!$D$7+1,1)))-(YEAR(IF($I30="",$L$6,$I30))*12+MONTH(IF($I30="",$L$6,$I30))),MAX(1,N($H30)))=0),N($G30),0))),IF(AND(OR($I30="",$I30&lt;=(DATE(Настройки!$C$6,Настройки!$D$7+1+1,1)-1)),OR($J30="",$J30&gt;=DATE(Настройки!$C$6,Настройки!$D$7+1,1)),MOD((YEAR(DATE(Настройки!$C$6,Настройки!$D$7+1,1))*12+MONTH(DATE(Настройки!$C$6,Настройки!$D$7+1,1)))-(YEAR(IF($I30="",$L$6,$I30))*12+MONTH(IF($I30="",$L$6,$I30))),MAX(1,N($H30)))=0),N($G30),0)))</f>
        <v/>
      </c>
    </row>
    <row r="61">
      <c r="Y61" s="243">
        <f>IF(OR($C31="",$F31=""),"",DATE(YEAR($M$6),MONTH($M$6),MIN($F31,DAY((DATE(YEAR($M$6),MONTH($M$6)+1,1)-1)))))</f>
        <v/>
      </c>
      <c r="Z61" s="110">
        <f>IF($C31="","",IF($D31="Доход","Доход","Расход"))</f>
        <v/>
      </c>
      <c r="AA61" s="110">
        <f>IF($C31="","",$E31)</f>
        <v/>
      </c>
      <c r="AB61" s="110">
        <f>IF($C31="",0,IF(AND(OR($I31="",$I31&lt;=(DATE(YEAR($M$6),MONTH($M$6)+1,1)-1)),OR($J31="",$J31&gt;=$M$6),MOD((YEAR($M$6)*12+MONTH($M$6))-(YEAR(IF($I31="",$L$6,$I31))*12+MONTH(IF($I31="",$L$6,$I31))),MAX(1,N($H31)))=0),N($G31),0))</f>
        <v/>
      </c>
      <c r="AC61" s="110">
        <f>IF($C31="",0,IF(M31="✓",N($G31),IF(ISNUMBER(M31),M31,0)))</f>
        <v/>
      </c>
      <c r="AD61" s="243">
        <f>IF($C31="","",$M$6)</f>
        <v/>
      </c>
      <c r="AE61" s="110">
        <f>IF($C31="","",$K31)</f>
        <v/>
      </c>
      <c r="AG61" s="243">
        <f>IF(OR($C31="",$F31=""),"",DATE(YEAR(DATE(Настройки!$C$6,Настройки!$D$7+1,1)),MONTH(DATE(Настройки!$C$6,Настройки!$D$7+1,1)),MIN($F31,DAY((DATE(Настройки!$C$6,Настройки!$D$7+1+1,1)-1)))))</f>
        <v/>
      </c>
      <c r="AH61" s="110">
        <f>IF($C31="","",IF($D31="Доход","Доход","Расход"))</f>
        <v/>
      </c>
      <c r="AI61" s="110">
        <f>IF($C31="","",$E31)</f>
        <v/>
      </c>
      <c r="AJ61" s="110">
        <f>IF($C31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31:$W31,((YEAR(DATE(Настройки!$C$6,Настройки!$D$7+1,1))*12+MONTH(DATE(Настройки!$C$6,Настройки!$D$7+1,1)))-(YEAR($L$6)*12+MONTH($L$6)))+1)="✓",N($G31),IF(ISNUMBER(INDEX($L31:$W31,((YEAR(DATE(Настройки!$C$6,Настройки!$D$7+1,1))*12+MONTH(DATE(Настройки!$C$6,Настройки!$D$7+1,1)))-(YEAR($L$6)*12+MONTH($L$6)))+1)),INDEX($L31:$W31,((YEAR(DATE(Настройки!$C$6,Настройки!$D$7+1,1))*12+MONTH(DATE(Настройки!$C$6,Настройки!$D$7+1,1)))-(YEAR($L$6)*12+MONTH($L$6)))+1),IF(AND(OR($I31="",$I31&lt;=(DATE(Настройки!$C$6,Настройки!$D$7+1+1,1)-1)),OR($J31="",$J31&gt;=DATE(Настройки!$C$6,Настройки!$D$7+1,1)),MOD((YEAR(DATE(Настройки!$C$6,Настройки!$D$7+1,1))*12+MONTH(DATE(Настройки!$C$6,Настройки!$D$7+1,1)))-(YEAR(IF($I31="",$L$6,$I31))*12+MONTH(IF($I31="",$L$6,$I31))),MAX(1,N($H31)))=0),N($G31),0))),IF(AND(OR($I31="",$I31&lt;=(DATE(Настройки!$C$6,Настройки!$D$7+1+1,1)-1)),OR($J31="",$J31&gt;=DATE(Настройки!$C$6,Настройки!$D$7+1,1)),MOD((YEAR(DATE(Настройки!$C$6,Настройки!$D$7+1,1))*12+MONTH(DATE(Настройки!$C$6,Настройки!$D$7+1,1)))-(YEAR(IF($I31="",$L$6,$I31))*12+MONTH(IF($I31="",$L$6,$I31))),MAX(1,N($H31)))=0),N($G31),0)))</f>
        <v/>
      </c>
    </row>
    <row r="62">
      <c r="Y62" s="243">
        <f>IF(OR($C32="",$F32=""),"",DATE(YEAR($M$6),MONTH($M$6),MIN($F32,DAY((DATE(YEAR($M$6),MONTH($M$6)+1,1)-1)))))</f>
        <v/>
      </c>
      <c r="Z62" s="110">
        <f>IF($C32="","",IF($D32="Доход","Доход","Расход"))</f>
        <v/>
      </c>
      <c r="AA62" s="110">
        <f>IF($C32="","",$E32)</f>
        <v/>
      </c>
      <c r="AB62" s="110">
        <f>IF($C32="",0,IF(AND(OR($I32="",$I32&lt;=(DATE(YEAR($M$6),MONTH($M$6)+1,1)-1)),OR($J32="",$J32&gt;=$M$6),MOD((YEAR($M$6)*12+MONTH($M$6))-(YEAR(IF($I32="",$L$6,$I32))*12+MONTH(IF($I32="",$L$6,$I32))),MAX(1,N($H32)))=0),N($G32),0))</f>
        <v/>
      </c>
      <c r="AC62" s="110">
        <f>IF($C32="",0,IF(M32="✓",N($G32),IF(ISNUMBER(M32),M32,0)))</f>
        <v/>
      </c>
      <c r="AD62" s="243">
        <f>IF($C32="","",$M$6)</f>
        <v/>
      </c>
      <c r="AE62" s="110">
        <f>IF($C32="","",$K32)</f>
        <v/>
      </c>
      <c r="AG62" s="243">
        <f>IF(OR($C32="",$F32=""),"",DATE(YEAR(DATE(Настройки!$C$6,Настройки!$D$7+1,1)),MONTH(DATE(Настройки!$C$6,Настройки!$D$7+1,1)),MIN($F32,DAY((DATE(Настройки!$C$6,Настройки!$D$7+1+1,1)-1)))))</f>
        <v/>
      </c>
      <c r="AH62" s="110">
        <f>IF($C32="","",IF($D32="Доход","Доход","Расход"))</f>
        <v/>
      </c>
      <c r="AI62" s="110">
        <f>IF($C32="","",$E32)</f>
        <v/>
      </c>
      <c r="AJ62" s="110">
        <f>IF($C32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32:$W32,((YEAR(DATE(Настройки!$C$6,Настройки!$D$7+1,1))*12+MONTH(DATE(Настройки!$C$6,Настройки!$D$7+1,1)))-(YEAR($L$6)*12+MONTH($L$6)))+1)="✓",N($G32),IF(ISNUMBER(INDEX($L32:$W32,((YEAR(DATE(Настройки!$C$6,Настройки!$D$7+1,1))*12+MONTH(DATE(Настройки!$C$6,Настройки!$D$7+1,1)))-(YEAR($L$6)*12+MONTH($L$6)))+1)),INDEX($L32:$W32,((YEAR(DATE(Настройки!$C$6,Настройки!$D$7+1,1))*12+MONTH(DATE(Настройки!$C$6,Настройки!$D$7+1,1)))-(YEAR($L$6)*12+MONTH($L$6)))+1),IF(AND(OR($I32="",$I32&lt;=(DATE(Настройки!$C$6,Настройки!$D$7+1+1,1)-1)),OR($J32="",$J32&gt;=DATE(Настройки!$C$6,Настройки!$D$7+1,1)),MOD((YEAR(DATE(Настройки!$C$6,Настройки!$D$7+1,1))*12+MONTH(DATE(Настройки!$C$6,Настройки!$D$7+1,1)))-(YEAR(IF($I32="",$L$6,$I32))*12+MONTH(IF($I32="",$L$6,$I32))),MAX(1,N($H32)))=0),N($G32),0))),IF(AND(OR($I32="",$I32&lt;=(DATE(Настройки!$C$6,Настройки!$D$7+1+1,1)-1)),OR($J32="",$J32&gt;=DATE(Настройки!$C$6,Настройки!$D$7+1,1)),MOD((YEAR(DATE(Настройки!$C$6,Настройки!$D$7+1,1))*12+MONTH(DATE(Настройки!$C$6,Настройки!$D$7+1,1)))-(YEAR(IF($I32="",$L$6,$I32))*12+MONTH(IF($I32="",$L$6,$I32))),MAX(1,N($H32)))=0),N($G32),0)))</f>
        <v/>
      </c>
    </row>
    <row r="63">
      <c r="Y63" s="243">
        <f>IF(OR($C33="",$F33=""),"",DATE(YEAR($M$6),MONTH($M$6),MIN($F33,DAY((DATE(YEAR($M$6),MONTH($M$6)+1,1)-1)))))</f>
        <v/>
      </c>
      <c r="Z63" s="110">
        <f>IF($C33="","",IF($D33="Доход","Доход","Расход"))</f>
        <v/>
      </c>
      <c r="AA63" s="110">
        <f>IF($C33="","",$E33)</f>
        <v/>
      </c>
      <c r="AB63" s="110">
        <f>IF($C33="",0,IF(AND(OR($I33="",$I33&lt;=(DATE(YEAR($M$6),MONTH($M$6)+1,1)-1)),OR($J33="",$J33&gt;=$M$6),MOD((YEAR($M$6)*12+MONTH($M$6))-(YEAR(IF($I33="",$L$6,$I33))*12+MONTH(IF($I33="",$L$6,$I33))),MAX(1,N($H33)))=0),N($G33),0))</f>
        <v/>
      </c>
      <c r="AC63" s="110">
        <f>IF($C33="",0,IF(M33="✓",N($G33),IF(ISNUMBER(M33),M33,0)))</f>
        <v/>
      </c>
      <c r="AD63" s="243">
        <f>IF($C33="","",$M$6)</f>
        <v/>
      </c>
      <c r="AE63" s="110">
        <f>IF($C33="","",$K33)</f>
        <v/>
      </c>
      <c r="AG63" s="243">
        <f>IF(OR($C33="",$F33=""),"",DATE(YEAR(DATE(Настройки!$C$6,Настройки!$D$7+1,1)),MONTH(DATE(Настройки!$C$6,Настройки!$D$7+1,1)),MIN($F33,DAY((DATE(Настройки!$C$6,Настройки!$D$7+1+1,1)-1)))))</f>
        <v/>
      </c>
      <c r="AH63" s="110">
        <f>IF($C33="","",IF($D33="Доход","Доход","Расход"))</f>
        <v/>
      </c>
      <c r="AI63" s="110">
        <f>IF($C33="","",$E33)</f>
        <v/>
      </c>
      <c r="AJ63" s="110">
        <f>IF($C33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33:$W33,((YEAR(DATE(Настройки!$C$6,Настройки!$D$7+1,1))*12+MONTH(DATE(Настройки!$C$6,Настройки!$D$7+1,1)))-(YEAR($L$6)*12+MONTH($L$6)))+1)="✓",N($G33),IF(ISNUMBER(INDEX($L33:$W33,((YEAR(DATE(Настройки!$C$6,Настройки!$D$7+1,1))*12+MONTH(DATE(Настройки!$C$6,Настройки!$D$7+1,1)))-(YEAR($L$6)*12+MONTH($L$6)))+1)),INDEX($L33:$W33,((YEAR(DATE(Настройки!$C$6,Настройки!$D$7+1,1))*12+MONTH(DATE(Настройки!$C$6,Настройки!$D$7+1,1)))-(YEAR($L$6)*12+MONTH($L$6)))+1),IF(AND(OR($I33="",$I33&lt;=(DATE(Настройки!$C$6,Настройки!$D$7+1+1,1)-1)),OR($J33="",$J33&gt;=DATE(Настройки!$C$6,Настройки!$D$7+1,1)),MOD((YEAR(DATE(Настройки!$C$6,Настройки!$D$7+1,1))*12+MONTH(DATE(Настройки!$C$6,Настройки!$D$7+1,1)))-(YEAR(IF($I33="",$L$6,$I33))*12+MONTH(IF($I33="",$L$6,$I33))),MAX(1,N($H33)))=0),N($G33),0))),IF(AND(OR($I33="",$I33&lt;=(DATE(Настройки!$C$6,Настройки!$D$7+1+1,1)-1)),OR($J33="",$J33&gt;=DATE(Настройки!$C$6,Настройки!$D$7+1,1)),MOD((YEAR(DATE(Настройки!$C$6,Настройки!$D$7+1,1))*12+MONTH(DATE(Настройки!$C$6,Настройки!$D$7+1,1)))-(YEAR(IF($I33="",$L$6,$I33))*12+MONTH(IF($I33="",$L$6,$I33))),MAX(1,N($H33)))=0),N($G33),0)))</f>
        <v/>
      </c>
    </row>
    <row r="64">
      <c r="Y64" s="243">
        <f>IF(OR($C34="",$F34=""),"",DATE(YEAR($M$6),MONTH($M$6),MIN($F34,DAY((DATE(YEAR($M$6),MONTH($M$6)+1,1)-1)))))</f>
        <v/>
      </c>
      <c r="Z64" s="110">
        <f>IF($C34="","",IF($D34="Доход","Доход","Расход"))</f>
        <v/>
      </c>
      <c r="AA64" s="110">
        <f>IF($C34="","",$E34)</f>
        <v/>
      </c>
      <c r="AB64" s="110">
        <f>IF($C34="",0,IF(AND(OR($I34="",$I34&lt;=(DATE(YEAR($M$6),MONTH($M$6)+1,1)-1)),OR($J34="",$J34&gt;=$M$6),MOD((YEAR($M$6)*12+MONTH($M$6))-(YEAR(IF($I34="",$L$6,$I34))*12+MONTH(IF($I34="",$L$6,$I34))),MAX(1,N($H34)))=0),N($G34),0))</f>
        <v/>
      </c>
      <c r="AC64" s="110">
        <f>IF($C34="",0,IF(M34="✓",N($G34),IF(ISNUMBER(M34),M34,0)))</f>
        <v/>
      </c>
      <c r="AD64" s="243">
        <f>IF($C34="","",$M$6)</f>
        <v/>
      </c>
      <c r="AE64" s="110">
        <f>IF($C34="","",$K34)</f>
        <v/>
      </c>
      <c r="AG64" s="243">
        <f>IF(OR($C34="",$F34=""),"",DATE(YEAR(DATE(Настройки!$C$6,Настройки!$D$7+1,1)),MONTH(DATE(Настройки!$C$6,Настройки!$D$7+1,1)),MIN($F34,DAY((DATE(Настройки!$C$6,Настройки!$D$7+1+1,1)-1)))))</f>
        <v/>
      </c>
      <c r="AH64" s="110">
        <f>IF($C34="","",IF($D34="Доход","Доход","Расход"))</f>
        <v/>
      </c>
      <c r="AI64" s="110">
        <f>IF($C34="","",$E34)</f>
        <v/>
      </c>
      <c r="AJ64" s="110">
        <f>IF($C34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34:$W34,((YEAR(DATE(Настройки!$C$6,Настройки!$D$7+1,1))*12+MONTH(DATE(Настройки!$C$6,Настройки!$D$7+1,1)))-(YEAR($L$6)*12+MONTH($L$6)))+1)="✓",N($G34),IF(ISNUMBER(INDEX($L34:$W34,((YEAR(DATE(Настройки!$C$6,Настройки!$D$7+1,1))*12+MONTH(DATE(Настройки!$C$6,Настройки!$D$7+1,1)))-(YEAR($L$6)*12+MONTH($L$6)))+1)),INDEX($L34:$W34,((YEAR(DATE(Настройки!$C$6,Настройки!$D$7+1,1))*12+MONTH(DATE(Настройки!$C$6,Настройки!$D$7+1,1)))-(YEAR($L$6)*12+MONTH($L$6)))+1),IF(AND(OR($I34="",$I34&lt;=(DATE(Настройки!$C$6,Настройки!$D$7+1+1,1)-1)),OR($J34="",$J34&gt;=DATE(Настройки!$C$6,Настройки!$D$7+1,1)),MOD((YEAR(DATE(Настройки!$C$6,Настройки!$D$7+1,1))*12+MONTH(DATE(Настройки!$C$6,Настройки!$D$7+1,1)))-(YEAR(IF($I34="",$L$6,$I34))*12+MONTH(IF($I34="",$L$6,$I34))),MAX(1,N($H34)))=0),N($G34),0))),IF(AND(OR($I34="",$I34&lt;=(DATE(Настройки!$C$6,Настройки!$D$7+1+1,1)-1)),OR($J34="",$J34&gt;=DATE(Настройки!$C$6,Настройки!$D$7+1,1)),MOD((YEAR(DATE(Настройки!$C$6,Настройки!$D$7+1,1))*12+MONTH(DATE(Настройки!$C$6,Настройки!$D$7+1,1)))-(YEAR(IF($I34="",$L$6,$I34))*12+MONTH(IF($I34="",$L$6,$I34))),MAX(1,N($H34)))=0),N($G34),0)))</f>
        <v/>
      </c>
    </row>
    <row r="65">
      <c r="Y65" s="243">
        <f>IF(OR($C35="",$F35=""),"",DATE(YEAR($M$6),MONTH($M$6),MIN($F35,DAY((DATE(YEAR($M$6),MONTH($M$6)+1,1)-1)))))</f>
        <v/>
      </c>
      <c r="Z65" s="110">
        <f>IF($C35="","",IF($D35="Доход","Доход","Расход"))</f>
        <v/>
      </c>
      <c r="AA65" s="110">
        <f>IF($C35="","",$E35)</f>
        <v/>
      </c>
      <c r="AB65" s="110">
        <f>IF($C35="",0,IF(AND(OR($I35="",$I35&lt;=(DATE(YEAR($M$6),MONTH($M$6)+1,1)-1)),OR($J35="",$J35&gt;=$M$6),MOD((YEAR($M$6)*12+MONTH($M$6))-(YEAR(IF($I35="",$L$6,$I35))*12+MONTH(IF($I35="",$L$6,$I35))),MAX(1,N($H35)))=0),N($G35),0))</f>
        <v/>
      </c>
      <c r="AC65" s="110">
        <f>IF($C35="",0,IF(M35="✓",N($G35),IF(ISNUMBER(M35),M35,0)))</f>
        <v/>
      </c>
      <c r="AD65" s="243">
        <f>IF($C35="","",$M$6)</f>
        <v/>
      </c>
      <c r="AE65" s="110">
        <f>IF($C35="","",$K35)</f>
        <v/>
      </c>
      <c r="AG65" s="243">
        <f>IF(OR($C35="",$F35=""),"",DATE(YEAR(DATE(Настройки!$C$6,Настройки!$D$7+1,1)),MONTH(DATE(Настройки!$C$6,Настройки!$D$7+1,1)),MIN($F35,DAY((DATE(Настройки!$C$6,Настройки!$D$7+1+1,1)-1)))))</f>
        <v/>
      </c>
      <c r="AH65" s="110">
        <f>IF($C35="","",IF($D35="Доход","Доход","Расход"))</f>
        <v/>
      </c>
      <c r="AI65" s="110">
        <f>IF($C35="","",$E35)</f>
        <v/>
      </c>
      <c r="AJ65" s="110">
        <f>IF($C35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35:$W35,((YEAR(DATE(Настройки!$C$6,Настройки!$D$7+1,1))*12+MONTH(DATE(Настройки!$C$6,Настройки!$D$7+1,1)))-(YEAR($L$6)*12+MONTH($L$6)))+1)="✓",N($G35),IF(ISNUMBER(INDEX($L35:$W35,((YEAR(DATE(Настройки!$C$6,Настройки!$D$7+1,1))*12+MONTH(DATE(Настройки!$C$6,Настройки!$D$7+1,1)))-(YEAR($L$6)*12+MONTH($L$6)))+1)),INDEX($L35:$W35,((YEAR(DATE(Настройки!$C$6,Настройки!$D$7+1,1))*12+MONTH(DATE(Настройки!$C$6,Настройки!$D$7+1,1)))-(YEAR($L$6)*12+MONTH($L$6)))+1),IF(AND(OR($I35="",$I35&lt;=(DATE(Настройки!$C$6,Настройки!$D$7+1+1,1)-1)),OR($J35="",$J35&gt;=DATE(Настройки!$C$6,Настройки!$D$7+1,1)),MOD((YEAR(DATE(Настройки!$C$6,Настройки!$D$7+1,1))*12+MONTH(DATE(Настройки!$C$6,Настройки!$D$7+1,1)))-(YEAR(IF($I35="",$L$6,$I35))*12+MONTH(IF($I35="",$L$6,$I35))),MAX(1,N($H35)))=0),N($G35),0))),IF(AND(OR($I35="",$I35&lt;=(DATE(Настройки!$C$6,Настройки!$D$7+1+1,1)-1)),OR($J35="",$J35&gt;=DATE(Настройки!$C$6,Настройки!$D$7+1,1)),MOD((YEAR(DATE(Настройки!$C$6,Настройки!$D$7+1,1))*12+MONTH(DATE(Настройки!$C$6,Настройки!$D$7+1,1)))-(YEAR(IF($I35="",$L$6,$I35))*12+MONTH(IF($I35="",$L$6,$I35))),MAX(1,N($H35)))=0),N($G35),0)))</f>
        <v/>
      </c>
    </row>
    <row r="66">
      <c r="Y66" s="243">
        <f>IF(OR($C36="",$F36=""),"",DATE(YEAR($M$6),MONTH($M$6),MIN($F36,DAY((DATE(YEAR($M$6),MONTH($M$6)+1,1)-1)))))</f>
        <v/>
      </c>
      <c r="Z66" s="110">
        <f>IF($C36="","",IF($D36="Доход","Доход","Расход"))</f>
        <v/>
      </c>
      <c r="AA66" s="110">
        <f>IF($C36="","",$E36)</f>
        <v/>
      </c>
      <c r="AB66" s="110">
        <f>IF($C36="",0,IF(AND(OR($I36="",$I36&lt;=(DATE(YEAR($M$6),MONTH($M$6)+1,1)-1)),OR($J36="",$J36&gt;=$M$6),MOD((YEAR($M$6)*12+MONTH($M$6))-(YEAR(IF($I36="",$L$6,$I36))*12+MONTH(IF($I36="",$L$6,$I36))),MAX(1,N($H36)))=0),N($G36),0))</f>
        <v/>
      </c>
      <c r="AC66" s="110">
        <f>IF($C36="",0,IF(M36="✓",N($G36),IF(ISNUMBER(M36),M36,0)))</f>
        <v/>
      </c>
      <c r="AD66" s="243">
        <f>IF($C36="","",$M$6)</f>
        <v/>
      </c>
      <c r="AE66" s="110">
        <f>IF($C36="","",$K36)</f>
        <v/>
      </c>
      <c r="AG66" s="243">
        <f>IF(OR($C36="",$F36=""),"",DATE(YEAR(DATE(Настройки!$C$6,Настройки!$D$7+1,1)),MONTH(DATE(Настройки!$C$6,Настройки!$D$7+1,1)),MIN($F36,DAY((DATE(Настройки!$C$6,Настройки!$D$7+1+1,1)-1)))))</f>
        <v/>
      </c>
      <c r="AH66" s="110">
        <f>IF($C36="","",IF($D36="Доход","Доход","Расход"))</f>
        <v/>
      </c>
      <c r="AI66" s="110">
        <f>IF($C36="","",$E36)</f>
        <v/>
      </c>
      <c r="AJ66" s="110">
        <f>IF($C36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36:$W36,((YEAR(DATE(Настройки!$C$6,Настройки!$D$7+1,1))*12+MONTH(DATE(Настройки!$C$6,Настройки!$D$7+1,1)))-(YEAR($L$6)*12+MONTH($L$6)))+1)="✓",N($G36),IF(ISNUMBER(INDEX($L36:$W36,((YEAR(DATE(Настройки!$C$6,Настройки!$D$7+1,1))*12+MONTH(DATE(Настройки!$C$6,Настройки!$D$7+1,1)))-(YEAR($L$6)*12+MONTH($L$6)))+1)),INDEX($L36:$W36,((YEAR(DATE(Настройки!$C$6,Настройки!$D$7+1,1))*12+MONTH(DATE(Настройки!$C$6,Настройки!$D$7+1,1)))-(YEAR($L$6)*12+MONTH($L$6)))+1),IF(AND(OR($I36="",$I36&lt;=(DATE(Настройки!$C$6,Настройки!$D$7+1+1,1)-1)),OR($J36="",$J36&gt;=DATE(Настройки!$C$6,Настройки!$D$7+1,1)),MOD((YEAR(DATE(Настройки!$C$6,Настройки!$D$7+1,1))*12+MONTH(DATE(Настройки!$C$6,Настройки!$D$7+1,1)))-(YEAR(IF($I36="",$L$6,$I36))*12+MONTH(IF($I36="",$L$6,$I36))),MAX(1,N($H36)))=0),N($G36),0))),IF(AND(OR($I36="",$I36&lt;=(DATE(Настройки!$C$6,Настройки!$D$7+1+1,1)-1)),OR($J36="",$J36&gt;=DATE(Настройки!$C$6,Настройки!$D$7+1,1)),MOD((YEAR(DATE(Настройки!$C$6,Настройки!$D$7+1,1))*12+MONTH(DATE(Настройки!$C$6,Настройки!$D$7+1,1)))-(YEAR(IF($I36="",$L$6,$I36))*12+MONTH(IF($I36="",$L$6,$I36))),MAX(1,N($H36)))=0),N($G36),0)))</f>
        <v/>
      </c>
    </row>
    <row r="67">
      <c r="Y67" s="243">
        <f>IF(OR($C37="",$F37=""),"",DATE(YEAR($M$6),MONTH($M$6),MIN($F37,DAY((DATE(YEAR($M$6),MONTH($M$6)+1,1)-1)))))</f>
        <v/>
      </c>
      <c r="Z67" s="110">
        <f>IF($C37="","",IF($D37="Доход","Доход","Расход"))</f>
        <v/>
      </c>
      <c r="AA67" s="110">
        <f>IF($C37="","",$E37)</f>
        <v/>
      </c>
      <c r="AB67" s="110">
        <f>IF($C37="",0,IF(AND(OR($I37="",$I37&lt;=(DATE(YEAR($M$6),MONTH($M$6)+1,1)-1)),OR($J37="",$J37&gt;=$M$6),MOD((YEAR($M$6)*12+MONTH($M$6))-(YEAR(IF($I37="",$L$6,$I37))*12+MONTH(IF($I37="",$L$6,$I37))),MAX(1,N($H37)))=0),N($G37),0))</f>
        <v/>
      </c>
      <c r="AC67" s="110">
        <f>IF($C37="",0,IF(M37="✓",N($G37),IF(ISNUMBER(M37),M37,0)))</f>
        <v/>
      </c>
      <c r="AD67" s="243">
        <f>IF($C37="","",$M$6)</f>
        <v/>
      </c>
      <c r="AE67" s="110">
        <f>IF($C37="","",$K37)</f>
        <v/>
      </c>
      <c r="AG67" s="243">
        <f>IF(OR($C37="",$F37=""),"",DATE(YEAR(DATE(Настройки!$C$6,Настройки!$D$7+1,1)),MONTH(DATE(Настройки!$C$6,Настройки!$D$7+1,1)),MIN($F37,DAY((DATE(Настройки!$C$6,Настройки!$D$7+1+1,1)-1)))))</f>
        <v/>
      </c>
      <c r="AH67" s="110">
        <f>IF($C37="","",IF($D37="Доход","Доход","Расход"))</f>
        <v/>
      </c>
      <c r="AI67" s="110">
        <f>IF($C37="","",$E37)</f>
        <v/>
      </c>
      <c r="AJ67" s="110">
        <f>IF($C37="",0,IF(AND(((YEAR(DATE(Настройки!$C$6,Настройки!$D$7+1,1))*12+MONTH(DATE(Настройки!$C$6,Настройки!$D$7+1,1)))-(YEAR($L$6)*12+MONTH($L$6)))&gt;=0,((YEAR(DATE(Настройки!$C$6,Настройки!$D$7+1,1))*12+MONTH(DATE(Настройки!$C$6,Настройки!$D$7+1,1)))-(YEAR($L$6)*12+MONTH($L$6)))&lt;=11),IF(INDEX($L37:$W37,((YEAR(DATE(Настройки!$C$6,Настройки!$D$7+1,1))*12+MONTH(DATE(Настройки!$C$6,Настройки!$D$7+1,1)))-(YEAR($L$6)*12+MONTH($L$6)))+1)="✓",N($G37),IF(ISNUMBER(INDEX($L37:$W37,((YEAR(DATE(Настройки!$C$6,Настройки!$D$7+1,1))*12+MONTH(DATE(Настройки!$C$6,Настройки!$D$7+1,1)))-(YEAR($L$6)*12+MONTH($L$6)))+1)),INDEX($L37:$W37,((YEAR(DATE(Настройки!$C$6,Настройки!$D$7+1,1))*12+MONTH(DATE(Настройки!$C$6,Настройки!$D$7+1,1)))-(YEAR($L$6)*12+MONTH($L$6)))+1),IF(AND(OR($I37="",$I37&lt;=(DATE(Настройки!$C$6,Настройки!$D$7+1+1,1)-1)),OR($J37="",$J37&gt;=DATE(Настройки!$C$6,Настройки!$D$7+1,1)),MOD((YEAR(DATE(Настройки!$C$6,Настройки!$D$7+1,1))*12+MONTH(DATE(Настройки!$C$6,Настройки!$D$7+1,1)))-(YEAR(IF($I37="",$L$6,$I37))*12+MONTH(IF($I37="",$L$6,$I37))),MAX(1,N($H37)))=0),N($G37),0))),IF(AND(OR($I37="",$I37&lt;=(DATE(Настройки!$C$6,Настройки!$D$7+1+1,1)-1)),OR($J37="",$J37&gt;=DATE(Настройки!$C$6,Настройки!$D$7+1,1)),MOD((YEAR(DATE(Настройки!$C$6,Настройки!$D$7+1,1))*12+MONTH(DATE(Настройки!$C$6,Настройки!$D$7+1,1)))-(YEAR(IF($I37="",$L$6,$I37))*12+MONTH(IF($I37="",$L$6,$I37))),MAX(1,N($H37)))=0),N($G37),0)))</f>
        <v/>
      </c>
    </row>
    <row r="68">
      <c r="Y68" s="243">
        <f>IF(OR($C8="",$F8=""),"",DATE(YEAR($N$6),MONTH($N$6),MIN($F8,DAY((DATE(YEAR($N$6),MONTH($N$6)+1,1)-1)))))</f>
        <v/>
      </c>
      <c r="Z68" s="110">
        <f>IF($C8="","",IF($D8="Доход","Доход","Расход"))</f>
        <v/>
      </c>
      <c r="AA68" s="110">
        <f>IF($C8="","",$E8)</f>
        <v/>
      </c>
      <c r="AB68" s="110">
        <f>IF($C8="",0,IF(AND(OR($I8="",$I8&lt;=(DATE(YEAR($N$6),MONTH($N$6)+1,1)-1)),OR($J8="",$J8&gt;=$N$6),MOD((YEAR($N$6)*12+MONTH($N$6))-(YEAR(IF($I8="",$L$6,$I8))*12+MONTH(IF($I8="",$L$6,$I8))),MAX(1,N($H8)))=0),N($G8),0))</f>
        <v/>
      </c>
      <c r="AC68" s="110">
        <f>IF($C8="",0,IF(N8="✓",N($G8),IF(ISNUMBER(N8),N8,0)))</f>
        <v/>
      </c>
      <c r="AD68" s="243">
        <f>IF($C8="","",$N$6)</f>
        <v/>
      </c>
      <c r="AE68" s="110">
        <f>IF($C8="","",$K8)</f>
        <v/>
      </c>
      <c r="AG68" s="243">
        <f>IF(OR($C8="",$F8=""),"",DATE(YEAR(DATE(Настройки!$C$6,Настройки!$D$7+2,1)),MONTH(DATE(Настройки!$C$6,Настройки!$D$7+2,1)),MIN($F8,DAY((DATE(Настройки!$C$6,Настройки!$D$7+2+1,1)-1)))))</f>
        <v/>
      </c>
      <c r="AH68" s="110">
        <f>IF($C8="","",IF($D8="Доход","Доход","Расход"))</f>
        <v/>
      </c>
      <c r="AI68" s="110">
        <f>IF($C8="","",$E8)</f>
        <v/>
      </c>
      <c r="AJ68" s="110">
        <f>IF($C8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8:$W8,((YEAR(DATE(Настройки!$C$6,Настройки!$D$7+2,1))*12+MONTH(DATE(Настройки!$C$6,Настройки!$D$7+2,1)))-(YEAR($L$6)*12+MONTH($L$6)))+1)="✓",N($G8),IF(ISNUMBER(INDEX($L8:$W8,((YEAR(DATE(Настройки!$C$6,Настройки!$D$7+2,1))*12+MONTH(DATE(Настройки!$C$6,Настройки!$D$7+2,1)))-(YEAR($L$6)*12+MONTH($L$6)))+1)),INDEX($L8:$W8,((YEAR(DATE(Настройки!$C$6,Настройки!$D$7+2,1))*12+MONTH(DATE(Настройки!$C$6,Настройки!$D$7+2,1)))-(YEAR($L$6)*12+MONTH($L$6)))+1),IF(AND(OR($I8="",$I8&lt;=(DATE(Настройки!$C$6,Настройки!$D$7+2+1,1)-1)),OR($J8="",$J8&gt;=DATE(Настройки!$C$6,Настройки!$D$7+2,1)),MOD((YEAR(DATE(Настройки!$C$6,Настройки!$D$7+2,1))*12+MONTH(DATE(Настройки!$C$6,Настройки!$D$7+2,1)))-(YEAR(IF($I8="",$L$6,$I8))*12+MONTH(IF($I8="",$L$6,$I8))),MAX(1,N($H8)))=0),N($G8),0))),IF(AND(OR($I8="",$I8&lt;=(DATE(Настройки!$C$6,Настройки!$D$7+2+1,1)-1)),OR($J8="",$J8&gt;=DATE(Настройки!$C$6,Настройки!$D$7+2,1)),MOD((YEAR(DATE(Настройки!$C$6,Настройки!$D$7+2,1))*12+MONTH(DATE(Настройки!$C$6,Настройки!$D$7+2,1)))-(YEAR(IF($I8="",$L$6,$I8))*12+MONTH(IF($I8="",$L$6,$I8))),MAX(1,N($H8)))=0),N($G8),0)))</f>
        <v/>
      </c>
    </row>
    <row r="69">
      <c r="Y69" s="243">
        <f>IF(OR($C9="",$F9=""),"",DATE(YEAR($N$6),MONTH($N$6),MIN($F9,DAY((DATE(YEAR($N$6),MONTH($N$6)+1,1)-1)))))</f>
        <v/>
      </c>
      <c r="Z69" s="110">
        <f>IF($C9="","",IF($D9="Доход","Доход","Расход"))</f>
        <v/>
      </c>
      <c r="AA69" s="110">
        <f>IF($C9="","",$E9)</f>
        <v/>
      </c>
      <c r="AB69" s="110">
        <f>IF($C9="",0,IF(AND(OR($I9="",$I9&lt;=(DATE(YEAR($N$6),MONTH($N$6)+1,1)-1)),OR($J9="",$J9&gt;=$N$6),MOD((YEAR($N$6)*12+MONTH($N$6))-(YEAR(IF($I9="",$L$6,$I9))*12+MONTH(IF($I9="",$L$6,$I9))),MAX(1,N($H9)))=0),N($G9),0))</f>
        <v/>
      </c>
      <c r="AC69" s="110">
        <f>IF($C9="",0,IF(N9="✓",N($G9),IF(ISNUMBER(N9),N9,0)))</f>
        <v/>
      </c>
      <c r="AD69" s="243">
        <f>IF($C9="","",$N$6)</f>
        <v/>
      </c>
      <c r="AE69" s="110">
        <f>IF($C9="","",$K9)</f>
        <v/>
      </c>
      <c r="AG69" s="243">
        <f>IF(OR($C9="",$F9=""),"",DATE(YEAR(DATE(Настройки!$C$6,Настройки!$D$7+2,1)),MONTH(DATE(Настройки!$C$6,Настройки!$D$7+2,1)),MIN($F9,DAY((DATE(Настройки!$C$6,Настройки!$D$7+2+1,1)-1)))))</f>
        <v/>
      </c>
      <c r="AH69" s="110">
        <f>IF($C9="","",IF($D9="Доход","Доход","Расход"))</f>
        <v/>
      </c>
      <c r="AI69" s="110">
        <f>IF($C9="","",$E9)</f>
        <v/>
      </c>
      <c r="AJ69" s="110">
        <f>IF($C9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9:$W9,((YEAR(DATE(Настройки!$C$6,Настройки!$D$7+2,1))*12+MONTH(DATE(Настройки!$C$6,Настройки!$D$7+2,1)))-(YEAR($L$6)*12+MONTH($L$6)))+1)="✓",N($G9),IF(ISNUMBER(INDEX($L9:$W9,((YEAR(DATE(Настройки!$C$6,Настройки!$D$7+2,1))*12+MONTH(DATE(Настройки!$C$6,Настройки!$D$7+2,1)))-(YEAR($L$6)*12+MONTH($L$6)))+1)),INDEX($L9:$W9,((YEAR(DATE(Настройки!$C$6,Настройки!$D$7+2,1))*12+MONTH(DATE(Настройки!$C$6,Настройки!$D$7+2,1)))-(YEAR($L$6)*12+MONTH($L$6)))+1),IF(AND(OR($I9="",$I9&lt;=(DATE(Настройки!$C$6,Настройки!$D$7+2+1,1)-1)),OR($J9="",$J9&gt;=DATE(Настройки!$C$6,Настройки!$D$7+2,1)),MOD((YEAR(DATE(Настройки!$C$6,Настройки!$D$7+2,1))*12+MONTH(DATE(Настройки!$C$6,Настройки!$D$7+2,1)))-(YEAR(IF($I9="",$L$6,$I9))*12+MONTH(IF($I9="",$L$6,$I9))),MAX(1,N($H9)))=0),N($G9),0))),IF(AND(OR($I9="",$I9&lt;=(DATE(Настройки!$C$6,Настройки!$D$7+2+1,1)-1)),OR($J9="",$J9&gt;=DATE(Настройки!$C$6,Настройки!$D$7+2,1)),MOD((YEAR(DATE(Настройки!$C$6,Настройки!$D$7+2,1))*12+MONTH(DATE(Настройки!$C$6,Настройки!$D$7+2,1)))-(YEAR(IF($I9="",$L$6,$I9))*12+MONTH(IF($I9="",$L$6,$I9))),MAX(1,N($H9)))=0),N($G9),0)))</f>
        <v/>
      </c>
    </row>
    <row r="70">
      <c r="Y70" s="243">
        <f>IF(OR($C10="",$F10=""),"",DATE(YEAR($N$6),MONTH($N$6),MIN($F10,DAY((DATE(YEAR($N$6),MONTH($N$6)+1,1)-1)))))</f>
        <v/>
      </c>
      <c r="Z70" s="110">
        <f>IF($C10="","",IF($D10="Доход","Доход","Расход"))</f>
        <v/>
      </c>
      <c r="AA70" s="110">
        <f>IF($C10="","",$E10)</f>
        <v/>
      </c>
      <c r="AB70" s="110">
        <f>IF($C10="",0,IF(AND(OR($I10="",$I10&lt;=(DATE(YEAR($N$6),MONTH($N$6)+1,1)-1)),OR($J10="",$J10&gt;=$N$6),MOD((YEAR($N$6)*12+MONTH($N$6))-(YEAR(IF($I10="",$L$6,$I10))*12+MONTH(IF($I10="",$L$6,$I10))),MAX(1,N($H10)))=0),N($G10),0))</f>
        <v/>
      </c>
      <c r="AC70" s="110">
        <f>IF($C10="",0,IF(N10="✓",N($G10),IF(ISNUMBER(N10),N10,0)))</f>
        <v/>
      </c>
      <c r="AD70" s="243">
        <f>IF($C10="","",$N$6)</f>
        <v/>
      </c>
      <c r="AE70" s="110">
        <f>IF($C10="","",$K10)</f>
        <v/>
      </c>
      <c r="AG70" s="243">
        <f>IF(OR($C10="",$F10=""),"",DATE(YEAR(DATE(Настройки!$C$6,Настройки!$D$7+2,1)),MONTH(DATE(Настройки!$C$6,Настройки!$D$7+2,1)),MIN($F10,DAY((DATE(Настройки!$C$6,Настройки!$D$7+2+1,1)-1)))))</f>
        <v/>
      </c>
      <c r="AH70" s="110">
        <f>IF($C10="","",IF($D10="Доход","Доход","Расход"))</f>
        <v/>
      </c>
      <c r="AI70" s="110">
        <f>IF($C10="","",$E10)</f>
        <v/>
      </c>
      <c r="AJ70" s="110">
        <f>IF($C10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10:$W10,((YEAR(DATE(Настройки!$C$6,Настройки!$D$7+2,1))*12+MONTH(DATE(Настройки!$C$6,Настройки!$D$7+2,1)))-(YEAR($L$6)*12+MONTH($L$6)))+1)="✓",N($G10),IF(ISNUMBER(INDEX($L10:$W10,((YEAR(DATE(Настройки!$C$6,Настройки!$D$7+2,1))*12+MONTH(DATE(Настройки!$C$6,Настройки!$D$7+2,1)))-(YEAR($L$6)*12+MONTH($L$6)))+1)),INDEX($L10:$W10,((YEAR(DATE(Настройки!$C$6,Настройки!$D$7+2,1))*12+MONTH(DATE(Настройки!$C$6,Настройки!$D$7+2,1)))-(YEAR($L$6)*12+MONTH($L$6)))+1),IF(AND(OR($I10="",$I10&lt;=(DATE(Настройки!$C$6,Настройки!$D$7+2+1,1)-1)),OR($J10="",$J10&gt;=DATE(Настройки!$C$6,Настройки!$D$7+2,1)),MOD((YEAR(DATE(Настройки!$C$6,Настройки!$D$7+2,1))*12+MONTH(DATE(Настройки!$C$6,Настройки!$D$7+2,1)))-(YEAR(IF($I10="",$L$6,$I10))*12+MONTH(IF($I10="",$L$6,$I10))),MAX(1,N($H10)))=0),N($G10),0))),IF(AND(OR($I10="",$I10&lt;=(DATE(Настройки!$C$6,Настройки!$D$7+2+1,1)-1)),OR($J10="",$J10&gt;=DATE(Настройки!$C$6,Настройки!$D$7+2,1)),MOD((YEAR(DATE(Настройки!$C$6,Настройки!$D$7+2,1))*12+MONTH(DATE(Настройки!$C$6,Настройки!$D$7+2,1)))-(YEAR(IF($I10="",$L$6,$I10))*12+MONTH(IF($I10="",$L$6,$I10))),MAX(1,N($H10)))=0),N($G10),0)))</f>
        <v/>
      </c>
    </row>
    <row r="71">
      <c r="Y71" s="243">
        <f>IF(OR($C11="",$F11=""),"",DATE(YEAR($N$6),MONTH($N$6),MIN($F11,DAY((DATE(YEAR($N$6),MONTH($N$6)+1,1)-1)))))</f>
        <v/>
      </c>
      <c r="Z71" s="110">
        <f>IF($C11="","",IF($D11="Доход","Доход","Расход"))</f>
        <v/>
      </c>
      <c r="AA71" s="110">
        <f>IF($C11="","",$E11)</f>
        <v/>
      </c>
      <c r="AB71" s="110">
        <f>IF($C11="",0,IF(AND(OR($I11="",$I11&lt;=(DATE(YEAR($N$6),MONTH($N$6)+1,1)-1)),OR($J11="",$J11&gt;=$N$6),MOD((YEAR($N$6)*12+MONTH($N$6))-(YEAR(IF($I11="",$L$6,$I11))*12+MONTH(IF($I11="",$L$6,$I11))),MAX(1,N($H11)))=0),N($G11),0))</f>
        <v/>
      </c>
      <c r="AC71" s="110">
        <f>IF($C11="",0,IF(N11="✓",N($G11),IF(ISNUMBER(N11),N11,0)))</f>
        <v/>
      </c>
      <c r="AD71" s="243">
        <f>IF($C11="","",$N$6)</f>
        <v/>
      </c>
      <c r="AE71" s="110">
        <f>IF($C11="","",$K11)</f>
        <v/>
      </c>
      <c r="AG71" s="243">
        <f>IF(OR($C11="",$F11=""),"",DATE(YEAR(DATE(Настройки!$C$6,Настройки!$D$7+2,1)),MONTH(DATE(Настройки!$C$6,Настройки!$D$7+2,1)),MIN($F11,DAY((DATE(Настройки!$C$6,Настройки!$D$7+2+1,1)-1)))))</f>
        <v/>
      </c>
      <c r="AH71" s="110">
        <f>IF($C11="","",IF($D11="Доход","Доход","Расход"))</f>
        <v/>
      </c>
      <c r="AI71" s="110">
        <f>IF($C11="","",$E11)</f>
        <v/>
      </c>
      <c r="AJ71" s="110">
        <f>IF($C11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11:$W11,((YEAR(DATE(Настройки!$C$6,Настройки!$D$7+2,1))*12+MONTH(DATE(Настройки!$C$6,Настройки!$D$7+2,1)))-(YEAR($L$6)*12+MONTH($L$6)))+1)="✓",N($G11),IF(ISNUMBER(INDEX($L11:$W11,((YEAR(DATE(Настройки!$C$6,Настройки!$D$7+2,1))*12+MONTH(DATE(Настройки!$C$6,Настройки!$D$7+2,1)))-(YEAR($L$6)*12+MONTH($L$6)))+1)),INDEX($L11:$W11,((YEAR(DATE(Настройки!$C$6,Настройки!$D$7+2,1))*12+MONTH(DATE(Настройки!$C$6,Настройки!$D$7+2,1)))-(YEAR($L$6)*12+MONTH($L$6)))+1),IF(AND(OR($I11="",$I11&lt;=(DATE(Настройки!$C$6,Настройки!$D$7+2+1,1)-1)),OR($J11="",$J11&gt;=DATE(Настройки!$C$6,Настройки!$D$7+2,1)),MOD((YEAR(DATE(Настройки!$C$6,Настройки!$D$7+2,1))*12+MONTH(DATE(Настройки!$C$6,Настройки!$D$7+2,1)))-(YEAR(IF($I11="",$L$6,$I11))*12+MONTH(IF($I11="",$L$6,$I11))),MAX(1,N($H11)))=0),N($G11),0))),IF(AND(OR($I11="",$I11&lt;=(DATE(Настройки!$C$6,Настройки!$D$7+2+1,1)-1)),OR($J11="",$J11&gt;=DATE(Настройки!$C$6,Настройки!$D$7+2,1)),MOD((YEAR(DATE(Настройки!$C$6,Настройки!$D$7+2,1))*12+MONTH(DATE(Настройки!$C$6,Настройки!$D$7+2,1)))-(YEAR(IF($I11="",$L$6,$I11))*12+MONTH(IF($I11="",$L$6,$I11))),MAX(1,N($H11)))=0),N($G11),0)))</f>
        <v/>
      </c>
    </row>
    <row r="72">
      <c r="Y72" s="243">
        <f>IF(OR($C12="",$F12=""),"",DATE(YEAR($N$6),MONTH($N$6),MIN($F12,DAY((DATE(YEAR($N$6),MONTH($N$6)+1,1)-1)))))</f>
        <v/>
      </c>
      <c r="Z72" s="110">
        <f>IF($C12="","",IF($D12="Доход","Доход","Расход"))</f>
        <v/>
      </c>
      <c r="AA72" s="110">
        <f>IF($C12="","",$E12)</f>
        <v/>
      </c>
      <c r="AB72" s="110">
        <f>IF($C12="",0,IF(AND(OR($I12="",$I12&lt;=(DATE(YEAR($N$6),MONTH($N$6)+1,1)-1)),OR($J12="",$J12&gt;=$N$6),MOD((YEAR($N$6)*12+MONTH($N$6))-(YEAR(IF($I12="",$L$6,$I12))*12+MONTH(IF($I12="",$L$6,$I12))),MAX(1,N($H12)))=0),N($G12),0))</f>
        <v/>
      </c>
      <c r="AC72" s="110">
        <f>IF($C12="",0,IF(N12="✓",N($G12),IF(ISNUMBER(N12),N12,0)))</f>
        <v/>
      </c>
      <c r="AD72" s="243">
        <f>IF($C12="","",$N$6)</f>
        <v/>
      </c>
      <c r="AE72" s="110">
        <f>IF($C12="","",$K12)</f>
        <v/>
      </c>
      <c r="AG72" s="243">
        <f>IF(OR($C12="",$F12=""),"",DATE(YEAR(DATE(Настройки!$C$6,Настройки!$D$7+2,1)),MONTH(DATE(Настройки!$C$6,Настройки!$D$7+2,1)),MIN($F12,DAY((DATE(Настройки!$C$6,Настройки!$D$7+2+1,1)-1)))))</f>
        <v/>
      </c>
      <c r="AH72" s="110">
        <f>IF($C12="","",IF($D12="Доход","Доход","Расход"))</f>
        <v/>
      </c>
      <c r="AI72" s="110">
        <f>IF($C12="","",$E12)</f>
        <v/>
      </c>
      <c r="AJ72" s="110">
        <f>IF($C12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12:$W12,((YEAR(DATE(Настройки!$C$6,Настройки!$D$7+2,1))*12+MONTH(DATE(Настройки!$C$6,Настройки!$D$7+2,1)))-(YEAR($L$6)*12+MONTH($L$6)))+1)="✓",N($G12),IF(ISNUMBER(INDEX($L12:$W12,((YEAR(DATE(Настройки!$C$6,Настройки!$D$7+2,1))*12+MONTH(DATE(Настройки!$C$6,Настройки!$D$7+2,1)))-(YEAR($L$6)*12+MONTH($L$6)))+1)),INDEX($L12:$W12,((YEAR(DATE(Настройки!$C$6,Настройки!$D$7+2,1))*12+MONTH(DATE(Настройки!$C$6,Настройки!$D$7+2,1)))-(YEAR($L$6)*12+MONTH($L$6)))+1),IF(AND(OR($I12="",$I12&lt;=(DATE(Настройки!$C$6,Настройки!$D$7+2+1,1)-1)),OR($J12="",$J12&gt;=DATE(Настройки!$C$6,Настройки!$D$7+2,1)),MOD((YEAR(DATE(Настройки!$C$6,Настройки!$D$7+2,1))*12+MONTH(DATE(Настройки!$C$6,Настройки!$D$7+2,1)))-(YEAR(IF($I12="",$L$6,$I12))*12+MONTH(IF($I12="",$L$6,$I12))),MAX(1,N($H12)))=0),N($G12),0))),IF(AND(OR($I12="",$I12&lt;=(DATE(Настройки!$C$6,Настройки!$D$7+2+1,1)-1)),OR($J12="",$J12&gt;=DATE(Настройки!$C$6,Настройки!$D$7+2,1)),MOD((YEAR(DATE(Настройки!$C$6,Настройки!$D$7+2,1))*12+MONTH(DATE(Настройки!$C$6,Настройки!$D$7+2,1)))-(YEAR(IF($I12="",$L$6,$I12))*12+MONTH(IF($I12="",$L$6,$I12))),MAX(1,N($H12)))=0),N($G12),0)))</f>
        <v/>
      </c>
    </row>
    <row r="73">
      <c r="Y73" s="243">
        <f>IF(OR($C13="",$F13=""),"",DATE(YEAR($N$6),MONTH($N$6),MIN($F13,DAY((DATE(YEAR($N$6),MONTH($N$6)+1,1)-1)))))</f>
        <v/>
      </c>
      <c r="Z73" s="110">
        <f>IF($C13="","",IF($D13="Доход","Доход","Расход"))</f>
        <v/>
      </c>
      <c r="AA73" s="110">
        <f>IF($C13="","",$E13)</f>
        <v/>
      </c>
      <c r="AB73" s="110">
        <f>IF($C13="",0,IF(AND(OR($I13="",$I13&lt;=(DATE(YEAR($N$6),MONTH($N$6)+1,1)-1)),OR($J13="",$J13&gt;=$N$6),MOD((YEAR($N$6)*12+MONTH($N$6))-(YEAR(IF($I13="",$L$6,$I13))*12+MONTH(IF($I13="",$L$6,$I13))),MAX(1,N($H13)))=0),N($G13),0))</f>
        <v/>
      </c>
      <c r="AC73" s="110">
        <f>IF($C13="",0,IF(N13="✓",N($G13),IF(ISNUMBER(N13),N13,0)))</f>
        <v/>
      </c>
      <c r="AD73" s="243">
        <f>IF($C13="","",$N$6)</f>
        <v/>
      </c>
      <c r="AE73" s="110">
        <f>IF($C13="","",$K13)</f>
        <v/>
      </c>
      <c r="AG73" s="243">
        <f>IF(OR($C13="",$F13=""),"",DATE(YEAR(DATE(Настройки!$C$6,Настройки!$D$7+2,1)),MONTH(DATE(Настройки!$C$6,Настройки!$D$7+2,1)),MIN($F13,DAY((DATE(Настройки!$C$6,Настройки!$D$7+2+1,1)-1)))))</f>
        <v/>
      </c>
      <c r="AH73" s="110">
        <f>IF($C13="","",IF($D13="Доход","Доход","Расход"))</f>
        <v/>
      </c>
      <c r="AI73" s="110">
        <f>IF($C13="","",$E13)</f>
        <v/>
      </c>
      <c r="AJ73" s="110">
        <f>IF($C13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13:$W13,((YEAR(DATE(Настройки!$C$6,Настройки!$D$7+2,1))*12+MONTH(DATE(Настройки!$C$6,Настройки!$D$7+2,1)))-(YEAR($L$6)*12+MONTH($L$6)))+1)="✓",N($G13),IF(ISNUMBER(INDEX($L13:$W13,((YEAR(DATE(Настройки!$C$6,Настройки!$D$7+2,1))*12+MONTH(DATE(Настройки!$C$6,Настройки!$D$7+2,1)))-(YEAR($L$6)*12+MONTH($L$6)))+1)),INDEX($L13:$W13,((YEAR(DATE(Настройки!$C$6,Настройки!$D$7+2,1))*12+MONTH(DATE(Настройки!$C$6,Настройки!$D$7+2,1)))-(YEAR($L$6)*12+MONTH($L$6)))+1),IF(AND(OR($I13="",$I13&lt;=(DATE(Настройки!$C$6,Настройки!$D$7+2+1,1)-1)),OR($J13="",$J13&gt;=DATE(Настройки!$C$6,Настройки!$D$7+2,1)),MOD((YEAR(DATE(Настройки!$C$6,Настройки!$D$7+2,1))*12+MONTH(DATE(Настройки!$C$6,Настройки!$D$7+2,1)))-(YEAR(IF($I13="",$L$6,$I13))*12+MONTH(IF($I13="",$L$6,$I13))),MAX(1,N($H13)))=0),N($G13),0))),IF(AND(OR($I13="",$I13&lt;=(DATE(Настройки!$C$6,Настройки!$D$7+2+1,1)-1)),OR($J13="",$J13&gt;=DATE(Настройки!$C$6,Настройки!$D$7+2,1)),MOD((YEAR(DATE(Настройки!$C$6,Настройки!$D$7+2,1))*12+MONTH(DATE(Настройки!$C$6,Настройки!$D$7+2,1)))-(YEAR(IF($I13="",$L$6,$I13))*12+MONTH(IF($I13="",$L$6,$I13))),MAX(1,N($H13)))=0),N($G13),0)))</f>
        <v/>
      </c>
    </row>
    <row r="74">
      <c r="Y74" s="243">
        <f>IF(OR($C14="",$F14=""),"",DATE(YEAR($N$6),MONTH($N$6),MIN($F14,DAY((DATE(YEAR($N$6),MONTH($N$6)+1,1)-1)))))</f>
        <v/>
      </c>
      <c r="Z74" s="110">
        <f>IF($C14="","",IF($D14="Доход","Доход","Расход"))</f>
        <v/>
      </c>
      <c r="AA74" s="110">
        <f>IF($C14="","",$E14)</f>
        <v/>
      </c>
      <c r="AB74" s="110">
        <f>IF($C14="",0,IF(AND(OR($I14="",$I14&lt;=(DATE(YEAR($N$6),MONTH($N$6)+1,1)-1)),OR($J14="",$J14&gt;=$N$6),MOD((YEAR($N$6)*12+MONTH($N$6))-(YEAR(IF($I14="",$L$6,$I14))*12+MONTH(IF($I14="",$L$6,$I14))),MAX(1,N($H14)))=0),N($G14),0))</f>
        <v/>
      </c>
      <c r="AC74" s="110">
        <f>IF($C14="",0,IF(N14="✓",N($G14),IF(ISNUMBER(N14),N14,0)))</f>
        <v/>
      </c>
      <c r="AD74" s="243">
        <f>IF($C14="","",$N$6)</f>
        <v/>
      </c>
      <c r="AE74" s="110">
        <f>IF($C14="","",$K14)</f>
        <v/>
      </c>
      <c r="AG74" s="243">
        <f>IF(OR($C14="",$F14=""),"",DATE(YEAR(DATE(Настройки!$C$6,Настройки!$D$7+2,1)),MONTH(DATE(Настройки!$C$6,Настройки!$D$7+2,1)),MIN($F14,DAY((DATE(Настройки!$C$6,Настройки!$D$7+2+1,1)-1)))))</f>
        <v/>
      </c>
      <c r="AH74" s="110">
        <f>IF($C14="","",IF($D14="Доход","Доход","Расход"))</f>
        <v/>
      </c>
      <c r="AI74" s="110">
        <f>IF($C14="","",$E14)</f>
        <v/>
      </c>
      <c r="AJ74" s="110">
        <f>IF($C14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14:$W14,((YEAR(DATE(Настройки!$C$6,Настройки!$D$7+2,1))*12+MONTH(DATE(Настройки!$C$6,Настройки!$D$7+2,1)))-(YEAR($L$6)*12+MONTH($L$6)))+1)="✓",N($G14),IF(ISNUMBER(INDEX($L14:$W14,((YEAR(DATE(Настройки!$C$6,Настройки!$D$7+2,1))*12+MONTH(DATE(Настройки!$C$6,Настройки!$D$7+2,1)))-(YEAR($L$6)*12+MONTH($L$6)))+1)),INDEX($L14:$W14,((YEAR(DATE(Настройки!$C$6,Настройки!$D$7+2,1))*12+MONTH(DATE(Настройки!$C$6,Настройки!$D$7+2,1)))-(YEAR($L$6)*12+MONTH($L$6)))+1),IF(AND(OR($I14="",$I14&lt;=(DATE(Настройки!$C$6,Настройки!$D$7+2+1,1)-1)),OR($J14="",$J14&gt;=DATE(Настройки!$C$6,Настройки!$D$7+2,1)),MOD((YEAR(DATE(Настройки!$C$6,Настройки!$D$7+2,1))*12+MONTH(DATE(Настройки!$C$6,Настройки!$D$7+2,1)))-(YEAR(IF($I14="",$L$6,$I14))*12+MONTH(IF($I14="",$L$6,$I14))),MAX(1,N($H14)))=0),N($G14),0))),IF(AND(OR($I14="",$I14&lt;=(DATE(Настройки!$C$6,Настройки!$D$7+2+1,1)-1)),OR($J14="",$J14&gt;=DATE(Настройки!$C$6,Настройки!$D$7+2,1)),MOD((YEAR(DATE(Настройки!$C$6,Настройки!$D$7+2,1))*12+MONTH(DATE(Настройки!$C$6,Настройки!$D$7+2,1)))-(YEAR(IF($I14="",$L$6,$I14))*12+MONTH(IF($I14="",$L$6,$I14))),MAX(1,N($H14)))=0),N($G14),0)))</f>
        <v/>
      </c>
    </row>
    <row r="75">
      <c r="Y75" s="243">
        <f>IF(OR($C15="",$F15=""),"",DATE(YEAR($N$6),MONTH($N$6),MIN($F15,DAY((DATE(YEAR($N$6),MONTH($N$6)+1,1)-1)))))</f>
        <v/>
      </c>
      <c r="Z75" s="110">
        <f>IF($C15="","",IF($D15="Доход","Доход","Расход"))</f>
        <v/>
      </c>
      <c r="AA75" s="110">
        <f>IF($C15="","",$E15)</f>
        <v/>
      </c>
      <c r="AB75" s="110">
        <f>IF($C15="",0,IF(AND(OR($I15="",$I15&lt;=(DATE(YEAR($N$6),MONTH($N$6)+1,1)-1)),OR($J15="",$J15&gt;=$N$6),MOD((YEAR($N$6)*12+MONTH($N$6))-(YEAR(IF($I15="",$L$6,$I15))*12+MONTH(IF($I15="",$L$6,$I15))),MAX(1,N($H15)))=0),N($G15),0))</f>
        <v/>
      </c>
      <c r="AC75" s="110">
        <f>IF($C15="",0,IF(N15="✓",N($G15),IF(ISNUMBER(N15),N15,0)))</f>
        <v/>
      </c>
      <c r="AD75" s="243">
        <f>IF($C15="","",$N$6)</f>
        <v/>
      </c>
      <c r="AE75" s="110">
        <f>IF($C15="","",$K15)</f>
        <v/>
      </c>
      <c r="AG75" s="243">
        <f>IF(OR($C15="",$F15=""),"",DATE(YEAR(DATE(Настройки!$C$6,Настройки!$D$7+2,1)),MONTH(DATE(Настройки!$C$6,Настройки!$D$7+2,1)),MIN($F15,DAY((DATE(Настройки!$C$6,Настройки!$D$7+2+1,1)-1)))))</f>
        <v/>
      </c>
      <c r="AH75" s="110">
        <f>IF($C15="","",IF($D15="Доход","Доход","Расход"))</f>
        <v/>
      </c>
      <c r="AI75" s="110">
        <f>IF($C15="","",$E15)</f>
        <v/>
      </c>
      <c r="AJ75" s="110">
        <f>IF($C15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15:$W15,((YEAR(DATE(Настройки!$C$6,Настройки!$D$7+2,1))*12+MONTH(DATE(Настройки!$C$6,Настройки!$D$7+2,1)))-(YEAR($L$6)*12+MONTH($L$6)))+1)="✓",N($G15),IF(ISNUMBER(INDEX($L15:$W15,((YEAR(DATE(Настройки!$C$6,Настройки!$D$7+2,1))*12+MONTH(DATE(Настройки!$C$6,Настройки!$D$7+2,1)))-(YEAR($L$6)*12+MONTH($L$6)))+1)),INDEX($L15:$W15,((YEAR(DATE(Настройки!$C$6,Настройки!$D$7+2,1))*12+MONTH(DATE(Настройки!$C$6,Настройки!$D$7+2,1)))-(YEAR($L$6)*12+MONTH($L$6)))+1),IF(AND(OR($I15="",$I15&lt;=(DATE(Настройки!$C$6,Настройки!$D$7+2+1,1)-1)),OR($J15="",$J15&gt;=DATE(Настройки!$C$6,Настройки!$D$7+2,1)),MOD((YEAR(DATE(Настройки!$C$6,Настройки!$D$7+2,1))*12+MONTH(DATE(Настройки!$C$6,Настройки!$D$7+2,1)))-(YEAR(IF($I15="",$L$6,$I15))*12+MONTH(IF($I15="",$L$6,$I15))),MAX(1,N($H15)))=0),N($G15),0))),IF(AND(OR($I15="",$I15&lt;=(DATE(Настройки!$C$6,Настройки!$D$7+2+1,1)-1)),OR($J15="",$J15&gt;=DATE(Настройки!$C$6,Настройки!$D$7+2,1)),MOD((YEAR(DATE(Настройки!$C$6,Настройки!$D$7+2,1))*12+MONTH(DATE(Настройки!$C$6,Настройки!$D$7+2,1)))-(YEAR(IF($I15="",$L$6,$I15))*12+MONTH(IF($I15="",$L$6,$I15))),MAX(1,N($H15)))=0),N($G15),0)))</f>
        <v/>
      </c>
    </row>
    <row r="76">
      <c r="Y76" s="243">
        <f>IF(OR($C16="",$F16=""),"",DATE(YEAR($N$6),MONTH($N$6),MIN($F16,DAY((DATE(YEAR($N$6),MONTH($N$6)+1,1)-1)))))</f>
        <v/>
      </c>
      <c r="Z76" s="110">
        <f>IF($C16="","",IF($D16="Доход","Доход","Расход"))</f>
        <v/>
      </c>
      <c r="AA76" s="110">
        <f>IF($C16="","",$E16)</f>
        <v/>
      </c>
      <c r="AB76" s="110">
        <f>IF($C16="",0,IF(AND(OR($I16="",$I16&lt;=(DATE(YEAR($N$6),MONTH($N$6)+1,1)-1)),OR($J16="",$J16&gt;=$N$6),MOD((YEAR($N$6)*12+MONTH($N$6))-(YEAR(IF($I16="",$L$6,$I16))*12+MONTH(IF($I16="",$L$6,$I16))),MAX(1,N($H16)))=0),N($G16),0))</f>
        <v/>
      </c>
      <c r="AC76" s="110">
        <f>IF($C16="",0,IF(N16="✓",N($G16),IF(ISNUMBER(N16),N16,0)))</f>
        <v/>
      </c>
      <c r="AD76" s="243">
        <f>IF($C16="","",$N$6)</f>
        <v/>
      </c>
      <c r="AE76" s="110">
        <f>IF($C16="","",$K16)</f>
        <v/>
      </c>
      <c r="AG76" s="243">
        <f>IF(OR($C16="",$F16=""),"",DATE(YEAR(DATE(Настройки!$C$6,Настройки!$D$7+2,1)),MONTH(DATE(Настройки!$C$6,Настройки!$D$7+2,1)),MIN($F16,DAY((DATE(Настройки!$C$6,Настройки!$D$7+2+1,1)-1)))))</f>
        <v/>
      </c>
      <c r="AH76" s="110">
        <f>IF($C16="","",IF($D16="Доход","Доход","Расход"))</f>
        <v/>
      </c>
      <c r="AI76" s="110">
        <f>IF($C16="","",$E16)</f>
        <v/>
      </c>
      <c r="AJ76" s="110">
        <f>IF($C16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16:$W16,((YEAR(DATE(Настройки!$C$6,Настройки!$D$7+2,1))*12+MONTH(DATE(Настройки!$C$6,Настройки!$D$7+2,1)))-(YEAR($L$6)*12+MONTH($L$6)))+1)="✓",N($G16),IF(ISNUMBER(INDEX($L16:$W16,((YEAR(DATE(Настройки!$C$6,Настройки!$D$7+2,1))*12+MONTH(DATE(Настройки!$C$6,Настройки!$D$7+2,1)))-(YEAR($L$6)*12+MONTH($L$6)))+1)),INDEX($L16:$W16,((YEAR(DATE(Настройки!$C$6,Настройки!$D$7+2,1))*12+MONTH(DATE(Настройки!$C$6,Настройки!$D$7+2,1)))-(YEAR($L$6)*12+MONTH($L$6)))+1),IF(AND(OR($I16="",$I16&lt;=(DATE(Настройки!$C$6,Настройки!$D$7+2+1,1)-1)),OR($J16="",$J16&gt;=DATE(Настройки!$C$6,Настройки!$D$7+2,1)),MOD((YEAR(DATE(Настройки!$C$6,Настройки!$D$7+2,1))*12+MONTH(DATE(Настройки!$C$6,Настройки!$D$7+2,1)))-(YEAR(IF($I16="",$L$6,$I16))*12+MONTH(IF($I16="",$L$6,$I16))),MAX(1,N($H16)))=0),N($G16),0))),IF(AND(OR($I16="",$I16&lt;=(DATE(Настройки!$C$6,Настройки!$D$7+2+1,1)-1)),OR($J16="",$J16&gt;=DATE(Настройки!$C$6,Настройки!$D$7+2,1)),MOD((YEAR(DATE(Настройки!$C$6,Настройки!$D$7+2,1))*12+MONTH(DATE(Настройки!$C$6,Настройки!$D$7+2,1)))-(YEAR(IF($I16="",$L$6,$I16))*12+MONTH(IF($I16="",$L$6,$I16))),MAX(1,N($H16)))=0),N($G16),0)))</f>
        <v/>
      </c>
    </row>
    <row r="77">
      <c r="Y77" s="243">
        <f>IF(OR($C17="",$F17=""),"",DATE(YEAR($N$6),MONTH($N$6),MIN($F17,DAY((DATE(YEAR($N$6),MONTH($N$6)+1,1)-1)))))</f>
        <v/>
      </c>
      <c r="Z77" s="110">
        <f>IF($C17="","",IF($D17="Доход","Доход","Расход"))</f>
        <v/>
      </c>
      <c r="AA77" s="110">
        <f>IF($C17="","",$E17)</f>
        <v/>
      </c>
      <c r="AB77" s="110">
        <f>IF($C17="",0,IF(AND(OR($I17="",$I17&lt;=(DATE(YEAR($N$6),MONTH($N$6)+1,1)-1)),OR($J17="",$J17&gt;=$N$6),MOD((YEAR($N$6)*12+MONTH($N$6))-(YEAR(IF($I17="",$L$6,$I17))*12+MONTH(IF($I17="",$L$6,$I17))),MAX(1,N($H17)))=0),N($G17),0))</f>
        <v/>
      </c>
      <c r="AC77" s="110">
        <f>IF($C17="",0,IF(N17="✓",N($G17),IF(ISNUMBER(N17),N17,0)))</f>
        <v/>
      </c>
      <c r="AD77" s="243">
        <f>IF($C17="","",$N$6)</f>
        <v/>
      </c>
      <c r="AE77" s="110">
        <f>IF($C17="","",$K17)</f>
        <v/>
      </c>
      <c r="AG77" s="243">
        <f>IF(OR($C17="",$F17=""),"",DATE(YEAR(DATE(Настройки!$C$6,Настройки!$D$7+2,1)),MONTH(DATE(Настройки!$C$6,Настройки!$D$7+2,1)),MIN($F17,DAY((DATE(Настройки!$C$6,Настройки!$D$7+2+1,1)-1)))))</f>
        <v/>
      </c>
      <c r="AH77" s="110">
        <f>IF($C17="","",IF($D17="Доход","Доход","Расход"))</f>
        <v/>
      </c>
      <c r="AI77" s="110">
        <f>IF($C17="","",$E17)</f>
        <v/>
      </c>
      <c r="AJ77" s="110">
        <f>IF($C17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17:$W17,((YEAR(DATE(Настройки!$C$6,Настройки!$D$7+2,1))*12+MONTH(DATE(Настройки!$C$6,Настройки!$D$7+2,1)))-(YEAR($L$6)*12+MONTH($L$6)))+1)="✓",N($G17),IF(ISNUMBER(INDEX($L17:$W17,((YEAR(DATE(Настройки!$C$6,Настройки!$D$7+2,1))*12+MONTH(DATE(Настройки!$C$6,Настройки!$D$7+2,1)))-(YEAR($L$6)*12+MONTH($L$6)))+1)),INDEX($L17:$W17,((YEAR(DATE(Настройки!$C$6,Настройки!$D$7+2,1))*12+MONTH(DATE(Настройки!$C$6,Настройки!$D$7+2,1)))-(YEAR($L$6)*12+MONTH($L$6)))+1),IF(AND(OR($I17="",$I17&lt;=(DATE(Настройки!$C$6,Настройки!$D$7+2+1,1)-1)),OR($J17="",$J17&gt;=DATE(Настройки!$C$6,Настройки!$D$7+2,1)),MOD((YEAR(DATE(Настройки!$C$6,Настройки!$D$7+2,1))*12+MONTH(DATE(Настройки!$C$6,Настройки!$D$7+2,1)))-(YEAR(IF($I17="",$L$6,$I17))*12+MONTH(IF($I17="",$L$6,$I17))),MAX(1,N($H17)))=0),N($G17),0))),IF(AND(OR($I17="",$I17&lt;=(DATE(Настройки!$C$6,Настройки!$D$7+2+1,1)-1)),OR($J17="",$J17&gt;=DATE(Настройки!$C$6,Настройки!$D$7+2,1)),MOD((YEAR(DATE(Настройки!$C$6,Настройки!$D$7+2,1))*12+MONTH(DATE(Настройки!$C$6,Настройки!$D$7+2,1)))-(YEAR(IF($I17="",$L$6,$I17))*12+MONTH(IF($I17="",$L$6,$I17))),MAX(1,N($H17)))=0),N($G17),0)))</f>
        <v/>
      </c>
    </row>
    <row r="78">
      <c r="Y78" s="243">
        <f>IF(OR($C18="",$F18=""),"",DATE(YEAR($N$6),MONTH($N$6),MIN($F18,DAY((DATE(YEAR($N$6),MONTH($N$6)+1,1)-1)))))</f>
        <v/>
      </c>
      <c r="Z78" s="110">
        <f>IF($C18="","",IF($D18="Доход","Доход","Расход"))</f>
        <v/>
      </c>
      <c r="AA78" s="110">
        <f>IF($C18="","",$E18)</f>
        <v/>
      </c>
      <c r="AB78" s="110">
        <f>IF($C18="",0,IF(AND(OR($I18="",$I18&lt;=(DATE(YEAR($N$6),MONTH($N$6)+1,1)-1)),OR($J18="",$J18&gt;=$N$6),MOD((YEAR($N$6)*12+MONTH($N$6))-(YEAR(IF($I18="",$L$6,$I18))*12+MONTH(IF($I18="",$L$6,$I18))),MAX(1,N($H18)))=0),N($G18),0))</f>
        <v/>
      </c>
      <c r="AC78" s="110">
        <f>IF($C18="",0,IF(N18="✓",N($G18),IF(ISNUMBER(N18),N18,0)))</f>
        <v/>
      </c>
      <c r="AD78" s="243">
        <f>IF($C18="","",$N$6)</f>
        <v/>
      </c>
      <c r="AE78" s="110">
        <f>IF($C18="","",$K18)</f>
        <v/>
      </c>
      <c r="AG78" s="243">
        <f>IF(OR($C18="",$F18=""),"",DATE(YEAR(DATE(Настройки!$C$6,Настройки!$D$7+2,1)),MONTH(DATE(Настройки!$C$6,Настройки!$D$7+2,1)),MIN($F18,DAY((DATE(Настройки!$C$6,Настройки!$D$7+2+1,1)-1)))))</f>
        <v/>
      </c>
      <c r="AH78" s="110">
        <f>IF($C18="","",IF($D18="Доход","Доход","Расход"))</f>
        <v/>
      </c>
      <c r="AI78" s="110">
        <f>IF($C18="","",$E18)</f>
        <v/>
      </c>
      <c r="AJ78" s="110">
        <f>IF($C18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18:$W18,((YEAR(DATE(Настройки!$C$6,Настройки!$D$7+2,1))*12+MONTH(DATE(Настройки!$C$6,Настройки!$D$7+2,1)))-(YEAR($L$6)*12+MONTH($L$6)))+1)="✓",N($G18),IF(ISNUMBER(INDEX($L18:$W18,((YEAR(DATE(Настройки!$C$6,Настройки!$D$7+2,1))*12+MONTH(DATE(Настройки!$C$6,Настройки!$D$7+2,1)))-(YEAR($L$6)*12+MONTH($L$6)))+1)),INDEX($L18:$W18,((YEAR(DATE(Настройки!$C$6,Настройки!$D$7+2,1))*12+MONTH(DATE(Настройки!$C$6,Настройки!$D$7+2,1)))-(YEAR($L$6)*12+MONTH($L$6)))+1),IF(AND(OR($I18="",$I18&lt;=(DATE(Настройки!$C$6,Настройки!$D$7+2+1,1)-1)),OR($J18="",$J18&gt;=DATE(Настройки!$C$6,Настройки!$D$7+2,1)),MOD((YEAR(DATE(Настройки!$C$6,Настройки!$D$7+2,1))*12+MONTH(DATE(Настройки!$C$6,Настройки!$D$7+2,1)))-(YEAR(IF($I18="",$L$6,$I18))*12+MONTH(IF($I18="",$L$6,$I18))),MAX(1,N($H18)))=0),N($G18),0))),IF(AND(OR($I18="",$I18&lt;=(DATE(Настройки!$C$6,Настройки!$D$7+2+1,1)-1)),OR($J18="",$J18&gt;=DATE(Настройки!$C$6,Настройки!$D$7+2,1)),MOD((YEAR(DATE(Настройки!$C$6,Настройки!$D$7+2,1))*12+MONTH(DATE(Настройки!$C$6,Настройки!$D$7+2,1)))-(YEAR(IF($I18="",$L$6,$I18))*12+MONTH(IF($I18="",$L$6,$I18))),MAX(1,N($H18)))=0),N($G18),0)))</f>
        <v/>
      </c>
    </row>
    <row r="79">
      <c r="Y79" s="243">
        <f>IF(OR($C19="",$F19=""),"",DATE(YEAR($N$6),MONTH($N$6),MIN($F19,DAY((DATE(YEAR($N$6),MONTH($N$6)+1,1)-1)))))</f>
        <v/>
      </c>
      <c r="Z79" s="110">
        <f>IF($C19="","",IF($D19="Доход","Доход","Расход"))</f>
        <v/>
      </c>
      <c r="AA79" s="110">
        <f>IF($C19="","",$E19)</f>
        <v/>
      </c>
      <c r="AB79" s="110">
        <f>IF($C19="",0,IF(AND(OR($I19="",$I19&lt;=(DATE(YEAR($N$6),MONTH($N$6)+1,1)-1)),OR($J19="",$J19&gt;=$N$6),MOD((YEAR($N$6)*12+MONTH($N$6))-(YEAR(IF($I19="",$L$6,$I19))*12+MONTH(IF($I19="",$L$6,$I19))),MAX(1,N($H19)))=0),N($G19),0))</f>
        <v/>
      </c>
      <c r="AC79" s="110">
        <f>IF($C19="",0,IF(N19="✓",N($G19),IF(ISNUMBER(N19),N19,0)))</f>
        <v/>
      </c>
      <c r="AD79" s="243">
        <f>IF($C19="","",$N$6)</f>
        <v/>
      </c>
      <c r="AE79" s="110">
        <f>IF($C19="","",$K19)</f>
        <v/>
      </c>
      <c r="AG79" s="243">
        <f>IF(OR($C19="",$F19=""),"",DATE(YEAR(DATE(Настройки!$C$6,Настройки!$D$7+2,1)),MONTH(DATE(Настройки!$C$6,Настройки!$D$7+2,1)),MIN($F19,DAY((DATE(Настройки!$C$6,Настройки!$D$7+2+1,1)-1)))))</f>
        <v/>
      </c>
      <c r="AH79" s="110">
        <f>IF($C19="","",IF($D19="Доход","Доход","Расход"))</f>
        <v/>
      </c>
      <c r="AI79" s="110">
        <f>IF($C19="","",$E19)</f>
        <v/>
      </c>
      <c r="AJ79" s="110">
        <f>IF($C19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19:$W19,((YEAR(DATE(Настройки!$C$6,Настройки!$D$7+2,1))*12+MONTH(DATE(Настройки!$C$6,Настройки!$D$7+2,1)))-(YEAR($L$6)*12+MONTH($L$6)))+1)="✓",N($G19),IF(ISNUMBER(INDEX($L19:$W19,((YEAR(DATE(Настройки!$C$6,Настройки!$D$7+2,1))*12+MONTH(DATE(Настройки!$C$6,Настройки!$D$7+2,1)))-(YEAR($L$6)*12+MONTH($L$6)))+1)),INDEX($L19:$W19,((YEAR(DATE(Настройки!$C$6,Настройки!$D$7+2,1))*12+MONTH(DATE(Настройки!$C$6,Настройки!$D$7+2,1)))-(YEAR($L$6)*12+MONTH($L$6)))+1),IF(AND(OR($I19="",$I19&lt;=(DATE(Настройки!$C$6,Настройки!$D$7+2+1,1)-1)),OR($J19="",$J19&gt;=DATE(Настройки!$C$6,Настройки!$D$7+2,1)),MOD((YEAR(DATE(Настройки!$C$6,Настройки!$D$7+2,1))*12+MONTH(DATE(Настройки!$C$6,Настройки!$D$7+2,1)))-(YEAR(IF($I19="",$L$6,$I19))*12+MONTH(IF($I19="",$L$6,$I19))),MAX(1,N($H19)))=0),N($G19),0))),IF(AND(OR($I19="",$I19&lt;=(DATE(Настройки!$C$6,Настройки!$D$7+2+1,1)-1)),OR($J19="",$J19&gt;=DATE(Настройки!$C$6,Настройки!$D$7+2,1)),MOD((YEAR(DATE(Настройки!$C$6,Настройки!$D$7+2,1))*12+MONTH(DATE(Настройки!$C$6,Настройки!$D$7+2,1)))-(YEAR(IF($I19="",$L$6,$I19))*12+MONTH(IF($I19="",$L$6,$I19))),MAX(1,N($H19)))=0),N($G19),0)))</f>
        <v/>
      </c>
    </row>
    <row r="80">
      <c r="Y80" s="243">
        <f>IF(OR($C20="",$F20=""),"",DATE(YEAR($N$6),MONTH($N$6),MIN($F20,DAY((DATE(YEAR($N$6),MONTH($N$6)+1,1)-1)))))</f>
        <v/>
      </c>
      <c r="Z80" s="110">
        <f>IF($C20="","",IF($D20="Доход","Доход","Расход"))</f>
        <v/>
      </c>
      <c r="AA80" s="110">
        <f>IF($C20="","",$E20)</f>
        <v/>
      </c>
      <c r="AB80" s="110">
        <f>IF($C20="",0,IF(AND(OR($I20="",$I20&lt;=(DATE(YEAR($N$6),MONTH($N$6)+1,1)-1)),OR($J20="",$J20&gt;=$N$6),MOD((YEAR($N$6)*12+MONTH($N$6))-(YEAR(IF($I20="",$L$6,$I20))*12+MONTH(IF($I20="",$L$6,$I20))),MAX(1,N($H20)))=0),N($G20),0))</f>
        <v/>
      </c>
      <c r="AC80" s="110">
        <f>IF($C20="",0,IF(N20="✓",N($G20),IF(ISNUMBER(N20),N20,0)))</f>
        <v/>
      </c>
      <c r="AD80" s="243">
        <f>IF($C20="","",$N$6)</f>
        <v/>
      </c>
      <c r="AE80" s="110">
        <f>IF($C20="","",$K20)</f>
        <v/>
      </c>
      <c r="AG80" s="243">
        <f>IF(OR($C20="",$F20=""),"",DATE(YEAR(DATE(Настройки!$C$6,Настройки!$D$7+2,1)),MONTH(DATE(Настройки!$C$6,Настройки!$D$7+2,1)),MIN($F20,DAY((DATE(Настройки!$C$6,Настройки!$D$7+2+1,1)-1)))))</f>
        <v/>
      </c>
      <c r="AH80" s="110">
        <f>IF($C20="","",IF($D20="Доход","Доход","Расход"))</f>
        <v/>
      </c>
      <c r="AI80" s="110">
        <f>IF($C20="","",$E20)</f>
        <v/>
      </c>
      <c r="AJ80" s="110">
        <f>IF($C20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20:$W20,((YEAR(DATE(Настройки!$C$6,Настройки!$D$7+2,1))*12+MONTH(DATE(Настройки!$C$6,Настройки!$D$7+2,1)))-(YEAR($L$6)*12+MONTH($L$6)))+1)="✓",N($G20),IF(ISNUMBER(INDEX($L20:$W20,((YEAR(DATE(Настройки!$C$6,Настройки!$D$7+2,1))*12+MONTH(DATE(Настройки!$C$6,Настройки!$D$7+2,1)))-(YEAR($L$6)*12+MONTH($L$6)))+1)),INDEX($L20:$W20,((YEAR(DATE(Настройки!$C$6,Настройки!$D$7+2,1))*12+MONTH(DATE(Настройки!$C$6,Настройки!$D$7+2,1)))-(YEAR($L$6)*12+MONTH($L$6)))+1),IF(AND(OR($I20="",$I20&lt;=(DATE(Настройки!$C$6,Настройки!$D$7+2+1,1)-1)),OR($J20="",$J20&gt;=DATE(Настройки!$C$6,Настройки!$D$7+2,1)),MOD((YEAR(DATE(Настройки!$C$6,Настройки!$D$7+2,1))*12+MONTH(DATE(Настройки!$C$6,Настройки!$D$7+2,1)))-(YEAR(IF($I20="",$L$6,$I20))*12+MONTH(IF($I20="",$L$6,$I20))),MAX(1,N($H20)))=0),N($G20),0))),IF(AND(OR($I20="",$I20&lt;=(DATE(Настройки!$C$6,Настройки!$D$7+2+1,1)-1)),OR($J20="",$J20&gt;=DATE(Настройки!$C$6,Настройки!$D$7+2,1)),MOD((YEAR(DATE(Настройки!$C$6,Настройки!$D$7+2,1))*12+MONTH(DATE(Настройки!$C$6,Настройки!$D$7+2,1)))-(YEAR(IF($I20="",$L$6,$I20))*12+MONTH(IF($I20="",$L$6,$I20))),MAX(1,N($H20)))=0),N($G20),0)))</f>
        <v/>
      </c>
    </row>
    <row r="81">
      <c r="Y81" s="243">
        <f>IF(OR($C21="",$F21=""),"",DATE(YEAR($N$6),MONTH($N$6),MIN($F21,DAY((DATE(YEAR($N$6),MONTH($N$6)+1,1)-1)))))</f>
        <v/>
      </c>
      <c r="Z81" s="110">
        <f>IF($C21="","",IF($D21="Доход","Доход","Расход"))</f>
        <v/>
      </c>
      <c r="AA81" s="110">
        <f>IF($C21="","",$E21)</f>
        <v/>
      </c>
      <c r="AB81" s="110">
        <f>IF($C21="",0,IF(AND(OR($I21="",$I21&lt;=(DATE(YEAR($N$6),MONTH($N$6)+1,1)-1)),OR($J21="",$J21&gt;=$N$6),MOD((YEAR($N$6)*12+MONTH($N$6))-(YEAR(IF($I21="",$L$6,$I21))*12+MONTH(IF($I21="",$L$6,$I21))),MAX(1,N($H21)))=0),N($G21),0))</f>
        <v/>
      </c>
      <c r="AC81" s="110">
        <f>IF($C21="",0,IF(N21="✓",N($G21),IF(ISNUMBER(N21),N21,0)))</f>
        <v/>
      </c>
      <c r="AD81" s="243">
        <f>IF($C21="","",$N$6)</f>
        <v/>
      </c>
      <c r="AE81" s="110">
        <f>IF($C21="","",$K21)</f>
        <v/>
      </c>
      <c r="AG81" s="243">
        <f>IF(OR($C21="",$F21=""),"",DATE(YEAR(DATE(Настройки!$C$6,Настройки!$D$7+2,1)),MONTH(DATE(Настройки!$C$6,Настройки!$D$7+2,1)),MIN($F21,DAY((DATE(Настройки!$C$6,Настройки!$D$7+2+1,1)-1)))))</f>
        <v/>
      </c>
      <c r="AH81" s="110">
        <f>IF($C21="","",IF($D21="Доход","Доход","Расход"))</f>
        <v/>
      </c>
      <c r="AI81" s="110">
        <f>IF($C21="","",$E21)</f>
        <v/>
      </c>
      <c r="AJ81" s="110">
        <f>IF($C21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21:$W21,((YEAR(DATE(Настройки!$C$6,Настройки!$D$7+2,1))*12+MONTH(DATE(Настройки!$C$6,Настройки!$D$7+2,1)))-(YEAR($L$6)*12+MONTH($L$6)))+1)="✓",N($G21),IF(ISNUMBER(INDEX($L21:$W21,((YEAR(DATE(Настройки!$C$6,Настройки!$D$7+2,1))*12+MONTH(DATE(Настройки!$C$6,Настройки!$D$7+2,1)))-(YEAR($L$6)*12+MONTH($L$6)))+1)),INDEX($L21:$W21,((YEAR(DATE(Настройки!$C$6,Настройки!$D$7+2,1))*12+MONTH(DATE(Настройки!$C$6,Настройки!$D$7+2,1)))-(YEAR($L$6)*12+MONTH($L$6)))+1),IF(AND(OR($I21="",$I21&lt;=(DATE(Настройки!$C$6,Настройки!$D$7+2+1,1)-1)),OR($J21="",$J21&gt;=DATE(Настройки!$C$6,Настройки!$D$7+2,1)),MOD((YEAR(DATE(Настройки!$C$6,Настройки!$D$7+2,1))*12+MONTH(DATE(Настройки!$C$6,Настройки!$D$7+2,1)))-(YEAR(IF($I21="",$L$6,$I21))*12+MONTH(IF($I21="",$L$6,$I21))),MAX(1,N($H21)))=0),N($G21),0))),IF(AND(OR($I21="",$I21&lt;=(DATE(Настройки!$C$6,Настройки!$D$7+2+1,1)-1)),OR($J21="",$J21&gt;=DATE(Настройки!$C$6,Настройки!$D$7+2,1)),MOD((YEAR(DATE(Настройки!$C$6,Настройки!$D$7+2,1))*12+MONTH(DATE(Настройки!$C$6,Настройки!$D$7+2,1)))-(YEAR(IF($I21="",$L$6,$I21))*12+MONTH(IF($I21="",$L$6,$I21))),MAX(1,N($H21)))=0),N($G21),0)))</f>
        <v/>
      </c>
    </row>
    <row r="82">
      <c r="Y82" s="243">
        <f>IF(OR($C22="",$F22=""),"",DATE(YEAR($N$6),MONTH($N$6),MIN($F22,DAY((DATE(YEAR($N$6),MONTH($N$6)+1,1)-1)))))</f>
        <v/>
      </c>
      <c r="Z82" s="110">
        <f>IF($C22="","",IF($D22="Доход","Доход","Расход"))</f>
        <v/>
      </c>
      <c r="AA82" s="110">
        <f>IF($C22="","",$E22)</f>
        <v/>
      </c>
      <c r="AB82" s="110">
        <f>IF($C22="",0,IF(AND(OR($I22="",$I22&lt;=(DATE(YEAR($N$6),MONTH($N$6)+1,1)-1)),OR($J22="",$J22&gt;=$N$6),MOD((YEAR($N$6)*12+MONTH($N$6))-(YEAR(IF($I22="",$L$6,$I22))*12+MONTH(IF($I22="",$L$6,$I22))),MAX(1,N($H22)))=0),N($G22),0))</f>
        <v/>
      </c>
      <c r="AC82" s="110">
        <f>IF($C22="",0,IF(N22="✓",N($G22),IF(ISNUMBER(N22),N22,0)))</f>
        <v/>
      </c>
      <c r="AD82" s="243">
        <f>IF($C22="","",$N$6)</f>
        <v/>
      </c>
      <c r="AE82" s="110">
        <f>IF($C22="","",$K22)</f>
        <v/>
      </c>
      <c r="AG82" s="243">
        <f>IF(OR($C22="",$F22=""),"",DATE(YEAR(DATE(Настройки!$C$6,Настройки!$D$7+2,1)),MONTH(DATE(Настройки!$C$6,Настройки!$D$7+2,1)),MIN($F22,DAY((DATE(Настройки!$C$6,Настройки!$D$7+2+1,1)-1)))))</f>
        <v/>
      </c>
      <c r="AH82" s="110">
        <f>IF($C22="","",IF($D22="Доход","Доход","Расход"))</f>
        <v/>
      </c>
      <c r="AI82" s="110">
        <f>IF($C22="","",$E22)</f>
        <v/>
      </c>
      <c r="AJ82" s="110">
        <f>IF($C22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22:$W22,((YEAR(DATE(Настройки!$C$6,Настройки!$D$7+2,1))*12+MONTH(DATE(Настройки!$C$6,Настройки!$D$7+2,1)))-(YEAR($L$6)*12+MONTH($L$6)))+1)="✓",N($G22),IF(ISNUMBER(INDEX($L22:$W22,((YEAR(DATE(Настройки!$C$6,Настройки!$D$7+2,1))*12+MONTH(DATE(Настройки!$C$6,Настройки!$D$7+2,1)))-(YEAR($L$6)*12+MONTH($L$6)))+1)),INDEX($L22:$W22,((YEAR(DATE(Настройки!$C$6,Настройки!$D$7+2,1))*12+MONTH(DATE(Настройки!$C$6,Настройки!$D$7+2,1)))-(YEAR($L$6)*12+MONTH($L$6)))+1),IF(AND(OR($I22="",$I22&lt;=(DATE(Настройки!$C$6,Настройки!$D$7+2+1,1)-1)),OR($J22="",$J22&gt;=DATE(Настройки!$C$6,Настройки!$D$7+2,1)),MOD((YEAR(DATE(Настройки!$C$6,Настройки!$D$7+2,1))*12+MONTH(DATE(Настройки!$C$6,Настройки!$D$7+2,1)))-(YEAR(IF($I22="",$L$6,$I22))*12+MONTH(IF($I22="",$L$6,$I22))),MAX(1,N($H22)))=0),N($G22),0))),IF(AND(OR($I22="",$I22&lt;=(DATE(Настройки!$C$6,Настройки!$D$7+2+1,1)-1)),OR($J22="",$J22&gt;=DATE(Настройки!$C$6,Настройки!$D$7+2,1)),MOD((YEAR(DATE(Настройки!$C$6,Настройки!$D$7+2,1))*12+MONTH(DATE(Настройки!$C$6,Настройки!$D$7+2,1)))-(YEAR(IF($I22="",$L$6,$I22))*12+MONTH(IF($I22="",$L$6,$I22))),MAX(1,N($H22)))=0),N($G22),0)))</f>
        <v/>
      </c>
    </row>
    <row r="83">
      <c r="Y83" s="243">
        <f>IF(OR($C23="",$F23=""),"",DATE(YEAR($N$6),MONTH($N$6),MIN($F23,DAY((DATE(YEAR($N$6),MONTH($N$6)+1,1)-1)))))</f>
        <v/>
      </c>
      <c r="Z83" s="110">
        <f>IF($C23="","",IF($D23="Доход","Доход","Расход"))</f>
        <v/>
      </c>
      <c r="AA83" s="110">
        <f>IF($C23="","",$E23)</f>
        <v/>
      </c>
      <c r="AB83" s="110">
        <f>IF($C23="",0,IF(AND(OR($I23="",$I23&lt;=(DATE(YEAR($N$6),MONTH($N$6)+1,1)-1)),OR($J23="",$J23&gt;=$N$6),MOD((YEAR($N$6)*12+MONTH($N$6))-(YEAR(IF($I23="",$L$6,$I23))*12+MONTH(IF($I23="",$L$6,$I23))),MAX(1,N($H23)))=0),N($G23),0))</f>
        <v/>
      </c>
      <c r="AC83" s="110">
        <f>IF($C23="",0,IF(N23="✓",N($G23),IF(ISNUMBER(N23),N23,0)))</f>
        <v/>
      </c>
      <c r="AD83" s="243">
        <f>IF($C23="","",$N$6)</f>
        <v/>
      </c>
      <c r="AE83" s="110">
        <f>IF($C23="","",$K23)</f>
        <v/>
      </c>
      <c r="AG83" s="243">
        <f>IF(OR($C23="",$F23=""),"",DATE(YEAR(DATE(Настройки!$C$6,Настройки!$D$7+2,1)),MONTH(DATE(Настройки!$C$6,Настройки!$D$7+2,1)),MIN($F23,DAY((DATE(Настройки!$C$6,Настройки!$D$7+2+1,1)-1)))))</f>
        <v/>
      </c>
      <c r="AH83" s="110">
        <f>IF($C23="","",IF($D23="Доход","Доход","Расход"))</f>
        <v/>
      </c>
      <c r="AI83" s="110">
        <f>IF($C23="","",$E23)</f>
        <v/>
      </c>
      <c r="AJ83" s="110">
        <f>IF($C23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23:$W23,((YEAR(DATE(Настройки!$C$6,Настройки!$D$7+2,1))*12+MONTH(DATE(Настройки!$C$6,Настройки!$D$7+2,1)))-(YEAR($L$6)*12+MONTH($L$6)))+1)="✓",N($G23),IF(ISNUMBER(INDEX($L23:$W23,((YEAR(DATE(Настройки!$C$6,Настройки!$D$7+2,1))*12+MONTH(DATE(Настройки!$C$6,Настройки!$D$7+2,1)))-(YEAR($L$6)*12+MONTH($L$6)))+1)),INDEX($L23:$W23,((YEAR(DATE(Настройки!$C$6,Настройки!$D$7+2,1))*12+MONTH(DATE(Настройки!$C$6,Настройки!$D$7+2,1)))-(YEAR($L$6)*12+MONTH($L$6)))+1),IF(AND(OR($I23="",$I23&lt;=(DATE(Настройки!$C$6,Настройки!$D$7+2+1,1)-1)),OR($J23="",$J23&gt;=DATE(Настройки!$C$6,Настройки!$D$7+2,1)),MOD((YEAR(DATE(Настройки!$C$6,Настройки!$D$7+2,1))*12+MONTH(DATE(Настройки!$C$6,Настройки!$D$7+2,1)))-(YEAR(IF($I23="",$L$6,$I23))*12+MONTH(IF($I23="",$L$6,$I23))),MAX(1,N($H23)))=0),N($G23),0))),IF(AND(OR($I23="",$I23&lt;=(DATE(Настройки!$C$6,Настройки!$D$7+2+1,1)-1)),OR($J23="",$J23&gt;=DATE(Настройки!$C$6,Настройки!$D$7+2,1)),MOD((YEAR(DATE(Настройки!$C$6,Настройки!$D$7+2,1))*12+MONTH(DATE(Настройки!$C$6,Настройки!$D$7+2,1)))-(YEAR(IF($I23="",$L$6,$I23))*12+MONTH(IF($I23="",$L$6,$I23))),MAX(1,N($H23)))=0),N($G23),0)))</f>
        <v/>
      </c>
    </row>
    <row r="84">
      <c r="Y84" s="243">
        <f>IF(OR($C24="",$F24=""),"",DATE(YEAR($N$6),MONTH($N$6),MIN($F24,DAY((DATE(YEAR($N$6),MONTH($N$6)+1,1)-1)))))</f>
        <v/>
      </c>
      <c r="Z84" s="110">
        <f>IF($C24="","",IF($D24="Доход","Доход","Расход"))</f>
        <v/>
      </c>
      <c r="AA84" s="110">
        <f>IF($C24="","",$E24)</f>
        <v/>
      </c>
      <c r="AB84" s="110">
        <f>IF($C24="",0,IF(AND(OR($I24="",$I24&lt;=(DATE(YEAR($N$6),MONTH($N$6)+1,1)-1)),OR($J24="",$J24&gt;=$N$6),MOD((YEAR($N$6)*12+MONTH($N$6))-(YEAR(IF($I24="",$L$6,$I24))*12+MONTH(IF($I24="",$L$6,$I24))),MAX(1,N($H24)))=0),N($G24),0))</f>
        <v/>
      </c>
      <c r="AC84" s="110">
        <f>IF($C24="",0,IF(N24="✓",N($G24),IF(ISNUMBER(N24),N24,0)))</f>
        <v/>
      </c>
      <c r="AD84" s="243">
        <f>IF($C24="","",$N$6)</f>
        <v/>
      </c>
      <c r="AE84" s="110">
        <f>IF($C24="","",$K24)</f>
        <v/>
      </c>
      <c r="AG84" s="243">
        <f>IF(OR($C24="",$F24=""),"",DATE(YEAR(DATE(Настройки!$C$6,Настройки!$D$7+2,1)),MONTH(DATE(Настройки!$C$6,Настройки!$D$7+2,1)),MIN($F24,DAY((DATE(Настройки!$C$6,Настройки!$D$7+2+1,1)-1)))))</f>
        <v/>
      </c>
      <c r="AH84" s="110">
        <f>IF($C24="","",IF($D24="Доход","Доход","Расход"))</f>
        <v/>
      </c>
      <c r="AI84" s="110">
        <f>IF($C24="","",$E24)</f>
        <v/>
      </c>
      <c r="AJ84" s="110">
        <f>IF($C24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24:$W24,((YEAR(DATE(Настройки!$C$6,Настройки!$D$7+2,1))*12+MONTH(DATE(Настройки!$C$6,Настройки!$D$7+2,1)))-(YEAR($L$6)*12+MONTH($L$6)))+1)="✓",N($G24),IF(ISNUMBER(INDEX($L24:$W24,((YEAR(DATE(Настройки!$C$6,Настройки!$D$7+2,1))*12+MONTH(DATE(Настройки!$C$6,Настройки!$D$7+2,1)))-(YEAR($L$6)*12+MONTH($L$6)))+1)),INDEX($L24:$W24,((YEAR(DATE(Настройки!$C$6,Настройки!$D$7+2,1))*12+MONTH(DATE(Настройки!$C$6,Настройки!$D$7+2,1)))-(YEAR($L$6)*12+MONTH($L$6)))+1),IF(AND(OR($I24="",$I24&lt;=(DATE(Настройки!$C$6,Настройки!$D$7+2+1,1)-1)),OR($J24="",$J24&gt;=DATE(Настройки!$C$6,Настройки!$D$7+2,1)),MOD((YEAR(DATE(Настройки!$C$6,Настройки!$D$7+2,1))*12+MONTH(DATE(Настройки!$C$6,Настройки!$D$7+2,1)))-(YEAR(IF($I24="",$L$6,$I24))*12+MONTH(IF($I24="",$L$6,$I24))),MAX(1,N($H24)))=0),N($G24),0))),IF(AND(OR($I24="",$I24&lt;=(DATE(Настройки!$C$6,Настройки!$D$7+2+1,1)-1)),OR($J24="",$J24&gt;=DATE(Настройки!$C$6,Настройки!$D$7+2,1)),MOD((YEAR(DATE(Настройки!$C$6,Настройки!$D$7+2,1))*12+MONTH(DATE(Настройки!$C$6,Настройки!$D$7+2,1)))-(YEAR(IF($I24="",$L$6,$I24))*12+MONTH(IF($I24="",$L$6,$I24))),MAX(1,N($H24)))=0),N($G24),0)))</f>
        <v/>
      </c>
    </row>
    <row r="85">
      <c r="Y85" s="243">
        <f>IF(OR($C25="",$F25=""),"",DATE(YEAR($N$6),MONTH($N$6),MIN($F25,DAY((DATE(YEAR($N$6),MONTH($N$6)+1,1)-1)))))</f>
        <v/>
      </c>
      <c r="Z85" s="110">
        <f>IF($C25="","",IF($D25="Доход","Доход","Расход"))</f>
        <v/>
      </c>
      <c r="AA85" s="110">
        <f>IF($C25="","",$E25)</f>
        <v/>
      </c>
      <c r="AB85" s="110">
        <f>IF($C25="",0,IF(AND(OR($I25="",$I25&lt;=(DATE(YEAR($N$6),MONTH($N$6)+1,1)-1)),OR($J25="",$J25&gt;=$N$6),MOD((YEAR($N$6)*12+MONTH($N$6))-(YEAR(IF($I25="",$L$6,$I25))*12+MONTH(IF($I25="",$L$6,$I25))),MAX(1,N($H25)))=0),N($G25),0))</f>
        <v/>
      </c>
      <c r="AC85" s="110">
        <f>IF($C25="",0,IF(N25="✓",N($G25),IF(ISNUMBER(N25),N25,0)))</f>
        <v/>
      </c>
      <c r="AD85" s="243">
        <f>IF($C25="","",$N$6)</f>
        <v/>
      </c>
      <c r="AE85" s="110">
        <f>IF($C25="","",$K25)</f>
        <v/>
      </c>
      <c r="AG85" s="243">
        <f>IF(OR($C25="",$F25=""),"",DATE(YEAR(DATE(Настройки!$C$6,Настройки!$D$7+2,1)),MONTH(DATE(Настройки!$C$6,Настройки!$D$7+2,1)),MIN($F25,DAY((DATE(Настройки!$C$6,Настройки!$D$7+2+1,1)-1)))))</f>
        <v/>
      </c>
      <c r="AH85" s="110">
        <f>IF($C25="","",IF($D25="Доход","Доход","Расход"))</f>
        <v/>
      </c>
      <c r="AI85" s="110">
        <f>IF($C25="","",$E25)</f>
        <v/>
      </c>
      <c r="AJ85" s="110">
        <f>IF($C25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25:$W25,((YEAR(DATE(Настройки!$C$6,Настройки!$D$7+2,1))*12+MONTH(DATE(Настройки!$C$6,Настройки!$D$7+2,1)))-(YEAR($L$6)*12+MONTH($L$6)))+1)="✓",N($G25),IF(ISNUMBER(INDEX($L25:$W25,((YEAR(DATE(Настройки!$C$6,Настройки!$D$7+2,1))*12+MONTH(DATE(Настройки!$C$6,Настройки!$D$7+2,1)))-(YEAR($L$6)*12+MONTH($L$6)))+1)),INDEX($L25:$W25,((YEAR(DATE(Настройки!$C$6,Настройки!$D$7+2,1))*12+MONTH(DATE(Настройки!$C$6,Настройки!$D$7+2,1)))-(YEAR($L$6)*12+MONTH($L$6)))+1),IF(AND(OR($I25="",$I25&lt;=(DATE(Настройки!$C$6,Настройки!$D$7+2+1,1)-1)),OR($J25="",$J25&gt;=DATE(Настройки!$C$6,Настройки!$D$7+2,1)),MOD((YEAR(DATE(Настройки!$C$6,Настройки!$D$7+2,1))*12+MONTH(DATE(Настройки!$C$6,Настройки!$D$7+2,1)))-(YEAR(IF($I25="",$L$6,$I25))*12+MONTH(IF($I25="",$L$6,$I25))),MAX(1,N($H25)))=0),N($G25),0))),IF(AND(OR($I25="",$I25&lt;=(DATE(Настройки!$C$6,Настройки!$D$7+2+1,1)-1)),OR($J25="",$J25&gt;=DATE(Настройки!$C$6,Настройки!$D$7+2,1)),MOD((YEAR(DATE(Настройки!$C$6,Настройки!$D$7+2,1))*12+MONTH(DATE(Настройки!$C$6,Настройки!$D$7+2,1)))-(YEAR(IF($I25="",$L$6,$I25))*12+MONTH(IF($I25="",$L$6,$I25))),MAX(1,N($H25)))=0),N($G25),0)))</f>
        <v/>
      </c>
    </row>
    <row r="86">
      <c r="Y86" s="243">
        <f>IF(OR($C26="",$F26=""),"",DATE(YEAR($N$6),MONTH($N$6),MIN($F26,DAY((DATE(YEAR($N$6),MONTH($N$6)+1,1)-1)))))</f>
        <v/>
      </c>
      <c r="Z86" s="110">
        <f>IF($C26="","",IF($D26="Доход","Доход","Расход"))</f>
        <v/>
      </c>
      <c r="AA86" s="110">
        <f>IF($C26="","",$E26)</f>
        <v/>
      </c>
      <c r="AB86" s="110">
        <f>IF($C26="",0,IF(AND(OR($I26="",$I26&lt;=(DATE(YEAR($N$6),MONTH($N$6)+1,1)-1)),OR($J26="",$J26&gt;=$N$6),MOD((YEAR($N$6)*12+MONTH($N$6))-(YEAR(IF($I26="",$L$6,$I26))*12+MONTH(IF($I26="",$L$6,$I26))),MAX(1,N($H26)))=0),N($G26),0))</f>
        <v/>
      </c>
      <c r="AC86" s="110">
        <f>IF($C26="",0,IF(N26="✓",N($G26),IF(ISNUMBER(N26),N26,0)))</f>
        <v/>
      </c>
      <c r="AD86" s="243">
        <f>IF($C26="","",$N$6)</f>
        <v/>
      </c>
      <c r="AE86" s="110">
        <f>IF($C26="","",$K26)</f>
        <v/>
      </c>
      <c r="AG86" s="243">
        <f>IF(OR($C26="",$F26=""),"",DATE(YEAR(DATE(Настройки!$C$6,Настройки!$D$7+2,1)),MONTH(DATE(Настройки!$C$6,Настройки!$D$7+2,1)),MIN($F26,DAY((DATE(Настройки!$C$6,Настройки!$D$7+2+1,1)-1)))))</f>
        <v/>
      </c>
      <c r="AH86" s="110">
        <f>IF($C26="","",IF($D26="Доход","Доход","Расход"))</f>
        <v/>
      </c>
      <c r="AI86" s="110">
        <f>IF($C26="","",$E26)</f>
        <v/>
      </c>
      <c r="AJ86" s="110">
        <f>IF($C26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26:$W26,((YEAR(DATE(Настройки!$C$6,Настройки!$D$7+2,1))*12+MONTH(DATE(Настройки!$C$6,Настройки!$D$7+2,1)))-(YEAR($L$6)*12+MONTH($L$6)))+1)="✓",N($G26),IF(ISNUMBER(INDEX($L26:$W26,((YEAR(DATE(Настройки!$C$6,Настройки!$D$7+2,1))*12+MONTH(DATE(Настройки!$C$6,Настройки!$D$7+2,1)))-(YEAR($L$6)*12+MONTH($L$6)))+1)),INDEX($L26:$W26,((YEAR(DATE(Настройки!$C$6,Настройки!$D$7+2,1))*12+MONTH(DATE(Настройки!$C$6,Настройки!$D$7+2,1)))-(YEAR($L$6)*12+MONTH($L$6)))+1),IF(AND(OR($I26="",$I26&lt;=(DATE(Настройки!$C$6,Настройки!$D$7+2+1,1)-1)),OR($J26="",$J26&gt;=DATE(Настройки!$C$6,Настройки!$D$7+2,1)),MOD((YEAR(DATE(Настройки!$C$6,Настройки!$D$7+2,1))*12+MONTH(DATE(Настройки!$C$6,Настройки!$D$7+2,1)))-(YEAR(IF($I26="",$L$6,$I26))*12+MONTH(IF($I26="",$L$6,$I26))),MAX(1,N($H26)))=0),N($G26),0))),IF(AND(OR($I26="",$I26&lt;=(DATE(Настройки!$C$6,Настройки!$D$7+2+1,1)-1)),OR($J26="",$J26&gt;=DATE(Настройки!$C$6,Настройки!$D$7+2,1)),MOD((YEAR(DATE(Настройки!$C$6,Настройки!$D$7+2,1))*12+MONTH(DATE(Настройки!$C$6,Настройки!$D$7+2,1)))-(YEAR(IF($I26="",$L$6,$I26))*12+MONTH(IF($I26="",$L$6,$I26))),MAX(1,N($H26)))=0),N($G26),0)))</f>
        <v/>
      </c>
    </row>
    <row r="87">
      <c r="Y87" s="243">
        <f>IF(OR($C27="",$F27=""),"",DATE(YEAR($N$6),MONTH($N$6),MIN($F27,DAY((DATE(YEAR($N$6),MONTH($N$6)+1,1)-1)))))</f>
        <v/>
      </c>
      <c r="Z87" s="110">
        <f>IF($C27="","",IF($D27="Доход","Доход","Расход"))</f>
        <v/>
      </c>
      <c r="AA87" s="110">
        <f>IF($C27="","",$E27)</f>
        <v/>
      </c>
      <c r="AB87" s="110">
        <f>IF($C27="",0,IF(AND(OR($I27="",$I27&lt;=(DATE(YEAR($N$6),MONTH($N$6)+1,1)-1)),OR($J27="",$J27&gt;=$N$6),MOD((YEAR($N$6)*12+MONTH($N$6))-(YEAR(IF($I27="",$L$6,$I27))*12+MONTH(IF($I27="",$L$6,$I27))),MAX(1,N($H27)))=0),N($G27),0))</f>
        <v/>
      </c>
      <c r="AC87" s="110">
        <f>IF($C27="",0,IF(N27="✓",N($G27),IF(ISNUMBER(N27),N27,0)))</f>
        <v/>
      </c>
      <c r="AD87" s="243">
        <f>IF($C27="","",$N$6)</f>
        <v/>
      </c>
      <c r="AE87" s="110">
        <f>IF($C27="","",$K27)</f>
        <v/>
      </c>
      <c r="AG87" s="243">
        <f>IF(OR($C27="",$F27=""),"",DATE(YEAR(DATE(Настройки!$C$6,Настройки!$D$7+2,1)),MONTH(DATE(Настройки!$C$6,Настройки!$D$7+2,1)),MIN($F27,DAY((DATE(Настройки!$C$6,Настройки!$D$7+2+1,1)-1)))))</f>
        <v/>
      </c>
      <c r="AH87" s="110">
        <f>IF($C27="","",IF($D27="Доход","Доход","Расход"))</f>
        <v/>
      </c>
      <c r="AI87" s="110">
        <f>IF($C27="","",$E27)</f>
        <v/>
      </c>
      <c r="AJ87" s="110">
        <f>IF($C27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27:$W27,((YEAR(DATE(Настройки!$C$6,Настройки!$D$7+2,1))*12+MONTH(DATE(Настройки!$C$6,Настройки!$D$7+2,1)))-(YEAR($L$6)*12+MONTH($L$6)))+1)="✓",N($G27),IF(ISNUMBER(INDEX($L27:$W27,((YEAR(DATE(Настройки!$C$6,Настройки!$D$7+2,1))*12+MONTH(DATE(Настройки!$C$6,Настройки!$D$7+2,1)))-(YEAR($L$6)*12+MONTH($L$6)))+1)),INDEX($L27:$W27,((YEAR(DATE(Настройки!$C$6,Настройки!$D$7+2,1))*12+MONTH(DATE(Настройки!$C$6,Настройки!$D$7+2,1)))-(YEAR($L$6)*12+MONTH($L$6)))+1),IF(AND(OR($I27="",$I27&lt;=(DATE(Настройки!$C$6,Настройки!$D$7+2+1,1)-1)),OR($J27="",$J27&gt;=DATE(Настройки!$C$6,Настройки!$D$7+2,1)),MOD((YEAR(DATE(Настройки!$C$6,Настройки!$D$7+2,1))*12+MONTH(DATE(Настройки!$C$6,Настройки!$D$7+2,1)))-(YEAR(IF($I27="",$L$6,$I27))*12+MONTH(IF($I27="",$L$6,$I27))),MAX(1,N($H27)))=0),N($G27),0))),IF(AND(OR($I27="",$I27&lt;=(DATE(Настройки!$C$6,Настройки!$D$7+2+1,1)-1)),OR($J27="",$J27&gt;=DATE(Настройки!$C$6,Настройки!$D$7+2,1)),MOD((YEAR(DATE(Настройки!$C$6,Настройки!$D$7+2,1))*12+MONTH(DATE(Настройки!$C$6,Настройки!$D$7+2,1)))-(YEAR(IF($I27="",$L$6,$I27))*12+MONTH(IF($I27="",$L$6,$I27))),MAX(1,N($H27)))=0),N($G27),0)))</f>
        <v/>
      </c>
    </row>
    <row r="88">
      <c r="Y88" s="243">
        <f>IF(OR($C28="",$F28=""),"",DATE(YEAR($N$6),MONTH($N$6),MIN($F28,DAY((DATE(YEAR($N$6),MONTH($N$6)+1,1)-1)))))</f>
        <v/>
      </c>
      <c r="Z88" s="110">
        <f>IF($C28="","",IF($D28="Доход","Доход","Расход"))</f>
        <v/>
      </c>
      <c r="AA88" s="110">
        <f>IF($C28="","",$E28)</f>
        <v/>
      </c>
      <c r="AB88" s="110">
        <f>IF($C28="",0,IF(AND(OR($I28="",$I28&lt;=(DATE(YEAR($N$6),MONTH($N$6)+1,1)-1)),OR($J28="",$J28&gt;=$N$6),MOD((YEAR($N$6)*12+MONTH($N$6))-(YEAR(IF($I28="",$L$6,$I28))*12+MONTH(IF($I28="",$L$6,$I28))),MAX(1,N($H28)))=0),N($G28),0))</f>
        <v/>
      </c>
      <c r="AC88" s="110">
        <f>IF($C28="",0,IF(N28="✓",N($G28),IF(ISNUMBER(N28),N28,0)))</f>
        <v/>
      </c>
      <c r="AD88" s="243">
        <f>IF($C28="","",$N$6)</f>
        <v/>
      </c>
      <c r="AE88" s="110">
        <f>IF($C28="","",$K28)</f>
        <v/>
      </c>
      <c r="AG88" s="243">
        <f>IF(OR($C28="",$F28=""),"",DATE(YEAR(DATE(Настройки!$C$6,Настройки!$D$7+2,1)),MONTH(DATE(Настройки!$C$6,Настройки!$D$7+2,1)),MIN($F28,DAY((DATE(Настройки!$C$6,Настройки!$D$7+2+1,1)-1)))))</f>
        <v/>
      </c>
      <c r="AH88" s="110">
        <f>IF($C28="","",IF($D28="Доход","Доход","Расход"))</f>
        <v/>
      </c>
      <c r="AI88" s="110">
        <f>IF($C28="","",$E28)</f>
        <v/>
      </c>
      <c r="AJ88" s="110">
        <f>IF($C28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28:$W28,((YEAR(DATE(Настройки!$C$6,Настройки!$D$7+2,1))*12+MONTH(DATE(Настройки!$C$6,Настройки!$D$7+2,1)))-(YEAR($L$6)*12+MONTH($L$6)))+1)="✓",N($G28),IF(ISNUMBER(INDEX($L28:$W28,((YEAR(DATE(Настройки!$C$6,Настройки!$D$7+2,1))*12+MONTH(DATE(Настройки!$C$6,Настройки!$D$7+2,1)))-(YEAR($L$6)*12+MONTH($L$6)))+1)),INDEX($L28:$W28,((YEAR(DATE(Настройки!$C$6,Настройки!$D$7+2,1))*12+MONTH(DATE(Настройки!$C$6,Настройки!$D$7+2,1)))-(YEAR($L$6)*12+MONTH($L$6)))+1),IF(AND(OR($I28="",$I28&lt;=(DATE(Настройки!$C$6,Настройки!$D$7+2+1,1)-1)),OR($J28="",$J28&gt;=DATE(Настройки!$C$6,Настройки!$D$7+2,1)),MOD((YEAR(DATE(Настройки!$C$6,Настройки!$D$7+2,1))*12+MONTH(DATE(Настройки!$C$6,Настройки!$D$7+2,1)))-(YEAR(IF($I28="",$L$6,$I28))*12+MONTH(IF($I28="",$L$6,$I28))),MAX(1,N($H28)))=0),N($G28),0))),IF(AND(OR($I28="",$I28&lt;=(DATE(Настройки!$C$6,Настройки!$D$7+2+1,1)-1)),OR($J28="",$J28&gt;=DATE(Настройки!$C$6,Настройки!$D$7+2,1)),MOD((YEAR(DATE(Настройки!$C$6,Настройки!$D$7+2,1))*12+MONTH(DATE(Настройки!$C$6,Настройки!$D$7+2,1)))-(YEAR(IF($I28="",$L$6,$I28))*12+MONTH(IF($I28="",$L$6,$I28))),MAX(1,N($H28)))=0),N($G28),0)))</f>
        <v/>
      </c>
    </row>
    <row r="89">
      <c r="Y89" s="243">
        <f>IF(OR($C29="",$F29=""),"",DATE(YEAR($N$6),MONTH($N$6),MIN($F29,DAY((DATE(YEAR($N$6),MONTH($N$6)+1,1)-1)))))</f>
        <v/>
      </c>
      <c r="Z89" s="110">
        <f>IF($C29="","",IF($D29="Доход","Доход","Расход"))</f>
        <v/>
      </c>
      <c r="AA89" s="110">
        <f>IF($C29="","",$E29)</f>
        <v/>
      </c>
      <c r="AB89" s="110">
        <f>IF($C29="",0,IF(AND(OR($I29="",$I29&lt;=(DATE(YEAR($N$6),MONTH($N$6)+1,1)-1)),OR($J29="",$J29&gt;=$N$6),MOD((YEAR($N$6)*12+MONTH($N$6))-(YEAR(IF($I29="",$L$6,$I29))*12+MONTH(IF($I29="",$L$6,$I29))),MAX(1,N($H29)))=0),N($G29),0))</f>
        <v/>
      </c>
      <c r="AC89" s="110">
        <f>IF($C29="",0,IF(N29="✓",N($G29),IF(ISNUMBER(N29),N29,0)))</f>
        <v/>
      </c>
      <c r="AD89" s="243">
        <f>IF($C29="","",$N$6)</f>
        <v/>
      </c>
      <c r="AE89" s="110">
        <f>IF($C29="","",$K29)</f>
        <v/>
      </c>
      <c r="AG89" s="243">
        <f>IF(OR($C29="",$F29=""),"",DATE(YEAR(DATE(Настройки!$C$6,Настройки!$D$7+2,1)),MONTH(DATE(Настройки!$C$6,Настройки!$D$7+2,1)),MIN($F29,DAY((DATE(Настройки!$C$6,Настройки!$D$7+2+1,1)-1)))))</f>
        <v/>
      </c>
      <c r="AH89" s="110">
        <f>IF($C29="","",IF($D29="Доход","Доход","Расход"))</f>
        <v/>
      </c>
      <c r="AI89" s="110">
        <f>IF($C29="","",$E29)</f>
        <v/>
      </c>
      <c r="AJ89" s="110">
        <f>IF($C29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29:$W29,((YEAR(DATE(Настройки!$C$6,Настройки!$D$7+2,1))*12+MONTH(DATE(Настройки!$C$6,Настройки!$D$7+2,1)))-(YEAR($L$6)*12+MONTH($L$6)))+1)="✓",N($G29),IF(ISNUMBER(INDEX($L29:$W29,((YEAR(DATE(Настройки!$C$6,Настройки!$D$7+2,1))*12+MONTH(DATE(Настройки!$C$6,Настройки!$D$7+2,1)))-(YEAR($L$6)*12+MONTH($L$6)))+1)),INDEX($L29:$W29,((YEAR(DATE(Настройки!$C$6,Настройки!$D$7+2,1))*12+MONTH(DATE(Настройки!$C$6,Настройки!$D$7+2,1)))-(YEAR($L$6)*12+MONTH($L$6)))+1),IF(AND(OR($I29="",$I29&lt;=(DATE(Настройки!$C$6,Настройки!$D$7+2+1,1)-1)),OR($J29="",$J29&gt;=DATE(Настройки!$C$6,Настройки!$D$7+2,1)),MOD((YEAR(DATE(Настройки!$C$6,Настройки!$D$7+2,1))*12+MONTH(DATE(Настройки!$C$6,Настройки!$D$7+2,1)))-(YEAR(IF($I29="",$L$6,$I29))*12+MONTH(IF($I29="",$L$6,$I29))),MAX(1,N($H29)))=0),N($G29),0))),IF(AND(OR($I29="",$I29&lt;=(DATE(Настройки!$C$6,Настройки!$D$7+2+1,1)-1)),OR($J29="",$J29&gt;=DATE(Настройки!$C$6,Настройки!$D$7+2,1)),MOD((YEAR(DATE(Настройки!$C$6,Настройки!$D$7+2,1))*12+MONTH(DATE(Настройки!$C$6,Настройки!$D$7+2,1)))-(YEAR(IF($I29="",$L$6,$I29))*12+MONTH(IF($I29="",$L$6,$I29))),MAX(1,N($H29)))=0),N($G29),0)))</f>
        <v/>
      </c>
    </row>
    <row r="90">
      <c r="Y90" s="243">
        <f>IF(OR($C30="",$F30=""),"",DATE(YEAR($N$6),MONTH($N$6),MIN($F30,DAY((DATE(YEAR($N$6),MONTH($N$6)+1,1)-1)))))</f>
        <v/>
      </c>
      <c r="Z90" s="110">
        <f>IF($C30="","",IF($D30="Доход","Доход","Расход"))</f>
        <v/>
      </c>
      <c r="AA90" s="110">
        <f>IF($C30="","",$E30)</f>
        <v/>
      </c>
      <c r="AB90" s="110">
        <f>IF($C30="",0,IF(AND(OR($I30="",$I30&lt;=(DATE(YEAR($N$6),MONTH($N$6)+1,1)-1)),OR($J30="",$J30&gt;=$N$6),MOD((YEAR($N$6)*12+MONTH($N$6))-(YEAR(IF($I30="",$L$6,$I30))*12+MONTH(IF($I30="",$L$6,$I30))),MAX(1,N($H30)))=0),N($G30),0))</f>
        <v/>
      </c>
      <c r="AC90" s="110">
        <f>IF($C30="",0,IF(N30="✓",N($G30),IF(ISNUMBER(N30),N30,0)))</f>
        <v/>
      </c>
      <c r="AD90" s="243">
        <f>IF($C30="","",$N$6)</f>
        <v/>
      </c>
      <c r="AE90" s="110">
        <f>IF($C30="","",$K30)</f>
        <v/>
      </c>
      <c r="AG90" s="243">
        <f>IF(OR($C30="",$F30=""),"",DATE(YEAR(DATE(Настройки!$C$6,Настройки!$D$7+2,1)),MONTH(DATE(Настройки!$C$6,Настройки!$D$7+2,1)),MIN($F30,DAY((DATE(Настройки!$C$6,Настройки!$D$7+2+1,1)-1)))))</f>
        <v/>
      </c>
      <c r="AH90" s="110">
        <f>IF($C30="","",IF($D30="Доход","Доход","Расход"))</f>
        <v/>
      </c>
      <c r="AI90" s="110">
        <f>IF($C30="","",$E30)</f>
        <v/>
      </c>
      <c r="AJ90" s="110">
        <f>IF($C30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30:$W30,((YEAR(DATE(Настройки!$C$6,Настройки!$D$7+2,1))*12+MONTH(DATE(Настройки!$C$6,Настройки!$D$7+2,1)))-(YEAR($L$6)*12+MONTH($L$6)))+1)="✓",N($G30),IF(ISNUMBER(INDEX($L30:$W30,((YEAR(DATE(Настройки!$C$6,Настройки!$D$7+2,1))*12+MONTH(DATE(Настройки!$C$6,Настройки!$D$7+2,1)))-(YEAR($L$6)*12+MONTH($L$6)))+1)),INDEX($L30:$W30,((YEAR(DATE(Настройки!$C$6,Настройки!$D$7+2,1))*12+MONTH(DATE(Настройки!$C$6,Настройки!$D$7+2,1)))-(YEAR($L$6)*12+MONTH($L$6)))+1),IF(AND(OR($I30="",$I30&lt;=(DATE(Настройки!$C$6,Настройки!$D$7+2+1,1)-1)),OR($J30="",$J30&gt;=DATE(Настройки!$C$6,Настройки!$D$7+2,1)),MOD((YEAR(DATE(Настройки!$C$6,Настройки!$D$7+2,1))*12+MONTH(DATE(Настройки!$C$6,Настройки!$D$7+2,1)))-(YEAR(IF($I30="",$L$6,$I30))*12+MONTH(IF($I30="",$L$6,$I30))),MAX(1,N($H30)))=0),N($G30),0))),IF(AND(OR($I30="",$I30&lt;=(DATE(Настройки!$C$6,Настройки!$D$7+2+1,1)-1)),OR($J30="",$J30&gt;=DATE(Настройки!$C$6,Настройки!$D$7+2,1)),MOD((YEAR(DATE(Настройки!$C$6,Настройки!$D$7+2,1))*12+MONTH(DATE(Настройки!$C$6,Настройки!$D$7+2,1)))-(YEAR(IF($I30="",$L$6,$I30))*12+MONTH(IF($I30="",$L$6,$I30))),MAX(1,N($H30)))=0),N($G30),0)))</f>
        <v/>
      </c>
    </row>
    <row r="91">
      <c r="Y91" s="243">
        <f>IF(OR($C31="",$F31=""),"",DATE(YEAR($N$6),MONTH($N$6),MIN($F31,DAY((DATE(YEAR($N$6),MONTH($N$6)+1,1)-1)))))</f>
        <v/>
      </c>
      <c r="Z91" s="110">
        <f>IF($C31="","",IF($D31="Доход","Доход","Расход"))</f>
        <v/>
      </c>
      <c r="AA91" s="110">
        <f>IF($C31="","",$E31)</f>
        <v/>
      </c>
      <c r="AB91" s="110">
        <f>IF($C31="",0,IF(AND(OR($I31="",$I31&lt;=(DATE(YEAR($N$6),MONTH($N$6)+1,1)-1)),OR($J31="",$J31&gt;=$N$6),MOD((YEAR($N$6)*12+MONTH($N$6))-(YEAR(IF($I31="",$L$6,$I31))*12+MONTH(IF($I31="",$L$6,$I31))),MAX(1,N($H31)))=0),N($G31),0))</f>
        <v/>
      </c>
      <c r="AC91" s="110">
        <f>IF($C31="",0,IF(N31="✓",N($G31),IF(ISNUMBER(N31),N31,0)))</f>
        <v/>
      </c>
      <c r="AD91" s="243">
        <f>IF($C31="","",$N$6)</f>
        <v/>
      </c>
      <c r="AE91" s="110">
        <f>IF($C31="","",$K31)</f>
        <v/>
      </c>
      <c r="AG91" s="243">
        <f>IF(OR($C31="",$F31=""),"",DATE(YEAR(DATE(Настройки!$C$6,Настройки!$D$7+2,1)),MONTH(DATE(Настройки!$C$6,Настройки!$D$7+2,1)),MIN($F31,DAY((DATE(Настройки!$C$6,Настройки!$D$7+2+1,1)-1)))))</f>
        <v/>
      </c>
      <c r="AH91" s="110">
        <f>IF($C31="","",IF($D31="Доход","Доход","Расход"))</f>
        <v/>
      </c>
      <c r="AI91" s="110">
        <f>IF($C31="","",$E31)</f>
        <v/>
      </c>
      <c r="AJ91" s="110">
        <f>IF($C31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31:$W31,((YEAR(DATE(Настройки!$C$6,Настройки!$D$7+2,1))*12+MONTH(DATE(Настройки!$C$6,Настройки!$D$7+2,1)))-(YEAR($L$6)*12+MONTH($L$6)))+1)="✓",N($G31),IF(ISNUMBER(INDEX($L31:$W31,((YEAR(DATE(Настройки!$C$6,Настройки!$D$7+2,1))*12+MONTH(DATE(Настройки!$C$6,Настройки!$D$7+2,1)))-(YEAR($L$6)*12+MONTH($L$6)))+1)),INDEX($L31:$W31,((YEAR(DATE(Настройки!$C$6,Настройки!$D$7+2,1))*12+MONTH(DATE(Настройки!$C$6,Настройки!$D$7+2,1)))-(YEAR($L$6)*12+MONTH($L$6)))+1),IF(AND(OR($I31="",$I31&lt;=(DATE(Настройки!$C$6,Настройки!$D$7+2+1,1)-1)),OR($J31="",$J31&gt;=DATE(Настройки!$C$6,Настройки!$D$7+2,1)),MOD((YEAR(DATE(Настройки!$C$6,Настройки!$D$7+2,1))*12+MONTH(DATE(Настройки!$C$6,Настройки!$D$7+2,1)))-(YEAR(IF($I31="",$L$6,$I31))*12+MONTH(IF($I31="",$L$6,$I31))),MAX(1,N($H31)))=0),N($G31),0))),IF(AND(OR($I31="",$I31&lt;=(DATE(Настройки!$C$6,Настройки!$D$7+2+1,1)-1)),OR($J31="",$J31&gt;=DATE(Настройки!$C$6,Настройки!$D$7+2,1)),MOD((YEAR(DATE(Настройки!$C$6,Настройки!$D$7+2,1))*12+MONTH(DATE(Настройки!$C$6,Настройки!$D$7+2,1)))-(YEAR(IF($I31="",$L$6,$I31))*12+MONTH(IF($I31="",$L$6,$I31))),MAX(1,N($H31)))=0),N($G31),0)))</f>
        <v/>
      </c>
    </row>
    <row r="92">
      <c r="Y92" s="243">
        <f>IF(OR($C32="",$F32=""),"",DATE(YEAR($N$6),MONTH($N$6),MIN($F32,DAY((DATE(YEAR($N$6),MONTH($N$6)+1,1)-1)))))</f>
        <v/>
      </c>
      <c r="Z92" s="110">
        <f>IF($C32="","",IF($D32="Доход","Доход","Расход"))</f>
        <v/>
      </c>
      <c r="AA92" s="110">
        <f>IF($C32="","",$E32)</f>
        <v/>
      </c>
      <c r="AB92" s="110">
        <f>IF($C32="",0,IF(AND(OR($I32="",$I32&lt;=(DATE(YEAR($N$6),MONTH($N$6)+1,1)-1)),OR($J32="",$J32&gt;=$N$6),MOD((YEAR($N$6)*12+MONTH($N$6))-(YEAR(IF($I32="",$L$6,$I32))*12+MONTH(IF($I32="",$L$6,$I32))),MAX(1,N($H32)))=0),N($G32),0))</f>
        <v/>
      </c>
      <c r="AC92" s="110">
        <f>IF($C32="",0,IF(N32="✓",N($G32),IF(ISNUMBER(N32),N32,0)))</f>
        <v/>
      </c>
      <c r="AD92" s="243">
        <f>IF($C32="","",$N$6)</f>
        <v/>
      </c>
      <c r="AE92" s="110">
        <f>IF($C32="","",$K32)</f>
        <v/>
      </c>
      <c r="AG92" s="243">
        <f>IF(OR($C32="",$F32=""),"",DATE(YEAR(DATE(Настройки!$C$6,Настройки!$D$7+2,1)),MONTH(DATE(Настройки!$C$6,Настройки!$D$7+2,1)),MIN($F32,DAY((DATE(Настройки!$C$6,Настройки!$D$7+2+1,1)-1)))))</f>
        <v/>
      </c>
      <c r="AH92" s="110">
        <f>IF($C32="","",IF($D32="Доход","Доход","Расход"))</f>
        <v/>
      </c>
      <c r="AI92" s="110">
        <f>IF($C32="","",$E32)</f>
        <v/>
      </c>
      <c r="AJ92" s="110">
        <f>IF($C32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32:$W32,((YEAR(DATE(Настройки!$C$6,Настройки!$D$7+2,1))*12+MONTH(DATE(Настройки!$C$6,Настройки!$D$7+2,1)))-(YEAR($L$6)*12+MONTH($L$6)))+1)="✓",N($G32),IF(ISNUMBER(INDEX($L32:$W32,((YEAR(DATE(Настройки!$C$6,Настройки!$D$7+2,1))*12+MONTH(DATE(Настройки!$C$6,Настройки!$D$7+2,1)))-(YEAR($L$6)*12+MONTH($L$6)))+1)),INDEX($L32:$W32,((YEAR(DATE(Настройки!$C$6,Настройки!$D$7+2,1))*12+MONTH(DATE(Настройки!$C$6,Настройки!$D$7+2,1)))-(YEAR($L$6)*12+MONTH($L$6)))+1),IF(AND(OR($I32="",$I32&lt;=(DATE(Настройки!$C$6,Настройки!$D$7+2+1,1)-1)),OR($J32="",$J32&gt;=DATE(Настройки!$C$6,Настройки!$D$7+2,1)),MOD((YEAR(DATE(Настройки!$C$6,Настройки!$D$7+2,1))*12+MONTH(DATE(Настройки!$C$6,Настройки!$D$7+2,1)))-(YEAR(IF($I32="",$L$6,$I32))*12+MONTH(IF($I32="",$L$6,$I32))),MAX(1,N($H32)))=0),N($G32),0))),IF(AND(OR($I32="",$I32&lt;=(DATE(Настройки!$C$6,Настройки!$D$7+2+1,1)-1)),OR($J32="",$J32&gt;=DATE(Настройки!$C$6,Настройки!$D$7+2,1)),MOD((YEAR(DATE(Настройки!$C$6,Настройки!$D$7+2,1))*12+MONTH(DATE(Настройки!$C$6,Настройки!$D$7+2,1)))-(YEAR(IF($I32="",$L$6,$I32))*12+MONTH(IF($I32="",$L$6,$I32))),MAX(1,N($H32)))=0),N($G32),0)))</f>
        <v/>
      </c>
    </row>
    <row r="93">
      <c r="Y93" s="243">
        <f>IF(OR($C33="",$F33=""),"",DATE(YEAR($N$6),MONTH($N$6),MIN($F33,DAY((DATE(YEAR($N$6),MONTH($N$6)+1,1)-1)))))</f>
        <v/>
      </c>
      <c r="Z93" s="110">
        <f>IF($C33="","",IF($D33="Доход","Доход","Расход"))</f>
        <v/>
      </c>
      <c r="AA93" s="110">
        <f>IF($C33="","",$E33)</f>
        <v/>
      </c>
      <c r="AB93" s="110">
        <f>IF($C33="",0,IF(AND(OR($I33="",$I33&lt;=(DATE(YEAR($N$6),MONTH($N$6)+1,1)-1)),OR($J33="",$J33&gt;=$N$6),MOD((YEAR($N$6)*12+MONTH($N$6))-(YEAR(IF($I33="",$L$6,$I33))*12+MONTH(IF($I33="",$L$6,$I33))),MAX(1,N($H33)))=0),N($G33),0))</f>
        <v/>
      </c>
      <c r="AC93" s="110">
        <f>IF($C33="",0,IF(N33="✓",N($G33),IF(ISNUMBER(N33),N33,0)))</f>
        <v/>
      </c>
      <c r="AD93" s="243">
        <f>IF($C33="","",$N$6)</f>
        <v/>
      </c>
      <c r="AE93" s="110">
        <f>IF($C33="","",$K33)</f>
        <v/>
      </c>
      <c r="AG93" s="243">
        <f>IF(OR($C33="",$F33=""),"",DATE(YEAR(DATE(Настройки!$C$6,Настройки!$D$7+2,1)),MONTH(DATE(Настройки!$C$6,Настройки!$D$7+2,1)),MIN($F33,DAY((DATE(Настройки!$C$6,Настройки!$D$7+2+1,1)-1)))))</f>
        <v/>
      </c>
      <c r="AH93" s="110">
        <f>IF($C33="","",IF($D33="Доход","Доход","Расход"))</f>
        <v/>
      </c>
      <c r="AI93" s="110">
        <f>IF($C33="","",$E33)</f>
        <v/>
      </c>
      <c r="AJ93" s="110">
        <f>IF($C33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33:$W33,((YEAR(DATE(Настройки!$C$6,Настройки!$D$7+2,1))*12+MONTH(DATE(Настройки!$C$6,Настройки!$D$7+2,1)))-(YEAR($L$6)*12+MONTH($L$6)))+1)="✓",N($G33),IF(ISNUMBER(INDEX($L33:$W33,((YEAR(DATE(Настройки!$C$6,Настройки!$D$7+2,1))*12+MONTH(DATE(Настройки!$C$6,Настройки!$D$7+2,1)))-(YEAR($L$6)*12+MONTH($L$6)))+1)),INDEX($L33:$W33,((YEAR(DATE(Настройки!$C$6,Настройки!$D$7+2,1))*12+MONTH(DATE(Настройки!$C$6,Настройки!$D$7+2,1)))-(YEAR($L$6)*12+MONTH($L$6)))+1),IF(AND(OR($I33="",$I33&lt;=(DATE(Настройки!$C$6,Настройки!$D$7+2+1,1)-1)),OR($J33="",$J33&gt;=DATE(Настройки!$C$6,Настройки!$D$7+2,1)),MOD((YEAR(DATE(Настройки!$C$6,Настройки!$D$7+2,1))*12+MONTH(DATE(Настройки!$C$6,Настройки!$D$7+2,1)))-(YEAR(IF($I33="",$L$6,$I33))*12+MONTH(IF($I33="",$L$6,$I33))),MAX(1,N($H33)))=0),N($G33),0))),IF(AND(OR($I33="",$I33&lt;=(DATE(Настройки!$C$6,Настройки!$D$7+2+1,1)-1)),OR($J33="",$J33&gt;=DATE(Настройки!$C$6,Настройки!$D$7+2,1)),MOD((YEAR(DATE(Настройки!$C$6,Настройки!$D$7+2,1))*12+MONTH(DATE(Настройки!$C$6,Настройки!$D$7+2,1)))-(YEAR(IF($I33="",$L$6,$I33))*12+MONTH(IF($I33="",$L$6,$I33))),MAX(1,N($H33)))=0),N($G33),0)))</f>
        <v/>
      </c>
    </row>
    <row r="94">
      <c r="Y94" s="243">
        <f>IF(OR($C34="",$F34=""),"",DATE(YEAR($N$6),MONTH($N$6),MIN($F34,DAY((DATE(YEAR($N$6),MONTH($N$6)+1,1)-1)))))</f>
        <v/>
      </c>
      <c r="Z94" s="110">
        <f>IF($C34="","",IF($D34="Доход","Доход","Расход"))</f>
        <v/>
      </c>
      <c r="AA94" s="110">
        <f>IF($C34="","",$E34)</f>
        <v/>
      </c>
      <c r="AB94" s="110">
        <f>IF($C34="",0,IF(AND(OR($I34="",$I34&lt;=(DATE(YEAR($N$6),MONTH($N$6)+1,1)-1)),OR($J34="",$J34&gt;=$N$6),MOD((YEAR($N$6)*12+MONTH($N$6))-(YEAR(IF($I34="",$L$6,$I34))*12+MONTH(IF($I34="",$L$6,$I34))),MAX(1,N($H34)))=0),N($G34),0))</f>
        <v/>
      </c>
      <c r="AC94" s="110">
        <f>IF($C34="",0,IF(N34="✓",N($G34),IF(ISNUMBER(N34),N34,0)))</f>
        <v/>
      </c>
      <c r="AD94" s="243">
        <f>IF($C34="","",$N$6)</f>
        <v/>
      </c>
      <c r="AE94" s="110">
        <f>IF($C34="","",$K34)</f>
        <v/>
      </c>
      <c r="AG94" s="243">
        <f>IF(OR($C34="",$F34=""),"",DATE(YEAR(DATE(Настройки!$C$6,Настройки!$D$7+2,1)),MONTH(DATE(Настройки!$C$6,Настройки!$D$7+2,1)),MIN($F34,DAY((DATE(Настройки!$C$6,Настройки!$D$7+2+1,1)-1)))))</f>
        <v/>
      </c>
      <c r="AH94" s="110">
        <f>IF($C34="","",IF($D34="Доход","Доход","Расход"))</f>
        <v/>
      </c>
      <c r="AI94" s="110">
        <f>IF($C34="","",$E34)</f>
        <v/>
      </c>
      <c r="AJ94" s="110">
        <f>IF($C34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34:$W34,((YEAR(DATE(Настройки!$C$6,Настройки!$D$7+2,1))*12+MONTH(DATE(Настройки!$C$6,Настройки!$D$7+2,1)))-(YEAR($L$6)*12+MONTH($L$6)))+1)="✓",N($G34),IF(ISNUMBER(INDEX($L34:$W34,((YEAR(DATE(Настройки!$C$6,Настройки!$D$7+2,1))*12+MONTH(DATE(Настройки!$C$6,Настройки!$D$7+2,1)))-(YEAR($L$6)*12+MONTH($L$6)))+1)),INDEX($L34:$W34,((YEAR(DATE(Настройки!$C$6,Настройки!$D$7+2,1))*12+MONTH(DATE(Настройки!$C$6,Настройки!$D$7+2,1)))-(YEAR($L$6)*12+MONTH($L$6)))+1),IF(AND(OR($I34="",$I34&lt;=(DATE(Настройки!$C$6,Настройки!$D$7+2+1,1)-1)),OR($J34="",$J34&gt;=DATE(Настройки!$C$6,Настройки!$D$7+2,1)),MOD((YEAR(DATE(Настройки!$C$6,Настройки!$D$7+2,1))*12+MONTH(DATE(Настройки!$C$6,Настройки!$D$7+2,1)))-(YEAR(IF($I34="",$L$6,$I34))*12+MONTH(IF($I34="",$L$6,$I34))),MAX(1,N($H34)))=0),N($G34),0))),IF(AND(OR($I34="",$I34&lt;=(DATE(Настройки!$C$6,Настройки!$D$7+2+1,1)-1)),OR($J34="",$J34&gt;=DATE(Настройки!$C$6,Настройки!$D$7+2,1)),MOD((YEAR(DATE(Настройки!$C$6,Настройки!$D$7+2,1))*12+MONTH(DATE(Настройки!$C$6,Настройки!$D$7+2,1)))-(YEAR(IF($I34="",$L$6,$I34))*12+MONTH(IF($I34="",$L$6,$I34))),MAX(1,N($H34)))=0),N($G34),0)))</f>
        <v/>
      </c>
    </row>
    <row r="95">
      <c r="Y95" s="243">
        <f>IF(OR($C35="",$F35=""),"",DATE(YEAR($N$6),MONTH($N$6),MIN($F35,DAY((DATE(YEAR($N$6),MONTH($N$6)+1,1)-1)))))</f>
        <v/>
      </c>
      <c r="Z95" s="110">
        <f>IF($C35="","",IF($D35="Доход","Доход","Расход"))</f>
        <v/>
      </c>
      <c r="AA95" s="110">
        <f>IF($C35="","",$E35)</f>
        <v/>
      </c>
      <c r="AB95" s="110">
        <f>IF($C35="",0,IF(AND(OR($I35="",$I35&lt;=(DATE(YEAR($N$6),MONTH($N$6)+1,1)-1)),OR($J35="",$J35&gt;=$N$6),MOD((YEAR($N$6)*12+MONTH($N$6))-(YEAR(IF($I35="",$L$6,$I35))*12+MONTH(IF($I35="",$L$6,$I35))),MAX(1,N($H35)))=0),N($G35),0))</f>
        <v/>
      </c>
      <c r="AC95" s="110">
        <f>IF($C35="",0,IF(N35="✓",N($G35),IF(ISNUMBER(N35),N35,0)))</f>
        <v/>
      </c>
      <c r="AD95" s="243">
        <f>IF($C35="","",$N$6)</f>
        <v/>
      </c>
      <c r="AE95" s="110">
        <f>IF($C35="","",$K35)</f>
        <v/>
      </c>
      <c r="AG95" s="243">
        <f>IF(OR($C35="",$F35=""),"",DATE(YEAR(DATE(Настройки!$C$6,Настройки!$D$7+2,1)),MONTH(DATE(Настройки!$C$6,Настройки!$D$7+2,1)),MIN($F35,DAY((DATE(Настройки!$C$6,Настройки!$D$7+2+1,1)-1)))))</f>
        <v/>
      </c>
      <c r="AH95" s="110">
        <f>IF($C35="","",IF($D35="Доход","Доход","Расход"))</f>
        <v/>
      </c>
      <c r="AI95" s="110">
        <f>IF($C35="","",$E35)</f>
        <v/>
      </c>
      <c r="AJ95" s="110">
        <f>IF($C35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35:$W35,((YEAR(DATE(Настройки!$C$6,Настройки!$D$7+2,1))*12+MONTH(DATE(Настройки!$C$6,Настройки!$D$7+2,1)))-(YEAR($L$6)*12+MONTH($L$6)))+1)="✓",N($G35),IF(ISNUMBER(INDEX($L35:$W35,((YEAR(DATE(Настройки!$C$6,Настройки!$D$7+2,1))*12+MONTH(DATE(Настройки!$C$6,Настройки!$D$7+2,1)))-(YEAR($L$6)*12+MONTH($L$6)))+1)),INDEX($L35:$W35,((YEAR(DATE(Настройки!$C$6,Настройки!$D$7+2,1))*12+MONTH(DATE(Настройки!$C$6,Настройки!$D$7+2,1)))-(YEAR($L$6)*12+MONTH($L$6)))+1),IF(AND(OR($I35="",$I35&lt;=(DATE(Настройки!$C$6,Настройки!$D$7+2+1,1)-1)),OR($J35="",$J35&gt;=DATE(Настройки!$C$6,Настройки!$D$7+2,1)),MOD((YEAR(DATE(Настройки!$C$6,Настройки!$D$7+2,1))*12+MONTH(DATE(Настройки!$C$6,Настройки!$D$7+2,1)))-(YEAR(IF($I35="",$L$6,$I35))*12+MONTH(IF($I35="",$L$6,$I35))),MAX(1,N($H35)))=0),N($G35),0))),IF(AND(OR($I35="",$I35&lt;=(DATE(Настройки!$C$6,Настройки!$D$7+2+1,1)-1)),OR($J35="",$J35&gt;=DATE(Настройки!$C$6,Настройки!$D$7+2,1)),MOD((YEAR(DATE(Настройки!$C$6,Настройки!$D$7+2,1))*12+MONTH(DATE(Настройки!$C$6,Настройки!$D$7+2,1)))-(YEAR(IF($I35="",$L$6,$I35))*12+MONTH(IF($I35="",$L$6,$I35))),MAX(1,N($H35)))=0),N($G35),0)))</f>
        <v/>
      </c>
    </row>
    <row r="96">
      <c r="Y96" s="243">
        <f>IF(OR($C36="",$F36=""),"",DATE(YEAR($N$6),MONTH($N$6),MIN($F36,DAY((DATE(YEAR($N$6),MONTH($N$6)+1,1)-1)))))</f>
        <v/>
      </c>
      <c r="Z96" s="110">
        <f>IF($C36="","",IF($D36="Доход","Доход","Расход"))</f>
        <v/>
      </c>
      <c r="AA96" s="110">
        <f>IF($C36="","",$E36)</f>
        <v/>
      </c>
      <c r="AB96" s="110">
        <f>IF($C36="",0,IF(AND(OR($I36="",$I36&lt;=(DATE(YEAR($N$6),MONTH($N$6)+1,1)-1)),OR($J36="",$J36&gt;=$N$6),MOD((YEAR($N$6)*12+MONTH($N$6))-(YEAR(IF($I36="",$L$6,$I36))*12+MONTH(IF($I36="",$L$6,$I36))),MAX(1,N($H36)))=0),N($G36),0))</f>
        <v/>
      </c>
      <c r="AC96" s="110">
        <f>IF($C36="",0,IF(N36="✓",N($G36),IF(ISNUMBER(N36),N36,0)))</f>
        <v/>
      </c>
      <c r="AD96" s="243">
        <f>IF($C36="","",$N$6)</f>
        <v/>
      </c>
      <c r="AE96" s="110">
        <f>IF($C36="","",$K36)</f>
        <v/>
      </c>
      <c r="AG96" s="243">
        <f>IF(OR($C36="",$F36=""),"",DATE(YEAR(DATE(Настройки!$C$6,Настройки!$D$7+2,1)),MONTH(DATE(Настройки!$C$6,Настройки!$D$7+2,1)),MIN($F36,DAY((DATE(Настройки!$C$6,Настройки!$D$7+2+1,1)-1)))))</f>
        <v/>
      </c>
      <c r="AH96" s="110">
        <f>IF($C36="","",IF($D36="Доход","Доход","Расход"))</f>
        <v/>
      </c>
      <c r="AI96" s="110">
        <f>IF($C36="","",$E36)</f>
        <v/>
      </c>
      <c r="AJ96" s="110">
        <f>IF($C36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36:$W36,((YEAR(DATE(Настройки!$C$6,Настройки!$D$7+2,1))*12+MONTH(DATE(Настройки!$C$6,Настройки!$D$7+2,1)))-(YEAR($L$6)*12+MONTH($L$6)))+1)="✓",N($G36),IF(ISNUMBER(INDEX($L36:$W36,((YEAR(DATE(Настройки!$C$6,Настройки!$D$7+2,1))*12+MONTH(DATE(Настройки!$C$6,Настройки!$D$7+2,1)))-(YEAR($L$6)*12+MONTH($L$6)))+1)),INDEX($L36:$W36,((YEAR(DATE(Настройки!$C$6,Настройки!$D$7+2,1))*12+MONTH(DATE(Настройки!$C$6,Настройки!$D$7+2,1)))-(YEAR($L$6)*12+MONTH($L$6)))+1),IF(AND(OR($I36="",$I36&lt;=(DATE(Настройки!$C$6,Настройки!$D$7+2+1,1)-1)),OR($J36="",$J36&gt;=DATE(Настройки!$C$6,Настройки!$D$7+2,1)),MOD((YEAR(DATE(Настройки!$C$6,Настройки!$D$7+2,1))*12+MONTH(DATE(Настройки!$C$6,Настройки!$D$7+2,1)))-(YEAR(IF($I36="",$L$6,$I36))*12+MONTH(IF($I36="",$L$6,$I36))),MAX(1,N($H36)))=0),N($G36),0))),IF(AND(OR($I36="",$I36&lt;=(DATE(Настройки!$C$6,Настройки!$D$7+2+1,1)-1)),OR($J36="",$J36&gt;=DATE(Настройки!$C$6,Настройки!$D$7+2,1)),MOD((YEAR(DATE(Настройки!$C$6,Настройки!$D$7+2,1))*12+MONTH(DATE(Настройки!$C$6,Настройки!$D$7+2,1)))-(YEAR(IF($I36="",$L$6,$I36))*12+MONTH(IF($I36="",$L$6,$I36))),MAX(1,N($H36)))=0),N($G36),0)))</f>
        <v/>
      </c>
    </row>
    <row r="97">
      <c r="Y97" s="243">
        <f>IF(OR($C37="",$F37=""),"",DATE(YEAR($N$6),MONTH($N$6),MIN($F37,DAY((DATE(YEAR($N$6),MONTH($N$6)+1,1)-1)))))</f>
        <v/>
      </c>
      <c r="Z97" s="110">
        <f>IF($C37="","",IF($D37="Доход","Доход","Расход"))</f>
        <v/>
      </c>
      <c r="AA97" s="110">
        <f>IF($C37="","",$E37)</f>
        <v/>
      </c>
      <c r="AB97" s="110">
        <f>IF($C37="",0,IF(AND(OR($I37="",$I37&lt;=(DATE(YEAR($N$6),MONTH($N$6)+1,1)-1)),OR($J37="",$J37&gt;=$N$6),MOD((YEAR($N$6)*12+MONTH($N$6))-(YEAR(IF($I37="",$L$6,$I37))*12+MONTH(IF($I37="",$L$6,$I37))),MAX(1,N($H37)))=0),N($G37),0))</f>
        <v/>
      </c>
      <c r="AC97" s="110">
        <f>IF($C37="",0,IF(N37="✓",N($G37),IF(ISNUMBER(N37),N37,0)))</f>
        <v/>
      </c>
      <c r="AD97" s="243">
        <f>IF($C37="","",$N$6)</f>
        <v/>
      </c>
      <c r="AE97" s="110">
        <f>IF($C37="","",$K37)</f>
        <v/>
      </c>
      <c r="AG97" s="243">
        <f>IF(OR($C37="",$F37=""),"",DATE(YEAR(DATE(Настройки!$C$6,Настройки!$D$7+2,1)),MONTH(DATE(Настройки!$C$6,Настройки!$D$7+2,1)),MIN($F37,DAY((DATE(Настройки!$C$6,Настройки!$D$7+2+1,1)-1)))))</f>
        <v/>
      </c>
      <c r="AH97" s="110">
        <f>IF($C37="","",IF($D37="Доход","Доход","Расход"))</f>
        <v/>
      </c>
      <c r="AI97" s="110">
        <f>IF($C37="","",$E37)</f>
        <v/>
      </c>
      <c r="AJ97" s="110">
        <f>IF($C37="",0,IF(AND(((YEAR(DATE(Настройки!$C$6,Настройки!$D$7+2,1))*12+MONTH(DATE(Настройки!$C$6,Настройки!$D$7+2,1)))-(YEAR($L$6)*12+MONTH($L$6)))&gt;=0,((YEAR(DATE(Настройки!$C$6,Настройки!$D$7+2,1))*12+MONTH(DATE(Настройки!$C$6,Настройки!$D$7+2,1)))-(YEAR($L$6)*12+MONTH($L$6)))&lt;=11),IF(INDEX($L37:$W37,((YEAR(DATE(Настройки!$C$6,Настройки!$D$7+2,1))*12+MONTH(DATE(Настройки!$C$6,Настройки!$D$7+2,1)))-(YEAR($L$6)*12+MONTH($L$6)))+1)="✓",N($G37),IF(ISNUMBER(INDEX($L37:$W37,((YEAR(DATE(Настройки!$C$6,Настройки!$D$7+2,1))*12+MONTH(DATE(Настройки!$C$6,Настройки!$D$7+2,1)))-(YEAR($L$6)*12+MONTH($L$6)))+1)),INDEX($L37:$W37,((YEAR(DATE(Настройки!$C$6,Настройки!$D$7+2,1))*12+MONTH(DATE(Настройки!$C$6,Настройки!$D$7+2,1)))-(YEAR($L$6)*12+MONTH($L$6)))+1),IF(AND(OR($I37="",$I37&lt;=(DATE(Настройки!$C$6,Настройки!$D$7+2+1,1)-1)),OR($J37="",$J37&gt;=DATE(Настройки!$C$6,Настройки!$D$7+2,1)),MOD((YEAR(DATE(Настройки!$C$6,Настройки!$D$7+2,1))*12+MONTH(DATE(Настройки!$C$6,Настройки!$D$7+2,1)))-(YEAR(IF($I37="",$L$6,$I37))*12+MONTH(IF($I37="",$L$6,$I37))),MAX(1,N($H37)))=0),N($G37),0))),IF(AND(OR($I37="",$I37&lt;=(DATE(Настройки!$C$6,Настройки!$D$7+2+1,1)-1)),OR($J37="",$J37&gt;=DATE(Настройки!$C$6,Настройки!$D$7+2,1)),MOD((YEAR(DATE(Настройки!$C$6,Настройки!$D$7+2,1))*12+MONTH(DATE(Настройки!$C$6,Настройки!$D$7+2,1)))-(YEAR(IF($I37="",$L$6,$I37))*12+MONTH(IF($I37="",$L$6,$I37))),MAX(1,N($H37)))=0),N($G37),0)))</f>
        <v/>
      </c>
    </row>
    <row r="98">
      <c r="Y98" s="243">
        <f>IF(OR($C8="",$F8=""),"",DATE(YEAR($O$6),MONTH($O$6),MIN($F8,DAY((DATE(YEAR($O$6),MONTH($O$6)+1,1)-1)))))</f>
        <v/>
      </c>
      <c r="Z98" s="110">
        <f>IF($C8="","",IF($D8="Доход","Доход","Расход"))</f>
        <v/>
      </c>
      <c r="AA98" s="110">
        <f>IF($C8="","",$E8)</f>
        <v/>
      </c>
      <c r="AB98" s="110">
        <f>IF($C8="",0,IF(AND(OR($I8="",$I8&lt;=(DATE(YEAR($O$6),MONTH($O$6)+1,1)-1)),OR($J8="",$J8&gt;=$O$6),MOD((YEAR($O$6)*12+MONTH($O$6))-(YEAR(IF($I8="",$L$6,$I8))*12+MONTH(IF($I8="",$L$6,$I8))),MAX(1,N($H8)))=0),N($G8),0))</f>
        <v/>
      </c>
      <c r="AC98" s="110">
        <f>IF($C8="",0,IF(O8="✓",N($G8),IF(ISNUMBER(O8),O8,0)))</f>
        <v/>
      </c>
      <c r="AD98" s="243">
        <f>IF($C8="","",$O$6)</f>
        <v/>
      </c>
      <c r="AE98" s="110">
        <f>IF($C8="","",$K8)</f>
        <v/>
      </c>
    </row>
    <row r="99">
      <c r="Y99" s="243">
        <f>IF(OR($C9="",$F9=""),"",DATE(YEAR($O$6),MONTH($O$6),MIN($F9,DAY((DATE(YEAR($O$6),MONTH($O$6)+1,1)-1)))))</f>
        <v/>
      </c>
      <c r="Z99" s="110">
        <f>IF($C9="","",IF($D9="Доход","Доход","Расход"))</f>
        <v/>
      </c>
      <c r="AA99" s="110">
        <f>IF($C9="","",$E9)</f>
        <v/>
      </c>
      <c r="AB99" s="110">
        <f>IF($C9="",0,IF(AND(OR($I9="",$I9&lt;=(DATE(YEAR($O$6),MONTH($O$6)+1,1)-1)),OR($J9="",$J9&gt;=$O$6),MOD((YEAR($O$6)*12+MONTH($O$6))-(YEAR(IF($I9="",$L$6,$I9))*12+MONTH(IF($I9="",$L$6,$I9))),MAX(1,N($H9)))=0),N($G9),0))</f>
        <v/>
      </c>
      <c r="AC99" s="110">
        <f>IF($C9="",0,IF(O9="✓",N($G9),IF(ISNUMBER(O9),O9,0)))</f>
        <v/>
      </c>
      <c r="AD99" s="243">
        <f>IF($C9="","",$O$6)</f>
        <v/>
      </c>
      <c r="AE99" s="110">
        <f>IF($C9="","",$K9)</f>
        <v/>
      </c>
    </row>
    <row r="100">
      <c r="Y100" s="243">
        <f>IF(OR($C10="",$F10=""),"",DATE(YEAR($O$6),MONTH($O$6),MIN($F10,DAY((DATE(YEAR($O$6),MONTH($O$6)+1,1)-1)))))</f>
        <v/>
      </c>
      <c r="Z100" s="110">
        <f>IF($C10="","",IF($D10="Доход","Доход","Расход"))</f>
        <v/>
      </c>
      <c r="AA100" s="110">
        <f>IF($C10="","",$E10)</f>
        <v/>
      </c>
      <c r="AB100" s="110">
        <f>IF($C10="",0,IF(AND(OR($I10="",$I10&lt;=(DATE(YEAR($O$6),MONTH($O$6)+1,1)-1)),OR($J10="",$J10&gt;=$O$6),MOD((YEAR($O$6)*12+MONTH($O$6))-(YEAR(IF($I10="",$L$6,$I10))*12+MONTH(IF($I10="",$L$6,$I10))),MAX(1,N($H10)))=0),N($G10),0))</f>
        <v/>
      </c>
      <c r="AC100" s="110">
        <f>IF($C10="",0,IF(O10="✓",N($G10),IF(ISNUMBER(O10),O10,0)))</f>
        <v/>
      </c>
      <c r="AD100" s="243">
        <f>IF($C10="","",$O$6)</f>
        <v/>
      </c>
      <c r="AE100" s="110">
        <f>IF($C10="","",$K10)</f>
        <v/>
      </c>
    </row>
    <row r="101">
      <c r="Y101" s="243">
        <f>IF(OR($C11="",$F11=""),"",DATE(YEAR($O$6),MONTH($O$6),MIN($F11,DAY((DATE(YEAR($O$6),MONTH($O$6)+1,1)-1)))))</f>
        <v/>
      </c>
      <c r="Z101" s="110">
        <f>IF($C11="","",IF($D11="Доход","Доход","Расход"))</f>
        <v/>
      </c>
      <c r="AA101" s="110">
        <f>IF($C11="","",$E11)</f>
        <v/>
      </c>
      <c r="AB101" s="110">
        <f>IF($C11="",0,IF(AND(OR($I11="",$I11&lt;=(DATE(YEAR($O$6),MONTH($O$6)+1,1)-1)),OR($J11="",$J11&gt;=$O$6),MOD((YEAR($O$6)*12+MONTH($O$6))-(YEAR(IF($I11="",$L$6,$I11))*12+MONTH(IF($I11="",$L$6,$I11))),MAX(1,N($H11)))=0),N($G11),0))</f>
        <v/>
      </c>
      <c r="AC101" s="110">
        <f>IF($C11="",0,IF(O11="✓",N($G11),IF(ISNUMBER(O11),O11,0)))</f>
        <v/>
      </c>
      <c r="AD101" s="243">
        <f>IF($C11="","",$O$6)</f>
        <v/>
      </c>
      <c r="AE101" s="110">
        <f>IF($C11="","",$K11)</f>
        <v/>
      </c>
    </row>
    <row r="102">
      <c r="Y102" s="243">
        <f>IF(OR($C12="",$F12=""),"",DATE(YEAR($O$6),MONTH($O$6),MIN($F12,DAY((DATE(YEAR($O$6),MONTH($O$6)+1,1)-1)))))</f>
        <v/>
      </c>
      <c r="Z102" s="110">
        <f>IF($C12="","",IF($D12="Доход","Доход","Расход"))</f>
        <v/>
      </c>
      <c r="AA102" s="110">
        <f>IF($C12="","",$E12)</f>
        <v/>
      </c>
      <c r="AB102" s="110">
        <f>IF($C12="",0,IF(AND(OR($I12="",$I12&lt;=(DATE(YEAR($O$6),MONTH($O$6)+1,1)-1)),OR($J12="",$J12&gt;=$O$6),MOD((YEAR($O$6)*12+MONTH($O$6))-(YEAR(IF($I12="",$L$6,$I12))*12+MONTH(IF($I12="",$L$6,$I12))),MAX(1,N($H12)))=0),N($G12),0))</f>
        <v/>
      </c>
      <c r="AC102" s="110">
        <f>IF($C12="",0,IF(O12="✓",N($G12),IF(ISNUMBER(O12),O12,0)))</f>
        <v/>
      </c>
      <c r="AD102" s="243">
        <f>IF($C12="","",$O$6)</f>
        <v/>
      </c>
      <c r="AE102" s="110">
        <f>IF($C12="","",$K12)</f>
        <v/>
      </c>
    </row>
    <row r="103">
      <c r="Y103" s="243">
        <f>IF(OR($C13="",$F13=""),"",DATE(YEAR($O$6),MONTH($O$6),MIN($F13,DAY((DATE(YEAR($O$6),MONTH($O$6)+1,1)-1)))))</f>
        <v/>
      </c>
      <c r="Z103" s="110">
        <f>IF($C13="","",IF($D13="Доход","Доход","Расход"))</f>
        <v/>
      </c>
      <c r="AA103" s="110">
        <f>IF($C13="","",$E13)</f>
        <v/>
      </c>
      <c r="AB103" s="110">
        <f>IF($C13="",0,IF(AND(OR($I13="",$I13&lt;=(DATE(YEAR($O$6),MONTH($O$6)+1,1)-1)),OR($J13="",$J13&gt;=$O$6),MOD((YEAR($O$6)*12+MONTH($O$6))-(YEAR(IF($I13="",$L$6,$I13))*12+MONTH(IF($I13="",$L$6,$I13))),MAX(1,N($H13)))=0),N($G13),0))</f>
        <v/>
      </c>
      <c r="AC103" s="110">
        <f>IF($C13="",0,IF(O13="✓",N($G13),IF(ISNUMBER(O13),O13,0)))</f>
        <v/>
      </c>
      <c r="AD103" s="243">
        <f>IF($C13="","",$O$6)</f>
        <v/>
      </c>
      <c r="AE103" s="110">
        <f>IF($C13="","",$K13)</f>
        <v/>
      </c>
    </row>
    <row r="104">
      <c r="Y104" s="243">
        <f>IF(OR($C14="",$F14=""),"",DATE(YEAR($O$6),MONTH($O$6),MIN($F14,DAY((DATE(YEAR($O$6),MONTH($O$6)+1,1)-1)))))</f>
        <v/>
      </c>
      <c r="Z104" s="110">
        <f>IF($C14="","",IF($D14="Доход","Доход","Расход"))</f>
        <v/>
      </c>
      <c r="AA104" s="110">
        <f>IF($C14="","",$E14)</f>
        <v/>
      </c>
      <c r="AB104" s="110">
        <f>IF($C14="",0,IF(AND(OR($I14="",$I14&lt;=(DATE(YEAR($O$6),MONTH($O$6)+1,1)-1)),OR($J14="",$J14&gt;=$O$6),MOD((YEAR($O$6)*12+MONTH($O$6))-(YEAR(IF($I14="",$L$6,$I14))*12+MONTH(IF($I14="",$L$6,$I14))),MAX(1,N($H14)))=0),N($G14),0))</f>
        <v/>
      </c>
      <c r="AC104" s="110">
        <f>IF($C14="",0,IF(O14="✓",N($G14),IF(ISNUMBER(O14),O14,0)))</f>
        <v/>
      </c>
      <c r="AD104" s="243">
        <f>IF($C14="","",$O$6)</f>
        <v/>
      </c>
      <c r="AE104" s="110">
        <f>IF($C14="","",$K14)</f>
        <v/>
      </c>
    </row>
    <row r="105">
      <c r="Y105" s="243">
        <f>IF(OR($C15="",$F15=""),"",DATE(YEAR($O$6),MONTH($O$6),MIN($F15,DAY((DATE(YEAR($O$6),MONTH($O$6)+1,1)-1)))))</f>
        <v/>
      </c>
      <c r="Z105" s="110">
        <f>IF($C15="","",IF($D15="Доход","Доход","Расход"))</f>
        <v/>
      </c>
      <c r="AA105" s="110">
        <f>IF($C15="","",$E15)</f>
        <v/>
      </c>
      <c r="AB105" s="110">
        <f>IF($C15="",0,IF(AND(OR($I15="",$I15&lt;=(DATE(YEAR($O$6),MONTH($O$6)+1,1)-1)),OR($J15="",$J15&gt;=$O$6),MOD((YEAR($O$6)*12+MONTH($O$6))-(YEAR(IF($I15="",$L$6,$I15))*12+MONTH(IF($I15="",$L$6,$I15))),MAX(1,N($H15)))=0),N($G15),0))</f>
        <v/>
      </c>
      <c r="AC105" s="110">
        <f>IF($C15="",0,IF(O15="✓",N($G15),IF(ISNUMBER(O15),O15,0)))</f>
        <v/>
      </c>
      <c r="AD105" s="243">
        <f>IF($C15="","",$O$6)</f>
        <v/>
      </c>
      <c r="AE105" s="110">
        <f>IF($C15="","",$K15)</f>
        <v/>
      </c>
    </row>
    <row r="106">
      <c r="Y106" s="243">
        <f>IF(OR($C16="",$F16=""),"",DATE(YEAR($O$6),MONTH($O$6),MIN($F16,DAY((DATE(YEAR($O$6),MONTH($O$6)+1,1)-1)))))</f>
        <v/>
      </c>
      <c r="Z106" s="110">
        <f>IF($C16="","",IF($D16="Доход","Доход","Расход"))</f>
        <v/>
      </c>
      <c r="AA106" s="110">
        <f>IF($C16="","",$E16)</f>
        <v/>
      </c>
      <c r="AB106" s="110">
        <f>IF($C16="",0,IF(AND(OR($I16="",$I16&lt;=(DATE(YEAR($O$6),MONTH($O$6)+1,1)-1)),OR($J16="",$J16&gt;=$O$6),MOD((YEAR($O$6)*12+MONTH($O$6))-(YEAR(IF($I16="",$L$6,$I16))*12+MONTH(IF($I16="",$L$6,$I16))),MAX(1,N($H16)))=0),N($G16),0))</f>
        <v/>
      </c>
      <c r="AC106" s="110">
        <f>IF($C16="",0,IF(O16="✓",N($G16),IF(ISNUMBER(O16),O16,0)))</f>
        <v/>
      </c>
      <c r="AD106" s="243">
        <f>IF($C16="","",$O$6)</f>
        <v/>
      </c>
      <c r="AE106" s="110">
        <f>IF($C16="","",$K16)</f>
        <v/>
      </c>
    </row>
    <row r="107">
      <c r="Y107" s="243">
        <f>IF(OR($C17="",$F17=""),"",DATE(YEAR($O$6),MONTH($O$6),MIN($F17,DAY((DATE(YEAR($O$6),MONTH($O$6)+1,1)-1)))))</f>
        <v/>
      </c>
      <c r="Z107" s="110">
        <f>IF($C17="","",IF($D17="Доход","Доход","Расход"))</f>
        <v/>
      </c>
      <c r="AA107" s="110">
        <f>IF($C17="","",$E17)</f>
        <v/>
      </c>
      <c r="AB107" s="110">
        <f>IF($C17="",0,IF(AND(OR($I17="",$I17&lt;=(DATE(YEAR($O$6),MONTH($O$6)+1,1)-1)),OR($J17="",$J17&gt;=$O$6),MOD((YEAR($O$6)*12+MONTH($O$6))-(YEAR(IF($I17="",$L$6,$I17))*12+MONTH(IF($I17="",$L$6,$I17))),MAX(1,N($H17)))=0),N($G17),0))</f>
        <v/>
      </c>
      <c r="AC107" s="110">
        <f>IF($C17="",0,IF(O17="✓",N($G17),IF(ISNUMBER(O17),O17,0)))</f>
        <v/>
      </c>
      <c r="AD107" s="243">
        <f>IF($C17="","",$O$6)</f>
        <v/>
      </c>
      <c r="AE107" s="110">
        <f>IF($C17="","",$K17)</f>
        <v/>
      </c>
    </row>
    <row r="108">
      <c r="Y108" s="243">
        <f>IF(OR($C18="",$F18=""),"",DATE(YEAR($O$6),MONTH($O$6),MIN($F18,DAY((DATE(YEAR($O$6),MONTH($O$6)+1,1)-1)))))</f>
        <v/>
      </c>
      <c r="Z108" s="110">
        <f>IF($C18="","",IF($D18="Доход","Доход","Расход"))</f>
        <v/>
      </c>
      <c r="AA108" s="110">
        <f>IF($C18="","",$E18)</f>
        <v/>
      </c>
      <c r="AB108" s="110">
        <f>IF($C18="",0,IF(AND(OR($I18="",$I18&lt;=(DATE(YEAR($O$6),MONTH($O$6)+1,1)-1)),OR($J18="",$J18&gt;=$O$6),MOD((YEAR($O$6)*12+MONTH($O$6))-(YEAR(IF($I18="",$L$6,$I18))*12+MONTH(IF($I18="",$L$6,$I18))),MAX(1,N($H18)))=0),N($G18),0))</f>
        <v/>
      </c>
      <c r="AC108" s="110">
        <f>IF($C18="",0,IF(O18="✓",N($G18),IF(ISNUMBER(O18),O18,0)))</f>
        <v/>
      </c>
      <c r="AD108" s="243">
        <f>IF($C18="","",$O$6)</f>
        <v/>
      </c>
      <c r="AE108" s="110">
        <f>IF($C18="","",$K18)</f>
        <v/>
      </c>
    </row>
    <row r="109">
      <c r="Y109" s="243">
        <f>IF(OR($C19="",$F19=""),"",DATE(YEAR($O$6),MONTH($O$6),MIN($F19,DAY((DATE(YEAR($O$6),MONTH($O$6)+1,1)-1)))))</f>
        <v/>
      </c>
      <c r="Z109" s="110">
        <f>IF($C19="","",IF($D19="Доход","Доход","Расход"))</f>
        <v/>
      </c>
      <c r="AA109" s="110">
        <f>IF($C19="","",$E19)</f>
        <v/>
      </c>
      <c r="AB109" s="110">
        <f>IF($C19="",0,IF(AND(OR($I19="",$I19&lt;=(DATE(YEAR($O$6),MONTH($O$6)+1,1)-1)),OR($J19="",$J19&gt;=$O$6),MOD((YEAR($O$6)*12+MONTH($O$6))-(YEAR(IF($I19="",$L$6,$I19))*12+MONTH(IF($I19="",$L$6,$I19))),MAX(1,N($H19)))=0),N($G19),0))</f>
        <v/>
      </c>
      <c r="AC109" s="110">
        <f>IF($C19="",0,IF(O19="✓",N($G19),IF(ISNUMBER(O19),O19,0)))</f>
        <v/>
      </c>
      <c r="AD109" s="243">
        <f>IF($C19="","",$O$6)</f>
        <v/>
      </c>
      <c r="AE109" s="110">
        <f>IF($C19="","",$K19)</f>
        <v/>
      </c>
    </row>
    <row r="110">
      <c r="Y110" s="243">
        <f>IF(OR($C20="",$F20=""),"",DATE(YEAR($O$6),MONTH($O$6),MIN($F20,DAY((DATE(YEAR($O$6),MONTH($O$6)+1,1)-1)))))</f>
        <v/>
      </c>
      <c r="Z110" s="110">
        <f>IF($C20="","",IF($D20="Доход","Доход","Расход"))</f>
        <v/>
      </c>
      <c r="AA110" s="110">
        <f>IF($C20="","",$E20)</f>
        <v/>
      </c>
      <c r="AB110" s="110">
        <f>IF($C20="",0,IF(AND(OR($I20="",$I20&lt;=(DATE(YEAR($O$6),MONTH($O$6)+1,1)-1)),OR($J20="",$J20&gt;=$O$6),MOD((YEAR($O$6)*12+MONTH($O$6))-(YEAR(IF($I20="",$L$6,$I20))*12+MONTH(IF($I20="",$L$6,$I20))),MAX(1,N($H20)))=0),N($G20),0))</f>
        <v/>
      </c>
      <c r="AC110" s="110">
        <f>IF($C20="",0,IF(O20="✓",N($G20),IF(ISNUMBER(O20),O20,0)))</f>
        <v/>
      </c>
      <c r="AD110" s="243">
        <f>IF($C20="","",$O$6)</f>
        <v/>
      </c>
      <c r="AE110" s="110">
        <f>IF($C20="","",$K20)</f>
        <v/>
      </c>
    </row>
    <row r="111">
      <c r="Y111" s="243">
        <f>IF(OR($C21="",$F21=""),"",DATE(YEAR($O$6),MONTH($O$6),MIN($F21,DAY((DATE(YEAR($O$6),MONTH($O$6)+1,1)-1)))))</f>
        <v/>
      </c>
      <c r="Z111" s="110">
        <f>IF($C21="","",IF($D21="Доход","Доход","Расход"))</f>
        <v/>
      </c>
      <c r="AA111" s="110">
        <f>IF($C21="","",$E21)</f>
        <v/>
      </c>
      <c r="AB111" s="110">
        <f>IF($C21="",0,IF(AND(OR($I21="",$I21&lt;=(DATE(YEAR($O$6),MONTH($O$6)+1,1)-1)),OR($J21="",$J21&gt;=$O$6),MOD((YEAR($O$6)*12+MONTH($O$6))-(YEAR(IF($I21="",$L$6,$I21))*12+MONTH(IF($I21="",$L$6,$I21))),MAX(1,N($H21)))=0),N($G21),0))</f>
        <v/>
      </c>
      <c r="AC111" s="110">
        <f>IF($C21="",0,IF(O21="✓",N($G21),IF(ISNUMBER(O21),O21,0)))</f>
        <v/>
      </c>
      <c r="AD111" s="243">
        <f>IF($C21="","",$O$6)</f>
        <v/>
      </c>
      <c r="AE111" s="110">
        <f>IF($C21="","",$K21)</f>
        <v/>
      </c>
    </row>
    <row r="112">
      <c r="Y112" s="243">
        <f>IF(OR($C22="",$F22=""),"",DATE(YEAR($O$6),MONTH($O$6),MIN($F22,DAY((DATE(YEAR($O$6),MONTH($O$6)+1,1)-1)))))</f>
        <v/>
      </c>
      <c r="Z112" s="110">
        <f>IF($C22="","",IF($D22="Доход","Доход","Расход"))</f>
        <v/>
      </c>
      <c r="AA112" s="110">
        <f>IF($C22="","",$E22)</f>
        <v/>
      </c>
      <c r="AB112" s="110">
        <f>IF($C22="",0,IF(AND(OR($I22="",$I22&lt;=(DATE(YEAR($O$6),MONTH($O$6)+1,1)-1)),OR($J22="",$J22&gt;=$O$6),MOD((YEAR($O$6)*12+MONTH($O$6))-(YEAR(IF($I22="",$L$6,$I22))*12+MONTH(IF($I22="",$L$6,$I22))),MAX(1,N($H22)))=0),N($G22),0))</f>
        <v/>
      </c>
      <c r="AC112" s="110">
        <f>IF($C22="",0,IF(O22="✓",N($G22),IF(ISNUMBER(O22),O22,0)))</f>
        <v/>
      </c>
      <c r="AD112" s="243">
        <f>IF($C22="","",$O$6)</f>
        <v/>
      </c>
      <c r="AE112" s="110">
        <f>IF($C22="","",$K22)</f>
        <v/>
      </c>
    </row>
    <row r="113">
      <c r="Y113" s="243">
        <f>IF(OR($C23="",$F23=""),"",DATE(YEAR($O$6),MONTH($O$6),MIN($F23,DAY((DATE(YEAR($O$6),MONTH($O$6)+1,1)-1)))))</f>
        <v/>
      </c>
      <c r="Z113" s="110">
        <f>IF($C23="","",IF($D23="Доход","Доход","Расход"))</f>
        <v/>
      </c>
      <c r="AA113" s="110">
        <f>IF($C23="","",$E23)</f>
        <v/>
      </c>
      <c r="AB113" s="110">
        <f>IF($C23="",0,IF(AND(OR($I23="",$I23&lt;=(DATE(YEAR($O$6),MONTH($O$6)+1,1)-1)),OR($J23="",$J23&gt;=$O$6),MOD((YEAR($O$6)*12+MONTH($O$6))-(YEAR(IF($I23="",$L$6,$I23))*12+MONTH(IF($I23="",$L$6,$I23))),MAX(1,N($H23)))=0),N($G23),0))</f>
        <v/>
      </c>
      <c r="AC113" s="110">
        <f>IF($C23="",0,IF(O23="✓",N($G23),IF(ISNUMBER(O23),O23,0)))</f>
        <v/>
      </c>
      <c r="AD113" s="243">
        <f>IF($C23="","",$O$6)</f>
        <v/>
      </c>
      <c r="AE113" s="110">
        <f>IF($C23="","",$K23)</f>
        <v/>
      </c>
    </row>
    <row r="114">
      <c r="Y114" s="243">
        <f>IF(OR($C24="",$F24=""),"",DATE(YEAR($O$6),MONTH($O$6),MIN($F24,DAY((DATE(YEAR($O$6),MONTH($O$6)+1,1)-1)))))</f>
        <v/>
      </c>
      <c r="Z114" s="110">
        <f>IF($C24="","",IF($D24="Доход","Доход","Расход"))</f>
        <v/>
      </c>
      <c r="AA114" s="110">
        <f>IF($C24="","",$E24)</f>
        <v/>
      </c>
      <c r="AB114" s="110">
        <f>IF($C24="",0,IF(AND(OR($I24="",$I24&lt;=(DATE(YEAR($O$6),MONTH($O$6)+1,1)-1)),OR($J24="",$J24&gt;=$O$6),MOD((YEAR($O$6)*12+MONTH($O$6))-(YEAR(IF($I24="",$L$6,$I24))*12+MONTH(IF($I24="",$L$6,$I24))),MAX(1,N($H24)))=0),N($G24),0))</f>
        <v/>
      </c>
      <c r="AC114" s="110">
        <f>IF($C24="",0,IF(O24="✓",N($G24),IF(ISNUMBER(O24),O24,0)))</f>
        <v/>
      </c>
      <c r="AD114" s="243">
        <f>IF($C24="","",$O$6)</f>
        <v/>
      </c>
      <c r="AE114" s="110">
        <f>IF($C24="","",$K24)</f>
        <v/>
      </c>
    </row>
    <row r="115">
      <c r="Y115" s="243">
        <f>IF(OR($C25="",$F25=""),"",DATE(YEAR($O$6),MONTH($O$6),MIN($F25,DAY((DATE(YEAR($O$6),MONTH($O$6)+1,1)-1)))))</f>
        <v/>
      </c>
      <c r="Z115" s="110">
        <f>IF($C25="","",IF($D25="Доход","Доход","Расход"))</f>
        <v/>
      </c>
      <c r="AA115" s="110">
        <f>IF($C25="","",$E25)</f>
        <v/>
      </c>
      <c r="AB115" s="110">
        <f>IF($C25="",0,IF(AND(OR($I25="",$I25&lt;=(DATE(YEAR($O$6),MONTH($O$6)+1,1)-1)),OR($J25="",$J25&gt;=$O$6),MOD((YEAR($O$6)*12+MONTH($O$6))-(YEAR(IF($I25="",$L$6,$I25))*12+MONTH(IF($I25="",$L$6,$I25))),MAX(1,N($H25)))=0),N($G25),0))</f>
        <v/>
      </c>
      <c r="AC115" s="110">
        <f>IF($C25="",0,IF(O25="✓",N($G25),IF(ISNUMBER(O25),O25,0)))</f>
        <v/>
      </c>
      <c r="AD115" s="243">
        <f>IF($C25="","",$O$6)</f>
        <v/>
      </c>
      <c r="AE115" s="110">
        <f>IF($C25="","",$K25)</f>
        <v/>
      </c>
    </row>
    <row r="116">
      <c r="Y116" s="243">
        <f>IF(OR($C26="",$F26=""),"",DATE(YEAR($O$6),MONTH($O$6),MIN($F26,DAY((DATE(YEAR($O$6),MONTH($O$6)+1,1)-1)))))</f>
        <v/>
      </c>
      <c r="Z116" s="110">
        <f>IF($C26="","",IF($D26="Доход","Доход","Расход"))</f>
        <v/>
      </c>
      <c r="AA116" s="110">
        <f>IF($C26="","",$E26)</f>
        <v/>
      </c>
      <c r="AB116" s="110">
        <f>IF($C26="",0,IF(AND(OR($I26="",$I26&lt;=(DATE(YEAR($O$6),MONTH($O$6)+1,1)-1)),OR($J26="",$J26&gt;=$O$6),MOD((YEAR($O$6)*12+MONTH($O$6))-(YEAR(IF($I26="",$L$6,$I26))*12+MONTH(IF($I26="",$L$6,$I26))),MAX(1,N($H26)))=0),N($G26),0))</f>
        <v/>
      </c>
      <c r="AC116" s="110">
        <f>IF($C26="",0,IF(O26="✓",N($G26),IF(ISNUMBER(O26),O26,0)))</f>
        <v/>
      </c>
      <c r="AD116" s="243">
        <f>IF($C26="","",$O$6)</f>
        <v/>
      </c>
      <c r="AE116" s="110">
        <f>IF($C26="","",$K26)</f>
        <v/>
      </c>
    </row>
    <row r="117">
      <c r="Y117" s="243">
        <f>IF(OR($C27="",$F27=""),"",DATE(YEAR($O$6),MONTH($O$6),MIN($F27,DAY((DATE(YEAR($O$6),MONTH($O$6)+1,1)-1)))))</f>
        <v/>
      </c>
      <c r="Z117" s="110">
        <f>IF($C27="","",IF($D27="Доход","Доход","Расход"))</f>
        <v/>
      </c>
      <c r="AA117" s="110">
        <f>IF($C27="","",$E27)</f>
        <v/>
      </c>
      <c r="AB117" s="110">
        <f>IF($C27="",0,IF(AND(OR($I27="",$I27&lt;=(DATE(YEAR($O$6),MONTH($O$6)+1,1)-1)),OR($J27="",$J27&gt;=$O$6),MOD((YEAR($O$6)*12+MONTH($O$6))-(YEAR(IF($I27="",$L$6,$I27))*12+MONTH(IF($I27="",$L$6,$I27))),MAX(1,N($H27)))=0),N($G27),0))</f>
        <v/>
      </c>
      <c r="AC117" s="110">
        <f>IF($C27="",0,IF(O27="✓",N($G27),IF(ISNUMBER(O27),O27,0)))</f>
        <v/>
      </c>
      <c r="AD117" s="243">
        <f>IF($C27="","",$O$6)</f>
        <v/>
      </c>
      <c r="AE117" s="110">
        <f>IF($C27="","",$K27)</f>
        <v/>
      </c>
    </row>
    <row r="118">
      <c r="Y118" s="243">
        <f>IF(OR($C28="",$F28=""),"",DATE(YEAR($O$6),MONTH($O$6),MIN($F28,DAY((DATE(YEAR($O$6),MONTH($O$6)+1,1)-1)))))</f>
        <v/>
      </c>
      <c r="Z118" s="110">
        <f>IF($C28="","",IF($D28="Доход","Доход","Расход"))</f>
        <v/>
      </c>
      <c r="AA118" s="110">
        <f>IF($C28="","",$E28)</f>
        <v/>
      </c>
      <c r="AB118" s="110">
        <f>IF($C28="",0,IF(AND(OR($I28="",$I28&lt;=(DATE(YEAR($O$6),MONTH($O$6)+1,1)-1)),OR($J28="",$J28&gt;=$O$6),MOD((YEAR($O$6)*12+MONTH($O$6))-(YEAR(IF($I28="",$L$6,$I28))*12+MONTH(IF($I28="",$L$6,$I28))),MAX(1,N($H28)))=0),N($G28),0))</f>
        <v/>
      </c>
      <c r="AC118" s="110">
        <f>IF($C28="",0,IF(O28="✓",N($G28),IF(ISNUMBER(O28),O28,0)))</f>
        <v/>
      </c>
      <c r="AD118" s="243">
        <f>IF($C28="","",$O$6)</f>
        <v/>
      </c>
      <c r="AE118" s="110">
        <f>IF($C28="","",$K28)</f>
        <v/>
      </c>
    </row>
    <row r="119">
      <c r="Y119" s="243">
        <f>IF(OR($C29="",$F29=""),"",DATE(YEAR($O$6),MONTH($O$6),MIN($F29,DAY((DATE(YEAR($O$6),MONTH($O$6)+1,1)-1)))))</f>
        <v/>
      </c>
      <c r="Z119" s="110">
        <f>IF($C29="","",IF($D29="Доход","Доход","Расход"))</f>
        <v/>
      </c>
      <c r="AA119" s="110">
        <f>IF($C29="","",$E29)</f>
        <v/>
      </c>
      <c r="AB119" s="110">
        <f>IF($C29="",0,IF(AND(OR($I29="",$I29&lt;=(DATE(YEAR($O$6),MONTH($O$6)+1,1)-1)),OR($J29="",$J29&gt;=$O$6),MOD((YEAR($O$6)*12+MONTH($O$6))-(YEAR(IF($I29="",$L$6,$I29))*12+MONTH(IF($I29="",$L$6,$I29))),MAX(1,N($H29)))=0),N($G29),0))</f>
        <v/>
      </c>
      <c r="AC119" s="110">
        <f>IF($C29="",0,IF(O29="✓",N($G29),IF(ISNUMBER(O29),O29,0)))</f>
        <v/>
      </c>
      <c r="AD119" s="243">
        <f>IF($C29="","",$O$6)</f>
        <v/>
      </c>
      <c r="AE119" s="110">
        <f>IF($C29="","",$K29)</f>
        <v/>
      </c>
    </row>
    <row r="120">
      <c r="Y120" s="243">
        <f>IF(OR($C30="",$F30=""),"",DATE(YEAR($O$6),MONTH($O$6),MIN($F30,DAY((DATE(YEAR($O$6),MONTH($O$6)+1,1)-1)))))</f>
        <v/>
      </c>
      <c r="Z120" s="110">
        <f>IF($C30="","",IF($D30="Доход","Доход","Расход"))</f>
        <v/>
      </c>
      <c r="AA120" s="110">
        <f>IF($C30="","",$E30)</f>
        <v/>
      </c>
      <c r="AB120" s="110">
        <f>IF($C30="",0,IF(AND(OR($I30="",$I30&lt;=(DATE(YEAR($O$6),MONTH($O$6)+1,1)-1)),OR($J30="",$J30&gt;=$O$6),MOD((YEAR($O$6)*12+MONTH($O$6))-(YEAR(IF($I30="",$L$6,$I30))*12+MONTH(IF($I30="",$L$6,$I30))),MAX(1,N($H30)))=0),N($G30),0))</f>
        <v/>
      </c>
      <c r="AC120" s="110">
        <f>IF($C30="",0,IF(O30="✓",N($G30),IF(ISNUMBER(O30),O30,0)))</f>
        <v/>
      </c>
      <c r="AD120" s="243">
        <f>IF($C30="","",$O$6)</f>
        <v/>
      </c>
      <c r="AE120" s="110">
        <f>IF($C30="","",$K30)</f>
        <v/>
      </c>
    </row>
    <row r="121">
      <c r="Y121" s="243">
        <f>IF(OR($C31="",$F31=""),"",DATE(YEAR($O$6),MONTH($O$6),MIN($F31,DAY((DATE(YEAR($O$6),MONTH($O$6)+1,1)-1)))))</f>
        <v/>
      </c>
      <c r="Z121" s="110">
        <f>IF($C31="","",IF($D31="Доход","Доход","Расход"))</f>
        <v/>
      </c>
      <c r="AA121" s="110">
        <f>IF($C31="","",$E31)</f>
        <v/>
      </c>
      <c r="AB121" s="110">
        <f>IF($C31="",0,IF(AND(OR($I31="",$I31&lt;=(DATE(YEAR($O$6),MONTH($O$6)+1,1)-1)),OR($J31="",$J31&gt;=$O$6),MOD((YEAR($O$6)*12+MONTH($O$6))-(YEAR(IF($I31="",$L$6,$I31))*12+MONTH(IF($I31="",$L$6,$I31))),MAX(1,N($H31)))=0),N($G31),0))</f>
        <v/>
      </c>
      <c r="AC121" s="110">
        <f>IF($C31="",0,IF(O31="✓",N($G31),IF(ISNUMBER(O31),O31,0)))</f>
        <v/>
      </c>
      <c r="AD121" s="243">
        <f>IF($C31="","",$O$6)</f>
        <v/>
      </c>
      <c r="AE121" s="110">
        <f>IF($C31="","",$K31)</f>
        <v/>
      </c>
    </row>
    <row r="122">
      <c r="Y122" s="243">
        <f>IF(OR($C32="",$F32=""),"",DATE(YEAR($O$6),MONTH($O$6),MIN($F32,DAY((DATE(YEAR($O$6),MONTH($O$6)+1,1)-1)))))</f>
        <v/>
      </c>
      <c r="Z122" s="110">
        <f>IF($C32="","",IF($D32="Доход","Доход","Расход"))</f>
        <v/>
      </c>
      <c r="AA122" s="110">
        <f>IF($C32="","",$E32)</f>
        <v/>
      </c>
      <c r="AB122" s="110">
        <f>IF($C32="",0,IF(AND(OR($I32="",$I32&lt;=(DATE(YEAR($O$6),MONTH($O$6)+1,1)-1)),OR($J32="",$J32&gt;=$O$6),MOD((YEAR($O$6)*12+MONTH($O$6))-(YEAR(IF($I32="",$L$6,$I32))*12+MONTH(IF($I32="",$L$6,$I32))),MAX(1,N($H32)))=0),N($G32),0))</f>
        <v/>
      </c>
      <c r="AC122" s="110">
        <f>IF($C32="",0,IF(O32="✓",N($G32),IF(ISNUMBER(O32),O32,0)))</f>
        <v/>
      </c>
      <c r="AD122" s="243">
        <f>IF($C32="","",$O$6)</f>
        <v/>
      </c>
      <c r="AE122" s="110">
        <f>IF($C32="","",$K32)</f>
        <v/>
      </c>
    </row>
    <row r="123">
      <c r="Y123" s="243">
        <f>IF(OR($C33="",$F33=""),"",DATE(YEAR($O$6),MONTH($O$6),MIN($F33,DAY((DATE(YEAR($O$6),MONTH($O$6)+1,1)-1)))))</f>
        <v/>
      </c>
      <c r="Z123" s="110">
        <f>IF($C33="","",IF($D33="Доход","Доход","Расход"))</f>
        <v/>
      </c>
      <c r="AA123" s="110">
        <f>IF($C33="","",$E33)</f>
        <v/>
      </c>
      <c r="AB123" s="110">
        <f>IF($C33="",0,IF(AND(OR($I33="",$I33&lt;=(DATE(YEAR($O$6),MONTH($O$6)+1,1)-1)),OR($J33="",$J33&gt;=$O$6),MOD((YEAR($O$6)*12+MONTH($O$6))-(YEAR(IF($I33="",$L$6,$I33))*12+MONTH(IF($I33="",$L$6,$I33))),MAX(1,N($H33)))=0),N($G33),0))</f>
        <v/>
      </c>
      <c r="AC123" s="110">
        <f>IF($C33="",0,IF(O33="✓",N($G33),IF(ISNUMBER(O33),O33,0)))</f>
        <v/>
      </c>
      <c r="AD123" s="243">
        <f>IF($C33="","",$O$6)</f>
        <v/>
      </c>
      <c r="AE123" s="110">
        <f>IF($C33="","",$K33)</f>
        <v/>
      </c>
    </row>
    <row r="124">
      <c r="Y124" s="243">
        <f>IF(OR($C34="",$F34=""),"",DATE(YEAR($O$6),MONTH($O$6),MIN($F34,DAY((DATE(YEAR($O$6),MONTH($O$6)+1,1)-1)))))</f>
        <v/>
      </c>
      <c r="Z124" s="110">
        <f>IF($C34="","",IF($D34="Доход","Доход","Расход"))</f>
        <v/>
      </c>
      <c r="AA124" s="110">
        <f>IF($C34="","",$E34)</f>
        <v/>
      </c>
      <c r="AB124" s="110">
        <f>IF($C34="",0,IF(AND(OR($I34="",$I34&lt;=(DATE(YEAR($O$6),MONTH($O$6)+1,1)-1)),OR($J34="",$J34&gt;=$O$6),MOD((YEAR($O$6)*12+MONTH($O$6))-(YEAR(IF($I34="",$L$6,$I34))*12+MONTH(IF($I34="",$L$6,$I34))),MAX(1,N($H34)))=0),N($G34),0))</f>
        <v/>
      </c>
      <c r="AC124" s="110">
        <f>IF($C34="",0,IF(O34="✓",N($G34),IF(ISNUMBER(O34),O34,0)))</f>
        <v/>
      </c>
      <c r="AD124" s="243">
        <f>IF($C34="","",$O$6)</f>
        <v/>
      </c>
      <c r="AE124" s="110">
        <f>IF($C34="","",$K34)</f>
        <v/>
      </c>
    </row>
    <row r="125">
      <c r="Y125" s="243">
        <f>IF(OR($C35="",$F35=""),"",DATE(YEAR($O$6),MONTH($O$6),MIN($F35,DAY((DATE(YEAR($O$6),MONTH($O$6)+1,1)-1)))))</f>
        <v/>
      </c>
      <c r="Z125" s="110">
        <f>IF($C35="","",IF($D35="Доход","Доход","Расход"))</f>
        <v/>
      </c>
      <c r="AA125" s="110">
        <f>IF($C35="","",$E35)</f>
        <v/>
      </c>
      <c r="AB125" s="110">
        <f>IF($C35="",0,IF(AND(OR($I35="",$I35&lt;=(DATE(YEAR($O$6),MONTH($O$6)+1,1)-1)),OR($J35="",$J35&gt;=$O$6),MOD((YEAR($O$6)*12+MONTH($O$6))-(YEAR(IF($I35="",$L$6,$I35))*12+MONTH(IF($I35="",$L$6,$I35))),MAX(1,N($H35)))=0),N($G35),0))</f>
        <v/>
      </c>
      <c r="AC125" s="110">
        <f>IF($C35="",0,IF(O35="✓",N($G35),IF(ISNUMBER(O35),O35,0)))</f>
        <v/>
      </c>
      <c r="AD125" s="243">
        <f>IF($C35="","",$O$6)</f>
        <v/>
      </c>
      <c r="AE125" s="110">
        <f>IF($C35="","",$K35)</f>
        <v/>
      </c>
    </row>
    <row r="126">
      <c r="Y126" s="243">
        <f>IF(OR($C36="",$F36=""),"",DATE(YEAR($O$6),MONTH($O$6),MIN($F36,DAY((DATE(YEAR($O$6),MONTH($O$6)+1,1)-1)))))</f>
        <v/>
      </c>
      <c r="Z126" s="110">
        <f>IF($C36="","",IF($D36="Доход","Доход","Расход"))</f>
        <v/>
      </c>
      <c r="AA126" s="110">
        <f>IF($C36="","",$E36)</f>
        <v/>
      </c>
      <c r="AB126" s="110">
        <f>IF($C36="",0,IF(AND(OR($I36="",$I36&lt;=(DATE(YEAR($O$6),MONTH($O$6)+1,1)-1)),OR($J36="",$J36&gt;=$O$6),MOD((YEAR($O$6)*12+MONTH($O$6))-(YEAR(IF($I36="",$L$6,$I36))*12+MONTH(IF($I36="",$L$6,$I36))),MAX(1,N($H36)))=0),N($G36),0))</f>
        <v/>
      </c>
      <c r="AC126" s="110">
        <f>IF($C36="",0,IF(O36="✓",N($G36),IF(ISNUMBER(O36),O36,0)))</f>
        <v/>
      </c>
      <c r="AD126" s="243">
        <f>IF($C36="","",$O$6)</f>
        <v/>
      </c>
      <c r="AE126" s="110">
        <f>IF($C36="","",$K36)</f>
        <v/>
      </c>
    </row>
    <row r="127">
      <c r="Y127" s="243">
        <f>IF(OR($C37="",$F37=""),"",DATE(YEAR($O$6),MONTH($O$6),MIN($F37,DAY((DATE(YEAR($O$6),MONTH($O$6)+1,1)-1)))))</f>
        <v/>
      </c>
      <c r="Z127" s="110">
        <f>IF($C37="","",IF($D37="Доход","Доход","Расход"))</f>
        <v/>
      </c>
      <c r="AA127" s="110">
        <f>IF($C37="","",$E37)</f>
        <v/>
      </c>
      <c r="AB127" s="110">
        <f>IF($C37="",0,IF(AND(OR($I37="",$I37&lt;=(DATE(YEAR($O$6),MONTH($O$6)+1,1)-1)),OR($J37="",$J37&gt;=$O$6),MOD((YEAR($O$6)*12+MONTH($O$6))-(YEAR(IF($I37="",$L$6,$I37))*12+MONTH(IF($I37="",$L$6,$I37))),MAX(1,N($H37)))=0),N($G37),0))</f>
        <v/>
      </c>
      <c r="AC127" s="110">
        <f>IF($C37="",0,IF(O37="✓",N($G37),IF(ISNUMBER(O37),O37,0)))</f>
        <v/>
      </c>
      <c r="AD127" s="243">
        <f>IF($C37="","",$O$6)</f>
        <v/>
      </c>
      <c r="AE127" s="110">
        <f>IF($C37="","",$K37)</f>
        <v/>
      </c>
    </row>
    <row r="128">
      <c r="Y128" s="243">
        <f>IF(OR($C8="",$F8=""),"",DATE(YEAR($P$6),MONTH($P$6),MIN($F8,DAY((DATE(YEAR($P$6),MONTH($P$6)+1,1)-1)))))</f>
        <v/>
      </c>
      <c r="Z128" s="110">
        <f>IF($C8="","",IF($D8="Доход","Доход","Расход"))</f>
        <v/>
      </c>
      <c r="AA128" s="110">
        <f>IF($C8="","",$E8)</f>
        <v/>
      </c>
      <c r="AB128" s="110">
        <f>IF($C8="",0,IF(AND(OR($I8="",$I8&lt;=(DATE(YEAR($P$6),MONTH($P$6)+1,1)-1)),OR($J8="",$J8&gt;=$P$6),MOD((YEAR($P$6)*12+MONTH($P$6))-(YEAR(IF($I8="",$L$6,$I8))*12+MONTH(IF($I8="",$L$6,$I8))),MAX(1,N($H8)))=0),N($G8),0))</f>
        <v/>
      </c>
      <c r="AC128" s="110">
        <f>IF($C8="",0,IF(P8="✓",N($G8),IF(ISNUMBER(P8),P8,0)))</f>
        <v/>
      </c>
      <c r="AD128" s="243">
        <f>IF($C8="","",$P$6)</f>
        <v/>
      </c>
      <c r="AE128" s="110">
        <f>IF($C8="","",$K8)</f>
        <v/>
      </c>
    </row>
    <row r="129">
      <c r="Y129" s="243">
        <f>IF(OR($C9="",$F9=""),"",DATE(YEAR($P$6),MONTH($P$6),MIN($F9,DAY((DATE(YEAR($P$6),MONTH($P$6)+1,1)-1)))))</f>
        <v/>
      </c>
      <c r="Z129" s="110">
        <f>IF($C9="","",IF($D9="Доход","Доход","Расход"))</f>
        <v/>
      </c>
      <c r="AA129" s="110">
        <f>IF($C9="","",$E9)</f>
        <v/>
      </c>
      <c r="AB129" s="110">
        <f>IF($C9="",0,IF(AND(OR($I9="",$I9&lt;=(DATE(YEAR($P$6),MONTH($P$6)+1,1)-1)),OR($J9="",$J9&gt;=$P$6),MOD((YEAR($P$6)*12+MONTH($P$6))-(YEAR(IF($I9="",$L$6,$I9))*12+MONTH(IF($I9="",$L$6,$I9))),MAX(1,N($H9)))=0),N($G9),0))</f>
        <v/>
      </c>
      <c r="AC129" s="110">
        <f>IF($C9="",0,IF(P9="✓",N($G9),IF(ISNUMBER(P9),P9,0)))</f>
        <v/>
      </c>
      <c r="AD129" s="243">
        <f>IF($C9="","",$P$6)</f>
        <v/>
      </c>
      <c r="AE129" s="110">
        <f>IF($C9="","",$K9)</f>
        <v/>
      </c>
    </row>
    <row r="130">
      <c r="Y130" s="243">
        <f>IF(OR($C10="",$F10=""),"",DATE(YEAR($P$6),MONTH($P$6),MIN($F10,DAY((DATE(YEAR($P$6),MONTH($P$6)+1,1)-1)))))</f>
        <v/>
      </c>
      <c r="Z130" s="110">
        <f>IF($C10="","",IF($D10="Доход","Доход","Расход"))</f>
        <v/>
      </c>
      <c r="AA130" s="110">
        <f>IF($C10="","",$E10)</f>
        <v/>
      </c>
      <c r="AB130" s="110">
        <f>IF($C10="",0,IF(AND(OR($I10="",$I10&lt;=(DATE(YEAR($P$6),MONTH($P$6)+1,1)-1)),OR($J10="",$J10&gt;=$P$6),MOD((YEAR($P$6)*12+MONTH($P$6))-(YEAR(IF($I10="",$L$6,$I10))*12+MONTH(IF($I10="",$L$6,$I10))),MAX(1,N($H10)))=0),N($G10),0))</f>
        <v/>
      </c>
      <c r="AC130" s="110">
        <f>IF($C10="",0,IF(P10="✓",N($G10),IF(ISNUMBER(P10),P10,0)))</f>
        <v/>
      </c>
      <c r="AD130" s="243">
        <f>IF($C10="","",$P$6)</f>
        <v/>
      </c>
      <c r="AE130" s="110">
        <f>IF($C10="","",$K10)</f>
        <v/>
      </c>
    </row>
    <row r="131">
      <c r="Y131" s="243">
        <f>IF(OR($C11="",$F11=""),"",DATE(YEAR($P$6),MONTH($P$6),MIN($F11,DAY((DATE(YEAR($P$6),MONTH($P$6)+1,1)-1)))))</f>
        <v/>
      </c>
      <c r="Z131" s="110">
        <f>IF($C11="","",IF($D11="Доход","Доход","Расход"))</f>
        <v/>
      </c>
      <c r="AA131" s="110">
        <f>IF($C11="","",$E11)</f>
        <v/>
      </c>
      <c r="AB131" s="110">
        <f>IF($C11="",0,IF(AND(OR($I11="",$I11&lt;=(DATE(YEAR($P$6),MONTH($P$6)+1,1)-1)),OR($J11="",$J11&gt;=$P$6),MOD((YEAR($P$6)*12+MONTH($P$6))-(YEAR(IF($I11="",$L$6,$I11))*12+MONTH(IF($I11="",$L$6,$I11))),MAX(1,N($H11)))=0),N($G11),0))</f>
        <v/>
      </c>
      <c r="AC131" s="110">
        <f>IF($C11="",0,IF(P11="✓",N($G11),IF(ISNUMBER(P11),P11,0)))</f>
        <v/>
      </c>
      <c r="AD131" s="243">
        <f>IF($C11="","",$P$6)</f>
        <v/>
      </c>
      <c r="AE131" s="110">
        <f>IF($C11="","",$K11)</f>
        <v/>
      </c>
    </row>
    <row r="132">
      <c r="Y132" s="243">
        <f>IF(OR($C12="",$F12=""),"",DATE(YEAR($P$6),MONTH($P$6),MIN($F12,DAY((DATE(YEAR($P$6),MONTH($P$6)+1,1)-1)))))</f>
        <v/>
      </c>
      <c r="Z132" s="110">
        <f>IF($C12="","",IF($D12="Доход","Доход","Расход"))</f>
        <v/>
      </c>
      <c r="AA132" s="110">
        <f>IF($C12="","",$E12)</f>
        <v/>
      </c>
      <c r="AB132" s="110">
        <f>IF($C12="",0,IF(AND(OR($I12="",$I12&lt;=(DATE(YEAR($P$6),MONTH($P$6)+1,1)-1)),OR($J12="",$J12&gt;=$P$6),MOD((YEAR($P$6)*12+MONTH($P$6))-(YEAR(IF($I12="",$L$6,$I12))*12+MONTH(IF($I12="",$L$6,$I12))),MAX(1,N($H12)))=0),N($G12),0))</f>
        <v/>
      </c>
      <c r="AC132" s="110">
        <f>IF($C12="",0,IF(P12="✓",N($G12),IF(ISNUMBER(P12),P12,0)))</f>
        <v/>
      </c>
      <c r="AD132" s="243">
        <f>IF($C12="","",$P$6)</f>
        <v/>
      </c>
      <c r="AE132" s="110">
        <f>IF($C12="","",$K12)</f>
        <v/>
      </c>
    </row>
    <row r="133">
      <c r="Y133" s="243">
        <f>IF(OR($C13="",$F13=""),"",DATE(YEAR($P$6),MONTH($P$6),MIN($F13,DAY((DATE(YEAR($P$6),MONTH($P$6)+1,1)-1)))))</f>
        <v/>
      </c>
      <c r="Z133" s="110">
        <f>IF($C13="","",IF($D13="Доход","Доход","Расход"))</f>
        <v/>
      </c>
      <c r="AA133" s="110">
        <f>IF($C13="","",$E13)</f>
        <v/>
      </c>
      <c r="AB133" s="110">
        <f>IF($C13="",0,IF(AND(OR($I13="",$I13&lt;=(DATE(YEAR($P$6),MONTH($P$6)+1,1)-1)),OR($J13="",$J13&gt;=$P$6),MOD((YEAR($P$6)*12+MONTH($P$6))-(YEAR(IF($I13="",$L$6,$I13))*12+MONTH(IF($I13="",$L$6,$I13))),MAX(1,N($H13)))=0),N($G13),0))</f>
        <v/>
      </c>
      <c r="AC133" s="110">
        <f>IF($C13="",0,IF(P13="✓",N($G13),IF(ISNUMBER(P13),P13,0)))</f>
        <v/>
      </c>
      <c r="AD133" s="243">
        <f>IF($C13="","",$P$6)</f>
        <v/>
      </c>
      <c r="AE133" s="110">
        <f>IF($C13="","",$K13)</f>
        <v/>
      </c>
    </row>
    <row r="134">
      <c r="Y134" s="243">
        <f>IF(OR($C14="",$F14=""),"",DATE(YEAR($P$6),MONTH($P$6),MIN($F14,DAY((DATE(YEAR($P$6),MONTH($P$6)+1,1)-1)))))</f>
        <v/>
      </c>
      <c r="Z134" s="110">
        <f>IF($C14="","",IF($D14="Доход","Доход","Расход"))</f>
        <v/>
      </c>
      <c r="AA134" s="110">
        <f>IF($C14="","",$E14)</f>
        <v/>
      </c>
      <c r="AB134" s="110">
        <f>IF($C14="",0,IF(AND(OR($I14="",$I14&lt;=(DATE(YEAR($P$6),MONTH($P$6)+1,1)-1)),OR($J14="",$J14&gt;=$P$6),MOD((YEAR($P$6)*12+MONTH($P$6))-(YEAR(IF($I14="",$L$6,$I14))*12+MONTH(IF($I14="",$L$6,$I14))),MAX(1,N($H14)))=0),N($G14),0))</f>
        <v/>
      </c>
      <c r="AC134" s="110">
        <f>IF($C14="",0,IF(P14="✓",N($G14),IF(ISNUMBER(P14),P14,0)))</f>
        <v/>
      </c>
      <c r="AD134" s="243">
        <f>IF($C14="","",$P$6)</f>
        <v/>
      </c>
      <c r="AE134" s="110">
        <f>IF($C14="","",$K14)</f>
        <v/>
      </c>
    </row>
    <row r="135">
      <c r="Y135" s="243">
        <f>IF(OR($C15="",$F15=""),"",DATE(YEAR($P$6),MONTH($P$6),MIN($F15,DAY((DATE(YEAR($P$6),MONTH($P$6)+1,1)-1)))))</f>
        <v/>
      </c>
      <c r="Z135" s="110">
        <f>IF($C15="","",IF($D15="Доход","Доход","Расход"))</f>
        <v/>
      </c>
      <c r="AA135" s="110">
        <f>IF($C15="","",$E15)</f>
        <v/>
      </c>
      <c r="AB135" s="110">
        <f>IF($C15="",0,IF(AND(OR($I15="",$I15&lt;=(DATE(YEAR($P$6),MONTH($P$6)+1,1)-1)),OR($J15="",$J15&gt;=$P$6),MOD((YEAR($P$6)*12+MONTH($P$6))-(YEAR(IF($I15="",$L$6,$I15))*12+MONTH(IF($I15="",$L$6,$I15))),MAX(1,N($H15)))=0),N($G15),0))</f>
        <v/>
      </c>
      <c r="AC135" s="110">
        <f>IF($C15="",0,IF(P15="✓",N($G15),IF(ISNUMBER(P15),P15,0)))</f>
        <v/>
      </c>
      <c r="AD135" s="243">
        <f>IF($C15="","",$P$6)</f>
        <v/>
      </c>
      <c r="AE135" s="110">
        <f>IF($C15="","",$K15)</f>
        <v/>
      </c>
    </row>
    <row r="136">
      <c r="Y136" s="243">
        <f>IF(OR($C16="",$F16=""),"",DATE(YEAR($P$6),MONTH($P$6),MIN($F16,DAY((DATE(YEAR($P$6),MONTH($P$6)+1,1)-1)))))</f>
        <v/>
      </c>
      <c r="Z136" s="110">
        <f>IF($C16="","",IF($D16="Доход","Доход","Расход"))</f>
        <v/>
      </c>
      <c r="AA136" s="110">
        <f>IF($C16="","",$E16)</f>
        <v/>
      </c>
      <c r="AB136" s="110">
        <f>IF($C16="",0,IF(AND(OR($I16="",$I16&lt;=(DATE(YEAR($P$6),MONTH($P$6)+1,1)-1)),OR($J16="",$J16&gt;=$P$6),MOD((YEAR($P$6)*12+MONTH($P$6))-(YEAR(IF($I16="",$L$6,$I16))*12+MONTH(IF($I16="",$L$6,$I16))),MAX(1,N($H16)))=0),N($G16),0))</f>
        <v/>
      </c>
      <c r="AC136" s="110">
        <f>IF($C16="",0,IF(P16="✓",N($G16),IF(ISNUMBER(P16),P16,0)))</f>
        <v/>
      </c>
      <c r="AD136" s="243">
        <f>IF($C16="","",$P$6)</f>
        <v/>
      </c>
      <c r="AE136" s="110">
        <f>IF($C16="","",$K16)</f>
        <v/>
      </c>
    </row>
    <row r="137">
      <c r="Y137" s="243">
        <f>IF(OR($C17="",$F17=""),"",DATE(YEAR($P$6),MONTH($P$6),MIN($F17,DAY((DATE(YEAR($P$6),MONTH($P$6)+1,1)-1)))))</f>
        <v/>
      </c>
      <c r="Z137" s="110">
        <f>IF($C17="","",IF($D17="Доход","Доход","Расход"))</f>
        <v/>
      </c>
      <c r="AA137" s="110">
        <f>IF($C17="","",$E17)</f>
        <v/>
      </c>
      <c r="AB137" s="110">
        <f>IF($C17="",0,IF(AND(OR($I17="",$I17&lt;=(DATE(YEAR($P$6),MONTH($P$6)+1,1)-1)),OR($J17="",$J17&gt;=$P$6),MOD((YEAR($P$6)*12+MONTH($P$6))-(YEAR(IF($I17="",$L$6,$I17))*12+MONTH(IF($I17="",$L$6,$I17))),MAX(1,N($H17)))=0),N($G17),0))</f>
        <v/>
      </c>
      <c r="AC137" s="110">
        <f>IF($C17="",0,IF(P17="✓",N($G17),IF(ISNUMBER(P17),P17,0)))</f>
        <v/>
      </c>
      <c r="AD137" s="243">
        <f>IF($C17="","",$P$6)</f>
        <v/>
      </c>
      <c r="AE137" s="110">
        <f>IF($C17="","",$K17)</f>
        <v/>
      </c>
    </row>
    <row r="138">
      <c r="Y138" s="243">
        <f>IF(OR($C18="",$F18=""),"",DATE(YEAR($P$6),MONTH($P$6),MIN($F18,DAY((DATE(YEAR($P$6),MONTH($P$6)+1,1)-1)))))</f>
        <v/>
      </c>
      <c r="Z138" s="110">
        <f>IF($C18="","",IF($D18="Доход","Доход","Расход"))</f>
        <v/>
      </c>
      <c r="AA138" s="110">
        <f>IF($C18="","",$E18)</f>
        <v/>
      </c>
      <c r="AB138" s="110">
        <f>IF($C18="",0,IF(AND(OR($I18="",$I18&lt;=(DATE(YEAR($P$6),MONTH($P$6)+1,1)-1)),OR($J18="",$J18&gt;=$P$6),MOD((YEAR($P$6)*12+MONTH($P$6))-(YEAR(IF($I18="",$L$6,$I18))*12+MONTH(IF($I18="",$L$6,$I18))),MAX(1,N($H18)))=0),N($G18),0))</f>
        <v/>
      </c>
      <c r="AC138" s="110">
        <f>IF($C18="",0,IF(P18="✓",N($G18),IF(ISNUMBER(P18),P18,0)))</f>
        <v/>
      </c>
      <c r="AD138" s="243">
        <f>IF($C18="","",$P$6)</f>
        <v/>
      </c>
      <c r="AE138" s="110">
        <f>IF($C18="","",$K18)</f>
        <v/>
      </c>
    </row>
    <row r="139">
      <c r="Y139" s="243">
        <f>IF(OR($C19="",$F19=""),"",DATE(YEAR($P$6),MONTH($P$6),MIN($F19,DAY((DATE(YEAR($P$6),MONTH($P$6)+1,1)-1)))))</f>
        <v/>
      </c>
      <c r="Z139" s="110">
        <f>IF($C19="","",IF($D19="Доход","Доход","Расход"))</f>
        <v/>
      </c>
      <c r="AA139" s="110">
        <f>IF($C19="","",$E19)</f>
        <v/>
      </c>
      <c r="AB139" s="110">
        <f>IF($C19="",0,IF(AND(OR($I19="",$I19&lt;=(DATE(YEAR($P$6),MONTH($P$6)+1,1)-1)),OR($J19="",$J19&gt;=$P$6),MOD((YEAR($P$6)*12+MONTH($P$6))-(YEAR(IF($I19="",$L$6,$I19))*12+MONTH(IF($I19="",$L$6,$I19))),MAX(1,N($H19)))=0),N($G19),0))</f>
        <v/>
      </c>
      <c r="AC139" s="110">
        <f>IF($C19="",0,IF(P19="✓",N($G19),IF(ISNUMBER(P19),P19,0)))</f>
        <v/>
      </c>
      <c r="AD139" s="243">
        <f>IF($C19="","",$P$6)</f>
        <v/>
      </c>
      <c r="AE139" s="110">
        <f>IF($C19="","",$K19)</f>
        <v/>
      </c>
    </row>
    <row r="140">
      <c r="Y140" s="243">
        <f>IF(OR($C20="",$F20=""),"",DATE(YEAR($P$6),MONTH($P$6),MIN($F20,DAY((DATE(YEAR($P$6),MONTH($P$6)+1,1)-1)))))</f>
        <v/>
      </c>
      <c r="Z140" s="110">
        <f>IF($C20="","",IF($D20="Доход","Доход","Расход"))</f>
        <v/>
      </c>
      <c r="AA140" s="110">
        <f>IF($C20="","",$E20)</f>
        <v/>
      </c>
      <c r="AB140" s="110">
        <f>IF($C20="",0,IF(AND(OR($I20="",$I20&lt;=(DATE(YEAR($P$6),MONTH($P$6)+1,1)-1)),OR($J20="",$J20&gt;=$P$6),MOD((YEAR($P$6)*12+MONTH($P$6))-(YEAR(IF($I20="",$L$6,$I20))*12+MONTH(IF($I20="",$L$6,$I20))),MAX(1,N($H20)))=0),N($G20),0))</f>
        <v/>
      </c>
      <c r="AC140" s="110">
        <f>IF($C20="",0,IF(P20="✓",N($G20),IF(ISNUMBER(P20),P20,0)))</f>
        <v/>
      </c>
      <c r="AD140" s="243">
        <f>IF($C20="","",$P$6)</f>
        <v/>
      </c>
      <c r="AE140" s="110">
        <f>IF($C20="","",$K20)</f>
        <v/>
      </c>
    </row>
    <row r="141">
      <c r="Y141" s="243">
        <f>IF(OR($C21="",$F21=""),"",DATE(YEAR($P$6),MONTH($P$6),MIN($F21,DAY((DATE(YEAR($P$6),MONTH($P$6)+1,1)-1)))))</f>
        <v/>
      </c>
      <c r="Z141" s="110">
        <f>IF($C21="","",IF($D21="Доход","Доход","Расход"))</f>
        <v/>
      </c>
      <c r="AA141" s="110">
        <f>IF($C21="","",$E21)</f>
        <v/>
      </c>
      <c r="AB141" s="110">
        <f>IF($C21="",0,IF(AND(OR($I21="",$I21&lt;=(DATE(YEAR($P$6),MONTH($P$6)+1,1)-1)),OR($J21="",$J21&gt;=$P$6),MOD((YEAR($P$6)*12+MONTH($P$6))-(YEAR(IF($I21="",$L$6,$I21))*12+MONTH(IF($I21="",$L$6,$I21))),MAX(1,N($H21)))=0),N($G21),0))</f>
        <v/>
      </c>
      <c r="AC141" s="110">
        <f>IF($C21="",0,IF(P21="✓",N($G21),IF(ISNUMBER(P21),P21,0)))</f>
        <v/>
      </c>
      <c r="AD141" s="243">
        <f>IF($C21="","",$P$6)</f>
        <v/>
      </c>
      <c r="AE141" s="110">
        <f>IF($C21="","",$K21)</f>
        <v/>
      </c>
    </row>
    <row r="142">
      <c r="Y142" s="243">
        <f>IF(OR($C22="",$F22=""),"",DATE(YEAR($P$6),MONTH($P$6),MIN($F22,DAY((DATE(YEAR($P$6),MONTH($P$6)+1,1)-1)))))</f>
        <v/>
      </c>
      <c r="Z142" s="110">
        <f>IF($C22="","",IF($D22="Доход","Доход","Расход"))</f>
        <v/>
      </c>
      <c r="AA142" s="110">
        <f>IF($C22="","",$E22)</f>
        <v/>
      </c>
      <c r="AB142" s="110">
        <f>IF($C22="",0,IF(AND(OR($I22="",$I22&lt;=(DATE(YEAR($P$6),MONTH($P$6)+1,1)-1)),OR($J22="",$J22&gt;=$P$6),MOD((YEAR($P$6)*12+MONTH($P$6))-(YEAR(IF($I22="",$L$6,$I22))*12+MONTH(IF($I22="",$L$6,$I22))),MAX(1,N($H22)))=0),N($G22),0))</f>
        <v/>
      </c>
      <c r="AC142" s="110">
        <f>IF($C22="",0,IF(P22="✓",N($G22),IF(ISNUMBER(P22),P22,0)))</f>
        <v/>
      </c>
      <c r="AD142" s="243">
        <f>IF($C22="","",$P$6)</f>
        <v/>
      </c>
      <c r="AE142" s="110">
        <f>IF($C22="","",$K22)</f>
        <v/>
      </c>
    </row>
    <row r="143">
      <c r="Y143" s="243">
        <f>IF(OR($C23="",$F23=""),"",DATE(YEAR($P$6),MONTH($P$6),MIN($F23,DAY((DATE(YEAR($P$6),MONTH($P$6)+1,1)-1)))))</f>
        <v/>
      </c>
      <c r="Z143" s="110">
        <f>IF($C23="","",IF($D23="Доход","Доход","Расход"))</f>
        <v/>
      </c>
      <c r="AA143" s="110">
        <f>IF($C23="","",$E23)</f>
        <v/>
      </c>
      <c r="AB143" s="110">
        <f>IF($C23="",0,IF(AND(OR($I23="",$I23&lt;=(DATE(YEAR($P$6),MONTH($P$6)+1,1)-1)),OR($J23="",$J23&gt;=$P$6),MOD((YEAR($P$6)*12+MONTH($P$6))-(YEAR(IF($I23="",$L$6,$I23))*12+MONTH(IF($I23="",$L$6,$I23))),MAX(1,N($H23)))=0),N($G23),0))</f>
        <v/>
      </c>
      <c r="AC143" s="110">
        <f>IF($C23="",0,IF(P23="✓",N($G23),IF(ISNUMBER(P23),P23,0)))</f>
        <v/>
      </c>
      <c r="AD143" s="243">
        <f>IF($C23="","",$P$6)</f>
        <v/>
      </c>
      <c r="AE143" s="110">
        <f>IF($C23="","",$K23)</f>
        <v/>
      </c>
    </row>
    <row r="144">
      <c r="Y144" s="243">
        <f>IF(OR($C24="",$F24=""),"",DATE(YEAR($P$6),MONTH($P$6),MIN($F24,DAY((DATE(YEAR($P$6),MONTH($P$6)+1,1)-1)))))</f>
        <v/>
      </c>
      <c r="Z144" s="110">
        <f>IF($C24="","",IF($D24="Доход","Доход","Расход"))</f>
        <v/>
      </c>
      <c r="AA144" s="110">
        <f>IF($C24="","",$E24)</f>
        <v/>
      </c>
      <c r="AB144" s="110">
        <f>IF($C24="",0,IF(AND(OR($I24="",$I24&lt;=(DATE(YEAR($P$6),MONTH($P$6)+1,1)-1)),OR($J24="",$J24&gt;=$P$6),MOD((YEAR($P$6)*12+MONTH($P$6))-(YEAR(IF($I24="",$L$6,$I24))*12+MONTH(IF($I24="",$L$6,$I24))),MAX(1,N($H24)))=0),N($G24),0))</f>
        <v/>
      </c>
      <c r="AC144" s="110">
        <f>IF($C24="",0,IF(P24="✓",N($G24),IF(ISNUMBER(P24),P24,0)))</f>
        <v/>
      </c>
      <c r="AD144" s="243">
        <f>IF($C24="","",$P$6)</f>
        <v/>
      </c>
      <c r="AE144" s="110">
        <f>IF($C24="","",$K24)</f>
        <v/>
      </c>
    </row>
    <row r="145">
      <c r="Y145" s="243">
        <f>IF(OR($C25="",$F25=""),"",DATE(YEAR($P$6),MONTH($P$6),MIN($F25,DAY((DATE(YEAR($P$6),MONTH($P$6)+1,1)-1)))))</f>
        <v/>
      </c>
      <c r="Z145" s="110">
        <f>IF($C25="","",IF($D25="Доход","Доход","Расход"))</f>
        <v/>
      </c>
      <c r="AA145" s="110">
        <f>IF($C25="","",$E25)</f>
        <v/>
      </c>
      <c r="AB145" s="110">
        <f>IF($C25="",0,IF(AND(OR($I25="",$I25&lt;=(DATE(YEAR($P$6),MONTH($P$6)+1,1)-1)),OR($J25="",$J25&gt;=$P$6),MOD((YEAR($P$6)*12+MONTH($P$6))-(YEAR(IF($I25="",$L$6,$I25))*12+MONTH(IF($I25="",$L$6,$I25))),MAX(1,N($H25)))=0),N($G25),0))</f>
        <v/>
      </c>
      <c r="AC145" s="110">
        <f>IF($C25="",0,IF(P25="✓",N($G25),IF(ISNUMBER(P25),P25,0)))</f>
        <v/>
      </c>
      <c r="AD145" s="243">
        <f>IF($C25="","",$P$6)</f>
        <v/>
      </c>
      <c r="AE145" s="110">
        <f>IF($C25="","",$K25)</f>
        <v/>
      </c>
    </row>
    <row r="146">
      <c r="Y146" s="243">
        <f>IF(OR($C26="",$F26=""),"",DATE(YEAR($P$6),MONTH($P$6),MIN($F26,DAY((DATE(YEAR($P$6),MONTH($P$6)+1,1)-1)))))</f>
        <v/>
      </c>
      <c r="Z146" s="110">
        <f>IF($C26="","",IF($D26="Доход","Доход","Расход"))</f>
        <v/>
      </c>
      <c r="AA146" s="110">
        <f>IF($C26="","",$E26)</f>
        <v/>
      </c>
      <c r="AB146" s="110">
        <f>IF($C26="",0,IF(AND(OR($I26="",$I26&lt;=(DATE(YEAR($P$6),MONTH($P$6)+1,1)-1)),OR($J26="",$J26&gt;=$P$6),MOD((YEAR($P$6)*12+MONTH($P$6))-(YEAR(IF($I26="",$L$6,$I26))*12+MONTH(IF($I26="",$L$6,$I26))),MAX(1,N($H26)))=0),N($G26),0))</f>
        <v/>
      </c>
      <c r="AC146" s="110">
        <f>IF($C26="",0,IF(P26="✓",N($G26),IF(ISNUMBER(P26),P26,0)))</f>
        <v/>
      </c>
      <c r="AD146" s="243">
        <f>IF($C26="","",$P$6)</f>
        <v/>
      </c>
      <c r="AE146" s="110">
        <f>IF($C26="","",$K26)</f>
        <v/>
      </c>
    </row>
    <row r="147">
      <c r="Y147" s="243">
        <f>IF(OR($C27="",$F27=""),"",DATE(YEAR($P$6),MONTH($P$6),MIN($F27,DAY((DATE(YEAR($P$6),MONTH($P$6)+1,1)-1)))))</f>
        <v/>
      </c>
      <c r="Z147" s="110">
        <f>IF($C27="","",IF($D27="Доход","Доход","Расход"))</f>
        <v/>
      </c>
      <c r="AA147" s="110">
        <f>IF($C27="","",$E27)</f>
        <v/>
      </c>
      <c r="AB147" s="110">
        <f>IF($C27="",0,IF(AND(OR($I27="",$I27&lt;=(DATE(YEAR($P$6),MONTH($P$6)+1,1)-1)),OR($J27="",$J27&gt;=$P$6),MOD((YEAR($P$6)*12+MONTH($P$6))-(YEAR(IF($I27="",$L$6,$I27))*12+MONTH(IF($I27="",$L$6,$I27))),MAX(1,N($H27)))=0),N($G27),0))</f>
        <v/>
      </c>
      <c r="AC147" s="110">
        <f>IF($C27="",0,IF(P27="✓",N($G27),IF(ISNUMBER(P27),P27,0)))</f>
        <v/>
      </c>
      <c r="AD147" s="243">
        <f>IF($C27="","",$P$6)</f>
        <v/>
      </c>
      <c r="AE147" s="110">
        <f>IF($C27="","",$K27)</f>
        <v/>
      </c>
    </row>
    <row r="148">
      <c r="Y148" s="243">
        <f>IF(OR($C28="",$F28=""),"",DATE(YEAR($P$6),MONTH($P$6),MIN($F28,DAY((DATE(YEAR($P$6),MONTH($P$6)+1,1)-1)))))</f>
        <v/>
      </c>
      <c r="Z148" s="110">
        <f>IF($C28="","",IF($D28="Доход","Доход","Расход"))</f>
        <v/>
      </c>
      <c r="AA148" s="110">
        <f>IF($C28="","",$E28)</f>
        <v/>
      </c>
      <c r="AB148" s="110">
        <f>IF($C28="",0,IF(AND(OR($I28="",$I28&lt;=(DATE(YEAR($P$6),MONTH($P$6)+1,1)-1)),OR($J28="",$J28&gt;=$P$6),MOD((YEAR($P$6)*12+MONTH($P$6))-(YEAR(IF($I28="",$L$6,$I28))*12+MONTH(IF($I28="",$L$6,$I28))),MAX(1,N($H28)))=0),N($G28),0))</f>
        <v/>
      </c>
      <c r="AC148" s="110">
        <f>IF($C28="",0,IF(P28="✓",N($G28),IF(ISNUMBER(P28),P28,0)))</f>
        <v/>
      </c>
      <c r="AD148" s="243">
        <f>IF($C28="","",$P$6)</f>
        <v/>
      </c>
      <c r="AE148" s="110">
        <f>IF($C28="","",$K28)</f>
        <v/>
      </c>
    </row>
    <row r="149">
      <c r="Y149" s="243">
        <f>IF(OR($C29="",$F29=""),"",DATE(YEAR($P$6),MONTH($P$6),MIN($F29,DAY((DATE(YEAR($P$6),MONTH($P$6)+1,1)-1)))))</f>
        <v/>
      </c>
      <c r="Z149" s="110">
        <f>IF($C29="","",IF($D29="Доход","Доход","Расход"))</f>
        <v/>
      </c>
      <c r="AA149" s="110">
        <f>IF($C29="","",$E29)</f>
        <v/>
      </c>
      <c r="AB149" s="110">
        <f>IF($C29="",0,IF(AND(OR($I29="",$I29&lt;=(DATE(YEAR($P$6),MONTH($P$6)+1,1)-1)),OR($J29="",$J29&gt;=$P$6),MOD((YEAR($P$6)*12+MONTH($P$6))-(YEAR(IF($I29="",$L$6,$I29))*12+MONTH(IF($I29="",$L$6,$I29))),MAX(1,N($H29)))=0),N($G29),0))</f>
        <v/>
      </c>
      <c r="AC149" s="110">
        <f>IF($C29="",0,IF(P29="✓",N($G29),IF(ISNUMBER(P29),P29,0)))</f>
        <v/>
      </c>
      <c r="AD149" s="243">
        <f>IF($C29="","",$P$6)</f>
        <v/>
      </c>
      <c r="AE149" s="110">
        <f>IF($C29="","",$K29)</f>
        <v/>
      </c>
    </row>
    <row r="150">
      <c r="Y150" s="243">
        <f>IF(OR($C30="",$F30=""),"",DATE(YEAR($P$6),MONTH($P$6),MIN($F30,DAY((DATE(YEAR($P$6),MONTH($P$6)+1,1)-1)))))</f>
        <v/>
      </c>
      <c r="Z150" s="110">
        <f>IF($C30="","",IF($D30="Доход","Доход","Расход"))</f>
        <v/>
      </c>
      <c r="AA150" s="110">
        <f>IF($C30="","",$E30)</f>
        <v/>
      </c>
      <c r="AB150" s="110">
        <f>IF($C30="",0,IF(AND(OR($I30="",$I30&lt;=(DATE(YEAR($P$6),MONTH($P$6)+1,1)-1)),OR($J30="",$J30&gt;=$P$6),MOD((YEAR($P$6)*12+MONTH($P$6))-(YEAR(IF($I30="",$L$6,$I30))*12+MONTH(IF($I30="",$L$6,$I30))),MAX(1,N($H30)))=0),N($G30),0))</f>
        <v/>
      </c>
      <c r="AC150" s="110">
        <f>IF($C30="",0,IF(P30="✓",N($G30),IF(ISNUMBER(P30),P30,0)))</f>
        <v/>
      </c>
      <c r="AD150" s="243">
        <f>IF($C30="","",$P$6)</f>
        <v/>
      </c>
      <c r="AE150" s="110">
        <f>IF($C30="","",$K30)</f>
        <v/>
      </c>
    </row>
    <row r="151">
      <c r="Y151" s="243">
        <f>IF(OR($C31="",$F31=""),"",DATE(YEAR($P$6),MONTH($P$6),MIN($F31,DAY((DATE(YEAR($P$6),MONTH($P$6)+1,1)-1)))))</f>
        <v/>
      </c>
      <c r="Z151" s="110">
        <f>IF($C31="","",IF($D31="Доход","Доход","Расход"))</f>
        <v/>
      </c>
      <c r="AA151" s="110">
        <f>IF($C31="","",$E31)</f>
        <v/>
      </c>
      <c r="AB151" s="110">
        <f>IF($C31="",0,IF(AND(OR($I31="",$I31&lt;=(DATE(YEAR($P$6),MONTH($P$6)+1,1)-1)),OR($J31="",$J31&gt;=$P$6),MOD((YEAR($P$6)*12+MONTH($P$6))-(YEAR(IF($I31="",$L$6,$I31))*12+MONTH(IF($I31="",$L$6,$I31))),MAX(1,N($H31)))=0),N($G31),0))</f>
        <v/>
      </c>
      <c r="AC151" s="110">
        <f>IF($C31="",0,IF(P31="✓",N($G31),IF(ISNUMBER(P31),P31,0)))</f>
        <v/>
      </c>
      <c r="AD151" s="243">
        <f>IF($C31="","",$P$6)</f>
        <v/>
      </c>
      <c r="AE151" s="110">
        <f>IF($C31="","",$K31)</f>
        <v/>
      </c>
    </row>
    <row r="152">
      <c r="Y152" s="243">
        <f>IF(OR($C32="",$F32=""),"",DATE(YEAR($P$6),MONTH($P$6),MIN($F32,DAY((DATE(YEAR($P$6),MONTH($P$6)+1,1)-1)))))</f>
        <v/>
      </c>
      <c r="Z152" s="110">
        <f>IF($C32="","",IF($D32="Доход","Доход","Расход"))</f>
        <v/>
      </c>
      <c r="AA152" s="110">
        <f>IF($C32="","",$E32)</f>
        <v/>
      </c>
      <c r="AB152" s="110">
        <f>IF($C32="",0,IF(AND(OR($I32="",$I32&lt;=(DATE(YEAR($P$6),MONTH($P$6)+1,1)-1)),OR($J32="",$J32&gt;=$P$6),MOD((YEAR($P$6)*12+MONTH($P$6))-(YEAR(IF($I32="",$L$6,$I32))*12+MONTH(IF($I32="",$L$6,$I32))),MAX(1,N($H32)))=0),N($G32),0))</f>
        <v/>
      </c>
      <c r="AC152" s="110">
        <f>IF($C32="",0,IF(P32="✓",N($G32),IF(ISNUMBER(P32),P32,0)))</f>
        <v/>
      </c>
      <c r="AD152" s="243">
        <f>IF($C32="","",$P$6)</f>
        <v/>
      </c>
      <c r="AE152" s="110">
        <f>IF($C32="","",$K32)</f>
        <v/>
      </c>
    </row>
    <row r="153">
      <c r="Y153" s="243">
        <f>IF(OR($C33="",$F33=""),"",DATE(YEAR($P$6),MONTH($P$6),MIN($F33,DAY((DATE(YEAR($P$6),MONTH($P$6)+1,1)-1)))))</f>
        <v/>
      </c>
      <c r="Z153" s="110">
        <f>IF($C33="","",IF($D33="Доход","Доход","Расход"))</f>
        <v/>
      </c>
      <c r="AA153" s="110">
        <f>IF($C33="","",$E33)</f>
        <v/>
      </c>
      <c r="AB153" s="110">
        <f>IF($C33="",0,IF(AND(OR($I33="",$I33&lt;=(DATE(YEAR($P$6),MONTH($P$6)+1,1)-1)),OR($J33="",$J33&gt;=$P$6),MOD((YEAR($P$6)*12+MONTH($P$6))-(YEAR(IF($I33="",$L$6,$I33))*12+MONTH(IF($I33="",$L$6,$I33))),MAX(1,N($H33)))=0),N($G33),0))</f>
        <v/>
      </c>
      <c r="AC153" s="110">
        <f>IF($C33="",0,IF(P33="✓",N($G33),IF(ISNUMBER(P33),P33,0)))</f>
        <v/>
      </c>
      <c r="AD153" s="243">
        <f>IF($C33="","",$P$6)</f>
        <v/>
      </c>
      <c r="AE153" s="110">
        <f>IF($C33="","",$K33)</f>
        <v/>
      </c>
    </row>
    <row r="154">
      <c r="Y154" s="243">
        <f>IF(OR($C34="",$F34=""),"",DATE(YEAR($P$6),MONTH($P$6),MIN($F34,DAY((DATE(YEAR($P$6),MONTH($P$6)+1,1)-1)))))</f>
        <v/>
      </c>
      <c r="Z154" s="110">
        <f>IF($C34="","",IF($D34="Доход","Доход","Расход"))</f>
        <v/>
      </c>
      <c r="AA154" s="110">
        <f>IF($C34="","",$E34)</f>
        <v/>
      </c>
      <c r="AB154" s="110">
        <f>IF($C34="",0,IF(AND(OR($I34="",$I34&lt;=(DATE(YEAR($P$6),MONTH($P$6)+1,1)-1)),OR($J34="",$J34&gt;=$P$6),MOD((YEAR($P$6)*12+MONTH($P$6))-(YEAR(IF($I34="",$L$6,$I34))*12+MONTH(IF($I34="",$L$6,$I34))),MAX(1,N($H34)))=0),N($G34),0))</f>
        <v/>
      </c>
      <c r="AC154" s="110">
        <f>IF($C34="",0,IF(P34="✓",N($G34),IF(ISNUMBER(P34),P34,0)))</f>
        <v/>
      </c>
      <c r="AD154" s="243">
        <f>IF($C34="","",$P$6)</f>
        <v/>
      </c>
      <c r="AE154" s="110">
        <f>IF($C34="","",$K34)</f>
        <v/>
      </c>
    </row>
    <row r="155">
      <c r="Y155" s="243">
        <f>IF(OR($C35="",$F35=""),"",DATE(YEAR($P$6),MONTH($P$6),MIN($F35,DAY((DATE(YEAR($P$6),MONTH($P$6)+1,1)-1)))))</f>
        <v/>
      </c>
      <c r="Z155" s="110">
        <f>IF($C35="","",IF($D35="Доход","Доход","Расход"))</f>
        <v/>
      </c>
      <c r="AA155" s="110">
        <f>IF($C35="","",$E35)</f>
        <v/>
      </c>
      <c r="AB155" s="110">
        <f>IF($C35="",0,IF(AND(OR($I35="",$I35&lt;=(DATE(YEAR($P$6),MONTH($P$6)+1,1)-1)),OR($J35="",$J35&gt;=$P$6),MOD((YEAR($P$6)*12+MONTH($P$6))-(YEAR(IF($I35="",$L$6,$I35))*12+MONTH(IF($I35="",$L$6,$I35))),MAX(1,N($H35)))=0),N($G35),0))</f>
        <v/>
      </c>
      <c r="AC155" s="110">
        <f>IF($C35="",0,IF(P35="✓",N($G35),IF(ISNUMBER(P35),P35,0)))</f>
        <v/>
      </c>
      <c r="AD155" s="243">
        <f>IF($C35="","",$P$6)</f>
        <v/>
      </c>
      <c r="AE155" s="110">
        <f>IF($C35="","",$K35)</f>
        <v/>
      </c>
    </row>
    <row r="156">
      <c r="Y156" s="243">
        <f>IF(OR($C36="",$F36=""),"",DATE(YEAR($P$6),MONTH($P$6),MIN($F36,DAY((DATE(YEAR($P$6),MONTH($P$6)+1,1)-1)))))</f>
        <v/>
      </c>
      <c r="Z156" s="110">
        <f>IF($C36="","",IF($D36="Доход","Доход","Расход"))</f>
        <v/>
      </c>
      <c r="AA156" s="110">
        <f>IF($C36="","",$E36)</f>
        <v/>
      </c>
      <c r="AB156" s="110">
        <f>IF($C36="",0,IF(AND(OR($I36="",$I36&lt;=(DATE(YEAR($P$6),MONTH($P$6)+1,1)-1)),OR($J36="",$J36&gt;=$P$6),MOD((YEAR($P$6)*12+MONTH($P$6))-(YEAR(IF($I36="",$L$6,$I36))*12+MONTH(IF($I36="",$L$6,$I36))),MAX(1,N($H36)))=0),N($G36),0))</f>
        <v/>
      </c>
      <c r="AC156" s="110">
        <f>IF($C36="",0,IF(P36="✓",N($G36),IF(ISNUMBER(P36),P36,0)))</f>
        <v/>
      </c>
      <c r="AD156" s="243">
        <f>IF($C36="","",$P$6)</f>
        <v/>
      </c>
      <c r="AE156" s="110">
        <f>IF($C36="","",$K36)</f>
        <v/>
      </c>
    </row>
    <row r="157">
      <c r="Y157" s="243">
        <f>IF(OR($C37="",$F37=""),"",DATE(YEAR($P$6),MONTH($P$6),MIN($F37,DAY((DATE(YEAR($P$6),MONTH($P$6)+1,1)-1)))))</f>
        <v/>
      </c>
      <c r="Z157" s="110">
        <f>IF($C37="","",IF($D37="Доход","Доход","Расход"))</f>
        <v/>
      </c>
      <c r="AA157" s="110">
        <f>IF($C37="","",$E37)</f>
        <v/>
      </c>
      <c r="AB157" s="110">
        <f>IF($C37="",0,IF(AND(OR($I37="",$I37&lt;=(DATE(YEAR($P$6),MONTH($P$6)+1,1)-1)),OR($J37="",$J37&gt;=$P$6),MOD((YEAR($P$6)*12+MONTH($P$6))-(YEAR(IF($I37="",$L$6,$I37))*12+MONTH(IF($I37="",$L$6,$I37))),MAX(1,N($H37)))=0),N($G37),0))</f>
        <v/>
      </c>
      <c r="AC157" s="110">
        <f>IF($C37="",0,IF(P37="✓",N($G37),IF(ISNUMBER(P37),P37,0)))</f>
        <v/>
      </c>
      <c r="AD157" s="243">
        <f>IF($C37="","",$P$6)</f>
        <v/>
      </c>
      <c r="AE157" s="110">
        <f>IF($C37="","",$K37)</f>
        <v/>
      </c>
    </row>
    <row r="158">
      <c r="Y158" s="243">
        <f>IF(OR($C8="",$F8=""),"",DATE(YEAR($Q$6),MONTH($Q$6),MIN($F8,DAY((DATE(YEAR($Q$6),MONTH($Q$6)+1,1)-1)))))</f>
        <v/>
      </c>
      <c r="Z158" s="110">
        <f>IF($C8="","",IF($D8="Доход","Доход","Расход"))</f>
        <v/>
      </c>
      <c r="AA158" s="110">
        <f>IF($C8="","",$E8)</f>
        <v/>
      </c>
      <c r="AB158" s="110">
        <f>IF($C8="",0,IF(AND(OR($I8="",$I8&lt;=(DATE(YEAR($Q$6),MONTH($Q$6)+1,1)-1)),OR($J8="",$J8&gt;=$Q$6),MOD((YEAR($Q$6)*12+MONTH($Q$6))-(YEAR(IF($I8="",$L$6,$I8))*12+MONTH(IF($I8="",$L$6,$I8))),MAX(1,N($H8)))=0),N($G8),0))</f>
        <v/>
      </c>
      <c r="AC158" s="110">
        <f>IF($C8="",0,IF(Q8="✓",N($G8),IF(ISNUMBER(Q8),Q8,0)))</f>
        <v/>
      </c>
      <c r="AD158" s="243">
        <f>IF($C8="","",$Q$6)</f>
        <v/>
      </c>
      <c r="AE158" s="110">
        <f>IF($C8="","",$K8)</f>
        <v/>
      </c>
    </row>
    <row r="159">
      <c r="Y159" s="243">
        <f>IF(OR($C9="",$F9=""),"",DATE(YEAR($Q$6),MONTH($Q$6),MIN($F9,DAY((DATE(YEAR($Q$6),MONTH($Q$6)+1,1)-1)))))</f>
        <v/>
      </c>
      <c r="Z159" s="110">
        <f>IF($C9="","",IF($D9="Доход","Доход","Расход"))</f>
        <v/>
      </c>
      <c r="AA159" s="110">
        <f>IF($C9="","",$E9)</f>
        <v/>
      </c>
      <c r="AB159" s="110">
        <f>IF($C9="",0,IF(AND(OR($I9="",$I9&lt;=(DATE(YEAR($Q$6),MONTH($Q$6)+1,1)-1)),OR($J9="",$J9&gt;=$Q$6),MOD((YEAR($Q$6)*12+MONTH($Q$6))-(YEAR(IF($I9="",$L$6,$I9))*12+MONTH(IF($I9="",$L$6,$I9))),MAX(1,N($H9)))=0),N($G9),0))</f>
        <v/>
      </c>
      <c r="AC159" s="110">
        <f>IF($C9="",0,IF(Q9="✓",N($G9),IF(ISNUMBER(Q9),Q9,0)))</f>
        <v/>
      </c>
      <c r="AD159" s="243">
        <f>IF($C9="","",$Q$6)</f>
        <v/>
      </c>
      <c r="AE159" s="110">
        <f>IF($C9="","",$K9)</f>
        <v/>
      </c>
    </row>
    <row r="160">
      <c r="Y160" s="243">
        <f>IF(OR($C10="",$F10=""),"",DATE(YEAR($Q$6),MONTH($Q$6),MIN($F10,DAY((DATE(YEAR($Q$6),MONTH($Q$6)+1,1)-1)))))</f>
        <v/>
      </c>
      <c r="Z160" s="110">
        <f>IF($C10="","",IF($D10="Доход","Доход","Расход"))</f>
        <v/>
      </c>
      <c r="AA160" s="110">
        <f>IF($C10="","",$E10)</f>
        <v/>
      </c>
      <c r="AB160" s="110">
        <f>IF($C10="",0,IF(AND(OR($I10="",$I10&lt;=(DATE(YEAR($Q$6),MONTH($Q$6)+1,1)-1)),OR($J10="",$J10&gt;=$Q$6),MOD((YEAR($Q$6)*12+MONTH($Q$6))-(YEAR(IF($I10="",$L$6,$I10))*12+MONTH(IF($I10="",$L$6,$I10))),MAX(1,N($H10)))=0),N($G10),0))</f>
        <v/>
      </c>
      <c r="AC160" s="110">
        <f>IF($C10="",0,IF(Q10="✓",N($G10),IF(ISNUMBER(Q10),Q10,0)))</f>
        <v/>
      </c>
      <c r="AD160" s="243">
        <f>IF($C10="","",$Q$6)</f>
        <v/>
      </c>
      <c r="AE160" s="110">
        <f>IF($C10="","",$K10)</f>
        <v/>
      </c>
    </row>
    <row r="161">
      <c r="Y161" s="243">
        <f>IF(OR($C11="",$F11=""),"",DATE(YEAR($Q$6),MONTH($Q$6),MIN($F11,DAY((DATE(YEAR($Q$6),MONTH($Q$6)+1,1)-1)))))</f>
        <v/>
      </c>
      <c r="Z161" s="110">
        <f>IF($C11="","",IF($D11="Доход","Доход","Расход"))</f>
        <v/>
      </c>
      <c r="AA161" s="110">
        <f>IF($C11="","",$E11)</f>
        <v/>
      </c>
      <c r="AB161" s="110">
        <f>IF($C11="",0,IF(AND(OR($I11="",$I11&lt;=(DATE(YEAR($Q$6),MONTH($Q$6)+1,1)-1)),OR($J11="",$J11&gt;=$Q$6),MOD((YEAR($Q$6)*12+MONTH($Q$6))-(YEAR(IF($I11="",$L$6,$I11))*12+MONTH(IF($I11="",$L$6,$I11))),MAX(1,N($H11)))=0),N($G11),0))</f>
        <v/>
      </c>
      <c r="AC161" s="110">
        <f>IF($C11="",0,IF(Q11="✓",N($G11),IF(ISNUMBER(Q11),Q11,0)))</f>
        <v/>
      </c>
      <c r="AD161" s="243">
        <f>IF($C11="","",$Q$6)</f>
        <v/>
      </c>
      <c r="AE161" s="110">
        <f>IF($C11="","",$K11)</f>
        <v/>
      </c>
    </row>
    <row r="162">
      <c r="Y162" s="243">
        <f>IF(OR($C12="",$F12=""),"",DATE(YEAR($Q$6),MONTH($Q$6),MIN($F12,DAY((DATE(YEAR($Q$6),MONTH($Q$6)+1,1)-1)))))</f>
        <v/>
      </c>
      <c r="Z162" s="110">
        <f>IF($C12="","",IF($D12="Доход","Доход","Расход"))</f>
        <v/>
      </c>
      <c r="AA162" s="110">
        <f>IF($C12="","",$E12)</f>
        <v/>
      </c>
      <c r="AB162" s="110">
        <f>IF($C12="",0,IF(AND(OR($I12="",$I12&lt;=(DATE(YEAR($Q$6),MONTH($Q$6)+1,1)-1)),OR($J12="",$J12&gt;=$Q$6),MOD((YEAR($Q$6)*12+MONTH($Q$6))-(YEAR(IF($I12="",$L$6,$I12))*12+MONTH(IF($I12="",$L$6,$I12))),MAX(1,N($H12)))=0),N($G12),0))</f>
        <v/>
      </c>
      <c r="AC162" s="110">
        <f>IF($C12="",0,IF(Q12="✓",N($G12),IF(ISNUMBER(Q12),Q12,0)))</f>
        <v/>
      </c>
      <c r="AD162" s="243">
        <f>IF($C12="","",$Q$6)</f>
        <v/>
      </c>
      <c r="AE162" s="110">
        <f>IF($C12="","",$K12)</f>
        <v/>
      </c>
    </row>
    <row r="163">
      <c r="Y163" s="243">
        <f>IF(OR($C13="",$F13=""),"",DATE(YEAR($Q$6),MONTH($Q$6),MIN($F13,DAY((DATE(YEAR($Q$6),MONTH($Q$6)+1,1)-1)))))</f>
        <v/>
      </c>
      <c r="Z163" s="110">
        <f>IF($C13="","",IF($D13="Доход","Доход","Расход"))</f>
        <v/>
      </c>
      <c r="AA163" s="110">
        <f>IF($C13="","",$E13)</f>
        <v/>
      </c>
      <c r="AB163" s="110">
        <f>IF($C13="",0,IF(AND(OR($I13="",$I13&lt;=(DATE(YEAR($Q$6),MONTH($Q$6)+1,1)-1)),OR($J13="",$J13&gt;=$Q$6),MOD((YEAR($Q$6)*12+MONTH($Q$6))-(YEAR(IF($I13="",$L$6,$I13))*12+MONTH(IF($I13="",$L$6,$I13))),MAX(1,N($H13)))=0),N($G13),0))</f>
        <v/>
      </c>
      <c r="AC163" s="110">
        <f>IF($C13="",0,IF(Q13="✓",N($G13),IF(ISNUMBER(Q13),Q13,0)))</f>
        <v/>
      </c>
      <c r="AD163" s="243">
        <f>IF($C13="","",$Q$6)</f>
        <v/>
      </c>
      <c r="AE163" s="110">
        <f>IF($C13="","",$K13)</f>
        <v/>
      </c>
    </row>
    <row r="164">
      <c r="Y164" s="243">
        <f>IF(OR($C14="",$F14=""),"",DATE(YEAR($Q$6),MONTH($Q$6),MIN($F14,DAY((DATE(YEAR($Q$6),MONTH($Q$6)+1,1)-1)))))</f>
        <v/>
      </c>
      <c r="Z164" s="110">
        <f>IF($C14="","",IF($D14="Доход","Доход","Расход"))</f>
        <v/>
      </c>
      <c r="AA164" s="110">
        <f>IF($C14="","",$E14)</f>
        <v/>
      </c>
      <c r="AB164" s="110">
        <f>IF($C14="",0,IF(AND(OR($I14="",$I14&lt;=(DATE(YEAR($Q$6),MONTH($Q$6)+1,1)-1)),OR($J14="",$J14&gt;=$Q$6),MOD((YEAR($Q$6)*12+MONTH($Q$6))-(YEAR(IF($I14="",$L$6,$I14))*12+MONTH(IF($I14="",$L$6,$I14))),MAX(1,N($H14)))=0),N($G14),0))</f>
        <v/>
      </c>
      <c r="AC164" s="110">
        <f>IF($C14="",0,IF(Q14="✓",N($G14),IF(ISNUMBER(Q14),Q14,0)))</f>
        <v/>
      </c>
      <c r="AD164" s="243">
        <f>IF($C14="","",$Q$6)</f>
        <v/>
      </c>
      <c r="AE164" s="110">
        <f>IF($C14="","",$K14)</f>
        <v/>
      </c>
    </row>
    <row r="165">
      <c r="Y165" s="243">
        <f>IF(OR($C15="",$F15=""),"",DATE(YEAR($Q$6),MONTH($Q$6),MIN($F15,DAY((DATE(YEAR($Q$6),MONTH($Q$6)+1,1)-1)))))</f>
        <v/>
      </c>
      <c r="Z165" s="110">
        <f>IF($C15="","",IF($D15="Доход","Доход","Расход"))</f>
        <v/>
      </c>
      <c r="AA165" s="110">
        <f>IF($C15="","",$E15)</f>
        <v/>
      </c>
      <c r="AB165" s="110">
        <f>IF($C15="",0,IF(AND(OR($I15="",$I15&lt;=(DATE(YEAR($Q$6),MONTH($Q$6)+1,1)-1)),OR($J15="",$J15&gt;=$Q$6),MOD((YEAR($Q$6)*12+MONTH($Q$6))-(YEAR(IF($I15="",$L$6,$I15))*12+MONTH(IF($I15="",$L$6,$I15))),MAX(1,N($H15)))=0),N($G15),0))</f>
        <v/>
      </c>
      <c r="AC165" s="110">
        <f>IF($C15="",0,IF(Q15="✓",N($G15),IF(ISNUMBER(Q15),Q15,0)))</f>
        <v/>
      </c>
      <c r="AD165" s="243">
        <f>IF($C15="","",$Q$6)</f>
        <v/>
      </c>
      <c r="AE165" s="110">
        <f>IF($C15="","",$K15)</f>
        <v/>
      </c>
    </row>
    <row r="166">
      <c r="Y166" s="243">
        <f>IF(OR($C16="",$F16=""),"",DATE(YEAR($Q$6),MONTH($Q$6),MIN($F16,DAY((DATE(YEAR($Q$6),MONTH($Q$6)+1,1)-1)))))</f>
        <v/>
      </c>
      <c r="Z166" s="110">
        <f>IF($C16="","",IF($D16="Доход","Доход","Расход"))</f>
        <v/>
      </c>
      <c r="AA166" s="110">
        <f>IF($C16="","",$E16)</f>
        <v/>
      </c>
      <c r="AB166" s="110">
        <f>IF($C16="",0,IF(AND(OR($I16="",$I16&lt;=(DATE(YEAR($Q$6),MONTH($Q$6)+1,1)-1)),OR($J16="",$J16&gt;=$Q$6),MOD((YEAR($Q$6)*12+MONTH($Q$6))-(YEAR(IF($I16="",$L$6,$I16))*12+MONTH(IF($I16="",$L$6,$I16))),MAX(1,N($H16)))=0),N($G16),0))</f>
        <v/>
      </c>
      <c r="AC166" s="110">
        <f>IF($C16="",0,IF(Q16="✓",N($G16),IF(ISNUMBER(Q16),Q16,0)))</f>
        <v/>
      </c>
      <c r="AD166" s="243">
        <f>IF($C16="","",$Q$6)</f>
        <v/>
      </c>
      <c r="AE166" s="110">
        <f>IF($C16="","",$K16)</f>
        <v/>
      </c>
    </row>
    <row r="167">
      <c r="Y167" s="243">
        <f>IF(OR($C17="",$F17=""),"",DATE(YEAR($Q$6),MONTH($Q$6),MIN($F17,DAY((DATE(YEAR($Q$6),MONTH($Q$6)+1,1)-1)))))</f>
        <v/>
      </c>
      <c r="Z167" s="110">
        <f>IF($C17="","",IF($D17="Доход","Доход","Расход"))</f>
        <v/>
      </c>
      <c r="AA167" s="110">
        <f>IF($C17="","",$E17)</f>
        <v/>
      </c>
      <c r="AB167" s="110">
        <f>IF($C17="",0,IF(AND(OR($I17="",$I17&lt;=(DATE(YEAR($Q$6),MONTH($Q$6)+1,1)-1)),OR($J17="",$J17&gt;=$Q$6),MOD((YEAR($Q$6)*12+MONTH($Q$6))-(YEAR(IF($I17="",$L$6,$I17))*12+MONTH(IF($I17="",$L$6,$I17))),MAX(1,N($H17)))=0),N($G17),0))</f>
        <v/>
      </c>
      <c r="AC167" s="110">
        <f>IF($C17="",0,IF(Q17="✓",N($G17),IF(ISNUMBER(Q17),Q17,0)))</f>
        <v/>
      </c>
      <c r="AD167" s="243">
        <f>IF($C17="","",$Q$6)</f>
        <v/>
      </c>
      <c r="AE167" s="110">
        <f>IF($C17="","",$K17)</f>
        <v/>
      </c>
    </row>
    <row r="168">
      <c r="Y168" s="243">
        <f>IF(OR($C18="",$F18=""),"",DATE(YEAR($Q$6),MONTH($Q$6),MIN($F18,DAY((DATE(YEAR($Q$6),MONTH($Q$6)+1,1)-1)))))</f>
        <v/>
      </c>
      <c r="Z168" s="110">
        <f>IF($C18="","",IF($D18="Доход","Доход","Расход"))</f>
        <v/>
      </c>
      <c r="AA168" s="110">
        <f>IF($C18="","",$E18)</f>
        <v/>
      </c>
      <c r="AB168" s="110">
        <f>IF($C18="",0,IF(AND(OR($I18="",$I18&lt;=(DATE(YEAR($Q$6),MONTH($Q$6)+1,1)-1)),OR($J18="",$J18&gt;=$Q$6),MOD((YEAR($Q$6)*12+MONTH($Q$6))-(YEAR(IF($I18="",$L$6,$I18))*12+MONTH(IF($I18="",$L$6,$I18))),MAX(1,N($H18)))=0),N($G18),0))</f>
        <v/>
      </c>
      <c r="AC168" s="110">
        <f>IF($C18="",0,IF(Q18="✓",N($G18),IF(ISNUMBER(Q18),Q18,0)))</f>
        <v/>
      </c>
      <c r="AD168" s="243">
        <f>IF($C18="","",$Q$6)</f>
        <v/>
      </c>
      <c r="AE168" s="110">
        <f>IF($C18="","",$K18)</f>
        <v/>
      </c>
    </row>
    <row r="169">
      <c r="Y169" s="243">
        <f>IF(OR($C19="",$F19=""),"",DATE(YEAR($Q$6),MONTH($Q$6),MIN($F19,DAY((DATE(YEAR($Q$6),MONTH($Q$6)+1,1)-1)))))</f>
        <v/>
      </c>
      <c r="Z169" s="110">
        <f>IF($C19="","",IF($D19="Доход","Доход","Расход"))</f>
        <v/>
      </c>
      <c r="AA169" s="110">
        <f>IF($C19="","",$E19)</f>
        <v/>
      </c>
      <c r="AB169" s="110">
        <f>IF($C19="",0,IF(AND(OR($I19="",$I19&lt;=(DATE(YEAR($Q$6),MONTH($Q$6)+1,1)-1)),OR($J19="",$J19&gt;=$Q$6),MOD((YEAR($Q$6)*12+MONTH($Q$6))-(YEAR(IF($I19="",$L$6,$I19))*12+MONTH(IF($I19="",$L$6,$I19))),MAX(1,N($H19)))=0),N($G19),0))</f>
        <v/>
      </c>
      <c r="AC169" s="110">
        <f>IF($C19="",0,IF(Q19="✓",N($G19),IF(ISNUMBER(Q19),Q19,0)))</f>
        <v/>
      </c>
      <c r="AD169" s="243">
        <f>IF($C19="","",$Q$6)</f>
        <v/>
      </c>
      <c r="AE169" s="110">
        <f>IF($C19="","",$K19)</f>
        <v/>
      </c>
    </row>
    <row r="170">
      <c r="Y170" s="243">
        <f>IF(OR($C20="",$F20=""),"",DATE(YEAR($Q$6),MONTH($Q$6),MIN($F20,DAY((DATE(YEAR($Q$6),MONTH($Q$6)+1,1)-1)))))</f>
        <v/>
      </c>
      <c r="Z170" s="110">
        <f>IF($C20="","",IF($D20="Доход","Доход","Расход"))</f>
        <v/>
      </c>
      <c r="AA170" s="110">
        <f>IF($C20="","",$E20)</f>
        <v/>
      </c>
      <c r="AB170" s="110">
        <f>IF($C20="",0,IF(AND(OR($I20="",$I20&lt;=(DATE(YEAR($Q$6),MONTH($Q$6)+1,1)-1)),OR($J20="",$J20&gt;=$Q$6),MOD((YEAR($Q$6)*12+MONTH($Q$6))-(YEAR(IF($I20="",$L$6,$I20))*12+MONTH(IF($I20="",$L$6,$I20))),MAX(1,N($H20)))=0),N($G20),0))</f>
        <v/>
      </c>
      <c r="AC170" s="110">
        <f>IF($C20="",0,IF(Q20="✓",N($G20),IF(ISNUMBER(Q20),Q20,0)))</f>
        <v/>
      </c>
      <c r="AD170" s="243">
        <f>IF($C20="","",$Q$6)</f>
        <v/>
      </c>
      <c r="AE170" s="110">
        <f>IF($C20="","",$K20)</f>
        <v/>
      </c>
    </row>
    <row r="171">
      <c r="Y171" s="243">
        <f>IF(OR($C21="",$F21=""),"",DATE(YEAR($Q$6),MONTH($Q$6),MIN($F21,DAY((DATE(YEAR($Q$6),MONTH($Q$6)+1,1)-1)))))</f>
        <v/>
      </c>
      <c r="Z171" s="110">
        <f>IF($C21="","",IF($D21="Доход","Доход","Расход"))</f>
        <v/>
      </c>
      <c r="AA171" s="110">
        <f>IF($C21="","",$E21)</f>
        <v/>
      </c>
      <c r="AB171" s="110">
        <f>IF($C21="",0,IF(AND(OR($I21="",$I21&lt;=(DATE(YEAR($Q$6),MONTH($Q$6)+1,1)-1)),OR($J21="",$J21&gt;=$Q$6),MOD((YEAR($Q$6)*12+MONTH($Q$6))-(YEAR(IF($I21="",$L$6,$I21))*12+MONTH(IF($I21="",$L$6,$I21))),MAX(1,N($H21)))=0),N($G21),0))</f>
        <v/>
      </c>
      <c r="AC171" s="110">
        <f>IF($C21="",0,IF(Q21="✓",N($G21),IF(ISNUMBER(Q21),Q21,0)))</f>
        <v/>
      </c>
      <c r="AD171" s="243">
        <f>IF($C21="","",$Q$6)</f>
        <v/>
      </c>
      <c r="AE171" s="110">
        <f>IF($C21="","",$K21)</f>
        <v/>
      </c>
    </row>
    <row r="172">
      <c r="Y172" s="243">
        <f>IF(OR($C22="",$F22=""),"",DATE(YEAR($Q$6),MONTH($Q$6),MIN($F22,DAY((DATE(YEAR($Q$6),MONTH($Q$6)+1,1)-1)))))</f>
        <v/>
      </c>
      <c r="Z172" s="110">
        <f>IF($C22="","",IF($D22="Доход","Доход","Расход"))</f>
        <v/>
      </c>
      <c r="AA172" s="110">
        <f>IF($C22="","",$E22)</f>
        <v/>
      </c>
      <c r="AB172" s="110">
        <f>IF($C22="",0,IF(AND(OR($I22="",$I22&lt;=(DATE(YEAR($Q$6),MONTH($Q$6)+1,1)-1)),OR($J22="",$J22&gt;=$Q$6),MOD((YEAR($Q$6)*12+MONTH($Q$6))-(YEAR(IF($I22="",$L$6,$I22))*12+MONTH(IF($I22="",$L$6,$I22))),MAX(1,N($H22)))=0),N($G22),0))</f>
        <v/>
      </c>
      <c r="AC172" s="110">
        <f>IF($C22="",0,IF(Q22="✓",N($G22),IF(ISNUMBER(Q22),Q22,0)))</f>
        <v/>
      </c>
      <c r="AD172" s="243">
        <f>IF($C22="","",$Q$6)</f>
        <v/>
      </c>
      <c r="AE172" s="110">
        <f>IF($C22="","",$K22)</f>
        <v/>
      </c>
    </row>
    <row r="173">
      <c r="Y173" s="243">
        <f>IF(OR($C23="",$F23=""),"",DATE(YEAR($Q$6),MONTH($Q$6),MIN($F23,DAY((DATE(YEAR($Q$6),MONTH($Q$6)+1,1)-1)))))</f>
        <v/>
      </c>
      <c r="Z173" s="110">
        <f>IF($C23="","",IF($D23="Доход","Доход","Расход"))</f>
        <v/>
      </c>
      <c r="AA173" s="110">
        <f>IF($C23="","",$E23)</f>
        <v/>
      </c>
      <c r="AB173" s="110">
        <f>IF($C23="",0,IF(AND(OR($I23="",$I23&lt;=(DATE(YEAR($Q$6),MONTH($Q$6)+1,1)-1)),OR($J23="",$J23&gt;=$Q$6),MOD((YEAR($Q$6)*12+MONTH($Q$6))-(YEAR(IF($I23="",$L$6,$I23))*12+MONTH(IF($I23="",$L$6,$I23))),MAX(1,N($H23)))=0),N($G23),0))</f>
        <v/>
      </c>
      <c r="AC173" s="110">
        <f>IF($C23="",0,IF(Q23="✓",N($G23),IF(ISNUMBER(Q23),Q23,0)))</f>
        <v/>
      </c>
      <c r="AD173" s="243">
        <f>IF($C23="","",$Q$6)</f>
        <v/>
      </c>
      <c r="AE173" s="110">
        <f>IF($C23="","",$K23)</f>
        <v/>
      </c>
    </row>
    <row r="174">
      <c r="Y174" s="243">
        <f>IF(OR($C24="",$F24=""),"",DATE(YEAR($Q$6),MONTH($Q$6),MIN($F24,DAY((DATE(YEAR($Q$6),MONTH($Q$6)+1,1)-1)))))</f>
        <v/>
      </c>
      <c r="Z174" s="110">
        <f>IF($C24="","",IF($D24="Доход","Доход","Расход"))</f>
        <v/>
      </c>
      <c r="AA174" s="110">
        <f>IF($C24="","",$E24)</f>
        <v/>
      </c>
      <c r="AB174" s="110">
        <f>IF($C24="",0,IF(AND(OR($I24="",$I24&lt;=(DATE(YEAR($Q$6),MONTH($Q$6)+1,1)-1)),OR($J24="",$J24&gt;=$Q$6),MOD((YEAR($Q$6)*12+MONTH($Q$6))-(YEAR(IF($I24="",$L$6,$I24))*12+MONTH(IF($I24="",$L$6,$I24))),MAX(1,N($H24)))=0),N($G24),0))</f>
        <v/>
      </c>
      <c r="AC174" s="110">
        <f>IF($C24="",0,IF(Q24="✓",N($G24),IF(ISNUMBER(Q24),Q24,0)))</f>
        <v/>
      </c>
      <c r="AD174" s="243">
        <f>IF($C24="","",$Q$6)</f>
        <v/>
      </c>
      <c r="AE174" s="110">
        <f>IF($C24="","",$K24)</f>
        <v/>
      </c>
    </row>
    <row r="175">
      <c r="Y175" s="243">
        <f>IF(OR($C25="",$F25=""),"",DATE(YEAR($Q$6),MONTH($Q$6),MIN($F25,DAY((DATE(YEAR($Q$6),MONTH($Q$6)+1,1)-1)))))</f>
        <v/>
      </c>
      <c r="Z175" s="110">
        <f>IF($C25="","",IF($D25="Доход","Доход","Расход"))</f>
        <v/>
      </c>
      <c r="AA175" s="110">
        <f>IF($C25="","",$E25)</f>
        <v/>
      </c>
      <c r="AB175" s="110">
        <f>IF($C25="",0,IF(AND(OR($I25="",$I25&lt;=(DATE(YEAR($Q$6),MONTH($Q$6)+1,1)-1)),OR($J25="",$J25&gt;=$Q$6),MOD((YEAR($Q$6)*12+MONTH($Q$6))-(YEAR(IF($I25="",$L$6,$I25))*12+MONTH(IF($I25="",$L$6,$I25))),MAX(1,N($H25)))=0),N($G25),0))</f>
        <v/>
      </c>
      <c r="AC175" s="110">
        <f>IF($C25="",0,IF(Q25="✓",N($G25),IF(ISNUMBER(Q25),Q25,0)))</f>
        <v/>
      </c>
      <c r="AD175" s="243">
        <f>IF($C25="","",$Q$6)</f>
        <v/>
      </c>
      <c r="AE175" s="110">
        <f>IF($C25="","",$K25)</f>
        <v/>
      </c>
    </row>
    <row r="176">
      <c r="Y176" s="243">
        <f>IF(OR($C26="",$F26=""),"",DATE(YEAR($Q$6),MONTH($Q$6),MIN($F26,DAY((DATE(YEAR($Q$6),MONTH($Q$6)+1,1)-1)))))</f>
        <v/>
      </c>
      <c r="Z176" s="110">
        <f>IF($C26="","",IF($D26="Доход","Доход","Расход"))</f>
        <v/>
      </c>
      <c r="AA176" s="110">
        <f>IF($C26="","",$E26)</f>
        <v/>
      </c>
      <c r="AB176" s="110">
        <f>IF($C26="",0,IF(AND(OR($I26="",$I26&lt;=(DATE(YEAR($Q$6),MONTH($Q$6)+1,1)-1)),OR($J26="",$J26&gt;=$Q$6),MOD((YEAR($Q$6)*12+MONTH($Q$6))-(YEAR(IF($I26="",$L$6,$I26))*12+MONTH(IF($I26="",$L$6,$I26))),MAX(1,N($H26)))=0),N($G26),0))</f>
        <v/>
      </c>
      <c r="AC176" s="110">
        <f>IF($C26="",0,IF(Q26="✓",N($G26),IF(ISNUMBER(Q26),Q26,0)))</f>
        <v/>
      </c>
      <c r="AD176" s="243">
        <f>IF($C26="","",$Q$6)</f>
        <v/>
      </c>
      <c r="AE176" s="110">
        <f>IF($C26="","",$K26)</f>
        <v/>
      </c>
    </row>
    <row r="177">
      <c r="Y177" s="243">
        <f>IF(OR($C27="",$F27=""),"",DATE(YEAR($Q$6),MONTH($Q$6),MIN($F27,DAY((DATE(YEAR($Q$6),MONTH($Q$6)+1,1)-1)))))</f>
        <v/>
      </c>
      <c r="Z177" s="110">
        <f>IF($C27="","",IF($D27="Доход","Доход","Расход"))</f>
        <v/>
      </c>
      <c r="AA177" s="110">
        <f>IF($C27="","",$E27)</f>
        <v/>
      </c>
      <c r="AB177" s="110">
        <f>IF($C27="",0,IF(AND(OR($I27="",$I27&lt;=(DATE(YEAR($Q$6),MONTH($Q$6)+1,1)-1)),OR($J27="",$J27&gt;=$Q$6),MOD((YEAR($Q$6)*12+MONTH($Q$6))-(YEAR(IF($I27="",$L$6,$I27))*12+MONTH(IF($I27="",$L$6,$I27))),MAX(1,N($H27)))=0),N($G27),0))</f>
        <v/>
      </c>
      <c r="AC177" s="110">
        <f>IF($C27="",0,IF(Q27="✓",N($G27),IF(ISNUMBER(Q27),Q27,0)))</f>
        <v/>
      </c>
      <c r="AD177" s="243">
        <f>IF($C27="","",$Q$6)</f>
        <v/>
      </c>
      <c r="AE177" s="110">
        <f>IF($C27="","",$K27)</f>
        <v/>
      </c>
    </row>
    <row r="178">
      <c r="Y178" s="243">
        <f>IF(OR($C28="",$F28=""),"",DATE(YEAR($Q$6),MONTH($Q$6),MIN($F28,DAY((DATE(YEAR($Q$6),MONTH($Q$6)+1,1)-1)))))</f>
        <v/>
      </c>
      <c r="Z178" s="110">
        <f>IF($C28="","",IF($D28="Доход","Доход","Расход"))</f>
        <v/>
      </c>
      <c r="AA178" s="110">
        <f>IF($C28="","",$E28)</f>
        <v/>
      </c>
      <c r="AB178" s="110">
        <f>IF($C28="",0,IF(AND(OR($I28="",$I28&lt;=(DATE(YEAR($Q$6),MONTH($Q$6)+1,1)-1)),OR($J28="",$J28&gt;=$Q$6),MOD((YEAR($Q$6)*12+MONTH($Q$6))-(YEAR(IF($I28="",$L$6,$I28))*12+MONTH(IF($I28="",$L$6,$I28))),MAX(1,N($H28)))=0),N($G28),0))</f>
        <v/>
      </c>
      <c r="AC178" s="110">
        <f>IF($C28="",0,IF(Q28="✓",N($G28),IF(ISNUMBER(Q28),Q28,0)))</f>
        <v/>
      </c>
      <c r="AD178" s="243">
        <f>IF($C28="","",$Q$6)</f>
        <v/>
      </c>
      <c r="AE178" s="110">
        <f>IF($C28="","",$K28)</f>
        <v/>
      </c>
    </row>
    <row r="179">
      <c r="Y179" s="243">
        <f>IF(OR($C29="",$F29=""),"",DATE(YEAR($Q$6),MONTH($Q$6),MIN($F29,DAY((DATE(YEAR($Q$6),MONTH($Q$6)+1,1)-1)))))</f>
        <v/>
      </c>
      <c r="Z179" s="110">
        <f>IF($C29="","",IF($D29="Доход","Доход","Расход"))</f>
        <v/>
      </c>
      <c r="AA179" s="110">
        <f>IF($C29="","",$E29)</f>
        <v/>
      </c>
      <c r="AB179" s="110">
        <f>IF($C29="",0,IF(AND(OR($I29="",$I29&lt;=(DATE(YEAR($Q$6),MONTH($Q$6)+1,1)-1)),OR($J29="",$J29&gt;=$Q$6),MOD((YEAR($Q$6)*12+MONTH($Q$6))-(YEAR(IF($I29="",$L$6,$I29))*12+MONTH(IF($I29="",$L$6,$I29))),MAX(1,N($H29)))=0),N($G29),0))</f>
        <v/>
      </c>
      <c r="AC179" s="110">
        <f>IF($C29="",0,IF(Q29="✓",N($G29),IF(ISNUMBER(Q29),Q29,0)))</f>
        <v/>
      </c>
      <c r="AD179" s="243">
        <f>IF($C29="","",$Q$6)</f>
        <v/>
      </c>
      <c r="AE179" s="110">
        <f>IF($C29="","",$K29)</f>
        <v/>
      </c>
    </row>
    <row r="180">
      <c r="Y180" s="243">
        <f>IF(OR($C30="",$F30=""),"",DATE(YEAR($Q$6),MONTH($Q$6),MIN($F30,DAY((DATE(YEAR($Q$6),MONTH($Q$6)+1,1)-1)))))</f>
        <v/>
      </c>
      <c r="Z180" s="110">
        <f>IF($C30="","",IF($D30="Доход","Доход","Расход"))</f>
        <v/>
      </c>
      <c r="AA180" s="110">
        <f>IF($C30="","",$E30)</f>
        <v/>
      </c>
      <c r="AB180" s="110">
        <f>IF($C30="",0,IF(AND(OR($I30="",$I30&lt;=(DATE(YEAR($Q$6),MONTH($Q$6)+1,1)-1)),OR($J30="",$J30&gt;=$Q$6),MOD((YEAR($Q$6)*12+MONTH($Q$6))-(YEAR(IF($I30="",$L$6,$I30))*12+MONTH(IF($I30="",$L$6,$I30))),MAX(1,N($H30)))=0),N($G30),0))</f>
        <v/>
      </c>
      <c r="AC180" s="110">
        <f>IF($C30="",0,IF(Q30="✓",N($G30),IF(ISNUMBER(Q30),Q30,0)))</f>
        <v/>
      </c>
      <c r="AD180" s="243">
        <f>IF($C30="","",$Q$6)</f>
        <v/>
      </c>
      <c r="AE180" s="110">
        <f>IF($C30="","",$K30)</f>
        <v/>
      </c>
    </row>
    <row r="181">
      <c r="Y181" s="243">
        <f>IF(OR($C31="",$F31=""),"",DATE(YEAR($Q$6),MONTH($Q$6),MIN($F31,DAY((DATE(YEAR($Q$6),MONTH($Q$6)+1,1)-1)))))</f>
        <v/>
      </c>
      <c r="Z181" s="110">
        <f>IF($C31="","",IF($D31="Доход","Доход","Расход"))</f>
        <v/>
      </c>
      <c r="AA181" s="110">
        <f>IF($C31="","",$E31)</f>
        <v/>
      </c>
      <c r="AB181" s="110">
        <f>IF($C31="",0,IF(AND(OR($I31="",$I31&lt;=(DATE(YEAR($Q$6),MONTH($Q$6)+1,1)-1)),OR($J31="",$J31&gt;=$Q$6),MOD((YEAR($Q$6)*12+MONTH($Q$6))-(YEAR(IF($I31="",$L$6,$I31))*12+MONTH(IF($I31="",$L$6,$I31))),MAX(1,N($H31)))=0),N($G31),0))</f>
        <v/>
      </c>
      <c r="AC181" s="110">
        <f>IF($C31="",0,IF(Q31="✓",N($G31),IF(ISNUMBER(Q31),Q31,0)))</f>
        <v/>
      </c>
      <c r="AD181" s="243">
        <f>IF($C31="","",$Q$6)</f>
        <v/>
      </c>
      <c r="AE181" s="110">
        <f>IF($C31="","",$K31)</f>
        <v/>
      </c>
    </row>
    <row r="182">
      <c r="Y182" s="243">
        <f>IF(OR($C32="",$F32=""),"",DATE(YEAR($Q$6),MONTH($Q$6),MIN($F32,DAY((DATE(YEAR($Q$6),MONTH($Q$6)+1,1)-1)))))</f>
        <v/>
      </c>
      <c r="Z182" s="110">
        <f>IF($C32="","",IF($D32="Доход","Доход","Расход"))</f>
        <v/>
      </c>
      <c r="AA182" s="110">
        <f>IF($C32="","",$E32)</f>
        <v/>
      </c>
      <c r="AB182" s="110">
        <f>IF($C32="",0,IF(AND(OR($I32="",$I32&lt;=(DATE(YEAR($Q$6),MONTH($Q$6)+1,1)-1)),OR($J32="",$J32&gt;=$Q$6),MOD((YEAR($Q$6)*12+MONTH($Q$6))-(YEAR(IF($I32="",$L$6,$I32))*12+MONTH(IF($I32="",$L$6,$I32))),MAX(1,N($H32)))=0),N($G32),0))</f>
        <v/>
      </c>
      <c r="AC182" s="110">
        <f>IF($C32="",0,IF(Q32="✓",N($G32),IF(ISNUMBER(Q32),Q32,0)))</f>
        <v/>
      </c>
      <c r="AD182" s="243">
        <f>IF($C32="","",$Q$6)</f>
        <v/>
      </c>
      <c r="AE182" s="110">
        <f>IF($C32="","",$K32)</f>
        <v/>
      </c>
    </row>
    <row r="183">
      <c r="Y183" s="243">
        <f>IF(OR($C33="",$F33=""),"",DATE(YEAR($Q$6),MONTH($Q$6),MIN($F33,DAY((DATE(YEAR($Q$6),MONTH($Q$6)+1,1)-1)))))</f>
        <v/>
      </c>
      <c r="Z183" s="110">
        <f>IF($C33="","",IF($D33="Доход","Доход","Расход"))</f>
        <v/>
      </c>
      <c r="AA183" s="110">
        <f>IF($C33="","",$E33)</f>
        <v/>
      </c>
      <c r="AB183" s="110">
        <f>IF($C33="",0,IF(AND(OR($I33="",$I33&lt;=(DATE(YEAR($Q$6),MONTH($Q$6)+1,1)-1)),OR($J33="",$J33&gt;=$Q$6),MOD((YEAR($Q$6)*12+MONTH($Q$6))-(YEAR(IF($I33="",$L$6,$I33))*12+MONTH(IF($I33="",$L$6,$I33))),MAX(1,N($H33)))=0),N($G33),0))</f>
        <v/>
      </c>
      <c r="AC183" s="110">
        <f>IF($C33="",0,IF(Q33="✓",N($G33),IF(ISNUMBER(Q33),Q33,0)))</f>
        <v/>
      </c>
      <c r="AD183" s="243">
        <f>IF($C33="","",$Q$6)</f>
        <v/>
      </c>
      <c r="AE183" s="110">
        <f>IF($C33="","",$K33)</f>
        <v/>
      </c>
    </row>
    <row r="184">
      <c r="Y184" s="243">
        <f>IF(OR($C34="",$F34=""),"",DATE(YEAR($Q$6),MONTH($Q$6),MIN($F34,DAY((DATE(YEAR($Q$6),MONTH($Q$6)+1,1)-1)))))</f>
        <v/>
      </c>
      <c r="Z184" s="110">
        <f>IF($C34="","",IF($D34="Доход","Доход","Расход"))</f>
        <v/>
      </c>
      <c r="AA184" s="110">
        <f>IF($C34="","",$E34)</f>
        <v/>
      </c>
      <c r="AB184" s="110">
        <f>IF($C34="",0,IF(AND(OR($I34="",$I34&lt;=(DATE(YEAR($Q$6),MONTH($Q$6)+1,1)-1)),OR($J34="",$J34&gt;=$Q$6),MOD((YEAR($Q$6)*12+MONTH($Q$6))-(YEAR(IF($I34="",$L$6,$I34))*12+MONTH(IF($I34="",$L$6,$I34))),MAX(1,N($H34)))=0),N($G34),0))</f>
        <v/>
      </c>
      <c r="AC184" s="110">
        <f>IF($C34="",0,IF(Q34="✓",N($G34),IF(ISNUMBER(Q34),Q34,0)))</f>
        <v/>
      </c>
      <c r="AD184" s="243">
        <f>IF($C34="","",$Q$6)</f>
        <v/>
      </c>
      <c r="AE184" s="110">
        <f>IF($C34="","",$K34)</f>
        <v/>
      </c>
    </row>
    <row r="185">
      <c r="Y185" s="243">
        <f>IF(OR($C35="",$F35=""),"",DATE(YEAR($Q$6),MONTH($Q$6),MIN($F35,DAY((DATE(YEAR($Q$6),MONTH($Q$6)+1,1)-1)))))</f>
        <v/>
      </c>
      <c r="Z185" s="110">
        <f>IF($C35="","",IF($D35="Доход","Доход","Расход"))</f>
        <v/>
      </c>
      <c r="AA185" s="110">
        <f>IF($C35="","",$E35)</f>
        <v/>
      </c>
      <c r="AB185" s="110">
        <f>IF($C35="",0,IF(AND(OR($I35="",$I35&lt;=(DATE(YEAR($Q$6),MONTH($Q$6)+1,1)-1)),OR($J35="",$J35&gt;=$Q$6),MOD((YEAR($Q$6)*12+MONTH($Q$6))-(YEAR(IF($I35="",$L$6,$I35))*12+MONTH(IF($I35="",$L$6,$I35))),MAX(1,N($H35)))=0),N($G35),0))</f>
        <v/>
      </c>
      <c r="AC185" s="110">
        <f>IF($C35="",0,IF(Q35="✓",N($G35),IF(ISNUMBER(Q35),Q35,0)))</f>
        <v/>
      </c>
      <c r="AD185" s="243">
        <f>IF($C35="","",$Q$6)</f>
        <v/>
      </c>
      <c r="AE185" s="110">
        <f>IF($C35="","",$K35)</f>
        <v/>
      </c>
    </row>
    <row r="186">
      <c r="Y186" s="243">
        <f>IF(OR($C36="",$F36=""),"",DATE(YEAR($Q$6),MONTH($Q$6),MIN($F36,DAY((DATE(YEAR($Q$6),MONTH($Q$6)+1,1)-1)))))</f>
        <v/>
      </c>
      <c r="Z186" s="110">
        <f>IF($C36="","",IF($D36="Доход","Доход","Расход"))</f>
        <v/>
      </c>
      <c r="AA186" s="110">
        <f>IF($C36="","",$E36)</f>
        <v/>
      </c>
      <c r="AB186" s="110">
        <f>IF($C36="",0,IF(AND(OR($I36="",$I36&lt;=(DATE(YEAR($Q$6),MONTH($Q$6)+1,1)-1)),OR($J36="",$J36&gt;=$Q$6),MOD((YEAR($Q$6)*12+MONTH($Q$6))-(YEAR(IF($I36="",$L$6,$I36))*12+MONTH(IF($I36="",$L$6,$I36))),MAX(1,N($H36)))=0),N($G36),0))</f>
        <v/>
      </c>
      <c r="AC186" s="110">
        <f>IF($C36="",0,IF(Q36="✓",N($G36),IF(ISNUMBER(Q36),Q36,0)))</f>
        <v/>
      </c>
      <c r="AD186" s="243">
        <f>IF($C36="","",$Q$6)</f>
        <v/>
      </c>
      <c r="AE186" s="110">
        <f>IF($C36="","",$K36)</f>
        <v/>
      </c>
    </row>
    <row r="187">
      <c r="Y187" s="243">
        <f>IF(OR($C37="",$F37=""),"",DATE(YEAR($Q$6),MONTH($Q$6),MIN($F37,DAY((DATE(YEAR($Q$6),MONTH($Q$6)+1,1)-1)))))</f>
        <v/>
      </c>
      <c r="Z187" s="110">
        <f>IF($C37="","",IF($D37="Доход","Доход","Расход"))</f>
        <v/>
      </c>
      <c r="AA187" s="110">
        <f>IF($C37="","",$E37)</f>
        <v/>
      </c>
      <c r="AB187" s="110">
        <f>IF($C37="",0,IF(AND(OR($I37="",$I37&lt;=(DATE(YEAR($Q$6),MONTH($Q$6)+1,1)-1)),OR($J37="",$J37&gt;=$Q$6),MOD((YEAR($Q$6)*12+MONTH($Q$6))-(YEAR(IF($I37="",$L$6,$I37))*12+MONTH(IF($I37="",$L$6,$I37))),MAX(1,N($H37)))=0),N($G37),0))</f>
        <v/>
      </c>
      <c r="AC187" s="110">
        <f>IF($C37="",0,IF(Q37="✓",N($G37),IF(ISNUMBER(Q37),Q37,0)))</f>
        <v/>
      </c>
      <c r="AD187" s="243">
        <f>IF($C37="","",$Q$6)</f>
        <v/>
      </c>
      <c r="AE187" s="110">
        <f>IF($C37="","",$K37)</f>
        <v/>
      </c>
    </row>
    <row r="188">
      <c r="Y188" s="243">
        <f>IF(OR($C8="",$F8=""),"",DATE(YEAR($R$6),MONTH($R$6),MIN($F8,DAY((DATE(YEAR($R$6),MONTH($R$6)+1,1)-1)))))</f>
        <v/>
      </c>
      <c r="Z188" s="110">
        <f>IF($C8="","",IF($D8="Доход","Доход","Расход"))</f>
        <v/>
      </c>
      <c r="AA188" s="110">
        <f>IF($C8="","",$E8)</f>
        <v/>
      </c>
      <c r="AB188" s="110">
        <f>IF($C8="",0,IF(AND(OR($I8="",$I8&lt;=(DATE(YEAR($R$6),MONTH($R$6)+1,1)-1)),OR($J8="",$J8&gt;=$R$6),MOD((YEAR($R$6)*12+MONTH($R$6))-(YEAR(IF($I8="",$L$6,$I8))*12+MONTH(IF($I8="",$L$6,$I8))),MAX(1,N($H8)))=0),N($G8),0))</f>
        <v/>
      </c>
      <c r="AC188" s="110">
        <f>IF($C8="",0,IF(R8="✓",N($G8),IF(ISNUMBER(R8),R8,0)))</f>
        <v/>
      </c>
      <c r="AD188" s="243">
        <f>IF($C8="","",$R$6)</f>
        <v/>
      </c>
      <c r="AE188" s="110">
        <f>IF($C8="","",$K8)</f>
        <v/>
      </c>
    </row>
    <row r="189">
      <c r="Y189" s="243">
        <f>IF(OR($C9="",$F9=""),"",DATE(YEAR($R$6),MONTH($R$6),MIN($F9,DAY((DATE(YEAR($R$6),MONTH($R$6)+1,1)-1)))))</f>
        <v/>
      </c>
      <c r="Z189" s="110">
        <f>IF($C9="","",IF($D9="Доход","Доход","Расход"))</f>
        <v/>
      </c>
      <c r="AA189" s="110">
        <f>IF($C9="","",$E9)</f>
        <v/>
      </c>
      <c r="AB189" s="110">
        <f>IF($C9="",0,IF(AND(OR($I9="",$I9&lt;=(DATE(YEAR($R$6),MONTH($R$6)+1,1)-1)),OR($J9="",$J9&gt;=$R$6),MOD((YEAR($R$6)*12+MONTH($R$6))-(YEAR(IF($I9="",$L$6,$I9))*12+MONTH(IF($I9="",$L$6,$I9))),MAX(1,N($H9)))=0),N($G9),0))</f>
        <v/>
      </c>
      <c r="AC189" s="110">
        <f>IF($C9="",0,IF(R9="✓",N($G9),IF(ISNUMBER(R9),R9,0)))</f>
        <v/>
      </c>
      <c r="AD189" s="243">
        <f>IF($C9="","",$R$6)</f>
        <v/>
      </c>
      <c r="AE189" s="110">
        <f>IF($C9="","",$K9)</f>
        <v/>
      </c>
    </row>
    <row r="190">
      <c r="Y190" s="243">
        <f>IF(OR($C10="",$F10=""),"",DATE(YEAR($R$6),MONTH($R$6),MIN($F10,DAY((DATE(YEAR($R$6),MONTH($R$6)+1,1)-1)))))</f>
        <v/>
      </c>
      <c r="Z190" s="110">
        <f>IF($C10="","",IF($D10="Доход","Доход","Расход"))</f>
        <v/>
      </c>
      <c r="AA190" s="110">
        <f>IF($C10="","",$E10)</f>
        <v/>
      </c>
      <c r="AB190" s="110">
        <f>IF($C10="",0,IF(AND(OR($I10="",$I10&lt;=(DATE(YEAR($R$6),MONTH($R$6)+1,1)-1)),OR($J10="",$J10&gt;=$R$6),MOD((YEAR($R$6)*12+MONTH($R$6))-(YEAR(IF($I10="",$L$6,$I10))*12+MONTH(IF($I10="",$L$6,$I10))),MAX(1,N($H10)))=0),N($G10),0))</f>
        <v/>
      </c>
      <c r="AC190" s="110">
        <f>IF($C10="",0,IF(R10="✓",N($G10),IF(ISNUMBER(R10),R10,0)))</f>
        <v/>
      </c>
      <c r="AD190" s="243">
        <f>IF($C10="","",$R$6)</f>
        <v/>
      </c>
      <c r="AE190" s="110">
        <f>IF($C10="","",$K10)</f>
        <v/>
      </c>
    </row>
    <row r="191">
      <c r="Y191" s="243">
        <f>IF(OR($C11="",$F11=""),"",DATE(YEAR($R$6),MONTH($R$6),MIN($F11,DAY((DATE(YEAR($R$6),MONTH($R$6)+1,1)-1)))))</f>
        <v/>
      </c>
      <c r="Z191" s="110">
        <f>IF($C11="","",IF($D11="Доход","Доход","Расход"))</f>
        <v/>
      </c>
      <c r="AA191" s="110">
        <f>IF($C11="","",$E11)</f>
        <v/>
      </c>
      <c r="AB191" s="110">
        <f>IF($C11="",0,IF(AND(OR($I11="",$I11&lt;=(DATE(YEAR($R$6),MONTH($R$6)+1,1)-1)),OR($J11="",$J11&gt;=$R$6),MOD((YEAR($R$6)*12+MONTH($R$6))-(YEAR(IF($I11="",$L$6,$I11))*12+MONTH(IF($I11="",$L$6,$I11))),MAX(1,N($H11)))=0),N($G11),0))</f>
        <v/>
      </c>
      <c r="AC191" s="110">
        <f>IF($C11="",0,IF(R11="✓",N($G11),IF(ISNUMBER(R11),R11,0)))</f>
        <v/>
      </c>
      <c r="AD191" s="243">
        <f>IF($C11="","",$R$6)</f>
        <v/>
      </c>
      <c r="AE191" s="110">
        <f>IF($C11="","",$K11)</f>
        <v/>
      </c>
    </row>
    <row r="192">
      <c r="Y192" s="243">
        <f>IF(OR($C12="",$F12=""),"",DATE(YEAR($R$6),MONTH($R$6),MIN($F12,DAY((DATE(YEAR($R$6),MONTH($R$6)+1,1)-1)))))</f>
        <v/>
      </c>
      <c r="Z192" s="110">
        <f>IF($C12="","",IF($D12="Доход","Доход","Расход"))</f>
        <v/>
      </c>
      <c r="AA192" s="110">
        <f>IF($C12="","",$E12)</f>
        <v/>
      </c>
      <c r="AB192" s="110">
        <f>IF($C12="",0,IF(AND(OR($I12="",$I12&lt;=(DATE(YEAR($R$6),MONTH($R$6)+1,1)-1)),OR($J12="",$J12&gt;=$R$6),MOD((YEAR($R$6)*12+MONTH($R$6))-(YEAR(IF($I12="",$L$6,$I12))*12+MONTH(IF($I12="",$L$6,$I12))),MAX(1,N($H12)))=0),N($G12),0))</f>
        <v/>
      </c>
      <c r="AC192" s="110">
        <f>IF($C12="",0,IF(R12="✓",N($G12),IF(ISNUMBER(R12),R12,0)))</f>
        <v/>
      </c>
      <c r="AD192" s="243">
        <f>IF($C12="","",$R$6)</f>
        <v/>
      </c>
      <c r="AE192" s="110">
        <f>IF($C12="","",$K12)</f>
        <v/>
      </c>
    </row>
    <row r="193">
      <c r="Y193" s="243">
        <f>IF(OR($C13="",$F13=""),"",DATE(YEAR($R$6),MONTH($R$6),MIN($F13,DAY((DATE(YEAR($R$6),MONTH($R$6)+1,1)-1)))))</f>
        <v/>
      </c>
      <c r="Z193" s="110">
        <f>IF($C13="","",IF($D13="Доход","Доход","Расход"))</f>
        <v/>
      </c>
      <c r="AA193" s="110">
        <f>IF($C13="","",$E13)</f>
        <v/>
      </c>
      <c r="AB193" s="110">
        <f>IF($C13="",0,IF(AND(OR($I13="",$I13&lt;=(DATE(YEAR($R$6),MONTH($R$6)+1,1)-1)),OR($J13="",$J13&gt;=$R$6),MOD((YEAR($R$6)*12+MONTH($R$6))-(YEAR(IF($I13="",$L$6,$I13))*12+MONTH(IF($I13="",$L$6,$I13))),MAX(1,N($H13)))=0),N($G13),0))</f>
        <v/>
      </c>
      <c r="AC193" s="110">
        <f>IF($C13="",0,IF(R13="✓",N($G13),IF(ISNUMBER(R13),R13,0)))</f>
        <v/>
      </c>
      <c r="AD193" s="243">
        <f>IF($C13="","",$R$6)</f>
        <v/>
      </c>
      <c r="AE193" s="110">
        <f>IF($C13="","",$K13)</f>
        <v/>
      </c>
    </row>
    <row r="194">
      <c r="Y194" s="243">
        <f>IF(OR($C14="",$F14=""),"",DATE(YEAR($R$6),MONTH($R$6),MIN($F14,DAY((DATE(YEAR($R$6),MONTH($R$6)+1,1)-1)))))</f>
        <v/>
      </c>
      <c r="Z194" s="110">
        <f>IF($C14="","",IF($D14="Доход","Доход","Расход"))</f>
        <v/>
      </c>
      <c r="AA194" s="110">
        <f>IF($C14="","",$E14)</f>
        <v/>
      </c>
      <c r="AB194" s="110">
        <f>IF($C14="",0,IF(AND(OR($I14="",$I14&lt;=(DATE(YEAR($R$6),MONTH($R$6)+1,1)-1)),OR($J14="",$J14&gt;=$R$6),MOD((YEAR($R$6)*12+MONTH($R$6))-(YEAR(IF($I14="",$L$6,$I14))*12+MONTH(IF($I14="",$L$6,$I14))),MAX(1,N($H14)))=0),N($G14),0))</f>
        <v/>
      </c>
      <c r="AC194" s="110">
        <f>IF($C14="",0,IF(R14="✓",N($G14),IF(ISNUMBER(R14),R14,0)))</f>
        <v/>
      </c>
      <c r="AD194" s="243">
        <f>IF($C14="","",$R$6)</f>
        <v/>
      </c>
      <c r="AE194" s="110">
        <f>IF($C14="","",$K14)</f>
        <v/>
      </c>
    </row>
    <row r="195">
      <c r="Y195" s="243">
        <f>IF(OR($C15="",$F15=""),"",DATE(YEAR($R$6),MONTH($R$6),MIN($F15,DAY((DATE(YEAR($R$6),MONTH($R$6)+1,1)-1)))))</f>
        <v/>
      </c>
      <c r="Z195" s="110">
        <f>IF($C15="","",IF($D15="Доход","Доход","Расход"))</f>
        <v/>
      </c>
      <c r="AA195" s="110">
        <f>IF($C15="","",$E15)</f>
        <v/>
      </c>
      <c r="AB195" s="110">
        <f>IF($C15="",0,IF(AND(OR($I15="",$I15&lt;=(DATE(YEAR($R$6),MONTH($R$6)+1,1)-1)),OR($J15="",$J15&gt;=$R$6),MOD((YEAR($R$6)*12+MONTH($R$6))-(YEAR(IF($I15="",$L$6,$I15))*12+MONTH(IF($I15="",$L$6,$I15))),MAX(1,N($H15)))=0),N($G15),0))</f>
        <v/>
      </c>
      <c r="AC195" s="110">
        <f>IF($C15="",0,IF(R15="✓",N($G15),IF(ISNUMBER(R15),R15,0)))</f>
        <v/>
      </c>
      <c r="AD195" s="243">
        <f>IF($C15="","",$R$6)</f>
        <v/>
      </c>
      <c r="AE195" s="110">
        <f>IF($C15="","",$K15)</f>
        <v/>
      </c>
    </row>
    <row r="196">
      <c r="Y196" s="243">
        <f>IF(OR($C16="",$F16=""),"",DATE(YEAR($R$6),MONTH($R$6),MIN($F16,DAY((DATE(YEAR($R$6),MONTH($R$6)+1,1)-1)))))</f>
        <v/>
      </c>
      <c r="Z196" s="110">
        <f>IF($C16="","",IF($D16="Доход","Доход","Расход"))</f>
        <v/>
      </c>
      <c r="AA196" s="110">
        <f>IF($C16="","",$E16)</f>
        <v/>
      </c>
      <c r="AB196" s="110">
        <f>IF($C16="",0,IF(AND(OR($I16="",$I16&lt;=(DATE(YEAR($R$6),MONTH($R$6)+1,1)-1)),OR($J16="",$J16&gt;=$R$6),MOD((YEAR($R$6)*12+MONTH($R$6))-(YEAR(IF($I16="",$L$6,$I16))*12+MONTH(IF($I16="",$L$6,$I16))),MAX(1,N($H16)))=0),N($G16),0))</f>
        <v/>
      </c>
      <c r="AC196" s="110">
        <f>IF($C16="",0,IF(R16="✓",N($G16),IF(ISNUMBER(R16),R16,0)))</f>
        <v/>
      </c>
      <c r="AD196" s="243">
        <f>IF($C16="","",$R$6)</f>
        <v/>
      </c>
      <c r="AE196" s="110">
        <f>IF($C16="","",$K16)</f>
        <v/>
      </c>
    </row>
    <row r="197">
      <c r="Y197" s="243">
        <f>IF(OR($C17="",$F17=""),"",DATE(YEAR($R$6),MONTH($R$6),MIN($F17,DAY((DATE(YEAR($R$6),MONTH($R$6)+1,1)-1)))))</f>
        <v/>
      </c>
      <c r="Z197" s="110">
        <f>IF($C17="","",IF($D17="Доход","Доход","Расход"))</f>
        <v/>
      </c>
      <c r="AA197" s="110">
        <f>IF($C17="","",$E17)</f>
        <v/>
      </c>
      <c r="AB197" s="110">
        <f>IF($C17="",0,IF(AND(OR($I17="",$I17&lt;=(DATE(YEAR($R$6),MONTH($R$6)+1,1)-1)),OR($J17="",$J17&gt;=$R$6),MOD((YEAR($R$6)*12+MONTH($R$6))-(YEAR(IF($I17="",$L$6,$I17))*12+MONTH(IF($I17="",$L$6,$I17))),MAX(1,N($H17)))=0),N($G17),0))</f>
        <v/>
      </c>
      <c r="AC197" s="110">
        <f>IF($C17="",0,IF(R17="✓",N($G17),IF(ISNUMBER(R17),R17,0)))</f>
        <v/>
      </c>
      <c r="AD197" s="243">
        <f>IF($C17="","",$R$6)</f>
        <v/>
      </c>
      <c r="AE197" s="110">
        <f>IF($C17="","",$K17)</f>
        <v/>
      </c>
    </row>
    <row r="198">
      <c r="Y198" s="243">
        <f>IF(OR($C18="",$F18=""),"",DATE(YEAR($R$6),MONTH($R$6),MIN($F18,DAY((DATE(YEAR($R$6),MONTH($R$6)+1,1)-1)))))</f>
        <v/>
      </c>
      <c r="Z198" s="110">
        <f>IF($C18="","",IF($D18="Доход","Доход","Расход"))</f>
        <v/>
      </c>
      <c r="AA198" s="110">
        <f>IF($C18="","",$E18)</f>
        <v/>
      </c>
      <c r="AB198" s="110">
        <f>IF($C18="",0,IF(AND(OR($I18="",$I18&lt;=(DATE(YEAR($R$6),MONTH($R$6)+1,1)-1)),OR($J18="",$J18&gt;=$R$6),MOD((YEAR($R$6)*12+MONTH($R$6))-(YEAR(IF($I18="",$L$6,$I18))*12+MONTH(IF($I18="",$L$6,$I18))),MAX(1,N($H18)))=0),N($G18),0))</f>
        <v/>
      </c>
      <c r="AC198" s="110">
        <f>IF($C18="",0,IF(R18="✓",N($G18),IF(ISNUMBER(R18),R18,0)))</f>
        <v/>
      </c>
      <c r="AD198" s="243">
        <f>IF($C18="","",$R$6)</f>
        <v/>
      </c>
      <c r="AE198" s="110">
        <f>IF($C18="","",$K18)</f>
        <v/>
      </c>
    </row>
    <row r="199">
      <c r="Y199" s="243">
        <f>IF(OR($C19="",$F19=""),"",DATE(YEAR($R$6),MONTH($R$6),MIN($F19,DAY((DATE(YEAR($R$6),MONTH($R$6)+1,1)-1)))))</f>
        <v/>
      </c>
      <c r="Z199" s="110">
        <f>IF($C19="","",IF($D19="Доход","Доход","Расход"))</f>
        <v/>
      </c>
      <c r="AA199" s="110">
        <f>IF($C19="","",$E19)</f>
        <v/>
      </c>
      <c r="AB199" s="110">
        <f>IF($C19="",0,IF(AND(OR($I19="",$I19&lt;=(DATE(YEAR($R$6),MONTH($R$6)+1,1)-1)),OR($J19="",$J19&gt;=$R$6),MOD((YEAR($R$6)*12+MONTH($R$6))-(YEAR(IF($I19="",$L$6,$I19))*12+MONTH(IF($I19="",$L$6,$I19))),MAX(1,N($H19)))=0),N($G19),0))</f>
        <v/>
      </c>
      <c r="AC199" s="110">
        <f>IF($C19="",0,IF(R19="✓",N($G19),IF(ISNUMBER(R19),R19,0)))</f>
        <v/>
      </c>
      <c r="AD199" s="243">
        <f>IF($C19="","",$R$6)</f>
        <v/>
      </c>
      <c r="AE199" s="110">
        <f>IF($C19="","",$K19)</f>
        <v/>
      </c>
    </row>
    <row r="200">
      <c r="Y200" s="243">
        <f>IF(OR($C20="",$F20=""),"",DATE(YEAR($R$6),MONTH($R$6),MIN($F20,DAY((DATE(YEAR($R$6),MONTH($R$6)+1,1)-1)))))</f>
        <v/>
      </c>
      <c r="Z200" s="110">
        <f>IF($C20="","",IF($D20="Доход","Доход","Расход"))</f>
        <v/>
      </c>
      <c r="AA200" s="110">
        <f>IF($C20="","",$E20)</f>
        <v/>
      </c>
      <c r="AB200" s="110">
        <f>IF($C20="",0,IF(AND(OR($I20="",$I20&lt;=(DATE(YEAR($R$6),MONTH($R$6)+1,1)-1)),OR($J20="",$J20&gt;=$R$6),MOD((YEAR($R$6)*12+MONTH($R$6))-(YEAR(IF($I20="",$L$6,$I20))*12+MONTH(IF($I20="",$L$6,$I20))),MAX(1,N($H20)))=0),N($G20),0))</f>
        <v/>
      </c>
      <c r="AC200" s="110">
        <f>IF($C20="",0,IF(R20="✓",N($G20),IF(ISNUMBER(R20),R20,0)))</f>
        <v/>
      </c>
      <c r="AD200" s="243">
        <f>IF($C20="","",$R$6)</f>
        <v/>
      </c>
      <c r="AE200" s="110">
        <f>IF($C20="","",$K20)</f>
        <v/>
      </c>
    </row>
    <row r="201">
      <c r="Y201" s="243">
        <f>IF(OR($C21="",$F21=""),"",DATE(YEAR($R$6),MONTH($R$6),MIN($F21,DAY((DATE(YEAR($R$6),MONTH($R$6)+1,1)-1)))))</f>
        <v/>
      </c>
      <c r="Z201" s="110">
        <f>IF($C21="","",IF($D21="Доход","Доход","Расход"))</f>
        <v/>
      </c>
      <c r="AA201" s="110">
        <f>IF($C21="","",$E21)</f>
        <v/>
      </c>
      <c r="AB201" s="110">
        <f>IF($C21="",0,IF(AND(OR($I21="",$I21&lt;=(DATE(YEAR($R$6),MONTH($R$6)+1,1)-1)),OR($J21="",$J21&gt;=$R$6),MOD((YEAR($R$6)*12+MONTH($R$6))-(YEAR(IF($I21="",$L$6,$I21))*12+MONTH(IF($I21="",$L$6,$I21))),MAX(1,N($H21)))=0),N($G21),0))</f>
        <v/>
      </c>
      <c r="AC201" s="110">
        <f>IF($C21="",0,IF(R21="✓",N($G21),IF(ISNUMBER(R21),R21,0)))</f>
        <v/>
      </c>
      <c r="AD201" s="243">
        <f>IF($C21="","",$R$6)</f>
        <v/>
      </c>
      <c r="AE201" s="110">
        <f>IF($C21="","",$K21)</f>
        <v/>
      </c>
    </row>
    <row r="202">
      <c r="Y202" s="243">
        <f>IF(OR($C22="",$F22=""),"",DATE(YEAR($R$6),MONTH($R$6),MIN($F22,DAY((DATE(YEAR($R$6),MONTH($R$6)+1,1)-1)))))</f>
        <v/>
      </c>
      <c r="Z202" s="110">
        <f>IF($C22="","",IF($D22="Доход","Доход","Расход"))</f>
        <v/>
      </c>
      <c r="AA202" s="110">
        <f>IF($C22="","",$E22)</f>
        <v/>
      </c>
      <c r="AB202" s="110">
        <f>IF($C22="",0,IF(AND(OR($I22="",$I22&lt;=(DATE(YEAR($R$6),MONTH($R$6)+1,1)-1)),OR($J22="",$J22&gt;=$R$6),MOD((YEAR($R$6)*12+MONTH($R$6))-(YEAR(IF($I22="",$L$6,$I22))*12+MONTH(IF($I22="",$L$6,$I22))),MAX(1,N($H22)))=0),N($G22),0))</f>
        <v/>
      </c>
      <c r="AC202" s="110">
        <f>IF($C22="",0,IF(R22="✓",N($G22),IF(ISNUMBER(R22),R22,0)))</f>
        <v/>
      </c>
      <c r="AD202" s="243">
        <f>IF($C22="","",$R$6)</f>
        <v/>
      </c>
      <c r="AE202" s="110">
        <f>IF($C22="","",$K22)</f>
        <v/>
      </c>
    </row>
    <row r="203">
      <c r="Y203" s="243">
        <f>IF(OR($C23="",$F23=""),"",DATE(YEAR($R$6),MONTH($R$6),MIN($F23,DAY((DATE(YEAR($R$6),MONTH($R$6)+1,1)-1)))))</f>
        <v/>
      </c>
      <c r="Z203" s="110">
        <f>IF($C23="","",IF($D23="Доход","Доход","Расход"))</f>
        <v/>
      </c>
      <c r="AA203" s="110">
        <f>IF($C23="","",$E23)</f>
        <v/>
      </c>
      <c r="AB203" s="110">
        <f>IF($C23="",0,IF(AND(OR($I23="",$I23&lt;=(DATE(YEAR($R$6),MONTH($R$6)+1,1)-1)),OR($J23="",$J23&gt;=$R$6),MOD((YEAR($R$6)*12+MONTH($R$6))-(YEAR(IF($I23="",$L$6,$I23))*12+MONTH(IF($I23="",$L$6,$I23))),MAX(1,N($H23)))=0),N($G23),0))</f>
        <v/>
      </c>
      <c r="AC203" s="110">
        <f>IF($C23="",0,IF(R23="✓",N($G23),IF(ISNUMBER(R23),R23,0)))</f>
        <v/>
      </c>
      <c r="AD203" s="243">
        <f>IF($C23="","",$R$6)</f>
        <v/>
      </c>
      <c r="AE203" s="110">
        <f>IF($C23="","",$K23)</f>
        <v/>
      </c>
    </row>
    <row r="204">
      <c r="Y204" s="243">
        <f>IF(OR($C24="",$F24=""),"",DATE(YEAR($R$6),MONTH($R$6),MIN($F24,DAY((DATE(YEAR($R$6),MONTH($R$6)+1,1)-1)))))</f>
        <v/>
      </c>
      <c r="Z204" s="110">
        <f>IF($C24="","",IF($D24="Доход","Доход","Расход"))</f>
        <v/>
      </c>
      <c r="AA204" s="110">
        <f>IF($C24="","",$E24)</f>
        <v/>
      </c>
      <c r="AB204" s="110">
        <f>IF($C24="",0,IF(AND(OR($I24="",$I24&lt;=(DATE(YEAR($R$6),MONTH($R$6)+1,1)-1)),OR($J24="",$J24&gt;=$R$6),MOD((YEAR($R$6)*12+MONTH($R$6))-(YEAR(IF($I24="",$L$6,$I24))*12+MONTH(IF($I24="",$L$6,$I24))),MAX(1,N($H24)))=0),N($G24),0))</f>
        <v/>
      </c>
      <c r="AC204" s="110">
        <f>IF($C24="",0,IF(R24="✓",N($G24),IF(ISNUMBER(R24),R24,0)))</f>
        <v/>
      </c>
      <c r="AD204" s="243">
        <f>IF($C24="","",$R$6)</f>
        <v/>
      </c>
      <c r="AE204" s="110">
        <f>IF($C24="","",$K24)</f>
        <v/>
      </c>
    </row>
    <row r="205">
      <c r="Y205" s="243">
        <f>IF(OR($C25="",$F25=""),"",DATE(YEAR($R$6),MONTH($R$6),MIN($F25,DAY((DATE(YEAR($R$6),MONTH($R$6)+1,1)-1)))))</f>
        <v/>
      </c>
      <c r="Z205" s="110">
        <f>IF($C25="","",IF($D25="Доход","Доход","Расход"))</f>
        <v/>
      </c>
      <c r="AA205" s="110">
        <f>IF($C25="","",$E25)</f>
        <v/>
      </c>
      <c r="AB205" s="110">
        <f>IF($C25="",0,IF(AND(OR($I25="",$I25&lt;=(DATE(YEAR($R$6),MONTH($R$6)+1,1)-1)),OR($J25="",$J25&gt;=$R$6),MOD((YEAR($R$6)*12+MONTH($R$6))-(YEAR(IF($I25="",$L$6,$I25))*12+MONTH(IF($I25="",$L$6,$I25))),MAX(1,N($H25)))=0),N($G25),0))</f>
        <v/>
      </c>
      <c r="AC205" s="110">
        <f>IF($C25="",0,IF(R25="✓",N($G25),IF(ISNUMBER(R25),R25,0)))</f>
        <v/>
      </c>
      <c r="AD205" s="243">
        <f>IF($C25="","",$R$6)</f>
        <v/>
      </c>
      <c r="AE205" s="110">
        <f>IF($C25="","",$K25)</f>
        <v/>
      </c>
    </row>
    <row r="206">
      <c r="Y206" s="243">
        <f>IF(OR($C26="",$F26=""),"",DATE(YEAR($R$6),MONTH($R$6),MIN($F26,DAY((DATE(YEAR($R$6),MONTH($R$6)+1,1)-1)))))</f>
        <v/>
      </c>
      <c r="Z206" s="110">
        <f>IF($C26="","",IF($D26="Доход","Доход","Расход"))</f>
        <v/>
      </c>
      <c r="AA206" s="110">
        <f>IF($C26="","",$E26)</f>
        <v/>
      </c>
      <c r="AB206" s="110">
        <f>IF($C26="",0,IF(AND(OR($I26="",$I26&lt;=(DATE(YEAR($R$6),MONTH($R$6)+1,1)-1)),OR($J26="",$J26&gt;=$R$6),MOD((YEAR($R$6)*12+MONTH($R$6))-(YEAR(IF($I26="",$L$6,$I26))*12+MONTH(IF($I26="",$L$6,$I26))),MAX(1,N($H26)))=0),N($G26),0))</f>
        <v/>
      </c>
      <c r="AC206" s="110">
        <f>IF($C26="",0,IF(R26="✓",N($G26),IF(ISNUMBER(R26),R26,0)))</f>
        <v/>
      </c>
      <c r="AD206" s="243">
        <f>IF($C26="","",$R$6)</f>
        <v/>
      </c>
      <c r="AE206" s="110">
        <f>IF($C26="","",$K26)</f>
        <v/>
      </c>
    </row>
    <row r="207">
      <c r="Y207" s="243">
        <f>IF(OR($C27="",$F27=""),"",DATE(YEAR($R$6),MONTH($R$6),MIN($F27,DAY((DATE(YEAR($R$6),MONTH($R$6)+1,1)-1)))))</f>
        <v/>
      </c>
      <c r="Z207" s="110">
        <f>IF($C27="","",IF($D27="Доход","Доход","Расход"))</f>
        <v/>
      </c>
      <c r="AA207" s="110">
        <f>IF($C27="","",$E27)</f>
        <v/>
      </c>
      <c r="AB207" s="110">
        <f>IF($C27="",0,IF(AND(OR($I27="",$I27&lt;=(DATE(YEAR($R$6),MONTH($R$6)+1,1)-1)),OR($J27="",$J27&gt;=$R$6),MOD((YEAR($R$6)*12+MONTH($R$6))-(YEAR(IF($I27="",$L$6,$I27))*12+MONTH(IF($I27="",$L$6,$I27))),MAX(1,N($H27)))=0),N($G27),0))</f>
        <v/>
      </c>
      <c r="AC207" s="110">
        <f>IF($C27="",0,IF(R27="✓",N($G27),IF(ISNUMBER(R27),R27,0)))</f>
        <v/>
      </c>
      <c r="AD207" s="243">
        <f>IF($C27="","",$R$6)</f>
        <v/>
      </c>
      <c r="AE207" s="110">
        <f>IF($C27="","",$K27)</f>
        <v/>
      </c>
    </row>
    <row r="208">
      <c r="Y208" s="243">
        <f>IF(OR($C28="",$F28=""),"",DATE(YEAR($R$6),MONTH($R$6),MIN($F28,DAY((DATE(YEAR($R$6),MONTH($R$6)+1,1)-1)))))</f>
        <v/>
      </c>
      <c r="Z208" s="110">
        <f>IF($C28="","",IF($D28="Доход","Доход","Расход"))</f>
        <v/>
      </c>
      <c r="AA208" s="110">
        <f>IF($C28="","",$E28)</f>
        <v/>
      </c>
      <c r="AB208" s="110">
        <f>IF($C28="",0,IF(AND(OR($I28="",$I28&lt;=(DATE(YEAR($R$6),MONTH($R$6)+1,1)-1)),OR($J28="",$J28&gt;=$R$6),MOD((YEAR($R$6)*12+MONTH($R$6))-(YEAR(IF($I28="",$L$6,$I28))*12+MONTH(IF($I28="",$L$6,$I28))),MAX(1,N($H28)))=0),N($G28),0))</f>
        <v/>
      </c>
      <c r="AC208" s="110">
        <f>IF($C28="",0,IF(R28="✓",N($G28),IF(ISNUMBER(R28),R28,0)))</f>
        <v/>
      </c>
      <c r="AD208" s="243">
        <f>IF($C28="","",$R$6)</f>
        <v/>
      </c>
      <c r="AE208" s="110">
        <f>IF($C28="","",$K28)</f>
        <v/>
      </c>
    </row>
    <row r="209">
      <c r="Y209" s="243">
        <f>IF(OR($C29="",$F29=""),"",DATE(YEAR($R$6),MONTH($R$6),MIN($F29,DAY((DATE(YEAR($R$6),MONTH($R$6)+1,1)-1)))))</f>
        <v/>
      </c>
      <c r="Z209" s="110">
        <f>IF($C29="","",IF($D29="Доход","Доход","Расход"))</f>
        <v/>
      </c>
      <c r="AA209" s="110">
        <f>IF($C29="","",$E29)</f>
        <v/>
      </c>
      <c r="AB209" s="110">
        <f>IF($C29="",0,IF(AND(OR($I29="",$I29&lt;=(DATE(YEAR($R$6),MONTH($R$6)+1,1)-1)),OR($J29="",$J29&gt;=$R$6),MOD((YEAR($R$6)*12+MONTH($R$6))-(YEAR(IF($I29="",$L$6,$I29))*12+MONTH(IF($I29="",$L$6,$I29))),MAX(1,N($H29)))=0),N($G29),0))</f>
        <v/>
      </c>
      <c r="AC209" s="110">
        <f>IF($C29="",0,IF(R29="✓",N($G29),IF(ISNUMBER(R29),R29,0)))</f>
        <v/>
      </c>
      <c r="AD209" s="243">
        <f>IF($C29="","",$R$6)</f>
        <v/>
      </c>
      <c r="AE209" s="110">
        <f>IF($C29="","",$K29)</f>
        <v/>
      </c>
    </row>
    <row r="210">
      <c r="Y210" s="243">
        <f>IF(OR($C30="",$F30=""),"",DATE(YEAR($R$6),MONTH($R$6),MIN($F30,DAY((DATE(YEAR($R$6),MONTH($R$6)+1,1)-1)))))</f>
        <v/>
      </c>
      <c r="Z210" s="110">
        <f>IF($C30="","",IF($D30="Доход","Доход","Расход"))</f>
        <v/>
      </c>
      <c r="AA210" s="110">
        <f>IF($C30="","",$E30)</f>
        <v/>
      </c>
      <c r="AB210" s="110">
        <f>IF($C30="",0,IF(AND(OR($I30="",$I30&lt;=(DATE(YEAR($R$6),MONTH($R$6)+1,1)-1)),OR($J30="",$J30&gt;=$R$6),MOD((YEAR($R$6)*12+MONTH($R$6))-(YEAR(IF($I30="",$L$6,$I30))*12+MONTH(IF($I30="",$L$6,$I30))),MAX(1,N($H30)))=0),N($G30),0))</f>
        <v/>
      </c>
      <c r="AC210" s="110">
        <f>IF($C30="",0,IF(R30="✓",N($G30),IF(ISNUMBER(R30),R30,0)))</f>
        <v/>
      </c>
      <c r="AD210" s="243">
        <f>IF($C30="","",$R$6)</f>
        <v/>
      </c>
      <c r="AE210" s="110">
        <f>IF($C30="","",$K30)</f>
        <v/>
      </c>
    </row>
    <row r="211">
      <c r="Y211" s="243">
        <f>IF(OR($C31="",$F31=""),"",DATE(YEAR($R$6),MONTH($R$6),MIN($F31,DAY((DATE(YEAR($R$6),MONTH($R$6)+1,1)-1)))))</f>
        <v/>
      </c>
      <c r="Z211" s="110">
        <f>IF($C31="","",IF($D31="Доход","Доход","Расход"))</f>
        <v/>
      </c>
      <c r="AA211" s="110">
        <f>IF($C31="","",$E31)</f>
        <v/>
      </c>
      <c r="AB211" s="110">
        <f>IF($C31="",0,IF(AND(OR($I31="",$I31&lt;=(DATE(YEAR($R$6),MONTH($R$6)+1,1)-1)),OR($J31="",$J31&gt;=$R$6),MOD((YEAR($R$6)*12+MONTH($R$6))-(YEAR(IF($I31="",$L$6,$I31))*12+MONTH(IF($I31="",$L$6,$I31))),MAX(1,N($H31)))=0),N($G31),0))</f>
        <v/>
      </c>
      <c r="AC211" s="110">
        <f>IF($C31="",0,IF(R31="✓",N($G31),IF(ISNUMBER(R31),R31,0)))</f>
        <v/>
      </c>
      <c r="AD211" s="243">
        <f>IF($C31="","",$R$6)</f>
        <v/>
      </c>
      <c r="AE211" s="110">
        <f>IF($C31="","",$K31)</f>
        <v/>
      </c>
    </row>
    <row r="212">
      <c r="Y212" s="243">
        <f>IF(OR($C32="",$F32=""),"",DATE(YEAR($R$6),MONTH($R$6),MIN($F32,DAY((DATE(YEAR($R$6),MONTH($R$6)+1,1)-1)))))</f>
        <v/>
      </c>
      <c r="Z212" s="110">
        <f>IF($C32="","",IF($D32="Доход","Доход","Расход"))</f>
        <v/>
      </c>
      <c r="AA212" s="110">
        <f>IF($C32="","",$E32)</f>
        <v/>
      </c>
      <c r="AB212" s="110">
        <f>IF($C32="",0,IF(AND(OR($I32="",$I32&lt;=(DATE(YEAR($R$6),MONTH($R$6)+1,1)-1)),OR($J32="",$J32&gt;=$R$6),MOD((YEAR($R$6)*12+MONTH($R$6))-(YEAR(IF($I32="",$L$6,$I32))*12+MONTH(IF($I32="",$L$6,$I32))),MAX(1,N($H32)))=0),N($G32),0))</f>
        <v/>
      </c>
      <c r="AC212" s="110">
        <f>IF($C32="",0,IF(R32="✓",N($G32),IF(ISNUMBER(R32),R32,0)))</f>
        <v/>
      </c>
      <c r="AD212" s="243">
        <f>IF($C32="","",$R$6)</f>
        <v/>
      </c>
      <c r="AE212" s="110">
        <f>IF($C32="","",$K32)</f>
        <v/>
      </c>
    </row>
    <row r="213">
      <c r="Y213" s="243">
        <f>IF(OR($C33="",$F33=""),"",DATE(YEAR($R$6),MONTH($R$6),MIN($F33,DAY((DATE(YEAR($R$6),MONTH($R$6)+1,1)-1)))))</f>
        <v/>
      </c>
      <c r="Z213" s="110">
        <f>IF($C33="","",IF($D33="Доход","Доход","Расход"))</f>
        <v/>
      </c>
      <c r="AA213" s="110">
        <f>IF($C33="","",$E33)</f>
        <v/>
      </c>
      <c r="AB213" s="110">
        <f>IF($C33="",0,IF(AND(OR($I33="",$I33&lt;=(DATE(YEAR($R$6),MONTH($R$6)+1,1)-1)),OR($J33="",$J33&gt;=$R$6),MOD((YEAR($R$6)*12+MONTH($R$6))-(YEAR(IF($I33="",$L$6,$I33))*12+MONTH(IF($I33="",$L$6,$I33))),MAX(1,N($H33)))=0),N($G33),0))</f>
        <v/>
      </c>
      <c r="AC213" s="110">
        <f>IF($C33="",0,IF(R33="✓",N($G33),IF(ISNUMBER(R33),R33,0)))</f>
        <v/>
      </c>
      <c r="AD213" s="243">
        <f>IF($C33="","",$R$6)</f>
        <v/>
      </c>
      <c r="AE213" s="110">
        <f>IF($C33="","",$K33)</f>
        <v/>
      </c>
    </row>
    <row r="214">
      <c r="Y214" s="243">
        <f>IF(OR($C34="",$F34=""),"",DATE(YEAR($R$6),MONTH($R$6),MIN($F34,DAY((DATE(YEAR($R$6),MONTH($R$6)+1,1)-1)))))</f>
        <v/>
      </c>
      <c r="Z214" s="110">
        <f>IF($C34="","",IF($D34="Доход","Доход","Расход"))</f>
        <v/>
      </c>
      <c r="AA214" s="110">
        <f>IF($C34="","",$E34)</f>
        <v/>
      </c>
      <c r="AB214" s="110">
        <f>IF($C34="",0,IF(AND(OR($I34="",$I34&lt;=(DATE(YEAR($R$6),MONTH($R$6)+1,1)-1)),OR($J34="",$J34&gt;=$R$6),MOD((YEAR($R$6)*12+MONTH($R$6))-(YEAR(IF($I34="",$L$6,$I34))*12+MONTH(IF($I34="",$L$6,$I34))),MAX(1,N($H34)))=0),N($G34),0))</f>
        <v/>
      </c>
      <c r="AC214" s="110">
        <f>IF($C34="",0,IF(R34="✓",N($G34),IF(ISNUMBER(R34),R34,0)))</f>
        <v/>
      </c>
      <c r="AD214" s="243">
        <f>IF($C34="","",$R$6)</f>
        <v/>
      </c>
      <c r="AE214" s="110">
        <f>IF($C34="","",$K34)</f>
        <v/>
      </c>
    </row>
    <row r="215">
      <c r="Y215" s="243">
        <f>IF(OR($C35="",$F35=""),"",DATE(YEAR($R$6),MONTH($R$6),MIN($F35,DAY((DATE(YEAR($R$6),MONTH($R$6)+1,1)-1)))))</f>
        <v/>
      </c>
      <c r="Z215" s="110">
        <f>IF($C35="","",IF($D35="Доход","Доход","Расход"))</f>
        <v/>
      </c>
      <c r="AA215" s="110">
        <f>IF($C35="","",$E35)</f>
        <v/>
      </c>
      <c r="AB215" s="110">
        <f>IF($C35="",0,IF(AND(OR($I35="",$I35&lt;=(DATE(YEAR($R$6),MONTH($R$6)+1,1)-1)),OR($J35="",$J35&gt;=$R$6),MOD((YEAR($R$6)*12+MONTH($R$6))-(YEAR(IF($I35="",$L$6,$I35))*12+MONTH(IF($I35="",$L$6,$I35))),MAX(1,N($H35)))=0),N($G35),0))</f>
        <v/>
      </c>
      <c r="AC215" s="110">
        <f>IF($C35="",0,IF(R35="✓",N($G35),IF(ISNUMBER(R35),R35,0)))</f>
        <v/>
      </c>
      <c r="AD215" s="243">
        <f>IF($C35="","",$R$6)</f>
        <v/>
      </c>
      <c r="AE215" s="110">
        <f>IF($C35="","",$K35)</f>
        <v/>
      </c>
    </row>
    <row r="216">
      <c r="Y216" s="243">
        <f>IF(OR($C36="",$F36=""),"",DATE(YEAR($R$6),MONTH($R$6),MIN($F36,DAY((DATE(YEAR($R$6),MONTH($R$6)+1,1)-1)))))</f>
        <v/>
      </c>
      <c r="Z216" s="110">
        <f>IF($C36="","",IF($D36="Доход","Доход","Расход"))</f>
        <v/>
      </c>
      <c r="AA216" s="110">
        <f>IF($C36="","",$E36)</f>
        <v/>
      </c>
      <c r="AB216" s="110">
        <f>IF($C36="",0,IF(AND(OR($I36="",$I36&lt;=(DATE(YEAR($R$6),MONTH($R$6)+1,1)-1)),OR($J36="",$J36&gt;=$R$6),MOD((YEAR($R$6)*12+MONTH($R$6))-(YEAR(IF($I36="",$L$6,$I36))*12+MONTH(IF($I36="",$L$6,$I36))),MAX(1,N($H36)))=0),N($G36),0))</f>
        <v/>
      </c>
      <c r="AC216" s="110">
        <f>IF($C36="",0,IF(R36="✓",N($G36),IF(ISNUMBER(R36),R36,0)))</f>
        <v/>
      </c>
      <c r="AD216" s="243">
        <f>IF($C36="","",$R$6)</f>
        <v/>
      </c>
      <c r="AE216" s="110">
        <f>IF($C36="","",$K36)</f>
        <v/>
      </c>
    </row>
    <row r="217">
      <c r="Y217" s="243">
        <f>IF(OR($C37="",$F37=""),"",DATE(YEAR($R$6),MONTH($R$6),MIN($F37,DAY((DATE(YEAR($R$6),MONTH($R$6)+1,1)-1)))))</f>
        <v/>
      </c>
      <c r="Z217" s="110">
        <f>IF($C37="","",IF($D37="Доход","Доход","Расход"))</f>
        <v/>
      </c>
      <c r="AA217" s="110">
        <f>IF($C37="","",$E37)</f>
        <v/>
      </c>
      <c r="AB217" s="110">
        <f>IF($C37="",0,IF(AND(OR($I37="",$I37&lt;=(DATE(YEAR($R$6),MONTH($R$6)+1,1)-1)),OR($J37="",$J37&gt;=$R$6),MOD((YEAR($R$6)*12+MONTH($R$6))-(YEAR(IF($I37="",$L$6,$I37))*12+MONTH(IF($I37="",$L$6,$I37))),MAX(1,N($H37)))=0),N($G37),0))</f>
        <v/>
      </c>
      <c r="AC217" s="110">
        <f>IF($C37="",0,IF(R37="✓",N($G37),IF(ISNUMBER(R37),R37,0)))</f>
        <v/>
      </c>
      <c r="AD217" s="243">
        <f>IF($C37="","",$R$6)</f>
        <v/>
      </c>
      <c r="AE217" s="110">
        <f>IF($C37="","",$K37)</f>
        <v/>
      </c>
    </row>
    <row r="218">
      <c r="Y218" s="243">
        <f>IF(OR($C8="",$F8=""),"",DATE(YEAR($S$6),MONTH($S$6),MIN($F8,DAY((DATE(YEAR($S$6),MONTH($S$6)+1,1)-1)))))</f>
        <v/>
      </c>
      <c r="Z218" s="110">
        <f>IF($C8="","",IF($D8="Доход","Доход","Расход"))</f>
        <v/>
      </c>
      <c r="AA218" s="110">
        <f>IF($C8="","",$E8)</f>
        <v/>
      </c>
      <c r="AB218" s="110">
        <f>IF($C8="",0,IF(AND(OR($I8="",$I8&lt;=(DATE(YEAR($S$6),MONTH($S$6)+1,1)-1)),OR($J8="",$J8&gt;=$S$6),MOD((YEAR($S$6)*12+MONTH($S$6))-(YEAR(IF($I8="",$L$6,$I8))*12+MONTH(IF($I8="",$L$6,$I8))),MAX(1,N($H8)))=0),N($G8),0))</f>
        <v/>
      </c>
      <c r="AC218" s="110">
        <f>IF($C8="",0,IF(S8="✓",N($G8),IF(ISNUMBER(S8),S8,0)))</f>
        <v/>
      </c>
      <c r="AD218" s="243">
        <f>IF($C8="","",$S$6)</f>
        <v/>
      </c>
      <c r="AE218" s="110">
        <f>IF($C8="","",$K8)</f>
        <v/>
      </c>
    </row>
    <row r="219">
      <c r="Y219" s="243">
        <f>IF(OR($C9="",$F9=""),"",DATE(YEAR($S$6),MONTH($S$6),MIN($F9,DAY((DATE(YEAR($S$6),MONTH($S$6)+1,1)-1)))))</f>
        <v/>
      </c>
      <c r="Z219" s="110">
        <f>IF($C9="","",IF($D9="Доход","Доход","Расход"))</f>
        <v/>
      </c>
      <c r="AA219" s="110">
        <f>IF($C9="","",$E9)</f>
        <v/>
      </c>
      <c r="AB219" s="110">
        <f>IF($C9="",0,IF(AND(OR($I9="",$I9&lt;=(DATE(YEAR($S$6),MONTH($S$6)+1,1)-1)),OR($J9="",$J9&gt;=$S$6),MOD((YEAR($S$6)*12+MONTH($S$6))-(YEAR(IF($I9="",$L$6,$I9))*12+MONTH(IF($I9="",$L$6,$I9))),MAX(1,N($H9)))=0),N($G9),0))</f>
        <v/>
      </c>
      <c r="AC219" s="110">
        <f>IF($C9="",0,IF(S9="✓",N($G9),IF(ISNUMBER(S9),S9,0)))</f>
        <v/>
      </c>
      <c r="AD219" s="243">
        <f>IF($C9="","",$S$6)</f>
        <v/>
      </c>
      <c r="AE219" s="110">
        <f>IF($C9="","",$K9)</f>
        <v/>
      </c>
    </row>
    <row r="220">
      <c r="Y220" s="243">
        <f>IF(OR($C10="",$F10=""),"",DATE(YEAR($S$6),MONTH($S$6),MIN($F10,DAY((DATE(YEAR($S$6),MONTH($S$6)+1,1)-1)))))</f>
        <v/>
      </c>
      <c r="Z220" s="110">
        <f>IF($C10="","",IF($D10="Доход","Доход","Расход"))</f>
        <v/>
      </c>
      <c r="AA220" s="110">
        <f>IF($C10="","",$E10)</f>
        <v/>
      </c>
      <c r="AB220" s="110">
        <f>IF($C10="",0,IF(AND(OR($I10="",$I10&lt;=(DATE(YEAR($S$6),MONTH($S$6)+1,1)-1)),OR($J10="",$J10&gt;=$S$6),MOD((YEAR($S$6)*12+MONTH($S$6))-(YEAR(IF($I10="",$L$6,$I10))*12+MONTH(IF($I10="",$L$6,$I10))),MAX(1,N($H10)))=0),N($G10),0))</f>
        <v/>
      </c>
      <c r="AC220" s="110">
        <f>IF($C10="",0,IF(S10="✓",N($G10),IF(ISNUMBER(S10),S10,0)))</f>
        <v/>
      </c>
      <c r="AD220" s="243">
        <f>IF($C10="","",$S$6)</f>
        <v/>
      </c>
      <c r="AE220" s="110">
        <f>IF($C10="","",$K10)</f>
        <v/>
      </c>
    </row>
    <row r="221">
      <c r="Y221" s="243">
        <f>IF(OR($C11="",$F11=""),"",DATE(YEAR($S$6),MONTH($S$6),MIN($F11,DAY((DATE(YEAR($S$6),MONTH($S$6)+1,1)-1)))))</f>
        <v/>
      </c>
      <c r="Z221" s="110">
        <f>IF($C11="","",IF($D11="Доход","Доход","Расход"))</f>
        <v/>
      </c>
      <c r="AA221" s="110">
        <f>IF($C11="","",$E11)</f>
        <v/>
      </c>
      <c r="AB221" s="110">
        <f>IF($C11="",0,IF(AND(OR($I11="",$I11&lt;=(DATE(YEAR($S$6),MONTH($S$6)+1,1)-1)),OR($J11="",$J11&gt;=$S$6),MOD((YEAR($S$6)*12+MONTH($S$6))-(YEAR(IF($I11="",$L$6,$I11))*12+MONTH(IF($I11="",$L$6,$I11))),MAX(1,N($H11)))=0),N($G11),0))</f>
        <v/>
      </c>
      <c r="AC221" s="110">
        <f>IF($C11="",0,IF(S11="✓",N($G11),IF(ISNUMBER(S11),S11,0)))</f>
        <v/>
      </c>
      <c r="AD221" s="243">
        <f>IF($C11="","",$S$6)</f>
        <v/>
      </c>
      <c r="AE221" s="110">
        <f>IF($C11="","",$K11)</f>
        <v/>
      </c>
    </row>
    <row r="222">
      <c r="Y222" s="243">
        <f>IF(OR($C12="",$F12=""),"",DATE(YEAR($S$6),MONTH($S$6),MIN($F12,DAY((DATE(YEAR($S$6),MONTH($S$6)+1,1)-1)))))</f>
        <v/>
      </c>
      <c r="Z222" s="110">
        <f>IF($C12="","",IF($D12="Доход","Доход","Расход"))</f>
        <v/>
      </c>
      <c r="AA222" s="110">
        <f>IF($C12="","",$E12)</f>
        <v/>
      </c>
      <c r="AB222" s="110">
        <f>IF($C12="",0,IF(AND(OR($I12="",$I12&lt;=(DATE(YEAR($S$6),MONTH($S$6)+1,1)-1)),OR($J12="",$J12&gt;=$S$6),MOD((YEAR($S$6)*12+MONTH($S$6))-(YEAR(IF($I12="",$L$6,$I12))*12+MONTH(IF($I12="",$L$6,$I12))),MAX(1,N($H12)))=0),N($G12),0))</f>
        <v/>
      </c>
      <c r="AC222" s="110">
        <f>IF($C12="",0,IF(S12="✓",N($G12),IF(ISNUMBER(S12),S12,0)))</f>
        <v/>
      </c>
      <c r="AD222" s="243">
        <f>IF($C12="","",$S$6)</f>
        <v/>
      </c>
      <c r="AE222" s="110">
        <f>IF($C12="","",$K12)</f>
        <v/>
      </c>
    </row>
    <row r="223">
      <c r="Y223" s="243">
        <f>IF(OR($C13="",$F13=""),"",DATE(YEAR($S$6),MONTH($S$6),MIN($F13,DAY((DATE(YEAR($S$6),MONTH($S$6)+1,1)-1)))))</f>
        <v/>
      </c>
      <c r="Z223" s="110">
        <f>IF($C13="","",IF($D13="Доход","Доход","Расход"))</f>
        <v/>
      </c>
      <c r="AA223" s="110">
        <f>IF($C13="","",$E13)</f>
        <v/>
      </c>
      <c r="AB223" s="110">
        <f>IF($C13="",0,IF(AND(OR($I13="",$I13&lt;=(DATE(YEAR($S$6),MONTH($S$6)+1,1)-1)),OR($J13="",$J13&gt;=$S$6),MOD((YEAR($S$6)*12+MONTH($S$6))-(YEAR(IF($I13="",$L$6,$I13))*12+MONTH(IF($I13="",$L$6,$I13))),MAX(1,N($H13)))=0),N($G13),0))</f>
        <v/>
      </c>
      <c r="AC223" s="110">
        <f>IF($C13="",0,IF(S13="✓",N($G13),IF(ISNUMBER(S13),S13,0)))</f>
        <v/>
      </c>
      <c r="AD223" s="243">
        <f>IF($C13="","",$S$6)</f>
        <v/>
      </c>
      <c r="AE223" s="110">
        <f>IF($C13="","",$K13)</f>
        <v/>
      </c>
    </row>
    <row r="224">
      <c r="Y224" s="243">
        <f>IF(OR($C14="",$F14=""),"",DATE(YEAR($S$6),MONTH($S$6),MIN($F14,DAY((DATE(YEAR($S$6),MONTH($S$6)+1,1)-1)))))</f>
        <v/>
      </c>
      <c r="Z224" s="110">
        <f>IF($C14="","",IF($D14="Доход","Доход","Расход"))</f>
        <v/>
      </c>
      <c r="AA224" s="110">
        <f>IF($C14="","",$E14)</f>
        <v/>
      </c>
      <c r="AB224" s="110">
        <f>IF($C14="",0,IF(AND(OR($I14="",$I14&lt;=(DATE(YEAR($S$6),MONTH($S$6)+1,1)-1)),OR($J14="",$J14&gt;=$S$6),MOD((YEAR($S$6)*12+MONTH($S$6))-(YEAR(IF($I14="",$L$6,$I14))*12+MONTH(IF($I14="",$L$6,$I14))),MAX(1,N($H14)))=0),N($G14),0))</f>
        <v/>
      </c>
      <c r="AC224" s="110">
        <f>IF($C14="",0,IF(S14="✓",N($G14),IF(ISNUMBER(S14),S14,0)))</f>
        <v/>
      </c>
      <c r="AD224" s="243">
        <f>IF($C14="","",$S$6)</f>
        <v/>
      </c>
      <c r="AE224" s="110">
        <f>IF($C14="","",$K14)</f>
        <v/>
      </c>
    </row>
    <row r="225">
      <c r="Y225" s="243">
        <f>IF(OR($C15="",$F15=""),"",DATE(YEAR($S$6),MONTH($S$6),MIN($F15,DAY((DATE(YEAR($S$6),MONTH($S$6)+1,1)-1)))))</f>
        <v/>
      </c>
      <c r="Z225" s="110">
        <f>IF($C15="","",IF($D15="Доход","Доход","Расход"))</f>
        <v/>
      </c>
      <c r="AA225" s="110">
        <f>IF($C15="","",$E15)</f>
        <v/>
      </c>
      <c r="AB225" s="110">
        <f>IF($C15="",0,IF(AND(OR($I15="",$I15&lt;=(DATE(YEAR($S$6),MONTH($S$6)+1,1)-1)),OR($J15="",$J15&gt;=$S$6),MOD((YEAR($S$6)*12+MONTH($S$6))-(YEAR(IF($I15="",$L$6,$I15))*12+MONTH(IF($I15="",$L$6,$I15))),MAX(1,N($H15)))=0),N($G15),0))</f>
        <v/>
      </c>
      <c r="AC225" s="110">
        <f>IF($C15="",0,IF(S15="✓",N($G15),IF(ISNUMBER(S15),S15,0)))</f>
        <v/>
      </c>
      <c r="AD225" s="243">
        <f>IF($C15="","",$S$6)</f>
        <v/>
      </c>
      <c r="AE225" s="110">
        <f>IF($C15="","",$K15)</f>
        <v/>
      </c>
    </row>
    <row r="226">
      <c r="Y226" s="243">
        <f>IF(OR($C16="",$F16=""),"",DATE(YEAR($S$6),MONTH($S$6),MIN($F16,DAY((DATE(YEAR($S$6),MONTH($S$6)+1,1)-1)))))</f>
        <v/>
      </c>
      <c r="Z226" s="110">
        <f>IF($C16="","",IF($D16="Доход","Доход","Расход"))</f>
        <v/>
      </c>
      <c r="AA226" s="110">
        <f>IF($C16="","",$E16)</f>
        <v/>
      </c>
      <c r="AB226" s="110">
        <f>IF($C16="",0,IF(AND(OR($I16="",$I16&lt;=(DATE(YEAR($S$6),MONTH($S$6)+1,1)-1)),OR($J16="",$J16&gt;=$S$6),MOD((YEAR($S$6)*12+MONTH($S$6))-(YEAR(IF($I16="",$L$6,$I16))*12+MONTH(IF($I16="",$L$6,$I16))),MAX(1,N($H16)))=0),N($G16),0))</f>
        <v/>
      </c>
      <c r="AC226" s="110">
        <f>IF($C16="",0,IF(S16="✓",N($G16),IF(ISNUMBER(S16),S16,0)))</f>
        <v/>
      </c>
      <c r="AD226" s="243">
        <f>IF($C16="","",$S$6)</f>
        <v/>
      </c>
      <c r="AE226" s="110">
        <f>IF($C16="","",$K16)</f>
        <v/>
      </c>
    </row>
    <row r="227">
      <c r="Y227" s="243">
        <f>IF(OR($C17="",$F17=""),"",DATE(YEAR($S$6),MONTH($S$6),MIN($F17,DAY((DATE(YEAR($S$6),MONTH($S$6)+1,1)-1)))))</f>
        <v/>
      </c>
      <c r="Z227" s="110">
        <f>IF($C17="","",IF($D17="Доход","Доход","Расход"))</f>
        <v/>
      </c>
      <c r="AA227" s="110">
        <f>IF($C17="","",$E17)</f>
        <v/>
      </c>
      <c r="AB227" s="110">
        <f>IF($C17="",0,IF(AND(OR($I17="",$I17&lt;=(DATE(YEAR($S$6),MONTH($S$6)+1,1)-1)),OR($J17="",$J17&gt;=$S$6),MOD((YEAR($S$6)*12+MONTH($S$6))-(YEAR(IF($I17="",$L$6,$I17))*12+MONTH(IF($I17="",$L$6,$I17))),MAX(1,N($H17)))=0),N($G17),0))</f>
        <v/>
      </c>
      <c r="AC227" s="110">
        <f>IF($C17="",0,IF(S17="✓",N($G17),IF(ISNUMBER(S17),S17,0)))</f>
        <v/>
      </c>
      <c r="AD227" s="243">
        <f>IF($C17="","",$S$6)</f>
        <v/>
      </c>
      <c r="AE227" s="110">
        <f>IF($C17="","",$K17)</f>
        <v/>
      </c>
    </row>
    <row r="228">
      <c r="Y228" s="243">
        <f>IF(OR($C18="",$F18=""),"",DATE(YEAR($S$6),MONTH($S$6),MIN($F18,DAY((DATE(YEAR($S$6),MONTH($S$6)+1,1)-1)))))</f>
        <v/>
      </c>
      <c r="Z228" s="110">
        <f>IF($C18="","",IF($D18="Доход","Доход","Расход"))</f>
        <v/>
      </c>
      <c r="AA228" s="110">
        <f>IF($C18="","",$E18)</f>
        <v/>
      </c>
      <c r="AB228" s="110">
        <f>IF($C18="",0,IF(AND(OR($I18="",$I18&lt;=(DATE(YEAR($S$6),MONTH($S$6)+1,1)-1)),OR($J18="",$J18&gt;=$S$6),MOD((YEAR($S$6)*12+MONTH($S$6))-(YEAR(IF($I18="",$L$6,$I18))*12+MONTH(IF($I18="",$L$6,$I18))),MAX(1,N($H18)))=0),N($G18),0))</f>
        <v/>
      </c>
      <c r="AC228" s="110">
        <f>IF($C18="",0,IF(S18="✓",N($G18),IF(ISNUMBER(S18),S18,0)))</f>
        <v/>
      </c>
      <c r="AD228" s="243">
        <f>IF($C18="","",$S$6)</f>
        <v/>
      </c>
      <c r="AE228" s="110">
        <f>IF($C18="","",$K18)</f>
        <v/>
      </c>
    </row>
    <row r="229">
      <c r="Y229" s="243">
        <f>IF(OR($C19="",$F19=""),"",DATE(YEAR($S$6),MONTH($S$6),MIN($F19,DAY((DATE(YEAR($S$6),MONTH($S$6)+1,1)-1)))))</f>
        <v/>
      </c>
      <c r="Z229" s="110">
        <f>IF($C19="","",IF($D19="Доход","Доход","Расход"))</f>
        <v/>
      </c>
      <c r="AA229" s="110">
        <f>IF($C19="","",$E19)</f>
        <v/>
      </c>
      <c r="AB229" s="110">
        <f>IF($C19="",0,IF(AND(OR($I19="",$I19&lt;=(DATE(YEAR($S$6),MONTH($S$6)+1,1)-1)),OR($J19="",$J19&gt;=$S$6),MOD((YEAR($S$6)*12+MONTH($S$6))-(YEAR(IF($I19="",$L$6,$I19))*12+MONTH(IF($I19="",$L$6,$I19))),MAX(1,N($H19)))=0),N($G19),0))</f>
        <v/>
      </c>
      <c r="AC229" s="110">
        <f>IF($C19="",0,IF(S19="✓",N($G19),IF(ISNUMBER(S19),S19,0)))</f>
        <v/>
      </c>
      <c r="AD229" s="243">
        <f>IF($C19="","",$S$6)</f>
        <v/>
      </c>
      <c r="AE229" s="110">
        <f>IF($C19="","",$K19)</f>
        <v/>
      </c>
    </row>
    <row r="230">
      <c r="Y230" s="243">
        <f>IF(OR($C20="",$F20=""),"",DATE(YEAR($S$6),MONTH($S$6),MIN($F20,DAY((DATE(YEAR($S$6),MONTH($S$6)+1,1)-1)))))</f>
        <v/>
      </c>
      <c r="Z230" s="110">
        <f>IF($C20="","",IF($D20="Доход","Доход","Расход"))</f>
        <v/>
      </c>
      <c r="AA230" s="110">
        <f>IF($C20="","",$E20)</f>
        <v/>
      </c>
      <c r="AB230" s="110">
        <f>IF($C20="",0,IF(AND(OR($I20="",$I20&lt;=(DATE(YEAR($S$6),MONTH($S$6)+1,1)-1)),OR($J20="",$J20&gt;=$S$6),MOD((YEAR($S$6)*12+MONTH($S$6))-(YEAR(IF($I20="",$L$6,$I20))*12+MONTH(IF($I20="",$L$6,$I20))),MAX(1,N($H20)))=0),N($G20),0))</f>
        <v/>
      </c>
      <c r="AC230" s="110">
        <f>IF($C20="",0,IF(S20="✓",N($G20),IF(ISNUMBER(S20),S20,0)))</f>
        <v/>
      </c>
      <c r="AD230" s="243">
        <f>IF($C20="","",$S$6)</f>
        <v/>
      </c>
      <c r="AE230" s="110">
        <f>IF($C20="","",$K20)</f>
        <v/>
      </c>
    </row>
    <row r="231">
      <c r="Y231" s="243">
        <f>IF(OR($C21="",$F21=""),"",DATE(YEAR($S$6),MONTH($S$6),MIN($F21,DAY((DATE(YEAR($S$6),MONTH($S$6)+1,1)-1)))))</f>
        <v/>
      </c>
      <c r="Z231" s="110">
        <f>IF($C21="","",IF($D21="Доход","Доход","Расход"))</f>
        <v/>
      </c>
      <c r="AA231" s="110">
        <f>IF($C21="","",$E21)</f>
        <v/>
      </c>
      <c r="AB231" s="110">
        <f>IF($C21="",0,IF(AND(OR($I21="",$I21&lt;=(DATE(YEAR($S$6),MONTH($S$6)+1,1)-1)),OR($J21="",$J21&gt;=$S$6),MOD((YEAR($S$6)*12+MONTH($S$6))-(YEAR(IF($I21="",$L$6,$I21))*12+MONTH(IF($I21="",$L$6,$I21))),MAX(1,N($H21)))=0),N($G21),0))</f>
        <v/>
      </c>
      <c r="AC231" s="110">
        <f>IF($C21="",0,IF(S21="✓",N($G21),IF(ISNUMBER(S21),S21,0)))</f>
        <v/>
      </c>
      <c r="AD231" s="243">
        <f>IF($C21="","",$S$6)</f>
        <v/>
      </c>
      <c r="AE231" s="110">
        <f>IF($C21="","",$K21)</f>
        <v/>
      </c>
    </row>
    <row r="232">
      <c r="Y232" s="243">
        <f>IF(OR($C22="",$F22=""),"",DATE(YEAR($S$6),MONTH($S$6),MIN($F22,DAY((DATE(YEAR($S$6),MONTH($S$6)+1,1)-1)))))</f>
        <v/>
      </c>
      <c r="Z232" s="110">
        <f>IF($C22="","",IF($D22="Доход","Доход","Расход"))</f>
        <v/>
      </c>
      <c r="AA232" s="110">
        <f>IF($C22="","",$E22)</f>
        <v/>
      </c>
      <c r="AB232" s="110">
        <f>IF($C22="",0,IF(AND(OR($I22="",$I22&lt;=(DATE(YEAR($S$6),MONTH($S$6)+1,1)-1)),OR($J22="",$J22&gt;=$S$6),MOD((YEAR($S$6)*12+MONTH($S$6))-(YEAR(IF($I22="",$L$6,$I22))*12+MONTH(IF($I22="",$L$6,$I22))),MAX(1,N($H22)))=0),N($G22),0))</f>
        <v/>
      </c>
      <c r="AC232" s="110">
        <f>IF($C22="",0,IF(S22="✓",N($G22),IF(ISNUMBER(S22),S22,0)))</f>
        <v/>
      </c>
      <c r="AD232" s="243">
        <f>IF($C22="","",$S$6)</f>
        <v/>
      </c>
      <c r="AE232" s="110">
        <f>IF($C22="","",$K22)</f>
        <v/>
      </c>
    </row>
    <row r="233">
      <c r="Y233" s="243">
        <f>IF(OR($C23="",$F23=""),"",DATE(YEAR($S$6),MONTH($S$6),MIN($F23,DAY((DATE(YEAR($S$6),MONTH($S$6)+1,1)-1)))))</f>
        <v/>
      </c>
      <c r="Z233" s="110">
        <f>IF($C23="","",IF($D23="Доход","Доход","Расход"))</f>
        <v/>
      </c>
      <c r="AA233" s="110">
        <f>IF($C23="","",$E23)</f>
        <v/>
      </c>
      <c r="AB233" s="110">
        <f>IF($C23="",0,IF(AND(OR($I23="",$I23&lt;=(DATE(YEAR($S$6),MONTH($S$6)+1,1)-1)),OR($J23="",$J23&gt;=$S$6),MOD((YEAR($S$6)*12+MONTH($S$6))-(YEAR(IF($I23="",$L$6,$I23))*12+MONTH(IF($I23="",$L$6,$I23))),MAX(1,N($H23)))=0),N($G23),0))</f>
        <v/>
      </c>
      <c r="AC233" s="110">
        <f>IF($C23="",0,IF(S23="✓",N($G23),IF(ISNUMBER(S23),S23,0)))</f>
        <v/>
      </c>
      <c r="AD233" s="243">
        <f>IF($C23="","",$S$6)</f>
        <v/>
      </c>
      <c r="AE233" s="110">
        <f>IF($C23="","",$K23)</f>
        <v/>
      </c>
    </row>
    <row r="234">
      <c r="Y234" s="243">
        <f>IF(OR($C24="",$F24=""),"",DATE(YEAR($S$6),MONTH($S$6),MIN($F24,DAY((DATE(YEAR($S$6),MONTH($S$6)+1,1)-1)))))</f>
        <v/>
      </c>
      <c r="Z234" s="110">
        <f>IF($C24="","",IF($D24="Доход","Доход","Расход"))</f>
        <v/>
      </c>
      <c r="AA234" s="110">
        <f>IF($C24="","",$E24)</f>
        <v/>
      </c>
      <c r="AB234" s="110">
        <f>IF($C24="",0,IF(AND(OR($I24="",$I24&lt;=(DATE(YEAR($S$6),MONTH($S$6)+1,1)-1)),OR($J24="",$J24&gt;=$S$6),MOD((YEAR($S$6)*12+MONTH($S$6))-(YEAR(IF($I24="",$L$6,$I24))*12+MONTH(IF($I24="",$L$6,$I24))),MAX(1,N($H24)))=0),N($G24),0))</f>
        <v/>
      </c>
      <c r="AC234" s="110">
        <f>IF($C24="",0,IF(S24="✓",N($G24),IF(ISNUMBER(S24),S24,0)))</f>
        <v/>
      </c>
      <c r="AD234" s="243">
        <f>IF($C24="","",$S$6)</f>
        <v/>
      </c>
      <c r="AE234" s="110">
        <f>IF($C24="","",$K24)</f>
        <v/>
      </c>
    </row>
    <row r="235">
      <c r="Y235" s="243">
        <f>IF(OR($C25="",$F25=""),"",DATE(YEAR($S$6),MONTH($S$6),MIN($F25,DAY((DATE(YEAR($S$6),MONTH($S$6)+1,1)-1)))))</f>
        <v/>
      </c>
      <c r="Z235" s="110">
        <f>IF($C25="","",IF($D25="Доход","Доход","Расход"))</f>
        <v/>
      </c>
      <c r="AA235" s="110">
        <f>IF($C25="","",$E25)</f>
        <v/>
      </c>
      <c r="AB235" s="110">
        <f>IF($C25="",0,IF(AND(OR($I25="",$I25&lt;=(DATE(YEAR($S$6),MONTH($S$6)+1,1)-1)),OR($J25="",$J25&gt;=$S$6),MOD((YEAR($S$6)*12+MONTH($S$6))-(YEAR(IF($I25="",$L$6,$I25))*12+MONTH(IF($I25="",$L$6,$I25))),MAX(1,N($H25)))=0),N($G25),0))</f>
        <v/>
      </c>
      <c r="AC235" s="110">
        <f>IF($C25="",0,IF(S25="✓",N($G25),IF(ISNUMBER(S25),S25,0)))</f>
        <v/>
      </c>
      <c r="AD235" s="243">
        <f>IF($C25="","",$S$6)</f>
        <v/>
      </c>
      <c r="AE235" s="110">
        <f>IF($C25="","",$K25)</f>
        <v/>
      </c>
    </row>
    <row r="236">
      <c r="Y236" s="243">
        <f>IF(OR($C26="",$F26=""),"",DATE(YEAR($S$6),MONTH($S$6),MIN($F26,DAY((DATE(YEAR($S$6),MONTH($S$6)+1,1)-1)))))</f>
        <v/>
      </c>
      <c r="Z236" s="110">
        <f>IF($C26="","",IF($D26="Доход","Доход","Расход"))</f>
        <v/>
      </c>
      <c r="AA236" s="110">
        <f>IF($C26="","",$E26)</f>
        <v/>
      </c>
      <c r="AB236" s="110">
        <f>IF($C26="",0,IF(AND(OR($I26="",$I26&lt;=(DATE(YEAR($S$6),MONTH($S$6)+1,1)-1)),OR($J26="",$J26&gt;=$S$6),MOD((YEAR($S$6)*12+MONTH($S$6))-(YEAR(IF($I26="",$L$6,$I26))*12+MONTH(IF($I26="",$L$6,$I26))),MAX(1,N($H26)))=0),N($G26),0))</f>
        <v/>
      </c>
      <c r="AC236" s="110">
        <f>IF($C26="",0,IF(S26="✓",N($G26),IF(ISNUMBER(S26),S26,0)))</f>
        <v/>
      </c>
      <c r="AD236" s="243">
        <f>IF($C26="","",$S$6)</f>
        <v/>
      </c>
      <c r="AE236" s="110">
        <f>IF($C26="","",$K26)</f>
        <v/>
      </c>
    </row>
    <row r="237">
      <c r="Y237" s="243">
        <f>IF(OR($C27="",$F27=""),"",DATE(YEAR($S$6),MONTH($S$6),MIN($F27,DAY((DATE(YEAR($S$6),MONTH($S$6)+1,1)-1)))))</f>
        <v/>
      </c>
      <c r="Z237" s="110">
        <f>IF($C27="","",IF($D27="Доход","Доход","Расход"))</f>
        <v/>
      </c>
      <c r="AA237" s="110">
        <f>IF($C27="","",$E27)</f>
        <v/>
      </c>
      <c r="AB237" s="110">
        <f>IF($C27="",0,IF(AND(OR($I27="",$I27&lt;=(DATE(YEAR($S$6),MONTH($S$6)+1,1)-1)),OR($J27="",$J27&gt;=$S$6),MOD((YEAR($S$6)*12+MONTH($S$6))-(YEAR(IF($I27="",$L$6,$I27))*12+MONTH(IF($I27="",$L$6,$I27))),MAX(1,N($H27)))=0),N($G27),0))</f>
        <v/>
      </c>
      <c r="AC237" s="110">
        <f>IF($C27="",0,IF(S27="✓",N($G27),IF(ISNUMBER(S27),S27,0)))</f>
        <v/>
      </c>
      <c r="AD237" s="243">
        <f>IF($C27="","",$S$6)</f>
        <v/>
      </c>
      <c r="AE237" s="110">
        <f>IF($C27="","",$K27)</f>
        <v/>
      </c>
    </row>
    <row r="238">
      <c r="Y238" s="243">
        <f>IF(OR($C28="",$F28=""),"",DATE(YEAR($S$6),MONTH($S$6),MIN($F28,DAY((DATE(YEAR($S$6),MONTH($S$6)+1,1)-1)))))</f>
        <v/>
      </c>
      <c r="Z238" s="110">
        <f>IF($C28="","",IF($D28="Доход","Доход","Расход"))</f>
        <v/>
      </c>
      <c r="AA238" s="110">
        <f>IF($C28="","",$E28)</f>
        <v/>
      </c>
      <c r="AB238" s="110">
        <f>IF($C28="",0,IF(AND(OR($I28="",$I28&lt;=(DATE(YEAR($S$6),MONTH($S$6)+1,1)-1)),OR($J28="",$J28&gt;=$S$6),MOD((YEAR($S$6)*12+MONTH($S$6))-(YEAR(IF($I28="",$L$6,$I28))*12+MONTH(IF($I28="",$L$6,$I28))),MAX(1,N($H28)))=0),N($G28),0))</f>
        <v/>
      </c>
      <c r="AC238" s="110">
        <f>IF($C28="",0,IF(S28="✓",N($G28),IF(ISNUMBER(S28),S28,0)))</f>
        <v/>
      </c>
      <c r="AD238" s="243">
        <f>IF($C28="","",$S$6)</f>
        <v/>
      </c>
      <c r="AE238" s="110">
        <f>IF($C28="","",$K28)</f>
        <v/>
      </c>
    </row>
    <row r="239">
      <c r="Y239" s="243">
        <f>IF(OR($C29="",$F29=""),"",DATE(YEAR($S$6),MONTH($S$6),MIN($F29,DAY((DATE(YEAR($S$6),MONTH($S$6)+1,1)-1)))))</f>
        <v/>
      </c>
      <c r="Z239" s="110">
        <f>IF($C29="","",IF($D29="Доход","Доход","Расход"))</f>
        <v/>
      </c>
      <c r="AA239" s="110">
        <f>IF($C29="","",$E29)</f>
        <v/>
      </c>
      <c r="AB239" s="110">
        <f>IF($C29="",0,IF(AND(OR($I29="",$I29&lt;=(DATE(YEAR($S$6),MONTH($S$6)+1,1)-1)),OR($J29="",$J29&gt;=$S$6),MOD((YEAR($S$6)*12+MONTH($S$6))-(YEAR(IF($I29="",$L$6,$I29))*12+MONTH(IF($I29="",$L$6,$I29))),MAX(1,N($H29)))=0),N($G29),0))</f>
        <v/>
      </c>
      <c r="AC239" s="110">
        <f>IF($C29="",0,IF(S29="✓",N($G29),IF(ISNUMBER(S29),S29,0)))</f>
        <v/>
      </c>
      <c r="AD239" s="243">
        <f>IF($C29="","",$S$6)</f>
        <v/>
      </c>
      <c r="AE239" s="110">
        <f>IF($C29="","",$K29)</f>
        <v/>
      </c>
    </row>
    <row r="240">
      <c r="Y240" s="243">
        <f>IF(OR($C30="",$F30=""),"",DATE(YEAR($S$6),MONTH($S$6),MIN($F30,DAY((DATE(YEAR($S$6),MONTH($S$6)+1,1)-1)))))</f>
        <v/>
      </c>
      <c r="Z240" s="110">
        <f>IF($C30="","",IF($D30="Доход","Доход","Расход"))</f>
        <v/>
      </c>
      <c r="AA240" s="110">
        <f>IF($C30="","",$E30)</f>
        <v/>
      </c>
      <c r="AB240" s="110">
        <f>IF($C30="",0,IF(AND(OR($I30="",$I30&lt;=(DATE(YEAR($S$6),MONTH($S$6)+1,1)-1)),OR($J30="",$J30&gt;=$S$6),MOD((YEAR($S$6)*12+MONTH($S$6))-(YEAR(IF($I30="",$L$6,$I30))*12+MONTH(IF($I30="",$L$6,$I30))),MAX(1,N($H30)))=0),N($G30),0))</f>
        <v/>
      </c>
      <c r="AC240" s="110">
        <f>IF($C30="",0,IF(S30="✓",N($G30),IF(ISNUMBER(S30),S30,0)))</f>
        <v/>
      </c>
      <c r="AD240" s="243">
        <f>IF($C30="","",$S$6)</f>
        <v/>
      </c>
      <c r="AE240" s="110">
        <f>IF($C30="","",$K30)</f>
        <v/>
      </c>
    </row>
    <row r="241">
      <c r="Y241" s="243">
        <f>IF(OR($C31="",$F31=""),"",DATE(YEAR($S$6),MONTH($S$6),MIN($F31,DAY((DATE(YEAR($S$6),MONTH($S$6)+1,1)-1)))))</f>
        <v/>
      </c>
      <c r="Z241" s="110">
        <f>IF($C31="","",IF($D31="Доход","Доход","Расход"))</f>
        <v/>
      </c>
      <c r="AA241" s="110">
        <f>IF($C31="","",$E31)</f>
        <v/>
      </c>
      <c r="AB241" s="110">
        <f>IF($C31="",0,IF(AND(OR($I31="",$I31&lt;=(DATE(YEAR($S$6),MONTH($S$6)+1,1)-1)),OR($J31="",$J31&gt;=$S$6),MOD((YEAR($S$6)*12+MONTH($S$6))-(YEAR(IF($I31="",$L$6,$I31))*12+MONTH(IF($I31="",$L$6,$I31))),MAX(1,N($H31)))=0),N($G31),0))</f>
        <v/>
      </c>
      <c r="AC241" s="110">
        <f>IF($C31="",0,IF(S31="✓",N($G31),IF(ISNUMBER(S31),S31,0)))</f>
        <v/>
      </c>
      <c r="AD241" s="243">
        <f>IF($C31="","",$S$6)</f>
        <v/>
      </c>
      <c r="AE241" s="110">
        <f>IF($C31="","",$K31)</f>
        <v/>
      </c>
    </row>
    <row r="242">
      <c r="Y242" s="243">
        <f>IF(OR($C32="",$F32=""),"",DATE(YEAR($S$6),MONTH($S$6),MIN($F32,DAY((DATE(YEAR($S$6),MONTH($S$6)+1,1)-1)))))</f>
        <v/>
      </c>
      <c r="Z242" s="110">
        <f>IF($C32="","",IF($D32="Доход","Доход","Расход"))</f>
        <v/>
      </c>
      <c r="AA242" s="110">
        <f>IF($C32="","",$E32)</f>
        <v/>
      </c>
      <c r="AB242" s="110">
        <f>IF($C32="",0,IF(AND(OR($I32="",$I32&lt;=(DATE(YEAR($S$6),MONTH($S$6)+1,1)-1)),OR($J32="",$J32&gt;=$S$6),MOD((YEAR($S$6)*12+MONTH($S$6))-(YEAR(IF($I32="",$L$6,$I32))*12+MONTH(IF($I32="",$L$6,$I32))),MAX(1,N($H32)))=0),N($G32),0))</f>
        <v/>
      </c>
      <c r="AC242" s="110">
        <f>IF($C32="",0,IF(S32="✓",N($G32),IF(ISNUMBER(S32),S32,0)))</f>
        <v/>
      </c>
      <c r="AD242" s="243">
        <f>IF($C32="","",$S$6)</f>
        <v/>
      </c>
      <c r="AE242" s="110">
        <f>IF($C32="","",$K32)</f>
        <v/>
      </c>
    </row>
    <row r="243">
      <c r="Y243" s="243">
        <f>IF(OR($C33="",$F33=""),"",DATE(YEAR($S$6),MONTH($S$6),MIN($F33,DAY((DATE(YEAR($S$6),MONTH($S$6)+1,1)-1)))))</f>
        <v/>
      </c>
      <c r="Z243" s="110">
        <f>IF($C33="","",IF($D33="Доход","Доход","Расход"))</f>
        <v/>
      </c>
      <c r="AA243" s="110">
        <f>IF($C33="","",$E33)</f>
        <v/>
      </c>
      <c r="AB243" s="110">
        <f>IF($C33="",0,IF(AND(OR($I33="",$I33&lt;=(DATE(YEAR($S$6),MONTH($S$6)+1,1)-1)),OR($J33="",$J33&gt;=$S$6),MOD((YEAR($S$6)*12+MONTH($S$6))-(YEAR(IF($I33="",$L$6,$I33))*12+MONTH(IF($I33="",$L$6,$I33))),MAX(1,N($H33)))=0),N($G33),0))</f>
        <v/>
      </c>
      <c r="AC243" s="110">
        <f>IF($C33="",0,IF(S33="✓",N($G33),IF(ISNUMBER(S33),S33,0)))</f>
        <v/>
      </c>
      <c r="AD243" s="243">
        <f>IF($C33="","",$S$6)</f>
        <v/>
      </c>
      <c r="AE243" s="110">
        <f>IF($C33="","",$K33)</f>
        <v/>
      </c>
    </row>
    <row r="244">
      <c r="Y244" s="243">
        <f>IF(OR($C34="",$F34=""),"",DATE(YEAR($S$6),MONTH($S$6),MIN($F34,DAY((DATE(YEAR($S$6),MONTH($S$6)+1,1)-1)))))</f>
        <v/>
      </c>
      <c r="Z244" s="110">
        <f>IF($C34="","",IF($D34="Доход","Доход","Расход"))</f>
        <v/>
      </c>
      <c r="AA244" s="110">
        <f>IF($C34="","",$E34)</f>
        <v/>
      </c>
      <c r="AB244" s="110">
        <f>IF($C34="",0,IF(AND(OR($I34="",$I34&lt;=(DATE(YEAR($S$6),MONTH($S$6)+1,1)-1)),OR($J34="",$J34&gt;=$S$6),MOD((YEAR($S$6)*12+MONTH($S$6))-(YEAR(IF($I34="",$L$6,$I34))*12+MONTH(IF($I34="",$L$6,$I34))),MAX(1,N($H34)))=0),N($G34),0))</f>
        <v/>
      </c>
      <c r="AC244" s="110">
        <f>IF($C34="",0,IF(S34="✓",N($G34),IF(ISNUMBER(S34),S34,0)))</f>
        <v/>
      </c>
      <c r="AD244" s="243">
        <f>IF($C34="","",$S$6)</f>
        <v/>
      </c>
      <c r="AE244" s="110">
        <f>IF($C34="","",$K34)</f>
        <v/>
      </c>
    </row>
    <row r="245">
      <c r="Y245" s="243">
        <f>IF(OR($C35="",$F35=""),"",DATE(YEAR($S$6),MONTH($S$6),MIN($F35,DAY((DATE(YEAR($S$6),MONTH($S$6)+1,1)-1)))))</f>
        <v/>
      </c>
      <c r="Z245" s="110">
        <f>IF($C35="","",IF($D35="Доход","Доход","Расход"))</f>
        <v/>
      </c>
      <c r="AA245" s="110">
        <f>IF($C35="","",$E35)</f>
        <v/>
      </c>
      <c r="AB245" s="110">
        <f>IF($C35="",0,IF(AND(OR($I35="",$I35&lt;=(DATE(YEAR($S$6),MONTH($S$6)+1,1)-1)),OR($J35="",$J35&gt;=$S$6),MOD((YEAR($S$6)*12+MONTH($S$6))-(YEAR(IF($I35="",$L$6,$I35))*12+MONTH(IF($I35="",$L$6,$I35))),MAX(1,N($H35)))=0),N($G35),0))</f>
        <v/>
      </c>
      <c r="AC245" s="110">
        <f>IF($C35="",0,IF(S35="✓",N($G35),IF(ISNUMBER(S35),S35,0)))</f>
        <v/>
      </c>
      <c r="AD245" s="243">
        <f>IF($C35="","",$S$6)</f>
        <v/>
      </c>
      <c r="AE245" s="110">
        <f>IF($C35="","",$K35)</f>
        <v/>
      </c>
    </row>
    <row r="246">
      <c r="Y246" s="243">
        <f>IF(OR($C36="",$F36=""),"",DATE(YEAR($S$6),MONTH($S$6),MIN($F36,DAY((DATE(YEAR($S$6),MONTH($S$6)+1,1)-1)))))</f>
        <v/>
      </c>
      <c r="Z246" s="110">
        <f>IF($C36="","",IF($D36="Доход","Доход","Расход"))</f>
        <v/>
      </c>
      <c r="AA246" s="110">
        <f>IF($C36="","",$E36)</f>
        <v/>
      </c>
      <c r="AB246" s="110">
        <f>IF($C36="",0,IF(AND(OR($I36="",$I36&lt;=(DATE(YEAR($S$6),MONTH($S$6)+1,1)-1)),OR($J36="",$J36&gt;=$S$6),MOD((YEAR($S$6)*12+MONTH($S$6))-(YEAR(IF($I36="",$L$6,$I36))*12+MONTH(IF($I36="",$L$6,$I36))),MAX(1,N($H36)))=0),N($G36),0))</f>
        <v/>
      </c>
      <c r="AC246" s="110">
        <f>IF($C36="",0,IF(S36="✓",N($G36),IF(ISNUMBER(S36),S36,0)))</f>
        <v/>
      </c>
      <c r="AD246" s="243">
        <f>IF($C36="","",$S$6)</f>
        <v/>
      </c>
      <c r="AE246" s="110">
        <f>IF($C36="","",$K36)</f>
        <v/>
      </c>
    </row>
    <row r="247">
      <c r="Y247" s="243">
        <f>IF(OR($C37="",$F37=""),"",DATE(YEAR($S$6),MONTH($S$6),MIN($F37,DAY((DATE(YEAR($S$6),MONTH($S$6)+1,1)-1)))))</f>
        <v/>
      </c>
      <c r="Z247" s="110">
        <f>IF($C37="","",IF($D37="Доход","Доход","Расход"))</f>
        <v/>
      </c>
      <c r="AA247" s="110">
        <f>IF($C37="","",$E37)</f>
        <v/>
      </c>
      <c r="AB247" s="110">
        <f>IF($C37="",0,IF(AND(OR($I37="",$I37&lt;=(DATE(YEAR($S$6),MONTH($S$6)+1,1)-1)),OR($J37="",$J37&gt;=$S$6),MOD((YEAR($S$6)*12+MONTH($S$6))-(YEAR(IF($I37="",$L$6,$I37))*12+MONTH(IF($I37="",$L$6,$I37))),MAX(1,N($H37)))=0),N($G37),0))</f>
        <v/>
      </c>
      <c r="AC247" s="110">
        <f>IF($C37="",0,IF(S37="✓",N($G37),IF(ISNUMBER(S37),S37,0)))</f>
        <v/>
      </c>
      <c r="AD247" s="243">
        <f>IF($C37="","",$S$6)</f>
        <v/>
      </c>
      <c r="AE247" s="110">
        <f>IF($C37="","",$K37)</f>
        <v/>
      </c>
    </row>
    <row r="248">
      <c r="Y248" s="243">
        <f>IF(OR($C8="",$F8=""),"",DATE(YEAR($T$6),MONTH($T$6),MIN($F8,DAY((DATE(YEAR($T$6),MONTH($T$6)+1,1)-1)))))</f>
        <v/>
      </c>
      <c r="Z248" s="110">
        <f>IF($C8="","",IF($D8="Доход","Доход","Расход"))</f>
        <v/>
      </c>
      <c r="AA248" s="110">
        <f>IF($C8="","",$E8)</f>
        <v/>
      </c>
      <c r="AB248" s="110">
        <f>IF($C8="",0,IF(AND(OR($I8="",$I8&lt;=(DATE(YEAR($T$6),MONTH($T$6)+1,1)-1)),OR($J8="",$J8&gt;=$T$6),MOD((YEAR($T$6)*12+MONTH($T$6))-(YEAR(IF($I8="",$L$6,$I8))*12+MONTH(IF($I8="",$L$6,$I8))),MAX(1,N($H8)))=0),N($G8),0))</f>
        <v/>
      </c>
      <c r="AC248" s="110">
        <f>IF($C8="",0,IF(T8="✓",N($G8),IF(ISNUMBER(T8),T8,0)))</f>
        <v/>
      </c>
      <c r="AD248" s="243">
        <f>IF($C8="","",$T$6)</f>
        <v/>
      </c>
      <c r="AE248" s="110">
        <f>IF($C8="","",$K8)</f>
        <v/>
      </c>
    </row>
    <row r="249">
      <c r="Y249" s="243">
        <f>IF(OR($C9="",$F9=""),"",DATE(YEAR($T$6),MONTH($T$6),MIN($F9,DAY((DATE(YEAR($T$6),MONTH($T$6)+1,1)-1)))))</f>
        <v/>
      </c>
      <c r="Z249" s="110">
        <f>IF($C9="","",IF($D9="Доход","Доход","Расход"))</f>
        <v/>
      </c>
      <c r="AA249" s="110">
        <f>IF($C9="","",$E9)</f>
        <v/>
      </c>
      <c r="AB249" s="110">
        <f>IF($C9="",0,IF(AND(OR($I9="",$I9&lt;=(DATE(YEAR($T$6),MONTH($T$6)+1,1)-1)),OR($J9="",$J9&gt;=$T$6),MOD((YEAR($T$6)*12+MONTH($T$6))-(YEAR(IF($I9="",$L$6,$I9))*12+MONTH(IF($I9="",$L$6,$I9))),MAX(1,N($H9)))=0),N($G9),0))</f>
        <v/>
      </c>
      <c r="AC249" s="110">
        <f>IF($C9="",0,IF(T9="✓",N($G9),IF(ISNUMBER(T9),T9,0)))</f>
        <v/>
      </c>
      <c r="AD249" s="243">
        <f>IF($C9="","",$T$6)</f>
        <v/>
      </c>
      <c r="AE249" s="110">
        <f>IF($C9="","",$K9)</f>
        <v/>
      </c>
    </row>
    <row r="250">
      <c r="Y250" s="243">
        <f>IF(OR($C10="",$F10=""),"",DATE(YEAR($T$6),MONTH($T$6),MIN($F10,DAY((DATE(YEAR($T$6),MONTH($T$6)+1,1)-1)))))</f>
        <v/>
      </c>
      <c r="Z250" s="110">
        <f>IF($C10="","",IF($D10="Доход","Доход","Расход"))</f>
        <v/>
      </c>
      <c r="AA250" s="110">
        <f>IF($C10="","",$E10)</f>
        <v/>
      </c>
      <c r="AB250" s="110">
        <f>IF($C10="",0,IF(AND(OR($I10="",$I10&lt;=(DATE(YEAR($T$6),MONTH($T$6)+1,1)-1)),OR($J10="",$J10&gt;=$T$6),MOD((YEAR($T$6)*12+MONTH($T$6))-(YEAR(IF($I10="",$L$6,$I10))*12+MONTH(IF($I10="",$L$6,$I10))),MAX(1,N($H10)))=0),N($G10),0))</f>
        <v/>
      </c>
      <c r="AC250" s="110">
        <f>IF($C10="",0,IF(T10="✓",N($G10),IF(ISNUMBER(T10),T10,0)))</f>
        <v/>
      </c>
      <c r="AD250" s="243">
        <f>IF($C10="","",$T$6)</f>
        <v/>
      </c>
      <c r="AE250" s="110">
        <f>IF($C10="","",$K10)</f>
        <v/>
      </c>
    </row>
    <row r="251">
      <c r="Y251" s="243">
        <f>IF(OR($C11="",$F11=""),"",DATE(YEAR($T$6),MONTH($T$6),MIN($F11,DAY((DATE(YEAR($T$6),MONTH($T$6)+1,1)-1)))))</f>
        <v/>
      </c>
      <c r="Z251" s="110">
        <f>IF($C11="","",IF($D11="Доход","Доход","Расход"))</f>
        <v/>
      </c>
      <c r="AA251" s="110">
        <f>IF($C11="","",$E11)</f>
        <v/>
      </c>
      <c r="AB251" s="110">
        <f>IF($C11="",0,IF(AND(OR($I11="",$I11&lt;=(DATE(YEAR($T$6),MONTH($T$6)+1,1)-1)),OR($J11="",$J11&gt;=$T$6),MOD((YEAR($T$6)*12+MONTH($T$6))-(YEAR(IF($I11="",$L$6,$I11))*12+MONTH(IF($I11="",$L$6,$I11))),MAX(1,N($H11)))=0),N($G11),0))</f>
        <v/>
      </c>
      <c r="AC251" s="110">
        <f>IF($C11="",0,IF(T11="✓",N($G11),IF(ISNUMBER(T11),T11,0)))</f>
        <v/>
      </c>
      <c r="AD251" s="243">
        <f>IF($C11="","",$T$6)</f>
        <v/>
      </c>
      <c r="AE251" s="110">
        <f>IF($C11="","",$K11)</f>
        <v/>
      </c>
    </row>
    <row r="252">
      <c r="Y252" s="243">
        <f>IF(OR($C12="",$F12=""),"",DATE(YEAR($T$6),MONTH($T$6),MIN($F12,DAY((DATE(YEAR($T$6),MONTH($T$6)+1,1)-1)))))</f>
        <v/>
      </c>
      <c r="Z252" s="110">
        <f>IF($C12="","",IF($D12="Доход","Доход","Расход"))</f>
        <v/>
      </c>
      <c r="AA252" s="110">
        <f>IF($C12="","",$E12)</f>
        <v/>
      </c>
      <c r="AB252" s="110">
        <f>IF($C12="",0,IF(AND(OR($I12="",$I12&lt;=(DATE(YEAR($T$6),MONTH($T$6)+1,1)-1)),OR($J12="",$J12&gt;=$T$6),MOD((YEAR($T$6)*12+MONTH($T$6))-(YEAR(IF($I12="",$L$6,$I12))*12+MONTH(IF($I12="",$L$6,$I12))),MAX(1,N($H12)))=0),N($G12),0))</f>
        <v/>
      </c>
      <c r="AC252" s="110">
        <f>IF($C12="",0,IF(T12="✓",N($G12),IF(ISNUMBER(T12),T12,0)))</f>
        <v/>
      </c>
      <c r="AD252" s="243">
        <f>IF($C12="","",$T$6)</f>
        <v/>
      </c>
      <c r="AE252" s="110">
        <f>IF($C12="","",$K12)</f>
        <v/>
      </c>
    </row>
    <row r="253">
      <c r="Y253" s="243">
        <f>IF(OR($C13="",$F13=""),"",DATE(YEAR($T$6),MONTH($T$6),MIN($F13,DAY((DATE(YEAR($T$6),MONTH($T$6)+1,1)-1)))))</f>
        <v/>
      </c>
      <c r="Z253" s="110">
        <f>IF($C13="","",IF($D13="Доход","Доход","Расход"))</f>
        <v/>
      </c>
      <c r="AA253" s="110">
        <f>IF($C13="","",$E13)</f>
        <v/>
      </c>
      <c r="AB253" s="110">
        <f>IF($C13="",0,IF(AND(OR($I13="",$I13&lt;=(DATE(YEAR($T$6),MONTH($T$6)+1,1)-1)),OR($J13="",$J13&gt;=$T$6),MOD((YEAR($T$6)*12+MONTH($T$6))-(YEAR(IF($I13="",$L$6,$I13))*12+MONTH(IF($I13="",$L$6,$I13))),MAX(1,N($H13)))=0),N($G13),0))</f>
        <v/>
      </c>
      <c r="AC253" s="110">
        <f>IF($C13="",0,IF(T13="✓",N($G13),IF(ISNUMBER(T13),T13,0)))</f>
        <v/>
      </c>
      <c r="AD253" s="243">
        <f>IF($C13="","",$T$6)</f>
        <v/>
      </c>
      <c r="AE253" s="110">
        <f>IF($C13="","",$K13)</f>
        <v/>
      </c>
    </row>
    <row r="254">
      <c r="Y254" s="243">
        <f>IF(OR($C14="",$F14=""),"",DATE(YEAR($T$6),MONTH($T$6),MIN($F14,DAY((DATE(YEAR($T$6),MONTH($T$6)+1,1)-1)))))</f>
        <v/>
      </c>
      <c r="Z254" s="110">
        <f>IF($C14="","",IF($D14="Доход","Доход","Расход"))</f>
        <v/>
      </c>
      <c r="AA254" s="110">
        <f>IF($C14="","",$E14)</f>
        <v/>
      </c>
      <c r="AB254" s="110">
        <f>IF($C14="",0,IF(AND(OR($I14="",$I14&lt;=(DATE(YEAR($T$6),MONTH($T$6)+1,1)-1)),OR($J14="",$J14&gt;=$T$6),MOD((YEAR($T$6)*12+MONTH($T$6))-(YEAR(IF($I14="",$L$6,$I14))*12+MONTH(IF($I14="",$L$6,$I14))),MAX(1,N($H14)))=0),N($G14),0))</f>
        <v/>
      </c>
      <c r="AC254" s="110">
        <f>IF($C14="",0,IF(T14="✓",N($G14),IF(ISNUMBER(T14),T14,0)))</f>
        <v/>
      </c>
      <c r="AD254" s="243">
        <f>IF($C14="","",$T$6)</f>
        <v/>
      </c>
      <c r="AE254" s="110">
        <f>IF($C14="","",$K14)</f>
        <v/>
      </c>
    </row>
    <row r="255">
      <c r="Y255" s="243">
        <f>IF(OR($C15="",$F15=""),"",DATE(YEAR($T$6),MONTH($T$6),MIN($F15,DAY((DATE(YEAR($T$6),MONTH($T$6)+1,1)-1)))))</f>
        <v/>
      </c>
      <c r="Z255" s="110">
        <f>IF($C15="","",IF($D15="Доход","Доход","Расход"))</f>
        <v/>
      </c>
      <c r="AA255" s="110">
        <f>IF($C15="","",$E15)</f>
        <v/>
      </c>
      <c r="AB255" s="110">
        <f>IF($C15="",0,IF(AND(OR($I15="",$I15&lt;=(DATE(YEAR($T$6),MONTH($T$6)+1,1)-1)),OR($J15="",$J15&gt;=$T$6),MOD((YEAR($T$6)*12+MONTH($T$6))-(YEAR(IF($I15="",$L$6,$I15))*12+MONTH(IF($I15="",$L$6,$I15))),MAX(1,N($H15)))=0),N($G15),0))</f>
        <v/>
      </c>
      <c r="AC255" s="110">
        <f>IF($C15="",0,IF(T15="✓",N($G15),IF(ISNUMBER(T15),T15,0)))</f>
        <v/>
      </c>
      <c r="AD255" s="243">
        <f>IF($C15="","",$T$6)</f>
        <v/>
      </c>
      <c r="AE255" s="110">
        <f>IF($C15="","",$K15)</f>
        <v/>
      </c>
    </row>
    <row r="256">
      <c r="Y256" s="243">
        <f>IF(OR($C16="",$F16=""),"",DATE(YEAR($T$6),MONTH($T$6),MIN($F16,DAY((DATE(YEAR($T$6),MONTH($T$6)+1,1)-1)))))</f>
        <v/>
      </c>
      <c r="Z256" s="110">
        <f>IF($C16="","",IF($D16="Доход","Доход","Расход"))</f>
        <v/>
      </c>
      <c r="AA256" s="110">
        <f>IF($C16="","",$E16)</f>
        <v/>
      </c>
      <c r="AB256" s="110">
        <f>IF($C16="",0,IF(AND(OR($I16="",$I16&lt;=(DATE(YEAR($T$6),MONTH($T$6)+1,1)-1)),OR($J16="",$J16&gt;=$T$6),MOD((YEAR($T$6)*12+MONTH($T$6))-(YEAR(IF($I16="",$L$6,$I16))*12+MONTH(IF($I16="",$L$6,$I16))),MAX(1,N($H16)))=0),N($G16),0))</f>
        <v/>
      </c>
      <c r="AC256" s="110">
        <f>IF($C16="",0,IF(T16="✓",N($G16),IF(ISNUMBER(T16),T16,0)))</f>
        <v/>
      </c>
      <c r="AD256" s="243">
        <f>IF($C16="","",$T$6)</f>
        <v/>
      </c>
      <c r="AE256" s="110">
        <f>IF($C16="","",$K16)</f>
        <v/>
      </c>
    </row>
    <row r="257">
      <c r="Y257" s="243">
        <f>IF(OR($C17="",$F17=""),"",DATE(YEAR($T$6),MONTH($T$6),MIN($F17,DAY((DATE(YEAR($T$6),MONTH($T$6)+1,1)-1)))))</f>
        <v/>
      </c>
      <c r="Z257" s="110">
        <f>IF($C17="","",IF($D17="Доход","Доход","Расход"))</f>
        <v/>
      </c>
      <c r="AA257" s="110">
        <f>IF($C17="","",$E17)</f>
        <v/>
      </c>
      <c r="AB257" s="110">
        <f>IF($C17="",0,IF(AND(OR($I17="",$I17&lt;=(DATE(YEAR($T$6),MONTH($T$6)+1,1)-1)),OR($J17="",$J17&gt;=$T$6),MOD((YEAR($T$6)*12+MONTH($T$6))-(YEAR(IF($I17="",$L$6,$I17))*12+MONTH(IF($I17="",$L$6,$I17))),MAX(1,N($H17)))=0),N($G17),0))</f>
        <v/>
      </c>
      <c r="AC257" s="110">
        <f>IF($C17="",0,IF(T17="✓",N($G17),IF(ISNUMBER(T17),T17,0)))</f>
        <v/>
      </c>
      <c r="AD257" s="243">
        <f>IF($C17="","",$T$6)</f>
        <v/>
      </c>
      <c r="AE257" s="110">
        <f>IF($C17="","",$K17)</f>
        <v/>
      </c>
    </row>
    <row r="258">
      <c r="Y258" s="243">
        <f>IF(OR($C18="",$F18=""),"",DATE(YEAR($T$6),MONTH($T$6),MIN($F18,DAY((DATE(YEAR($T$6),MONTH($T$6)+1,1)-1)))))</f>
        <v/>
      </c>
      <c r="Z258" s="110">
        <f>IF($C18="","",IF($D18="Доход","Доход","Расход"))</f>
        <v/>
      </c>
      <c r="AA258" s="110">
        <f>IF($C18="","",$E18)</f>
        <v/>
      </c>
      <c r="AB258" s="110">
        <f>IF($C18="",0,IF(AND(OR($I18="",$I18&lt;=(DATE(YEAR($T$6),MONTH($T$6)+1,1)-1)),OR($J18="",$J18&gt;=$T$6),MOD((YEAR($T$6)*12+MONTH($T$6))-(YEAR(IF($I18="",$L$6,$I18))*12+MONTH(IF($I18="",$L$6,$I18))),MAX(1,N($H18)))=0),N($G18),0))</f>
        <v/>
      </c>
      <c r="AC258" s="110">
        <f>IF($C18="",0,IF(T18="✓",N($G18),IF(ISNUMBER(T18),T18,0)))</f>
        <v/>
      </c>
      <c r="AD258" s="243">
        <f>IF($C18="","",$T$6)</f>
        <v/>
      </c>
      <c r="AE258" s="110">
        <f>IF($C18="","",$K18)</f>
        <v/>
      </c>
    </row>
    <row r="259">
      <c r="Y259" s="243">
        <f>IF(OR($C19="",$F19=""),"",DATE(YEAR($T$6),MONTH($T$6),MIN($F19,DAY((DATE(YEAR($T$6),MONTH($T$6)+1,1)-1)))))</f>
        <v/>
      </c>
      <c r="Z259" s="110">
        <f>IF($C19="","",IF($D19="Доход","Доход","Расход"))</f>
        <v/>
      </c>
      <c r="AA259" s="110">
        <f>IF($C19="","",$E19)</f>
        <v/>
      </c>
      <c r="AB259" s="110">
        <f>IF($C19="",0,IF(AND(OR($I19="",$I19&lt;=(DATE(YEAR($T$6),MONTH($T$6)+1,1)-1)),OR($J19="",$J19&gt;=$T$6),MOD((YEAR($T$6)*12+MONTH($T$6))-(YEAR(IF($I19="",$L$6,$I19))*12+MONTH(IF($I19="",$L$6,$I19))),MAX(1,N($H19)))=0),N($G19),0))</f>
        <v/>
      </c>
      <c r="AC259" s="110">
        <f>IF($C19="",0,IF(T19="✓",N($G19),IF(ISNUMBER(T19),T19,0)))</f>
        <v/>
      </c>
      <c r="AD259" s="243">
        <f>IF($C19="","",$T$6)</f>
        <v/>
      </c>
      <c r="AE259" s="110">
        <f>IF($C19="","",$K19)</f>
        <v/>
      </c>
    </row>
    <row r="260">
      <c r="Y260" s="243">
        <f>IF(OR($C20="",$F20=""),"",DATE(YEAR($T$6),MONTH($T$6),MIN($F20,DAY((DATE(YEAR($T$6),MONTH($T$6)+1,1)-1)))))</f>
        <v/>
      </c>
      <c r="Z260" s="110">
        <f>IF($C20="","",IF($D20="Доход","Доход","Расход"))</f>
        <v/>
      </c>
      <c r="AA260" s="110">
        <f>IF($C20="","",$E20)</f>
        <v/>
      </c>
      <c r="AB260" s="110">
        <f>IF($C20="",0,IF(AND(OR($I20="",$I20&lt;=(DATE(YEAR($T$6),MONTH($T$6)+1,1)-1)),OR($J20="",$J20&gt;=$T$6),MOD((YEAR($T$6)*12+MONTH($T$6))-(YEAR(IF($I20="",$L$6,$I20))*12+MONTH(IF($I20="",$L$6,$I20))),MAX(1,N($H20)))=0),N($G20),0))</f>
        <v/>
      </c>
      <c r="AC260" s="110">
        <f>IF($C20="",0,IF(T20="✓",N($G20),IF(ISNUMBER(T20),T20,0)))</f>
        <v/>
      </c>
      <c r="AD260" s="243">
        <f>IF($C20="","",$T$6)</f>
        <v/>
      </c>
      <c r="AE260" s="110">
        <f>IF($C20="","",$K20)</f>
        <v/>
      </c>
    </row>
    <row r="261">
      <c r="Y261" s="243">
        <f>IF(OR($C21="",$F21=""),"",DATE(YEAR($T$6),MONTH($T$6),MIN($F21,DAY((DATE(YEAR($T$6),MONTH($T$6)+1,1)-1)))))</f>
        <v/>
      </c>
      <c r="Z261" s="110">
        <f>IF($C21="","",IF($D21="Доход","Доход","Расход"))</f>
        <v/>
      </c>
      <c r="AA261" s="110">
        <f>IF($C21="","",$E21)</f>
        <v/>
      </c>
      <c r="AB261" s="110">
        <f>IF($C21="",0,IF(AND(OR($I21="",$I21&lt;=(DATE(YEAR($T$6),MONTH($T$6)+1,1)-1)),OR($J21="",$J21&gt;=$T$6),MOD((YEAR($T$6)*12+MONTH($T$6))-(YEAR(IF($I21="",$L$6,$I21))*12+MONTH(IF($I21="",$L$6,$I21))),MAX(1,N($H21)))=0),N($G21),0))</f>
        <v/>
      </c>
      <c r="AC261" s="110">
        <f>IF($C21="",0,IF(T21="✓",N($G21),IF(ISNUMBER(T21),T21,0)))</f>
        <v/>
      </c>
      <c r="AD261" s="243">
        <f>IF($C21="","",$T$6)</f>
        <v/>
      </c>
      <c r="AE261" s="110">
        <f>IF($C21="","",$K21)</f>
        <v/>
      </c>
    </row>
    <row r="262">
      <c r="Y262" s="243">
        <f>IF(OR($C22="",$F22=""),"",DATE(YEAR($T$6),MONTH($T$6),MIN($F22,DAY((DATE(YEAR($T$6),MONTH($T$6)+1,1)-1)))))</f>
        <v/>
      </c>
      <c r="Z262" s="110">
        <f>IF($C22="","",IF($D22="Доход","Доход","Расход"))</f>
        <v/>
      </c>
      <c r="AA262" s="110">
        <f>IF($C22="","",$E22)</f>
        <v/>
      </c>
      <c r="AB262" s="110">
        <f>IF($C22="",0,IF(AND(OR($I22="",$I22&lt;=(DATE(YEAR($T$6),MONTH($T$6)+1,1)-1)),OR($J22="",$J22&gt;=$T$6),MOD((YEAR($T$6)*12+MONTH($T$6))-(YEAR(IF($I22="",$L$6,$I22))*12+MONTH(IF($I22="",$L$6,$I22))),MAX(1,N($H22)))=0),N($G22),0))</f>
        <v/>
      </c>
      <c r="AC262" s="110">
        <f>IF($C22="",0,IF(T22="✓",N($G22),IF(ISNUMBER(T22),T22,0)))</f>
        <v/>
      </c>
      <c r="AD262" s="243">
        <f>IF($C22="","",$T$6)</f>
        <v/>
      </c>
      <c r="AE262" s="110">
        <f>IF($C22="","",$K22)</f>
        <v/>
      </c>
    </row>
    <row r="263">
      <c r="Y263" s="243">
        <f>IF(OR($C23="",$F23=""),"",DATE(YEAR($T$6),MONTH($T$6),MIN($F23,DAY((DATE(YEAR($T$6),MONTH($T$6)+1,1)-1)))))</f>
        <v/>
      </c>
      <c r="Z263" s="110">
        <f>IF($C23="","",IF($D23="Доход","Доход","Расход"))</f>
        <v/>
      </c>
      <c r="AA263" s="110">
        <f>IF($C23="","",$E23)</f>
        <v/>
      </c>
      <c r="AB263" s="110">
        <f>IF($C23="",0,IF(AND(OR($I23="",$I23&lt;=(DATE(YEAR($T$6),MONTH($T$6)+1,1)-1)),OR($J23="",$J23&gt;=$T$6),MOD((YEAR($T$6)*12+MONTH($T$6))-(YEAR(IF($I23="",$L$6,$I23))*12+MONTH(IF($I23="",$L$6,$I23))),MAX(1,N($H23)))=0),N($G23),0))</f>
        <v/>
      </c>
      <c r="AC263" s="110">
        <f>IF($C23="",0,IF(T23="✓",N($G23),IF(ISNUMBER(T23),T23,0)))</f>
        <v/>
      </c>
      <c r="AD263" s="243">
        <f>IF($C23="","",$T$6)</f>
        <v/>
      </c>
      <c r="AE263" s="110">
        <f>IF($C23="","",$K23)</f>
        <v/>
      </c>
    </row>
    <row r="264">
      <c r="Y264" s="243">
        <f>IF(OR($C24="",$F24=""),"",DATE(YEAR($T$6),MONTH($T$6),MIN($F24,DAY((DATE(YEAR($T$6),MONTH($T$6)+1,1)-1)))))</f>
        <v/>
      </c>
      <c r="Z264" s="110">
        <f>IF($C24="","",IF($D24="Доход","Доход","Расход"))</f>
        <v/>
      </c>
      <c r="AA264" s="110">
        <f>IF($C24="","",$E24)</f>
        <v/>
      </c>
      <c r="AB264" s="110">
        <f>IF($C24="",0,IF(AND(OR($I24="",$I24&lt;=(DATE(YEAR($T$6),MONTH($T$6)+1,1)-1)),OR($J24="",$J24&gt;=$T$6),MOD((YEAR($T$6)*12+MONTH($T$6))-(YEAR(IF($I24="",$L$6,$I24))*12+MONTH(IF($I24="",$L$6,$I24))),MAX(1,N($H24)))=0),N($G24),0))</f>
        <v/>
      </c>
      <c r="AC264" s="110">
        <f>IF($C24="",0,IF(T24="✓",N($G24),IF(ISNUMBER(T24),T24,0)))</f>
        <v/>
      </c>
      <c r="AD264" s="243">
        <f>IF($C24="","",$T$6)</f>
        <v/>
      </c>
      <c r="AE264" s="110">
        <f>IF($C24="","",$K24)</f>
        <v/>
      </c>
    </row>
    <row r="265">
      <c r="Y265" s="243">
        <f>IF(OR($C25="",$F25=""),"",DATE(YEAR($T$6),MONTH($T$6),MIN($F25,DAY((DATE(YEAR($T$6),MONTH($T$6)+1,1)-1)))))</f>
        <v/>
      </c>
      <c r="Z265" s="110">
        <f>IF($C25="","",IF($D25="Доход","Доход","Расход"))</f>
        <v/>
      </c>
      <c r="AA265" s="110">
        <f>IF($C25="","",$E25)</f>
        <v/>
      </c>
      <c r="AB265" s="110">
        <f>IF($C25="",0,IF(AND(OR($I25="",$I25&lt;=(DATE(YEAR($T$6),MONTH($T$6)+1,1)-1)),OR($J25="",$J25&gt;=$T$6),MOD((YEAR($T$6)*12+MONTH($T$6))-(YEAR(IF($I25="",$L$6,$I25))*12+MONTH(IF($I25="",$L$6,$I25))),MAX(1,N($H25)))=0),N($G25),0))</f>
        <v/>
      </c>
      <c r="AC265" s="110">
        <f>IF($C25="",0,IF(T25="✓",N($G25),IF(ISNUMBER(T25),T25,0)))</f>
        <v/>
      </c>
      <c r="AD265" s="243">
        <f>IF($C25="","",$T$6)</f>
        <v/>
      </c>
      <c r="AE265" s="110">
        <f>IF($C25="","",$K25)</f>
        <v/>
      </c>
    </row>
    <row r="266">
      <c r="Y266" s="243">
        <f>IF(OR($C26="",$F26=""),"",DATE(YEAR($T$6),MONTH($T$6),MIN($F26,DAY((DATE(YEAR($T$6),MONTH($T$6)+1,1)-1)))))</f>
        <v/>
      </c>
      <c r="Z266" s="110">
        <f>IF($C26="","",IF($D26="Доход","Доход","Расход"))</f>
        <v/>
      </c>
      <c r="AA266" s="110">
        <f>IF($C26="","",$E26)</f>
        <v/>
      </c>
      <c r="AB266" s="110">
        <f>IF($C26="",0,IF(AND(OR($I26="",$I26&lt;=(DATE(YEAR($T$6),MONTH($T$6)+1,1)-1)),OR($J26="",$J26&gt;=$T$6),MOD((YEAR($T$6)*12+MONTH($T$6))-(YEAR(IF($I26="",$L$6,$I26))*12+MONTH(IF($I26="",$L$6,$I26))),MAX(1,N($H26)))=0),N($G26),0))</f>
        <v/>
      </c>
      <c r="AC266" s="110">
        <f>IF($C26="",0,IF(T26="✓",N($G26),IF(ISNUMBER(T26),T26,0)))</f>
        <v/>
      </c>
      <c r="AD266" s="243">
        <f>IF($C26="","",$T$6)</f>
        <v/>
      </c>
      <c r="AE266" s="110">
        <f>IF($C26="","",$K26)</f>
        <v/>
      </c>
    </row>
    <row r="267">
      <c r="Y267" s="243">
        <f>IF(OR($C27="",$F27=""),"",DATE(YEAR($T$6),MONTH($T$6),MIN($F27,DAY((DATE(YEAR($T$6),MONTH($T$6)+1,1)-1)))))</f>
        <v/>
      </c>
      <c r="Z267" s="110">
        <f>IF($C27="","",IF($D27="Доход","Доход","Расход"))</f>
        <v/>
      </c>
      <c r="AA267" s="110">
        <f>IF($C27="","",$E27)</f>
        <v/>
      </c>
      <c r="AB267" s="110">
        <f>IF($C27="",0,IF(AND(OR($I27="",$I27&lt;=(DATE(YEAR($T$6),MONTH($T$6)+1,1)-1)),OR($J27="",$J27&gt;=$T$6),MOD((YEAR($T$6)*12+MONTH($T$6))-(YEAR(IF($I27="",$L$6,$I27))*12+MONTH(IF($I27="",$L$6,$I27))),MAX(1,N($H27)))=0),N($G27),0))</f>
        <v/>
      </c>
      <c r="AC267" s="110">
        <f>IF($C27="",0,IF(T27="✓",N($G27),IF(ISNUMBER(T27),T27,0)))</f>
        <v/>
      </c>
      <c r="AD267" s="243">
        <f>IF($C27="","",$T$6)</f>
        <v/>
      </c>
      <c r="AE267" s="110">
        <f>IF($C27="","",$K27)</f>
        <v/>
      </c>
    </row>
    <row r="268">
      <c r="Y268" s="243">
        <f>IF(OR($C28="",$F28=""),"",DATE(YEAR($T$6),MONTH($T$6),MIN($F28,DAY((DATE(YEAR($T$6),MONTH($T$6)+1,1)-1)))))</f>
        <v/>
      </c>
      <c r="Z268" s="110">
        <f>IF($C28="","",IF($D28="Доход","Доход","Расход"))</f>
        <v/>
      </c>
      <c r="AA268" s="110">
        <f>IF($C28="","",$E28)</f>
        <v/>
      </c>
      <c r="AB268" s="110">
        <f>IF($C28="",0,IF(AND(OR($I28="",$I28&lt;=(DATE(YEAR($T$6),MONTH($T$6)+1,1)-1)),OR($J28="",$J28&gt;=$T$6),MOD((YEAR($T$6)*12+MONTH($T$6))-(YEAR(IF($I28="",$L$6,$I28))*12+MONTH(IF($I28="",$L$6,$I28))),MAX(1,N($H28)))=0),N($G28),0))</f>
        <v/>
      </c>
      <c r="AC268" s="110">
        <f>IF($C28="",0,IF(T28="✓",N($G28),IF(ISNUMBER(T28),T28,0)))</f>
        <v/>
      </c>
      <c r="AD268" s="243">
        <f>IF($C28="","",$T$6)</f>
        <v/>
      </c>
      <c r="AE268" s="110">
        <f>IF($C28="","",$K28)</f>
        <v/>
      </c>
    </row>
    <row r="269">
      <c r="Y269" s="243">
        <f>IF(OR($C29="",$F29=""),"",DATE(YEAR($T$6),MONTH($T$6),MIN($F29,DAY((DATE(YEAR($T$6),MONTH($T$6)+1,1)-1)))))</f>
        <v/>
      </c>
      <c r="Z269" s="110">
        <f>IF($C29="","",IF($D29="Доход","Доход","Расход"))</f>
        <v/>
      </c>
      <c r="AA269" s="110">
        <f>IF($C29="","",$E29)</f>
        <v/>
      </c>
      <c r="AB269" s="110">
        <f>IF($C29="",0,IF(AND(OR($I29="",$I29&lt;=(DATE(YEAR($T$6),MONTH($T$6)+1,1)-1)),OR($J29="",$J29&gt;=$T$6),MOD((YEAR($T$6)*12+MONTH($T$6))-(YEAR(IF($I29="",$L$6,$I29))*12+MONTH(IF($I29="",$L$6,$I29))),MAX(1,N($H29)))=0),N($G29),0))</f>
        <v/>
      </c>
      <c r="AC269" s="110">
        <f>IF($C29="",0,IF(T29="✓",N($G29),IF(ISNUMBER(T29),T29,0)))</f>
        <v/>
      </c>
      <c r="AD269" s="243">
        <f>IF($C29="","",$T$6)</f>
        <v/>
      </c>
      <c r="AE269" s="110">
        <f>IF($C29="","",$K29)</f>
        <v/>
      </c>
    </row>
    <row r="270">
      <c r="Y270" s="243">
        <f>IF(OR($C30="",$F30=""),"",DATE(YEAR($T$6),MONTH($T$6),MIN($F30,DAY((DATE(YEAR($T$6),MONTH($T$6)+1,1)-1)))))</f>
        <v/>
      </c>
      <c r="Z270" s="110">
        <f>IF($C30="","",IF($D30="Доход","Доход","Расход"))</f>
        <v/>
      </c>
      <c r="AA270" s="110">
        <f>IF($C30="","",$E30)</f>
        <v/>
      </c>
      <c r="AB270" s="110">
        <f>IF($C30="",0,IF(AND(OR($I30="",$I30&lt;=(DATE(YEAR($T$6),MONTH($T$6)+1,1)-1)),OR($J30="",$J30&gt;=$T$6),MOD((YEAR($T$6)*12+MONTH($T$6))-(YEAR(IF($I30="",$L$6,$I30))*12+MONTH(IF($I30="",$L$6,$I30))),MAX(1,N($H30)))=0),N($G30),0))</f>
        <v/>
      </c>
      <c r="AC270" s="110">
        <f>IF($C30="",0,IF(T30="✓",N($G30),IF(ISNUMBER(T30),T30,0)))</f>
        <v/>
      </c>
      <c r="AD270" s="243">
        <f>IF($C30="","",$T$6)</f>
        <v/>
      </c>
      <c r="AE270" s="110">
        <f>IF($C30="","",$K30)</f>
        <v/>
      </c>
    </row>
    <row r="271">
      <c r="Y271" s="243">
        <f>IF(OR($C31="",$F31=""),"",DATE(YEAR($T$6),MONTH($T$6),MIN($F31,DAY((DATE(YEAR($T$6),MONTH($T$6)+1,1)-1)))))</f>
        <v/>
      </c>
      <c r="Z271" s="110">
        <f>IF($C31="","",IF($D31="Доход","Доход","Расход"))</f>
        <v/>
      </c>
      <c r="AA271" s="110">
        <f>IF($C31="","",$E31)</f>
        <v/>
      </c>
      <c r="AB271" s="110">
        <f>IF($C31="",0,IF(AND(OR($I31="",$I31&lt;=(DATE(YEAR($T$6),MONTH($T$6)+1,1)-1)),OR($J31="",$J31&gt;=$T$6),MOD((YEAR($T$6)*12+MONTH($T$6))-(YEAR(IF($I31="",$L$6,$I31))*12+MONTH(IF($I31="",$L$6,$I31))),MAX(1,N($H31)))=0),N($G31),0))</f>
        <v/>
      </c>
      <c r="AC271" s="110">
        <f>IF($C31="",0,IF(T31="✓",N($G31),IF(ISNUMBER(T31),T31,0)))</f>
        <v/>
      </c>
      <c r="AD271" s="243">
        <f>IF($C31="","",$T$6)</f>
        <v/>
      </c>
      <c r="AE271" s="110">
        <f>IF($C31="","",$K31)</f>
        <v/>
      </c>
    </row>
    <row r="272">
      <c r="Y272" s="243">
        <f>IF(OR($C32="",$F32=""),"",DATE(YEAR($T$6),MONTH($T$6),MIN($F32,DAY((DATE(YEAR($T$6),MONTH($T$6)+1,1)-1)))))</f>
        <v/>
      </c>
      <c r="Z272" s="110">
        <f>IF($C32="","",IF($D32="Доход","Доход","Расход"))</f>
        <v/>
      </c>
      <c r="AA272" s="110">
        <f>IF($C32="","",$E32)</f>
        <v/>
      </c>
      <c r="AB272" s="110">
        <f>IF($C32="",0,IF(AND(OR($I32="",$I32&lt;=(DATE(YEAR($T$6),MONTH($T$6)+1,1)-1)),OR($J32="",$J32&gt;=$T$6),MOD((YEAR($T$6)*12+MONTH($T$6))-(YEAR(IF($I32="",$L$6,$I32))*12+MONTH(IF($I32="",$L$6,$I32))),MAX(1,N($H32)))=0),N($G32),0))</f>
        <v/>
      </c>
      <c r="AC272" s="110">
        <f>IF($C32="",0,IF(T32="✓",N($G32),IF(ISNUMBER(T32),T32,0)))</f>
        <v/>
      </c>
      <c r="AD272" s="243">
        <f>IF($C32="","",$T$6)</f>
        <v/>
      </c>
      <c r="AE272" s="110">
        <f>IF($C32="","",$K32)</f>
        <v/>
      </c>
    </row>
    <row r="273">
      <c r="Y273" s="243">
        <f>IF(OR($C33="",$F33=""),"",DATE(YEAR($T$6),MONTH($T$6),MIN($F33,DAY((DATE(YEAR($T$6),MONTH($T$6)+1,1)-1)))))</f>
        <v/>
      </c>
      <c r="Z273" s="110">
        <f>IF($C33="","",IF($D33="Доход","Доход","Расход"))</f>
        <v/>
      </c>
      <c r="AA273" s="110">
        <f>IF($C33="","",$E33)</f>
        <v/>
      </c>
      <c r="AB273" s="110">
        <f>IF($C33="",0,IF(AND(OR($I33="",$I33&lt;=(DATE(YEAR($T$6),MONTH($T$6)+1,1)-1)),OR($J33="",$J33&gt;=$T$6),MOD((YEAR($T$6)*12+MONTH($T$6))-(YEAR(IF($I33="",$L$6,$I33))*12+MONTH(IF($I33="",$L$6,$I33))),MAX(1,N($H33)))=0),N($G33),0))</f>
        <v/>
      </c>
      <c r="AC273" s="110">
        <f>IF($C33="",0,IF(T33="✓",N($G33),IF(ISNUMBER(T33),T33,0)))</f>
        <v/>
      </c>
      <c r="AD273" s="243">
        <f>IF($C33="","",$T$6)</f>
        <v/>
      </c>
      <c r="AE273" s="110">
        <f>IF($C33="","",$K33)</f>
        <v/>
      </c>
    </row>
    <row r="274">
      <c r="Y274" s="243">
        <f>IF(OR($C34="",$F34=""),"",DATE(YEAR($T$6),MONTH($T$6),MIN($F34,DAY((DATE(YEAR($T$6),MONTH($T$6)+1,1)-1)))))</f>
        <v/>
      </c>
      <c r="Z274" s="110">
        <f>IF($C34="","",IF($D34="Доход","Доход","Расход"))</f>
        <v/>
      </c>
      <c r="AA274" s="110">
        <f>IF($C34="","",$E34)</f>
        <v/>
      </c>
      <c r="AB274" s="110">
        <f>IF($C34="",0,IF(AND(OR($I34="",$I34&lt;=(DATE(YEAR($T$6),MONTH($T$6)+1,1)-1)),OR($J34="",$J34&gt;=$T$6),MOD((YEAR($T$6)*12+MONTH($T$6))-(YEAR(IF($I34="",$L$6,$I34))*12+MONTH(IF($I34="",$L$6,$I34))),MAX(1,N($H34)))=0),N($G34),0))</f>
        <v/>
      </c>
      <c r="AC274" s="110">
        <f>IF($C34="",0,IF(T34="✓",N($G34),IF(ISNUMBER(T34),T34,0)))</f>
        <v/>
      </c>
      <c r="AD274" s="243">
        <f>IF($C34="","",$T$6)</f>
        <v/>
      </c>
      <c r="AE274" s="110">
        <f>IF($C34="","",$K34)</f>
        <v/>
      </c>
    </row>
    <row r="275">
      <c r="Y275" s="243">
        <f>IF(OR($C35="",$F35=""),"",DATE(YEAR($T$6),MONTH($T$6),MIN($F35,DAY((DATE(YEAR($T$6),MONTH($T$6)+1,1)-1)))))</f>
        <v/>
      </c>
      <c r="Z275" s="110">
        <f>IF($C35="","",IF($D35="Доход","Доход","Расход"))</f>
        <v/>
      </c>
      <c r="AA275" s="110">
        <f>IF($C35="","",$E35)</f>
        <v/>
      </c>
      <c r="AB275" s="110">
        <f>IF($C35="",0,IF(AND(OR($I35="",$I35&lt;=(DATE(YEAR($T$6),MONTH($T$6)+1,1)-1)),OR($J35="",$J35&gt;=$T$6),MOD((YEAR($T$6)*12+MONTH($T$6))-(YEAR(IF($I35="",$L$6,$I35))*12+MONTH(IF($I35="",$L$6,$I35))),MAX(1,N($H35)))=0),N($G35),0))</f>
        <v/>
      </c>
      <c r="AC275" s="110">
        <f>IF($C35="",0,IF(T35="✓",N($G35),IF(ISNUMBER(T35),T35,0)))</f>
        <v/>
      </c>
      <c r="AD275" s="243">
        <f>IF($C35="","",$T$6)</f>
        <v/>
      </c>
      <c r="AE275" s="110">
        <f>IF($C35="","",$K35)</f>
        <v/>
      </c>
    </row>
    <row r="276">
      <c r="Y276" s="243">
        <f>IF(OR($C36="",$F36=""),"",DATE(YEAR($T$6),MONTH($T$6),MIN($F36,DAY((DATE(YEAR($T$6),MONTH($T$6)+1,1)-1)))))</f>
        <v/>
      </c>
      <c r="Z276" s="110">
        <f>IF($C36="","",IF($D36="Доход","Доход","Расход"))</f>
        <v/>
      </c>
      <c r="AA276" s="110">
        <f>IF($C36="","",$E36)</f>
        <v/>
      </c>
      <c r="AB276" s="110">
        <f>IF($C36="",0,IF(AND(OR($I36="",$I36&lt;=(DATE(YEAR($T$6),MONTH($T$6)+1,1)-1)),OR($J36="",$J36&gt;=$T$6),MOD((YEAR($T$6)*12+MONTH($T$6))-(YEAR(IF($I36="",$L$6,$I36))*12+MONTH(IF($I36="",$L$6,$I36))),MAX(1,N($H36)))=0),N($G36),0))</f>
        <v/>
      </c>
      <c r="AC276" s="110">
        <f>IF($C36="",0,IF(T36="✓",N($G36),IF(ISNUMBER(T36),T36,0)))</f>
        <v/>
      </c>
      <c r="AD276" s="243">
        <f>IF($C36="","",$T$6)</f>
        <v/>
      </c>
      <c r="AE276" s="110">
        <f>IF($C36="","",$K36)</f>
        <v/>
      </c>
    </row>
    <row r="277">
      <c r="Y277" s="243">
        <f>IF(OR($C37="",$F37=""),"",DATE(YEAR($T$6),MONTH($T$6),MIN($F37,DAY((DATE(YEAR($T$6),MONTH($T$6)+1,1)-1)))))</f>
        <v/>
      </c>
      <c r="Z277" s="110">
        <f>IF($C37="","",IF($D37="Доход","Доход","Расход"))</f>
        <v/>
      </c>
      <c r="AA277" s="110">
        <f>IF($C37="","",$E37)</f>
        <v/>
      </c>
      <c r="AB277" s="110">
        <f>IF($C37="",0,IF(AND(OR($I37="",$I37&lt;=(DATE(YEAR($T$6),MONTH($T$6)+1,1)-1)),OR($J37="",$J37&gt;=$T$6),MOD((YEAR($T$6)*12+MONTH($T$6))-(YEAR(IF($I37="",$L$6,$I37))*12+MONTH(IF($I37="",$L$6,$I37))),MAX(1,N($H37)))=0),N($G37),0))</f>
        <v/>
      </c>
      <c r="AC277" s="110">
        <f>IF($C37="",0,IF(T37="✓",N($G37),IF(ISNUMBER(T37),T37,0)))</f>
        <v/>
      </c>
      <c r="AD277" s="243">
        <f>IF($C37="","",$T$6)</f>
        <v/>
      </c>
      <c r="AE277" s="110">
        <f>IF($C37="","",$K37)</f>
        <v/>
      </c>
    </row>
    <row r="278">
      <c r="Y278" s="243">
        <f>IF(OR($C8="",$F8=""),"",DATE(YEAR($U$6),MONTH($U$6),MIN($F8,DAY((DATE(YEAR($U$6),MONTH($U$6)+1,1)-1)))))</f>
        <v/>
      </c>
      <c r="Z278" s="110">
        <f>IF($C8="","",IF($D8="Доход","Доход","Расход"))</f>
        <v/>
      </c>
      <c r="AA278" s="110">
        <f>IF($C8="","",$E8)</f>
        <v/>
      </c>
      <c r="AB278" s="110">
        <f>IF($C8="",0,IF(AND(OR($I8="",$I8&lt;=(DATE(YEAR($U$6),MONTH($U$6)+1,1)-1)),OR($J8="",$J8&gt;=$U$6),MOD((YEAR($U$6)*12+MONTH($U$6))-(YEAR(IF($I8="",$L$6,$I8))*12+MONTH(IF($I8="",$L$6,$I8))),MAX(1,N($H8)))=0),N($G8),0))</f>
        <v/>
      </c>
      <c r="AC278" s="110">
        <f>IF($C8="",0,IF(U8="✓",N($G8),IF(ISNUMBER(U8),U8,0)))</f>
        <v/>
      </c>
      <c r="AD278" s="243">
        <f>IF($C8="","",$U$6)</f>
        <v/>
      </c>
      <c r="AE278" s="110">
        <f>IF($C8="","",$K8)</f>
        <v/>
      </c>
    </row>
    <row r="279">
      <c r="Y279" s="243">
        <f>IF(OR($C9="",$F9=""),"",DATE(YEAR($U$6),MONTH($U$6),MIN($F9,DAY((DATE(YEAR($U$6),MONTH($U$6)+1,1)-1)))))</f>
        <v/>
      </c>
      <c r="Z279" s="110">
        <f>IF($C9="","",IF($D9="Доход","Доход","Расход"))</f>
        <v/>
      </c>
      <c r="AA279" s="110">
        <f>IF($C9="","",$E9)</f>
        <v/>
      </c>
      <c r="AB279" s="110">
        <f>IF($C9="",0,IF(AND(OR($I9="",$I9&lt;=(DATE(YEAR($U$6),MONTH($U$6)+1,1)-1)),OR($J9="",$J9&gt;=$U$6),MOD((YEAR($U$6)*12+MONTH($U$6))-(YEAR(IF($I9="",$L$6,$I9))*12+MONTH(IF($I9="",$L$6,$I9))),MAX(1,N($H9)))=0),N($G9),0))</f>
        <v/>
      </c>
      <c r="AC279" s="110">
        <f>IF($C9="",0,IF(U9="✓",N($G9),IF(ISNUMBER(U9),U9,0)))</f>
        <v/>
      </c>
      <c r="AD279" s="243">
        <f>IF($C9="","",$U$6)</f>
        <v/>
      </c>
      <c r="AE279" s="110">
        <f>IF($C9="","",$K9)</f>
        <v/>
      </c>
    </row>
    <row r="280">
      <c r="Y280" s="243">
        <f>IF(OR($C10="",$F10=""),"",DATE(YEAR($U$6),MONTH($U$6),MIN($F10,DAY((DATE(YEAR($U$6),MONTH($U$6)+1,1)-1)))))</f>
        <v/>
      </c>
      <c r="Z280" s="110">
        <f>IF($C10="","",IF($D10="Доход","Доход","Расход"))</f>
        <v/>
      </c>
      <c r="AA280" s="110">
        <f>IF($C10="","",$E10)</f>
        <v/>
      </c>
      <c r="AB280" s="110">
        <f>IF($C10="",0,IF(AND(OR($I10="",$I10&lt;=(DATE(YEAR($U$6),MONTH($U$6)+1,1)-1)),OR($J10="",$J10&gt;=$U$6),MOD((YEAR($U$6)*12+MONTH($U$6))-(YEAR(IF($I10="",$L$6,$I10))*12+MONTH(IF($I10="",$L$6,$I10))),MAX(1,N($H10)))=0),N($G10),0))</f>
        <v/>
      </c>
      <c r="AC280" s="110">
        <f>IF($C10="",0,IF(U10="✓",N($G10),IF(ISNUMBER(U10),U10,0)))</f>
        <v/>
      </c>
      <c r="AD280" s="243">
        <f>IF($C10="","",$U$6)</f>
        <v/>
      </c>
      <c r="AE280" s="110">
        <f>IF($C10="","",$K10)</f>
        <v/>
      </c>
    </row>
    <row r="281">
      <c r="Y281" s="243">
        <f>IF(OR($C11="",$F11=""),"",DATE(YEAR($U$6),MONTH($U$6),MIN($F11,DAY((DATE(YEAR($U$6),MONTH($U$6)+1,1)-1)))))</f>
        <v/>
      </c>
      <c r="Z281" s="110">
        <f>IF($C11="","",IF($D11="Доход","Доход","Расход"))</f>
        <v/>
      </c>
      <c r="AA281" s="110">
        <f>IF($C11="","",$E11)</f>
        <v/>
      </c>
      <c r="AB281" s="110">
        <f>IF($C11="",0,IF(AND(OR($I11="",$I11&lt;=(DATE(YEAR($U$6),MONTH($U$6)+1,1)-1)),OR($J11="",$J11&gt;=$U$6),MOD((YEAR($U$6)*12+MONTH($U$6))-(YEAR(IF($I11="",$L$6,$I11))*12+MONTH(IF($I11="",$L$6,$I11))),MAX(1,N($H11)))=0),N($G11),0))</f>
        <v/>
      </c>
      <c r="AC281" s="110">
        <f>IF($C11="",0,IF(U11="✓",N($G11),IF(ISNUMBER(U11),U11,0)))</f>
        <v/>
      </c>
      <c r="AD281" s="243">
        <f>IF($C11="","",$U$6)</f>
        <v/>
      </c>
      <c r="AE281" s="110">
        <f>IF($C11="","",$K11)</f>
        <v/>
      </c>
    </row>
    <row r="282">
      <c r="Y282" s="243">
        <f>IF(OR($C12="",$F12=""),"",DATE(YEAR($U$6),MONTH($U$6),MIN($F12,DAY((DATE(YEAR($U$6),MONTH($U$6)+1,1)-1)))))</f>
        <v/>
      </c>
      <c r="Z282" s="110">
        <f>IF($C12="","",IF($D12="Доход","Доход","Расход"))</f>
        <v/>
      </c>
      <c r="AA282" s="110">
        <f>IF($C12="","",$E12)</f>
        <v/>
      </c>
      <c r="AB282" s="110">
        <f>IF($C12="",0,IF(AND(OR($I12="",$I12&lt;=(DATE(YEAR($U$6),MONTH($U$6)+1,1)-1)),OR($J12="",$J12&gt;=$U$6),MOD((YEAR($U$6)*12+MONTH($U$6))-(YEAR(IF($I12="",$L$6,$I12))*12+MONTH(IF($I12="",$L$6,$I12))),MAX(1,N($H12)))=0),N($G12),0))</f>
        <v/>
      </c>
      <c r="AC282" s="110">
        <f>IF($C12="",0,IF(U12="✓",N($G12),IF(ISNUMBER(U12),U12,0)))</f>
        <v/>
      </c>
      <c r="AD282" s="243">
        <f>IF($C12="","",$U$6)</f>
        <v/>
      </c>
      <c r="AE282" s="110">
        <f>IF($C12="","",$K12)</f>
        <v/>
      </c>
    </row>
    <row r="283">
      <c r="Y283" s="243">
        <f>IF(OR($C13="",$F13=""),"",DATE(YEAR($U$6),MONTH($U$6),MIN($F13,DAY((DATE(YEAR($U$6),MONTH($U$6)+1,1)-1)))))</f>
        <v/>
      </c>
      <c r="Z283" s="110">
        <f>IF($C13="","",IF($D13="Доход","Доход","Расход"))</f>
        <v/>
      </c>
      <c r="AA283" s="110">
        <f>IF($C13="","",$E13)</f>
        <v/>
      </c>
      <c r="AB283" s="110">
        <f>IF($C13="",0,IF(AND(OR($I13="",$I13&lt;=(DATE(YEAR($U$6),MONTH($U$6)+1,1)-1)),OR($J13="",$J13&gt;=$U$6),MOD((YEAR($U$6)*12+MONTH($U$6))-(YEAR(IF($I13="",$L$6,$I13))*12+MONTH(IF($I13="",$L$6,$I13))),MAX(1,N($H13)))=0),N($G13),0))</f>
        <v/>
      </c>
      <c r="AC283" s="110">
        <f>IF($C13="",0,IF(U13="✓",N($G13),IF(ISNUMBER(U13),U13,0)))</f>
        <v/>
      </c>
      <c r="AD283" s="243">
        <f>IF($C13="","",$U$6)</f>
        <v/>
      </c>
      <c r="AE283" s="110">
        <f>IF($C13="","",$K13)</f>
        <v/>
      </c>
    </row>
    <row r="284">
      <c r="Y284" s="243">
        <f>IF(OR($C14="",$F14=""),"",DATE(YEAR($U$6),MONTH($U$6),MIN($F14,DAY((DATE(YEAR($U$6),MONTH($U$6)+1,1)-1)))))</f>
        <v/>
      </c>
      <c r="Z284" s="110">
        <f>IF($C14="","",IF($D14="Доход","Доход","Расход"))</f>
        <v/>
      </c>
      <c r="AA284" s="110">
        <f>IF($C14="","",$E14)</f>
        <v/>
      </c>
      <c r="AB284" s="110">
        <f>IF($C14="",0,IF(AND(OR($I14="",$I14&lt;=(DATE(YEAR($U$6),MONTH($U$6)+1,1)-1)),OR($J14="",$J14&gt;=$U$6),MOD((YEAR($U$6)*12+MONTH($U$6))-(YEAR(IF($I14="",$L$6,$I14))*12+MONTH(IF($I14="",$L$6,$I14))),MAX(1,N($H14)))=0),N($G14),0))</f>
        <v/>
      </c>
      <c r="AC284" s="110">
        <f>IF($C14="",0,IF(U14="✓",N($G14),IF(ISNUMBER(U14),U14,0)))</f>
        <v/>
      </c>
      <c r="AD284" s="243">
        <f>IF($C14="","",$U$6)</f>
        <v/>
      </c>
      <c r="AE284" s="110">
        <f>IF($C14="","",$K14)</f>
        <v/>
      </c>
    </row>
    <row r="285">
      <c r="Y285" s="243">
        <f>IF(OR($C15="",$F15=""),"",DATE(YEAR($U$6),MONTH($U$6),MIN($F15,DAY((DATE(YEAR($U$6),MONTH($U$6)+1,1)-1)))))</f>
        <v/>
      </c>
      <c r="Z285" s="110">
        <f>IF($C15="","",IF($D15="Доход","Доход","Расход"))</f>
        <v/>
      </c>
      <c r="AA285" s="110">
        <f>IF($C15="","",$E15)</f>
        <v/>
      </c>
      <c r="AB285" s="110">
        <f>IF($C15="",0,IF(AND(OR($I15="",$I15&lt;=(DATE(YEAR($U$6),MONTH($U$6)+1,1)-1)),OR($J15="",$J15&gt;=$U$6),MOD((YEAR($U$6)*12+MONTH($U$6))-(YEAR(IF($I15="",$L$6,$I15))*12+MONTH(IF($I15="",$L$6,$I15))),MAX(1,N($H15)))=0),N($G15),0))</f>
        <v/>
      </c>
      <c r="AC285" s="110">
        <f>IF($C15="",0,IF(U15="✓",N($G15),IF(ISNUMBER(U15),U15,0)))</f>
        <v/>
      </c>
      <c r="AD285" s="243">
        <f>IF($C15="","",$U$6)</f>
        <v/>
      </c>
      <c r="AE285" s="110">
        <f>IF($C15="","",$K15)</f>
        <v/>
      </c>
    </row>
    <row r="286">
      <c r="Y286" s="243">
        <f>IF(OR($C16="",$F16=""),"",DATE(YEAR($U$6),MONTH($U$6),MIN($F16,DAY((DATE(YEAR($U$6),MONTH($U$6)+1,1)-1)))))</f>
        <v/>
      </c>
      <c r="Z286" s="110">
        <f>IF($C16="","",IF($D16="Доход","Доход","Расход"))</f>
        <v/>
      </c>
      <c r="AA286" s="110">
        <f>IF($C16="","",$E16)</f>
        <v/>
      </c>
      <c r="AB286" s="110">
        <f>IF($C16="",0,IF(AND(OR($I16="",$I16&lt;=(DATE(YEAR($U$6),MONTH($U$6)+1,1)-1)),OR($J16="",$J16&gt;=$U$6),MOD((YEAR($U$6)*12+MONTH($U$6))-(YEAR(IF($I16="",$L$6,$I16))*12+MONTH(IF($I16="",$L$6,$I16))),MAX(1,N($H16)))=0),N($G16),0))</f>
        <v/>
      </c>
      <c r="AC286" s="110">
        <f>IF($C16="",0,IF(U16="✓",N($G16),IF(ISNUMBER(U16),U16,0)))</f>
        <v/>
      </c>
      <c r="AD286" s="243">
        <f>IF($C16="","",$U$6)</f>
        <v/>
      </c>
      <c r="AE286" s="110">
        <f>IF($C16="","",$K16)</f>
        <v/>
      </c>
    </row>
    <row r="287">
      <c r="Y287" s="243">
        <f>IF(OR($C17="",$F17=""),"",DATE(YEAR($U$6),MONTH($U$6),MIN($F17,DAY((DATE(YEAR($U$6),MONTH($U$6)+1,1)-1)))))</f>
        <v/>
      </c>
      <c r="Z287" s="110">
        <f>IF($C17="","",IF($D17="Доход","Доход","Расход"))</f>
        <v/>
      </c>
      <c r="AA287" s="110">
        <f>IF($C17="","",$E17)</f>
        <v/>
      </c>
      <c r="AB287" s="110">
        <f>IF($C17="",0,IF(AND(OR($I17="",$I17&lt;=(DATE(YEAR($U$6),MONTH($U$6)+1,1)-1)),OR($J17="",$J17&gt;=$U$6),MOD((YEAR($U$6)*12+MONTH($U$6))-(YEAR(IF($I17="",$L$6,$I17))*12+MONTH(IF($I17="",$L$6,$I17))),MAX(1,N($H17)))=0),N($G17),0))</f>
        <v/>
      </c>
      <c r="AC287" s="110">
        <f>IF($C17="",0,IF(U17="✓",N($G17),IF(ISNUMBER(U17),U17,0)))</f>
        <v/>
      </c>
      <c r="AD287" s="243">
        <f>IF($C17="","",$U$6)</f>
        <v/>
      </c>
      <c r="AE287" s="110">
        <f>IF($C17="","",$K17)</f>
        <v/>
      </c>
    </row>
    <row r="288">
      <c r="Y288" s="243">
        <f>IF(OR($C18="",$F18=""),"",DATE(YEAR($U$6),MONTH($U$6),MIN($F18,DAY((DATE(YEAR($U$6),MONTH($U$6)+1,1)-1)))))</f>
        <v/>
      </c>
      <c r="Z288" s="110">
        <f>IF($C18="","",IF($D18="Доход","Доход","Расход"))</f>
        <v/>
      </c>
      <c r="AA288" s="110">
        <f>IF($C18="","",$E18)</f>
        <v/>
      </c>
      <c r="AB288" s="110">
        <f>IF($C18="",0,IF(AND(OR($I18="",$I18&lt;=(DATE(YEAR($U$6),MONTH($U$6)+1,1)-1)),OR($J18="",$J18&gt;=$U$6),MOD((YEAR($U$6)*12+MONTH($U$6))-(YEAR(IF($I18="",$L$6,$I18))*12+MONTH(IF($I18="",$L$6,$I18))),MAX(1,N($H18)))=0),N($G18),0))</f>
        <v/>
      </c>
      <c r="AC288" s="110">
        <f>IF($C18="",0,IF(U18="✓",N($G18),IF(ISNUMBER(U18),U18,0)))</f>
        <v/>
      </c>
      <c r="AD288" s="243">
        <f>IF($C18="","",$U$6)</f>
        <v/>
      </c>
      <c r="AE288" s="110">
        <f>IF($C18="","",$K18)</f>
        <v/>
      </c>
    </row>
    <row r="289">
      <c r="Y289" s="243">
        <f>IF(OR($C19="",$F19=""),"",DATE(YEAR($U$6),MONTH($U$6),MIN($F19,DAY((DATE(YEAR($U$6),MONTH($U$6)+1,1)-1)))))</f>
        <v/>
      </c>
      <c r="Z289" s="110">
        <f>IF($C19="","",IF($D19="Доход","Доход","Расход"))</f>
        <v/>
      </c>
      <c r="AA289" s="110">
        <f>IF($C19="","",$E19)</f>
        <v/>
      </c>
      <c r="AB289" s="110">
        <f>IF($C19="",0,IF(AND(OR($I19="",$I19&lt;=(DATE(YEAR($U$6),MONTH($U$6)+1,1)-1)),OR($J19="",$J19&gt;=$U$6),MOD((YEAR($U$6)*12+MONTH($U$6))-(YEAR(IF($I19="",$L$6,$I19))*12+MONTH(IF($I19="",$L$6,$I19))),MAX(1,N($H19)))=0),N($G19),0))</f>
        <v/>
      </c>
      <c r="AC289" s="110">
        <f>IF($C19="",0,IF(U19="✓",N($G19),IF(ISNUMBER(U19),U19,0)))</f>
        <v/>
      </c>
      <c r="AD289" s="243">
        <f>IF($C19="","",$U$6)</f>
        <v/>
      </c>
      <c r="AE289" s="110">
        <f>IF($C19="","",$K19)</f>
        <v/>
      </c>
    </row>
    <row r="290">
      <c r="Y290" s="243">
        <f>IF(OR($C20="",$F20=""),"",DATE(YEAR($U$6),MONTH($U$6),MIN($F20,DAY((DATE(YEAR($U$6),MONTH($U$6)+1,1)-1)))))</f>
        <v/>
      </c>
      <c r="Z290" s="110">
        <f>IF($C20="","",IF($D20="Доход","Доход","Расход"))</f>
        <v/>
      </c>
      <c r="AA290" s="110">
        <f>IF($C20="","",$E20)</f>
        <v/>
      </c>
      <c r="AB290" s="110">
        <f>IF($C20="",0,IF(AND(OR($I20="",$I20&lt;=(DATE(YEAR($U$6),MONTH($U$6)+1,1)-1)),OR($J20="",$J20&gt;=$U$6),MOD((YEAR($U$6)*12+MONTH($U$6))-(YEAR(IF($I20="",$L$6,$I20))*12+MONTH(IF($I20="",$L$6,$I20))),MAX(1,N($H20)))=0),N($G20),0))</f>
        <v/>
      </c>
      <c r="AC290" s="110">
        <f>IF($C20="",0,IF(U20="✓",N($G20),IF(ISNUMBER(U20),U20,0)))</f>
        <v/>
      </c>
      <c r="AD290" s="243">
        <f>IF($C20="","",$U$6)</f>
        <v/>
      </c>
      <c r="AE290" s="110">
        <f>IF($C20="","",$K20)</f>
        <v/>
      </c>
    </row>
    <row r="291">
      <c r="Y291" s="243">
        <f>IF(OR($C21="",$F21=""),"",DATE(YEAR($U$6),MONTH($U$6),MIN($F21,DAY((DATE(YEAR($U$6),MONTH($U$6)+1,1)-1)))))</f>
        <v/>
      </c>
      <c r="Z291" s="110">
        <f>IF($C21="","",IF($D21="Доход","Доход","Расход"))</f>
        <v/>
      </c>
      <c r="AA291" s="110">
        <f>IF($C21="","",$E21)</f>
        <v/>
      </c>
      <c r="AB291" s="110">
        <f>IF($C21="",0,IF(AND(OR($I21="",$I21&lt;=(DATE(YEAR($U$6),MONTH($U$6)+1,1)-1)),OR($J21="",$J21&gt;=$U$6),MOD((YEAR($U$6)*12+MONTH($U$6))-(YEAR(IF($I21="",$L$6,$I21))*12+MONTH(IF($I21="",$L$6,$I21))),MAX(1,N($H21)))=0),N($G21),0))</f>
        <v/>
      </c>
      <c r="AC291" s="110">
        <f>IF($C21="",0,IF(U21="✓",N($G21),IF(ISNUMBER(U21),U21,0)))</f>
        <v/>
      </c>
      <c r="AD291" s="243">
        <f>IF($C21="","",$U$6)</f>
        <v/>
      </c>
      <c r="AE291" s="110">
        <f>IF($C21="","",$K21)</f>
        <v/>
      </c>
    </row>
    <row r="292">
      <c r="Y292" s="243">
        <f>IF(OR($C22="",$F22=""),"",DATE(YEAR($U$6),MONTH($U$6),MIN($F22,DAY((DATE(YEAR($U$6),MONTH($U$6)+1,1)-1)))))</f>
        <v/>
      </c>
      <c r="Z292" s="110">
        <f>IF($C22="","",IF($D22="Доход","Доход","Расход"))</f>
        <v/>
      </c>
      <c r="AA292" s="110">
        <f>IF($C22="","",$E22)</f>
        <v/>
      </c>
      <c r="AB292" s="110">
        <f>IF($C22="",0,IF(AND(OR($I22="",$I22&lt;=(DATE(YEAR($U$6),MONTH($U$6)+1,1)-1)),OR($J22="",$J22&gt;=$U$6),MOD((YEAR($U$6)*12+MONTH($U$6))-(YEAR(IF($I22="",$L$6,$I22))*12+MONTH(IF($I22="",$L$6,$I22))),MAX(1,N($H22)))=0),N($G22),0))</f>
        <v/>
      </c>
      <c r="AC292" s="110">
        <f>IF($C22="",0,IF(U22="✓",N($G22),IF(ISNUMBER(U22),U22,0)))</f>
        <v/>
      </c>
      <c r="AD292" s="243">
        <f>IF($C22="","",$U$6)</f>
        <v/>
      </c>
      <c r="AE292" s="110">
        <f>IF($C22="","",$K22)</f>
        <v/>
      </c>
    </row>
    <row r="293">
      <c r="Y293" s="243">
        <f>IF(OR($C23="",$F23=""),"",DATE(YEAR($U$6),MONTH($U$6),MIN($F23,DAY((DATE(YEAR($U$6),MONTH($U$6)+1,1)-1)))))</f>
        <v/>
      </c>
      <c r="Z293" s="110">
        <f>IF($C23="","",IF($D23="Доход","Доход","Расход"))</f>
        <v/>
      </c>
      <c r="AA293" s="110">
        <f>IF($C23="","",$E23)</f>
        <v/>
      </c>
      <c r="AB293" s="110">
        <f>IF($C23="",0,IF(AND(OR($I23="",$I23&lt;=(DATE(YEAR($U$6),MONTH($U$6)+1,1)-1)),OR($J23="",$J23&gt;=$U$6),MOD((YEAR($U$6)*12+MONTH($U$6))-(YEAR(IF($I23="",$L$6,$I23))*12+MONTH(IF($I23="",$L$6,$I23))),MAX(1,N($H23)))=0),N($G23),0))</f>
        <v/>
      </c>
      <c r="AC293" s="110">
        <f>IF($C23="",0,IF(U23="✓",N($G23),IF(ISNUMBER(U23),U23,0)))</f>
        <v/>
      </c>
      <c r="AD293" s="243">
        <f>IF($C23="","",$U$6)</f>
        <v/>
      </c>
      <c r="AE293" s="110">
        <f>IF($C23="","",$K23)</f>
        <v/>
      </c>
    </row>
    <row r="294">
      <c r="Y294" s="243">
        <f>IF(OR($C24="",$F24=""),"",DATE(YEAR($U$6),MONTH($U$6),MIN($F24,DAY((DATE(YEAR($U$6),MONTH($U$6)+1,1)-1)))))</f>
        <v/>
      </c>
      <c r="Z294" s="110">
        <f>IF($C24="","",IF($D24="Доход","Доход","Расход"))</f>
        <v/>
      </c>
      <c r="AA294" s="110">
        <f>IF($C24="","",$E24)</f>
        <v/>
      </c>
      <c r="AB294" s="110">
        <f>IF($C24="",0,IF(AND(OR($I24="",$I24&lt;=(DATE(YEAR($U$6),MONTH($U$6)+1,1)-1)),OR($J24="",$J24&gt;=$U$6),MOD((YEAR($U$6)*12+MONTH($U$6))-(YEAR(IF($I24="",$L$6,$I24))*12+MONTH(IF($I24="",$L$6,$I24))),MAX(1,N($H24)))=0),N($G24),0))</f>
        <v/>
      </c>
      <c r="AC294" s="110">
        <f>IF($C24="",0,IF(U24="✓",N($G24),IF(ISNUMBER(U24),U24,0)))</f>
        <v/>
      </c>
      <c r="AD294" s="243">
        <f>IF($C24="","",$U$6)</f>
        <v/>
      </c>
      <c r="AE294" s="110">
        <f>IF($C24="","",$K24)</f>
        <v/>
      </c>
    </row>
    <row r="295">
      <c r="Y295" s="243">
        <f>IF(OR($C25="",$F25=""),"",DATE(YEAR($U$6),MONTH($U$6),MIN($F25,DAY((DATE(YEAR($U$6),MONTH($U$6)+1,1)-1)))))</f>
        <v/>
      </c>
      <c r="Z295" s="110">
        <f>IF($C25="","",IF($D25="Доход","Доход","Расход"))</f>
        <v/>
      </c>
      <c r="AA295" s="110">
        <f>IF($C25="","",$E25)</f>
        <v/>
      </c>
      <c r="AB295" s="110">
        <f>IF($C25="",0,IF(AND(OR($I25="",$I25&lt;=(DATE(YEAR($U$6),MONTH($U$6)+1,1)-1)),OR($J25="",$J25&gt;=$U$6),MOD((YEAR($U$6)*12+MONTH($U$6))-(YEAR(IF($I25="",$L$6,$I25))*12+MONTH(IF($I25="",$L$6,$I25))),MAX(1,N($H25)))=0),N($G25),0))</f>
        <v/>
      </c>
      <c r="AC295" s="110">
        <f>IF($C25="",0,IF(U25="✓",N($G25),IF(ISNUMBER(U25),U25,0)))</f>
        <v/>
      </c>
      <c r="AD295" s="243">
        <f>IF($C25="","",$U$6)</f>
        <v/>
      </c>
      <c r="AE295" s="110">
        <f>IF($C25="","",$K25)</f>
        <v/>
      </c>
    </row>
    <row r="296">
      <c r="Y296" s="243">
        <f>IF(OR($C26="",$F26=""),"",DATE(YEAR($U$6),MONTH($U$6),MIN($F26,DAY((DATE(YEAR($U$6),MONTH($U$6)+1,1)-1)))))</f>
        <v/>
      </c>
      <c r="Z296" s="110">
        <f>IF($C26="","",IF($D26="Доход","Доход","Расход"))</f>
        <v/>
      </c>
      <c r="AA296" s="110">
        <f>IF($C26="","",$E26)</f>
        <v/>
      </c>
      <c r="AB296" s="110">
        <f>IF($C26="",0,IF(AND(OR($I26="",$I26&lt;=(DATE(YEAR($U$6),MONTH($U$6)+1,1)-1)),OR($J26="",$J26&gt;=$U$6),MOD((YEAR($U$6)*12+MONTH($U$6))-(YEAR(IF($I26="",$L$6,$I26))*12+MONTH(IF($I26="",$L$6,$I26))),MAX(1,N($H26)))=0),N($G26),0))</f>
        <v/>
      </c>
      <c r="AC296" s="110">
        <f>IF($C26="",0,IF(U26="✓",N($G26),IF(ISNUMBER(U26),U26,0)))</f>
        <v/>
      </c>
      <c r="AD296" s="243">
        <f>IF($C26="","",$U$6)</f>
        <v/>
      </c>
      <c r="AE296" s="110">
        <f>IF($C26="","",$K26)</f>
        <v/>
      </c>
    </row>
    <row r="297">
      <c r="Y297" s="243">
        <f>IF(OR($C27="",$F27=""),"",DATE(YEAR($U$6),MONTH($U$6),MIN($F27,DAY((DATE(YEAR($U$6),MONTH($U$6)+1,1)-1)))))</f>
        <v/>
      </c>
      <c r="Z297" s="110">
        <f>IF($C27="","",IF($D27="Доход","Доход","Расход"))</f>
        <v/>
      </c>
      <c r="AA297" s="110">
        <f>IF($C27="","",$E27)</f>
        <v/>
      </c>
      <c r="AB297" s="110">
        <f>IF($C27="",0,IF(AND(OR($I27="",$I27&lt;=(DATE(YEAR($U$6),MONTH($U$6)+1,1)-1)),OR($J27="",$J27&gt;=$U$6),MOD((YEAR($U$6)*12+MONTH($U$6))-(YEAR(IF($I27="",$L$6,$I27))*12+MONTH(IF($I27="",$L$6,$I27))),MAX(1,N($H27)))=0),N($G27),0))</f>
        <v/>
      </c>
      <c r="AC297" s="110">
        <f>IF($C27="",0,IF(U27="✓",N($G27),IF(ISNUMBER(U27),U27,0)))</f>
        <v/>
      </c>
      <c r="AD297" s="243">
        <f>IF($C27="","",$U$6)</f>
        <v/>
      </c>
      <c r="AE297" s="110">
        <f>IF($C27="","",$K27)</f>
        <v/>
      </c>
    </row>
    <row r="298">
      <c r="Y298" s="243">
        <f>IF(OR($C28="",$F28=""),"",DATE(YEAR($U$6),MONTH($U$6),MIN($F28,DAY((DATE(YEAR($U$6),MONTH($U$6)+1,1)-1)))))</f>
        <v/>
      </c>
      <c r="Z298" s="110">
        <f>IF($C28="","",IF($D28="Доход","Доход","Расход"))</f>
        <v/>
      </c>
      <c r="AA298" s="110">
        <f>IF($C28="","",$E28)</f>
        <v/>
      </c>
      <c r="AB298" s="110">
        <f>IF($C28="",0,IF(AND(OR($I28="",$I28&lt;=(DATE(YEAR($U$6),MONTH($U$6)+1,1)-1)),OR($J28="",$J28&gt;=$U$6),MOD((YEAR($U$6)*12+MONTH($U$6))-(YEAR(IF($I28="",$L$6,$I28))*12+MONTH(IF($I28="",$L$6,$I28))),MAX(1,N($H28)))=0),N($G28),0))</f>
        <v/>
      </c>
      <c r="AC298" s="110">
        <f>IF($C28="",0,IF(U28="✓",N($G28),IF(ISNUMBER(U28),U28,0)))</f>
        <v/>
      </c>
      <c r="AD298" s="243">
        <f>IF($C28="","",$U$6)</f>
        <v/>
      </c>
      <c r="AE298" s="110">
        <f>IF($C28="","",$K28)</f>
        <v/>
      </c>
    </row>
    <row r="299">
      <c r="Y299" s="243">
        <f>IF(OR($C29="",$F29=""),"",DATE(YEAR($U$6),MONTH($U$6),MIN($F29,DAY((DATE(YEAR($U$6),MONTH($U$6)+1,1)-1)))))</f>
        <v/>
      </c>
      <c r="Z299" s="110">
        <f>IF($C29="","",IF($D29="Доход","Доход","Расход"))</f>
        <v/>
      </c>
      <c r="AA299" s="110">
        <f>IF($C29="","",$E29)</f>
        <v/>
      </c>
      <c r="AB299" s="110">
        <f>IF($C29="",0,IF(AND(OR($I29="",$I29&lt;=(DATE(YEAR($U$6),MONTH($U$6)+1,1)-1)),OR($J29="",$J29&gt;=$U$6),MOD((YEAR($U$6)*12+MONTH($U$6))-(YEAR(IF($I29="",$L$6,$I29))*12+MONTH(IF($I29="",$L$6,$I29))),MAX(1,N($H29)))=0),N($G29),0))</f>
        <v/>
      </c>
      <c r="AC299" s="110">
        <f>IF($C29="",0,IF(U29="✓",N($G29),IF(ISNUMBER(U29),U29,0)))</f>
        <v/>
      </c>
      <c r="AD299" s="243">
        <f>IF($C29="","",$U$6)</f>
        <v/>
      </c>
      <c r="AE299" s="110">
        <f>IF($C29="","",$K29)</f>
        <v/>
      </c>
    </row>
    <row r="300">
      <c r="Y300" s="243">
        <f>IF(OR($C30="",$F30=""),"",DATE(YEAR($U$6),MONTH($U$6),MIN($F30,DAY((DATE(YEAR($U$6),MONTH($U$6)+1,1)-1)))))</f>
        <v/>
      </c>
      <c r="Z300" s="110">
        <f>IF($C30="","",IF($D30="Доход","Доход","Расход"))</f>
        <v/>
      </c>
      <c r="AA300" s="110">
        <f>IF($C30="","",$E30)</f>
        <v/>
      </c>
      <c r="AB300" s="110">
        <f>IF($C30="",0,IF(AND(OR($I30="",$I30&lt;=(DATE(YEAR($U$6),MONTH($U$6)+1,1)-1)),OR($J30="",$J30&gt;=$U$6),MOD((YEAR($U$6)*12+MONTH($U$6))-(YEAR(IF($I30="",$L$6,$I30))*12+MONTH(IF($I30="",$L$6,$I30))),MAX(1,N($H30)))=0),N($G30),0))</f>
        <v/>
      </c>
      <c r="AC300" s="110">
        <f>IF($C30="",0,IF(U30="✓",N($G30),IF(ISNUMBER(U30),U30,0)))</f>
        <v/>
      </c>
      <c r="AD300" s="243">
        <f>IF($C30="","",$U$6)</f>
        <v/>
      </c>
      <c r="AE300" s="110">
        <f>IF($C30="","",$K30)</f>
        <v/>
      </c>
    </row>
    <row r="301">
      <c r="Y301" s="243">
        <f>IF(OR($C31="",$F31=""),"",DATE(YEAR($U$6),MONTH($U$6),MIN($F31,DAY((DATE(YEAR($U$6),MONTH($U$6)+1,1)-1)))))</f>
        <v/>
      </c>
      <c r="Z301" s="110">
        <f>IF($C31="","",IF($D31="Доход","Доход","Расход"))</f>
        <v/>
      </c>
      <c r="AA301" s="110">
        <f>IF($C31="","",$E31)</f>
        <v/>
      </c>
      <c r="AB301" s="110">
        <f>IF($C31="",0,IF(AND(OR($I31="",$I31&lt;=(DATE(YEAR($U$6),MONTH($U$6)+1,1)-1)),OR($J31="",$J31&gt;=$U$6),MOD((YEAR($U$6)*12+MONTH($U$6))-(YEAR(IF($I31="",$L$6,$I31))*12+MONTH(IF($I31="",$L$6,$I31))),MAX(1,N($H31)))=0),N($G31),0))</f>
        <v/>
      </c>
      <c r="AC301" s="110">
        <f>IF($C31="",0,IF(U31="✓",N($G31),IF(ISNUMBER(U31),U31,0)))</f>
        <v/>
      </c>
      <c r="AD301" s="243">
        <f>IF($C31="","",$U$6)</f>
        <v/>
      </c>
      <c r="AE301" s="110">
        <f>IF($C31="","",$K31)</f>
        <v/>
      </c>
    </row>
    <row r="302">
      <c r="Y302" s="243">
        <f>IF(OR($C32="",$F32=""),"",DATE(YEAR($U$6),MONTH($U$6),MIN($F32,DAY((DATE(YEAR($U$6),MONTH($U$6)+1,1)-1)))))</f>
        <v/>
      </c>
      <c r="Z302" s="110">
        <f>IF($C32="","",IF($D32="Доход","Доход","Расход"))</f>
        <v/>
      </c>
      <c r="AA302" s="110">
        <f>IF($C32="","",$E32)</f>
        <v/>
      </c>
      <c r="AB302" s="110">
        <f>IF($C32="",0,IF(AND(OR($I32="",$I32&lt;=(DATE(YEAR($U$6),MONTH($U$6)+1,1)-1)),OR($J32="",$J32&gt;=$U$6),MOD((YEAR($U$6)*12+MONTH($U$6))-(YEAR(IF($I32="",$L$6,$I32))*12+MONTH(IF($I32="",$L$6,$I32))),MAX(1,N($H32)))=0),N($G32),0))</f>
        <v/>
      </c>
      <c r="AC302" s="110">
        <f>IF($C32="",0,IF(U32="✓",N($G32),IF(ISNUMBER(U32),U32,0)))</f>
        <v/>
      </c>
      <c r="AD302" s="243">
        <f>IF($C32="","",$U$6)</f>
        <v/>
      </c>
      <c r="AE302" s="110">
        <f>IF($C32="","",$K32)</f>
        <v/>
      </c>
    </row>
    <row r="303">
      <c r="Y303" s="243">
        <f>IF(OR($C33="",$F33=""),"",DATE(YEAR($U$6),MONTH($U$6),MIN($F33,DAY((DATE(YEAR($U$6),MONTH($U$6)+1,1)-1)))))</f>
        <v/>
      </c>
      <c r="Z303" s="110">
        <f>IF($C33="","",IF($D33="Доход","Доход","Расход"))</f>
        <v/>
      </c>
      <c r="AA303" s="110">
        <f>IF($C33="","",$E33)</f>
        <v/>
      </c>
      <c r="AB303" s="110">
        <f>IF($C33="",0,IF(AND(OR($I33="",$I33&lt;=(DATE(YEAR($U$6),MONTH($U$6)+1,1)-1)),OR($J33="",$J33&gt;=$U$6),MOD((YEAR($U$6)*12+MONTH($U$6))-(YEAR(IF($I33="",$L$6,$I33))*12+MONTH(IF($I33="",$L$6,$I33))),MAX(1,N($H33)))=0),N($G33),0))</f>
        <v/>
      </c>
      <c r="AC303" s="110">
        <f>IF($C33="",0,IF(U33="✓",N($G33),IF(ISNUMBER(U33),U33,0)))</f>
        <v/>
      </c>
      <c r="AD303" s="243">
        <f>IF($C33="","",$U$6)</f>
        <v/>
      </c>
      <c r="AE303" s="110">
        <f>IF($C33="","",$K33)</f>
        <v/>
      </c>
    </row>
    <row r="304">
      <c r="Y304" s="243">
        <f>IF(OR($C34="",$F34=""),"",DATE(YEAR($U$6),MONTH($U$6),MIN($F34,DAY((DATE(YEAR($U$6),MONTH($U$6)+1,1)-1)))))</f>
        <v/>
      </c>
      <c r="Z304" s="110">
        <f>IF($C34="","",IF($D34="Доход","Доход","Расход"))</f>
        <v/>
      </c>
      <c r="AA304" s="110">
        <f>IF($C34="","",$E34)</f>
        <v/>
      </c>
      <c r="AB304" s="110">
        <f>IF($C34="",0,IF(AND(OR($I34="",$I34&lt;=(DATE(YEAR($U$6),MONTH($U$6)+1,1)-1)),OR($J34="",$J34&gt;=$U$6),MOD((YEAR($U$6)*12+MONTH($U$6))-(YEAR(IF($I34="",$L$6,$I34))*12+MONTH(IF($I34="",$L$6,$I34))),MAX(1,N($H34)))=0),N($G34),0))</f>
        <v/>
      </c>
      <c r="AC304" s="110">
        <f>IF($C34="",0,IF(U34="✓",N($G34),IF(ISNUMBER(U34),U34,0)))</f>
        <v/>
      </c>
      <c r="AD304" s="243">
        <f>IF($C34="","",$U$6)</f>
        <v/>
      </c>
      <c r="AE304" s="110">
        <f>IF($C34="","",$K34)</f>
        <v/>
      </c>
    </row>
    <row r="305">
      <c r="Y305" s="243">
        <f>IF(OR($C35="",$F35=""),"",DATE(YEAR($U$6),MONTH($U$6),MIN($F35,DAY((DATE(YEAR($U$6),MONTH($U$6)+1,1)-1)))))</f>
        <v/>
      </c>
      <c r="Z305" s="110">
        <f>IF($C35="","",IF($D35="Доход","Доход","Расход"))</f>
        <v/>
      </c>
      <c r="AA305" s="110">
        <f>IF($C35="","",$E35)</f>
        <v/>
      </c>
      <c r="AB305" s="110">
        <f>IF($C35="",0,IF(AND(OR($I35="",$I35&lt;=(DATE(YEAR($U$6),MONTH($U$6)+1,1)-1)),OR($J35="",$J35&gt;=$U$6),MOD((YEAR($U$6)*12+MONTH($U$6))-(YEAR(IF($I35="",$L$6,$I35))*12+MONTH(IF($I35="",$L$6,$I35))),MAX(1,N($H35)))=0),N($G35),0))</f>
        <v/>
      </c>
      <c r="AC305" s="110">
        <f>IF($C35="",0,IF(U35="✓",N($G35),IF(ISNUMBER(U35),U35,0)))</f>
        <v/>
      </c>
      <c r="AD305" s="243">
        <f>IF($C35="","",$U$6)</f>
        <v/>
      </c>
      <c r="AE305" s="110">
        <f>IF($C35="","",$K35)</f>
        <v/>
      </c>
    </row>
    <row r="306">
      <c r="Y306" s="243">
        <f>IF(OR($C36="",$F36=""),"",DATE(YEAR($U$6),MONTH($U$6),MIN($F36,DAY((DATE(YEAR($U$6),MONTH($U$6)+1,1)-1)))))</f>
        <v/>
      </c>
      <c r="Z306" s="110">
        <f>IF($C36="","",IF($D36="Доход","Доход","Расход"))</f>
        <v/>
      </c>
      <c r="AA306" s="110">
        <f>IF($C36="","",$E36)</f>
        <v/>
      </c>
      <c r="AB306" s="110">
        <f>IF($C36="",0,IF(AND(OR($I36="",$I36&lt;=(DATE(YEAR($U$6),MONTH($U$6)+1,1)-1)),OR($J36="",$J36&gt;=$U$6),MOD((YEAR($U$6)*12+MONTH($U$6))-(YEAR(IF($I36="",$L$6,$I36))*12+MONTH(IF($I36="",$L$6,$I36))),MAX(1,N($H36)))=0),N($G36),0))</f>
        <v/>
      </c>
      <c r="AC306" s="110">
        <f>IF($C36="",0,IF(U36="✓",N($G36),IF(ISNUMBER(U36),U36,0)))</f>
        <v/>
      </c>
      <c r="AD306" s="243">
        <f>IF($C36="","",$U$6)</f>
        <v/>
      </c>
      <c r="AE306" s="110">
        <f>IF($C36="","",$K36)</f>
        <v/>
      </c>
    </row>
    <row r="307">
      <c r="Y307" s="243">
        <f>IF(OR($C37="",$F37=""),"",DATE(YEAR($U$6),MONTH($U$6),MIN($F37,DAY((DATE(YEAR($U$6),MONTH($U$6)+1,1)-1)))))</f>
        <v/>
      </c>
      <c r="Z307" s="110">
        <f>IF($C37="","",IF($D37="Доход","Доход","Расход"))</f>
        <v/>
      </c>
      <c r="AA307" s="110">
        <f>IF($C37="","",$E37)</f>
        <v/>
      </c>
      <c r="AB307" s="110">
        <f>IF($C37="",0,IF(AND(OR($I37="",$I37&lt;=(DATE(YEAR($U$6),MONTH($U$6)+1,1)-1)),OR($J37="",$J37&gt;=$U$6),MOD((YEAR($U$6)*12+MONTH($U$6))-(YEAR(IF($I37="",$L$6,$I37))*12+MONTH(IF($I37="",$L$6,$I37))),MAX(1,N($H37)))=0),N($G37),0))</f>
        <v/>
      </c>
      <c r="AC307" s="110">
        <f>IF($C37="",0,IF(U37="✓",N($G37),IF(ISNUMBER(U37),U37,0)))</f>
        <v/>
      </c>
      <c r="AD307" s="243">
        <f>IF($C37="","",$U$6)</f>
        <v/>
      </c>
      <c r="AE307" s="110">
        <f>IF($C37="","",$K37)</f>
        <v/>
      </c>
    </row>
    <row r="308">
      <c r="Y308" s="243">
        <f>IF(OR($C8="",$F8=""),"",DATE(YEAR($V$6),MONTH($V$6),MIN($F8,DAY((DATE(YEAR($V$6),MONTH($V$6)+1,1)-1)))))</f>
        <v/>
      </c>
      <c r="Z308" s="110">
        <f>IF($C8="","",IF($D8="Доход","Доход","Расход"))</f>
        <v/>
      </c>
      <c r="AA308" s="110">
        <f>IF($C8="","",$E8)</f>
        <v/>
      </c>
      <c r="AB308" s="110">
        <f>IF($C8="",0,IF(AND(OR($I8="",$I8&lt;=(DATE(YEAR($V$6),MONTH($V$6)+1,1)-1)),OR($J8="",$J8&gt;=$V$6),MOD((YEAR($V$6)*12+MONTH($V$6))-(YEAR(IF($I8="",$L$6,$I8))*12+MONTH(IF($I8="",$L$6,$I8))),MAX(1,N($H8)))=0),N($G8),0))</f>
        <v/>
      </c>
      <c r="AC308" s="110">
        <f>IF($C8="",0,IF(V8="✓",N($G8),IF(ISNUMBER(V8),V8,0)))</f>
        <v/>
      </c>
      <c r="AD308" s="243">
        <f>IF($C8="","",$V$6)</f>
        <v/>
      </c>
      <c r="AE308" s="110">
        <f>IF($C8="","",$K8)</f>
        <v/>
      </c>
    </row>
    <row r="309">
      <c r="Y309" s="243">
        <f>IF(OR($C9="",$F9=""),"",DATE(YEAR($V$6),MONTH($V$6),MIN($F9,DAY((DATE(YEAR($V$6),MONTH($V$6)+1,1)-1)))))</f>
        <v/>
      </c>
      <c r="Z309" s="110">
        <f>IF($C9="","",IF($D9="Доход","Доход","Расход"))</f>
        <v/>
      </c>
      <c r="AA309" s="110">
        <f>IF($C9="","",$E9)</f>
        <v/>
      </c>
      <c r="AB309" s="110">
        <f>IF($C9="",0,IF(AND(OR($I9="",$I9&lt;=(DATE(YEAR($V$6),MONTH($V$6)+1,1)-1)),OR($J9="",$J9&gt;=$V$6),MOD((YEAR($V$6)*12+MONTH($V$6))-(YEAR(IF($I9="",$L$6,$I9))*12+MONTH(IF($I9="",$L$6,$I9))),MAX(1,N($H9)))=0),N($G9),0))</f>
        <v/>
      </c>
      <c r="AC309" s="110">
        <f>IF($C9="",0,IF(V9="✓",N($G9),IF(ISNUMBER(V9),V9,0)))</f>
        <v/>
      </c>
      <c r="AD309" s="243">
        <f>IF($C9="","",$V$6)</f>
        <v/>
      </c>
      <c r="AE309" s="110">
        <f>IF($C9="","",$K9)</f>
        <v/>
      </c>
    </row>
    <row r="310">
      <c r="Y310" s="243">
        <f>IF(OR($C10="",$F10=""),"",DATE(YEAR($V$6),MONTH($V$6),MIN($F10,DAY((DATE(YEAR($V$6),MONTH($V$6)+1,1)-1)))))</f>
        <v/>
      </c>
      <c r="Z310" s="110">
        <f>IF($C10="","",IF($D10="Доход","Доход","Расход"))</f>
        <v/>
      </c>
      <c r="AA310" s="110">
        <f>IF($C10="","",$E10)</f>
        <v/>
      </c>
      <c r="AB310" s="110">
        <f>IF($C10="",0,IF(AND(OR($I10="",$I10&lt;=(DATE(YEAR($V$6),MONTH($V$6)+1,1)-1)),OR($J10="",$J10&gt;=$V$6),MOD((YEAR($V$6)*12+MONTH($V$6))-(YEAR(IF($I10="",$L$6,$I10))*12+MONTH(IF($I10="",$L$6,$I10))),MAX(1,N($H10)))=0),N($G10),0))</f>
        <v/>
      </c>
      <c r="AC310" s="110">
        <f>IF($C10="",0,IF(V10="✓",N($G10),IF(ISNUMBER(V10),V10,0)))</f>
        <v/>
      </c>
      <c r="AD310" s="243">
        <f>IF($C10="","",$V$6)</f>
        <v/>
      </c>
      <c r="AE310" s="110">
        <f>IF($C10="","",$K10)</f>
        <v/>
      </c>
    </row>
    <row r="311">
      <c r="Y311" s="243">
        <f>IF(OR($C11="",$F11=""),"",DATE(YEAR($V$6),MONTH($V$6),MIN($F11,DAY((DATE(YEAR($V$6),MONTH($V$6)+1,1)-1)))))</f>
        <v/>
      </c>
      <c r="Z311" s="110">
        <f>IF($C11="","",IF($D11="Доход","Доход","Расход"))</f>
        <v/>
      </c>
      <c r="AA311" s="110">
        <f>IF($C11="","",$E11)</f>
        <v/>
      </c>
      <c r="AB311" s="110">
        <f>IF($C11="",0,IF(AND(OR($I11="",$I11&lt;=(DATE(YEAR($V$6),MONTH($V$6)+1,1)-1)),OR($J11="",$J11&gt;=$V$6),MOD((YEAR($V$6)*12+MONTH($V$6))-(YEAR(IF($I11="",$L$6,$I11))*12+MONTH(IF($I11="",$L$6,$I11))),MAX(1,N($H11)))=0),N($G11),0))</f>
        <v/>
      </c>
      <c r="AC311" s="110">
        <f>IF($C11="",0,IF(V11="✓",N($G11),IF(ISNUMBER(V11),V11,0)))</f>
        <v/>
      </c>
      <c r="AD311" s="243">
        <f>IF($C11="","",$V$6)</f>
        <v/>
      </c>
      <c r="AE311" s="110">
        <f>IF($C11="","",$K11)</f>
        <v/>
      </c>
    </row>
    <row r="312">
      <c r="Y312" s="243">
        <f>IF(OR($C12="",$F12=""),"",DATE(YEAR($V$6),MONTH($V$6),MIN($F12,DAY((DATE(YEAR($V$6),MONTH($V$6)+1,1)-1)))))</f>
        <v/>
      </c>
      <c r="Z312" s="110">
        <f>IF($C12="","",IF($D12="Доход","Доход","Расход"))</f>
        <v/>
      </c>
      <c r="AA312" s="110">
        <f>IF($C12="","",$E12)</f>
        <v/>
      </c>
      <c r="AB312" s="110">
        <f>IF($C12="",0,IF(AND(OR($I12="",$I12&lt;=(DATE(YEAR($V$6),MONTH($V$6)+1,1)-1)),OR($J12="",$J12&gt;=$V$6),MOD((YEAR($V$6)*12+MONTH($V$6))-(YEAR(IF($I12="",$L$6,$I12))*12+MONTH(IF($I12="",$L$6,$I12))),MAX(1,N($H12)))=0),N($G12),0))</f>
        <v/>
      </c>
      <c r="AC312" s="110">
        <f>IF($C12="",0,IF(V12="✓",N($G12),IF(ISNUMBER(V12),V12,0)))</f>
        <v/>
      </c>
      <c r="AD312" s="243">
        <f>IF($C12="","",$V$6)</f>
        <v/>
      </c>
      <c r="AE312" s="110">
        <f>IF($C12="","",$K12)</f>
        <v/>
      </c>
    </row>
    <row r="313">
      <c r="Y313" s="243">
        <f>IF(OR($C13="",$F13=""),"",DATE(YEAR($V$6),MONTH($V$6),MIN($F13,DAY((DATE(YEAR($V$6),MONTH($V$6)+1,1)-1)))))</f>
        <v/>
      </c>
      <c r="Z313" s="110">
        <f>IF($C13="","",IF($D13="Доход","Доход","Расход"))</f>
        <v/>
      </c>
      <c r="AA313" s="110">
        <f>IF($C13="","",$E13)</f>
        <v/>
      </c>
      <c r="AB313" s="110">
        <f>IF($C13="",0,IF(AND(OR($I13="",$I13&lt;=(DATE(YEAR($V$6),MONTH($V$6)+1,1)-1)),OR($J13="",$J13&gt;=$V$6),MOD((YEAR($V$6)*12+MONTH($V$6))-(YEAR(IF($I13="",$L$6,$I13))*12+MONTH(IF($I13="",$L$6,$I13))),MAX(1,N($H13)))=0),N($G13),0))</f>
        <v/>
      </c>
      <c r="AC313" s="110">
        <f>IF($C13="",0,IF(V13="✓",N($G13),IF(ISNUMBER(V13),V13,0)))</f>
        <v/>
      </c>
      <c r="AD313" s="243">
        <f>IF($C13="","",$V$6)</f>
        <v/>
      </c>
      <c r="AE313" s="110">
        <f>IF($C13="","",$K13)</f>
        <v/>
      </c>
    </row>
    <row r="314">
      <c r="Y314" s="243">
        <f>IF(OR($C14="",$F14=""),"",DATE(YEAR($V$6),MONTH($V$6),MIN($F14,DAY((DATE(YEAR($V$6),MONTH($V$6)+1,1)-1)))))</f>
        <v/>
      </c>
      <c r="Z314" s="110">
        <f>IF($C14="","",IF($D14="Доход","Доход","Расход"))</f>
        <v/>
      </c>
      <c r="AA314" s="110">
        <f>IF($C14="","",$E14)</f>
        <v/>
      </c>
      <c r="AB314" s="110">
        <f>IF($C14="",0,IF(AND(OR($I14="",$I14&lt;=(DATE(YEAR($V$6),MONTH($V$6)+1,1)-1)),OR($J14="",$J14&gt;=$V$6),MOD((YEAR($V$6)*12+MONTH($V$6))-(YEAR(IF($I14="",$L$6,$I14))*12+MONTH(IF($I14="",$L$6,$I14))),MAX(1,N($H14)))=0),N($G14),0))</f>
        <v/>
      </c>
      <c r="AC314" s="110">
        <f>IF($C14="",0,IF(V14="✓",N($G14),IF(ISNUMBER(V14),V14,0)))</f>
        <v/>
      </c>
      <c r="AD314" s="243">
        <f>IF($C14="","",$V$6)</f>
        <v/>
      </c>
      <c r="AE314" s="110">
        <f>IF($C14="","",$K14)</f>
        <v/>
      </c>
    </row>
    <row r="315">
      <c r="Y315" s="243">
        <f>IF(OR($C15="",$F15=""),"",DATE(YEAR($V$6),MONTH($V$6),MIN($F15,DAY((DATE(YEAR($V$6),MONTH($V$6)+1,1)-1)))))</f>
        <v/>
      </c>
      <c r="Z315" s="110">
        <f>IF($C15="","",IF($D15="Доход","Доход","Расход"))</f>
        <v/>
      </c>
      <c r="AA315" s="110">
        <f>IF($C15="","",$E15)</f>
        <v/>
      </c>
      <c r="AB315" s="110">
        <f>IF($C15="",0,IF(AND(OR($I15="",$I15&lt;=(DATE(YEAR($V$6),MONTH($V$6)+1,1)-1)),OR($J15="",$J15&gt;=$V$6),MOD((YEAR($V$6)*12+MONTH($V$6))-(YEAR(IF($I15="",$L$6,$I15))*12+MONTH(IF($I15="",$L$6,$I15))),MAX(1,N($H15)))=0),N($G15),0))</f>
        <v/>
      </c>
      <c r="AC315" s="110">
        <f>IF($C15="",0,IF(V15="✓",N($G15),IF(ISNUMBER(V15),V15,0)))</f>
        <v/>
      </c>
      <c r="AD315" s="243">
        <f>IF($C15="","",$V$6)</f>
        <v/>
      </c>
      <c r="AE315" s="110">
        <f>IF($C15="","",$K15)</f>
        <v/>
      </c>
    </row>
    <row r="316">
      <c r="Y316" s="243">
        <f>IF(OR($C16="",$F16=""),"",DATE(YEAR($V$6),MONTH($V$6),MIN($F16,DAY((DATE(YEAR($V$6),MONTH($V$6)+1,1)-1)))))</f>
        <v/>
      </c>
      <c r="Z316" s="110">
        <f>IF($C16="","",IF($D16="Доход","Доход","Расход"))</f>
        <v/>
      </c>
      <c r="AA316" s="110">
        <f>IF($C16="","",$E16)</f>
        <v/>
      </c>
      <c r="AB316" s="110">
        <f>IF($C16="",0,IF(AND(OR($I16="",$I16&lt;=(DATE(YEAR($V$6),MONTH($V$6)+1,1)-1)),OR($J16="",$J16&gt;=$V$6),MOD((YEAR($V$6)*12+MONTH($V$6))-(YEAR(IF($I16="",$L$6,$I16))*12+MONTH(IF($I16="",$L$6,$I16))),MAX(1,N($H16)))=0),N($G16),0))</f>
        <v/>
      </c>
      <c r="AC316" s="110">
        <f>IF($C16="",0,IF(V16="✓",N($G16),IF(ISNUMBER(V16),V16,0)))</f>
        <v/>
      </c>
      <c r="AD316" s="243">
        <f>IF($C16="","",$V$6)</f>
        <v/>
      </c>
      <c r="AE316" s="110">
        <f>IF($C16="","",$K16)</f>
        <v/>
      </c>
    </row>
    <row r="317">
      <c r="Y317" s="243">
        <f>IF(OR($C17="",$F17=""),"",DATE(YEAR($V$6),MONTH($V$6),MIN($F17,DAY((DATE(YEAR($V$6),MONTH($V$6)+1,1)-1)))))</f>
        <v/>
      </c>
      <c r="Z317" s="110">
        <f>IF($C17="","",IF($D17="Доход","Доход","Расход"))</f>
        <v/>
      </c>
      <c r="AA317" s="110">
        <f>IF($C17="","",$E17)</f>
        <v/>
      </c>
      <c r="AB317" s="110">
        <f>IF($C17="",0,IF(AND(OR($I17="",$I17&lt;=(DATE(YEAR($V$6),MONTH($V$6)+1,1)-1)),OR($J17="",$J17&gt;=$V$6),MOD((YEAR($V$6)*12+MONTH($V$6))-(YEAR(IF($I17="",$L$6,$I17))*12+MONTH(IF($I17="",$L$6,$I17))),MAX(1,N($H17)))=0),N($G17),0))</f>
        <v/>
      </c>
      <c r="AC317" s="110">
        <f>IF($C17="",0,IF(V17="✓",N($G17),IF(ISNUMBER(V17),V17,0)))</f>
        <v/>
      </c>
      <c r="AD317" s="243">
        <f>IF($C17="","",$V$6)</f>
        <v/>
      </c>
      <c r="AE317" s="110">
        <f>IF($C17="","",$K17)</f>
        <v/>
      </c>
    </row>
    <row r="318">
      <c r="Y318" s="243">
        <f>IF(OR($C18="",$F18=""),"",DATE(YEAR($V$6),MONTH($V$6),MIN($F18,DAY((DATE(YEAR($V$6),MONTH($V$6)+1,1)-1)))))</f>
        <v/>
      </c>
      <c r="Z318" s="110">
        <f>IF($C18="","",IF($D18="Доход","Доход","Расход"))</f>
        <v/>
      </c>
      <c r="AA318" s="110">
        <f>IF($C18="","",$E18)</f>
        <v/>
      </c>
      <c r="AB318" s="110">
        <f>IF($C18="",0,IF(AND(OR($I18="",$I18&lt;=(DATE(YEAR($V$6),MONTH($V$6)+1,1)-1)),OR($J18="",$J18&gt;=$V$6),MOD((YEAR($V$6)*12+MONTH($V$6))-(YEAR(IF($I18="",$L$6,$I18))*12+MONTH(IF($I18="",$L$6,$I18))),MAX(1,N($H18)))=0),N($G18),0))</f>
        <v/>
      </c>
      <c r="AC318" s="110">
        <f>IF($C18="",0,IF(V18="✓",N($G18),IF(ISNUMBER(V18),V18,0)))</f>
        <v/>
      </c>
      <c r="AD318" s="243">
        <f>IF($C18="","",$V$6)</f>
        <v/>
      </c>
      <c r="AE318" s="110">
        <f>IF($C18="","",$K18)</f>
        <v/>
      </c>
    </row>
    <row r="319">
      <c r="Y319" s="243">
        <f>IF(OR($C19="",$F19=""),"",DATE(YEAR($V$6),MONTH($V$6),MIN($F19,DAY((DATE(YEAR($V$6),MONTH($V$6)+1,1)-1)))))</f>
        <v/>
      </c>
      <c r="Z319" s="110">
        <f>IF($C19="","",IF($D19="Доход","Доход","Расход"))</f>
        <v/>
      </c>
      <c r="AA319" s="110">
        <f>IF($C19="","",$E19)</f>
        <v/>
      </c>
      <c r="AB319" s="110">
        <f>IF($C19="",0,IF(AND(OR($I19="",$I19&lt;=(DATE(YEAR($V$6),MONTH($V$6)+1,1)-1)),OR($J19="",$J19&gt;=$V$6),MOD((YEAR($V$6)*12+MONTH($V$6))-(YEAR(IF($I19="",$L$6,$I19))*12+MONTH(IF($I19="",$L$6,$I19))),MAX(1,N($H19)))=0),N($G19),0))</f>
        <v/>
      </c>
      <c r="AC319" s="110">
        <f>IF($C19="",0,IF(V19="✓",N($G19),IF(ISNUMBER(V19),V19,0)))</f>
        <v/>
      </c>
      <c r="AD319" s="243">
        <f>IF($C19="","",$V$6)</f>
        <v/>
      </c>
      <c r="AE319" s="110">
        <f>IF($C19="","",$K19)</f>
        <v/>
      </c>
    </row>
    <row r="320">
      <c r="Y320" s="243">
        <f>IF(OR($C20="",$F20=""),"",DATE(YEAR($V$6),MONTH($V$6),MIN($F20,DAY((DATE(YEAR($V$6),MONTH($V$6)+1,1)-1)))))</f>
        <v/>
      </c>
      <c r="Z320" s="110">
        <f>IF($C20="","",IF($D20="Доход","Доход","Расход"))</f>
        <v/>
      </c>
      <c r="AA320" s="110">
        <f>IF($C20="","",$E20)</f>
        <v/>
      </c>
      <c r="AB320" s="110">
        <f>IF($C20="",0,IF(AND(OR($I20="",$I20&lt;=(DATE(YEAR($V$6),MONTH($V$6)+1,1)-1)),OR($J20="",$J20&gt;=$V$6),MOD((YEAR($V$6)*12+MONTH($V$6))-(YEAR(IF($I20="",$L$6,$I20))*12+MONTH(IF($I20="",$L$6,$I20))),MAX(1,N($H20)))=0),N($G20),0))</f>
        <v/>
      </c>
      <c r="AC320" s="110">
        <f>IF($C20="",0,IF(V20="✓",N($G20),IF(ISNUMBER(V20),V20,0)))</f>
        <v/>
      </c>
      <c r="AD320" s="243">
        <f>IF($C20="","",$V$6)</f>
        <v/>
      </c>
      <c r="AE320" s="110">
        <f>IF($C20="","",$K20)</f>
        <v/>
      </c>
    </row>
    <row r="321">
      <c r="Y321" s="243">
        <f>IF(OR($C21="",$F21=""),"",DATE(YEAR($V$6),MONTH($V$6),MIN($F21,DAY((DATE(YEAR($V$6),MONTH($V$6)+1,1)-1)))))</f>
        <v/>
      </c>
      <c r="Z321" s="110">
        <f>IF($C21="","",IF($D21="Доход","Доход","Расход"))</f>
        <v/>
      </c>
      <c r="AA321" s="110">
        <f>IF($C21="","",$E21)</f>
        <v/>
      </c>
      <c r="AB321" s="110">
        <f>IF($C21="",0,IF(AND(OR($I21="",$I21&lt;=(DATE(YEAR($V$6),MONTH($V$6)+1,1)-1)),OR($J21="",$J21&gt;=$V$6),MOD((YEAR($V$6)*12+MONTH($V$6))-(YEAR(IF($I21="",$L$6,$I21))*12+MONTH(IF($I21="",$L$6,$I21))),MAX(1,N($H21)))=0),N($G21),0))</f>
        <v/>
      </c>
      <c r="AC321" s="110">
        <f>IF($C21="",0,IF(V21="✓",N($G21),IF(ISNUMBER(V21),V21,0)))</f>
        <v/>
      </c>
      <c r="AD321" s="243">
        <f>IF($C21="","",$V$6)</f>
        <v/>
      </c>
      <c r="AE321" s="110">
        <f>IF($C21="","",$K21)</f>
        <v/>
      </c>
    </row>
    <row r="322">
      <c r="Y322" s="243">
        <f>IF(OR($C22="",$F22=""),"",DATE(YEAR($V$6),MONTH($V$6),MIN($F22,DAY((DATE(YEAR($V$6),MONTH($V$6)+1,1)-1)))))</f>
        <v/>
      </c>
      <c r="Z322" s="110">
        <f>IF($C22="","",IF($D22="Доход","Доход","Расход"))</f>
        <v/>
      </c>
      <c r="AA322" s="110">
        <f>IF($C22="","",$E22)</f>
        <v/>
      </c>
      <c r="AB322" s="110">
        <f>IF($C22="",0,IF(AND(OR($I22="",$I22&lt;=(DATE(YEAR($V$6),MONTH($V$6)+1,1)-1)),OR($J22="",$J22&gt;=$V$6),MOD((YEAR($V$6)*12+MONTH($V$6))-(YEAR(IF($I22="",$L$6,$I22))*12+MONTH(IF($I22="",$L$6,$I22))),MAX(1,N($H22)))=0),N($G22),0))</f>
        <v/>
      </c>
      <c r="AC322" s="110">
        <f>IF($C22="",0,IF(V22="✓",N($G22),IF(ISNUMBER(V22),V22,0)))</f>
        <v/>
      </c>
      <c r="AD322" s="243">
        <f>IF($C22="","",$V$6)</f>
        <v/>
      </c>
      <c r="AE322" s="110">
        <f>IF($C22="","",$K22)</f>
        <v/>
      </c>
    </row>
    <row r="323">
      <c r="Y323" s="243">
        <f>IF(OR($C23="",$F23=""),"",DATE(YEAR($V$6),MONTH($V$6),MIN($F23,DAY((DATE(YEAR($V$6),MONTH($V$6)+1,1)-1)))))</f>
        <v/>
      </c>
      <c r="Z323" s="110">
        <f>IF($C23="","",IF($D23="Доход","Доход","Расход"))</f>
        <v/>
      </c>
      <c r="AA323" s="110">
        <f>IF($C23="","",$E23)</f>
        <v/>
      </c>
      <c r="AB323" s="110">
        <f>IF($C23="",0,IF(AND(OR($I23="",$I23&lt;=(DATE(YEAR($V$6),MONTH($V$6)+1,1)-1)),OR($J23="",$J23&gt;=$V$6),MOD((YEAR($V$6)*12+MONTH($V$6))-(YEAR(IF($I23="",$L$6,$I23))*12+MONTH(IF($I23="",$L$6,$I23))),MAX(1,N($H23)))=0),N($G23),0))</f>
        <v/>
      </c>
      <c r="AC323" s="110">
        <f>IF($C23="",0,IF(V23="✓",N($G23),IF(ISNUMBER(V23),V23,0)))</f>
        <v/>
      </c>
      <c r="AD323" s="243">
        <f>IF($C23="","",$V$6)</f>
        <v/>
      </c>
      <c r="AE323" s="110">
        <f>IF($C23="","",$K23)</f>
        <v/>
      </c>
    </row>
    <row r="324">
      <c r="Y324" s="243">
        <f>IF(OR($C24="",$F24=""),"",DATE(YEAR($V$6),MONTH($V$6),MIN($F24,DAY((DATE(YEAR($V$6),MONTH($V$6)+1,1)-1)))))</f>
        <v/>
      </c>
      <c r="Z324" s="110">
        <f>IF($C24="","",IF($D24="Доход","Доход","Расход"))</f>
        <v/>
      </c>
      <c r="AA324" s="110">
        <f>IF($C24="","",$E24)</f>
        <v/>
      </c>
      <c r="AB324" s="110">
        <f>IF($C24="",0,IF(AND(OR($I24="",$I24&lt;=(DATE(YEAR($V$6),MONTH($V$6)+1,1)-1)),OR($J24="",$J24&gt;=$V$6),MOD((YEAR($V$6)*12+MONTH($V$6))-(YEAR(IF($I24="",$L$6,$I24))*12+MONTH(IF($I24="",$L$6,$I24))),MAX(1,N($H24)))=0),N($G24),0))</f>
        <v/>
      </c>
      <c r="AC324" s="110">
        <f>IF($C24="",0,IF(V24="✓",N($G24),IF(ISNUMBER(V24),V24,0)))</f>
        <v/>
      </c>
      <c r="AD324" s="243">
        <f>IF($C24="","",$V$6)</f>
        <v/>
      </c>
      <c r="AE324" s="110">
        <f>IF($C24="","",$K24)</f>
        <v/>
      </c>
    </row>
    <row r="325">
      <c r="Y325" s="243">
        <f>IF(OR($C25="",$F25=""),"",DATE(YEAR($V$6),MONTH($V$6),MIN($F25,DAY((DATE(YEAR($V$6),MONTH($V$6)+1,1)-1)))))</f>
        <v/>
      </c>
      <c r="Z325" s="110">
        <f>IF($C25="","",IF($D25="Доход","Доход","Расход"))</f>
        <v/>
      </c>
      <c r="AA325" s="110">
        <f>IF($C25="","",$E25)</f>
        <v/>
      </c>
      <c r="AB325" s="110">
        <f>IF($C25="",0,IF(AND(OR($I25="",$I25&lt;=(DATE(YEAR($V$6),MONTH($V$6)+1,1)-1)),OR($J25="",$J25&gt;=$V$6),MOD((YEAR($V$6)*12+MONTH($V$6))-(YEAR(IF($I25="",$L$6,$I25))*12+MONTH(IF($I25="",$L$6,$I25))),MAX(1,N($H25)))=0),N($G25),0))</f>
        <v/>
      </c>
      <c r="AC325" s="110">
        <f>IF($C25="",0,IF(V25="✓",N($G25),IF(ISNUMBER(V25),V25,0)))</f>
        <v/>
      </c>
      <c r="AD325" s="243">
        <f>IF($C25="","",$V$6)</f>
        <v/>
      </c>
      <c r="AE325" s="110">
        <f>IF($C25="","",$K25)</f>
        <v/>
      </c>
    </row>
    <row r="326">
      <c r="Y326" s="243">
        <f>IF(OR($C26="",$F26=""),"",DATE(YEAR($V$6),MONTH($V$6),MIN($F26,DAY((DATE(YEAR($V$6),MONTH($V$6)+1,1)-1)))))</f>
        <v/>
      </c>
      <c r="Z326" s="110">
        <f>IF($C26="","",IF($D26="Доход","Доход","Расход"))</f>
        <v/>
      </c>
      <c r="AA326" s="110">
        <f>IF($C26="","",$E26)</f>
        <v/>
      </c>
      <c r="AB326" s="110">
        <f>IF($C26="",0,IF(AND(OR($I26="",$I26&lt;=(DATE(YEAR($V$6),MONTH($V$6)+1,1)-1)),OR($J26="",$J26&gt;=$V$6),MOD((YEAR($V$6)*12+MONTH($V$6))-(YEAR(IF($I26="",$L$6,$I26))*12+MONTH(IF($I26="",$L$6,$I26))),MAX(1,N($H26)))=0),N($G26),0))</f>
        <v/>
      </c>
      <c r="AC326" s="110">
        <f>IF($C26="",0,IF(V26="✓",N($G26),IF(ISNUMBER(V26),V26,0)))</f>
        <v/>
      </c>
      <c r="AD326" s="243">
        <f>IF($C26="","",$V$6)</f>
        <v/>
      </c>
      <c r="AE326" s="110">
        <f>IF($C26="","",$K26)</f>
        <v/>
      </c>
    </row>
    <row r="327">
      <c r="Y327" s="243">
        <f>IF(OR($C27="",$F27=""),"",DATE(YEAR($V$6),MONTH($V$6),MIN($F27,DAY((DATE(YEAR($V$6),MONTH($V$6)+1,1)-1)))))</f>
        <v/>
      </c>
      <c r="Z327" s="110">
        <f>IF($C27="","",IF($D27="Доход","Доход","Расход"))</f>
        <v/>
      </c>
      <c r="AA327" s="110">
        <f>IF($C27="","",$E27)</f>
        <v/>
      </c>
      <c r="AB327" s="110">
        <f>IF($C27="",0,IF(AND(OR($I27="",$I27&lt;=(DATE(YEAR($V$6),MONTH($V$6)+1,1)-1)),OR($J27="",$J27&gt;=$V$6),MOD((YEAR($V$6)*12+MONTH($V$6))-(YEAR(IF($I27="",$L$6,$I27))*12+MONTH(IF($I27="",$L$6,$I27))),MAX(1,N($H27)))=0),N($G27),0))</f>
        <v/>
      </c>
      <c r="AC327" s="110">
        <f>IF($C27="",0,IF(V27="✓",N($G27),IF(ISNUMBER(V27),V27,0)))</f>
        <v/>
      </c>
      <c r="AD327" s="243">
        <f>IF($C27="","",$V$6)</f>
        <v/>
      </c>
      <c r="AE327" s="110">
        <f>IF($C27="","",$K27)</f>
        <v/>
      </c>
    </row>
    <row r="328">
      <c r="Y328" s="243">
        <f>IF(OR($C28="",$F28=""),"",DATE(YEAR($V$6),MONTH($V$6),MIN($F28,DAY((DATE(YEAR($V$6),MONTH($V$6)+1,1)-1)))))</f>
        <v/>
      </c>
      <c r="Z328" s="110">
        <f>IF($C28="","",IF($D28="Доход","Доход","Расход"))</f>
        <v/>
      </c>
      <c r="AA328" s="110">
        <f>IF($C28="","",$E28)</f>
        <v/>
      </c>
      <c r="AB328" s="110">
        <f>IF($C28="",0,IF(AND(OR($I28="",$I28&lt;=(DATE(YEAR($V$6),MONTH($V$6)+1,1)-1)),OR($J28="",$J28&gt;=$V$6),MOD((YEAR($V$6)*12+MONTH($V$6))-(YEAR(IF($I28="",$L$6,$I28))*12+MONTH(IF($I28="",$L$6,$I28))),MAX(1,N($H28)))=0),N($G28),0))</f>
        <v/>
      </c>
      <c r="AC328" s="110">
        <f>IF($C28="",0,IF(V28="✓",N($G28),IF(ISNUMBER(V28),V28,0)))</f>
        <v/>
      </c>
      <c r="AD328" s="243">
        <f>IF($C28="","",$V$6)</f>
        <v/>
      </c>
      <c r="AE328" s="110">
        <f>IF($C28="","",$K28)</f>
        <v/>
      </c>
    </row>
    <row r="329">
      <c r="Y329" s="243">
        <f>IF(OR($C29="",$F29=""),"",DATE(YEAR($V$6),MONTH($V$6),MIN($F29,DAY((DATE(YEAR($V$6),MONTH($V$6)+1,1)-1)))))</f>
        <v/>
      </c>
      <c r="Z329" s="110">
        <f>IF($C29="","",IF($D29="Доход","Доход","Расход"))</f>
        <v/>
      </c>
      <c r="AA329" s="110">
        <f>IF($C29="","",$E29)</f>
        <v/>
      </c>
      <c r="AB329" s="110">
        <f>IF($C29="",0,IF(AND(OR($I29="",$I29&lt;=(DATE(YEAR($V$6),MONTH($V$6)+1,1)-1)),OR($J29="",$J29&gt;=$V$6),MOD((YEAR($V$6)*12+MONTH($V$6))-(YEAR(IF($I29="",$L$6,$I29))*12+MONTH(IF($I29="",$L$6,$I29))),MAX(1,N($H29)))=0),N($G29),0))</f>
        <v/>
      </c>
      <c r="AC329" s="110">
        <f>IF($C29="",0,IF(V29="✓",N($G29),IF(ISNUMBER(V29),V29,0)))</f>
        <v/>
      </c>
      <c r="AD329" s="243">
        <f>IF($C29="","",$V$6)</f>
        <v/>
      </c>
      <c r="AE329" s="110">
        <f>IF($C29="","",$K29)</f>
        <v/>
      </c>
    </row>
    <row r="330">
      <c r="Y330" s="243">
        <f>IF(OR($C30="",$F30=""),"",DATE(YEAR($V$6),MONTH($V$6),MIN($F30,DAY((DATE(YEAR($V$6),MONTH($V$6)+1,1)-1)))))</f>
        <v/>
      </c>
      <c r="Z330" s="110">
        <f>IF($C30="","",IF($D30="Доход","Доход","Расход"))</f>
        <v/>
      </c>
      <c r="AA330" s="110">
        <f>IF($C30="","",$E30)</f>
        <v/>
      </c>
      <c r="AB330" s="110">
        <f>IF($C30="",0,IF(AND(OR($I30="",$I30&lt;=(DATE(YEAR($V$6),MONTH($V$6)+1,1)-1)),OR($J30="",$J30&gt;=$V$6),MOD((YEAR($V$6)*12+MONTH($V$6))-(YEAR(IF($I30="",$L$6,$I30))*12+MONTH(IF($I30="",$L$6,$I30))),MAX(1,N($H30)))=0),N($G30),0))</f>
        <v/>
      </c>
      <c r="AC330" s="110">
        <f>IF($C30="",0,IF(V30="✓",N($G30),IF(ISNUMBER(V30),V30,0)))</f>
        <v/>
      </c>
      <c r="AD330" s="243">
        <f>IF($C30="","",$V$6)</f>
        <v/>
      </c>
      <c r="AE330" s="110">
        <f>IF($C30="","",$K30)</f>
        <v/>
      </c>
    </row>
    <row r="331">
      <c r="Y331" s="243">
        <f>IF(OR($C31="",$F31=""),"",DATE(YEAR($V$6),MONTH($V$6),MIN($F31,DAY((DATE(YEAR($V$6),MONTH($V$6)+1,1)-1)))))</f>
        <v/>
      </c>
      <c r="Z331" s="110">
        <f>IF($C31="","",IF($D31="Доход","Доход","Расход"))</f>
        <v/>
      </c>
      <c r="AA331" s="110">
        <f>IF($C31="","",$E31)</f>
        <v/>
      </c>
      <c r="AB331" s="110">
        <f>IF($C31="",0,IF(AND(OR($I31="",$I31&lt;=(DATE(YEAR($V$6),MONTH($V$6)+1,1)-1)),OR($J31="",$J31&gt;=$V$6),MOD((YEAR($V$6)*12+MONTH($V$6))-(YEAR(IF($I31="",$L$6,$I31))*12+MONTH(IF($I31="",$L$6,$I31))),MAX(1,N($H31)))=0),N($G31),0))</f>
        <v/>
      </c>
      <c r="AC331" s="110">
        <f>IF($C31="",0,IF(V31="✓",N($G31),IF(ISNUMBER(V31),V31,0)))</f>
        <v/>
      </c>
      <c r="AD331" s="243">
        <f>IF($C31="","",$V$6)</f>
        <v/>
      </c>
      <c r="AE331" s="110">
        <f>IF($C31="","",$K31)</f>
        <v/>
      </c>
    </row>
    <row r="332">
      <c r="Y332" s="243">
        <f>IF(OR($C32="",$F32=""),"",DATE(YEAR($V$6),MONTH($V$6),MIN($F32,DAY((DATE(YEAR($V$6),MONTH($V$6)+1,1)-1)))))</f>
        <v/>
      </c>
      <c r="Z332" s="110">
        <f>IF($C32="","",IF($D32="Доход","Доход","Расход"))</f>
        <v/>
      </c>
      <c r="AA332" s="110">
        <f>IF($C32="","",$E32)</f>
        <v/>
      </c>
      <c r="AB332" s="110">
        <f>IF($C32="",0,IF(AND(OR($I32="",$I32&lt;=(DATE(YEAR($V$6),MONTH($V$6)+1,1)-1)),OR($J32="",$J32&gt;=$V$6),MOD((YEAR($V$6)*12+MONTH($V$6))-(YEAR(IF($I32="",$L$6,$I32))*12+MONTH(IF($I32="",$L$6,$I32))),MAX(1,N($H32)))=0),N($G32),0))</f>
        <v/>
      </c>
      <c r="AC332" s="110">
        <f>IF($C32="",0,IF(V32="✓",N($G32),IF(ISNUMBER(V32),V32,0)))</f>
        <v/>
      </c>
      <c r="AD332" s="243">
        <f>IF($C32="","",$V$6)</f>
        <v/>
      </c>
      <c r="AE332" s="110">
        <f>IF($C32="","",$K32)</f>
        <v/>
      </c>
    </row>
    <row r="333">
      <c r="Y333" s="243">
        <f>IF(OR($C33="",$F33=""),"",DATE(YEAR($V$6),MONTH($V$6),MIN($F33,DAY((DATE(YEAR($V$6),MONTH($V$6)+1,1)-1)))))</f>
        <v/>
      </c>
      <c r="Z333" s="110">
        <f>IF($C33="","",IF($D33="Доход","Доход","Расход"))</f>
        <v/>
      </c>
      <c r="AA333" s="110">
        <f>IF($C33="","",$E33)</f>
        <v/>
      </c>
      <c r="AB333" s="110">
        <f>IF($C33="",0,IF(AND(OR($I33="",$I33&lt;=(DATE(YEAR($V$6),MONTH($V$6)+1,1)-1)),OR($J33="",$J33&gt;=$V$6),MOD((YEAR($V$6)*12+MONTH($V$6))-(YEAR(IF($I33="",$L$6,$I33))*12+MONTH(IF($I33="",$L$6,$I33))),MAX(1,N($H33)))=0),N($G33),0))</f>
        <v/>
      </c>
      <c r="AC333" s="110">
        <f>IF($C33="",0,IF(V33="✓",N($G33),IF(ISNUMBER(V33),V33,0)))</f>
        <v/>
      </c>
      <c r="AD333" s="243">
        <f>IF($C33="","",$V$6)</f>
        <v/>
      </c>
      <c r="AE333" s="110">
        <f>IF($C33="","",$K33)</f>
        <v/>
      </c>
    </row>
    <row r="334">
      <c r="Y334" s="243">
        <f>IF(OR($C34="",$F34=""),"",DATE(YEAR($V$6),MONTH($V$6),MIN($F34,DAY((DATE(YEAR($V$6),MONTH($V$6)+1,1)-1)))))</f>
        <v/>
      </c>
      <c r="Z334" s="110">
        <f>IF($C34="","",IF($D34="Доход","Доход","Расход"))</f>
        <v/>
      </c>
      <c r="AA334" s="110">
        <f>IF($C34="","",$E34)</f>
        <v/>
      </c>
      <c r="AB334" s="110">
        <f>IF($C34="",0,IF(AND(OR($I34="",$I34&lt;=(DATE(YEAR($V$6),MONTH($V$6)+1,1)-1)),OR($J34="",$J34&gt;=$V$6),MOD((YEAR($V$6)*12+MONTH($V$6))-(YEAR(IF($I34="",$L$6,$I34))*12+MONTH(IF($I34="",$L$6,$I34))),MAX(1,N($H34)))=0),N($G34),0))</f>
        <v/>
      </c>
      <c r="AC334" s="110">
        <f>IF($C34="",0,IF(V34="✓",N($G34),IF(ISNUMBER(V34),V34,0)))</f>
        <v/>
      </c>
      <c r="AD334" s="243">
        <f>IF($C34="","",$V$6)</f>
        <v/>
      </c>
      <c r="AE334" s="110">
        <f>IF($C34="","",$K34)</f>
        <v/>
      </c>
    </row>
    <row r="335">
      <c r="Y335" s="243">
        <f>IF(OR($C35="",$F35=""),"",DATE(YEAR($V$6),MONTH($V$6),MIN($F35,DAY((DATE(YEAR($V$6),MONTH($V$6)+1,1)-1)))))</f>
        <v/>
      </c>
      <c r="Z335" s="110">
        <f>IF($C35="","",IF($D35="Доход","Доход","Расход"))</f>
        <v/>
      </c>
      <c r="AA335" s="110">
        <f>IF($C35="","",$E35)</f>
        <v/>
      </c>
      <c r="AB335" s="110">
        <f>IF($C35="",0,IF(AND(OR($I35="",$I35&lt;=(DATE(YEAR($V$6),MONTH($V$6)+1,1)-1)),OR($J35="",$J35&gt;=$V$6),MOD((YEAR($V$6)*12+MONTH($V$6))-(YEAR(IF($I35="",$L$6,$I35))*12+MONTH(IF($I35="",$L$6,$I35))),MAX(1,N($H35)))=0),N($G35),0))</f>
        <v/>
      </c>
      <c r="AC335" s="110">
        <f>IF($C35="",0,IF(V35="✓",N($G35),IF(ISNUMBER(V35),V35,0)))</f>
        <v/>
      </c>
      <c r="AD335" s="243">
        <f>IF($C35="","",$V$6)</f>
        <v/>
      </c>
      <c r="AE335" s="110">
        <f>IF($C35="","",$K35)</f>
        <v/>
      </c>
    </row>
    <row r="336">
      <c r="Y336" s="243">
        <f>IF(OR($C36="",$F36=""),"",DATE(YEAR($V$6),MONTH($V$6),MIN($F36,DAY((DATE(YEAR($V$6),MONTH($V$6)+1,1)-1)))))</f>
        <v/>
      </c>
      <c r="Z336" s="110">
        <f>IF($C36="","",IF($D36="Доход","Доход","Расход"))</f>
        <v/>
      </c>
      <c r="AA336" s="110">
        <f>IF($C36="","",$E36)</f>
        <v/>
      </c>
      <c r="AB336" s="110">
        <f>IF($C36="",0,IF(AND(OR($I36="",$I36&lt;=(DATE(YEAR($V$6),MONTH($V$6)+1,1)-1)),OR($J36="",$J36&gt;=$V$6),MOD((YEAR($V$6)*12+MONTH($V$6))-(YEAR(IF($I36="",$L$6,$I36))*12+MONTH(IF($I36="",$L$6,$I36))),MAX(1,N($H36)))=0),N($G36),0))</f>
        <v/>
      </c>
      <c r="AC336" s="110">
        <f>IF($C36="",0,IF(V36="✓",N($G36),IF(ISNUMBER(V36),V36,0)))</f>
        <v/>
      </c>
      <c r="AD336" s="243">
        <f>IF($C36="","",$V$6)</f>
        <v/>
      </c>
      <c r="AE336" s="110">
        <f>IF($C36="","",$K36)</f>
        <v/>
      </c>
    </row>
    <row r="337">
      <c r="Y337" s="243">
        <f>IF(OR($C37="",$F37=""),"",DATE(YEAR($V$6),MONTH($V$6),MIN($F37,DAY((DATE(YEAR($V$6),MONTH($V$6)+1,1)-1)))))</f>
        <v/>
      </c>
      <c r="Z337" s="110">
        <f>IF($C37="","",IF($D37="Доход","Доход","Расход"))</f>
        <v/>
      </c>
      <c r="AA337" s="110">
        <f>IF($C37="","",$E37)</f>
        <v/>
      </c>
      <c r="AB337" s="110">
        <f>IF($C37="",0,IF(AND(OR($I37="",$I37&lt;=(DATE(YEAR($V$6),MONTH($V$6)+1,1)-1)),OR($J37="",$J37&gt;=$V$6),MOD((YEAR($V$6)*12+MONTH($V$6))-(YEAR(IF($I37="",$L$6,$I37))*12+MONTH(IF($I37="",$L$6,$I37))),MAX(1,N($H37)))=0),N($G37),0))</f>
        <v/>
      </c>
      <c r="AC337" s="110">
        <f>IF($C37="",0,IF(V37="✓",N($G37),IF(ISNUMBER(V37),V37,0)))</f>
        <v/>
      </c>
      <c r="AD337" s="243">
        <f>IF($C37="","",$V$6)</f>
        <v/>
      </c>
      <c r="AE337" s="110">
        <f>IF($C37="","",$K37)</f>
        <v/>
      </c>
    </row>
    <row r="338">
      <c r="Y338" s="243">
        <f>IF(OR($C8="",$F8=""),"",DATE(YEAR($W$6),MONTH($W$6),MIN($F8,DAY((DATE(YEAR($W$6),MONTH($W$6)+1,1)-1)))))</f>
        <v/>
      </c>
      <c r="Z338" s="110">
        <f>IF($C8="","",IF($D8="Доход","Доход","Расход"))</f>
        <v/>
      </c>
      <c r="AA338" s="110">
        <f>IF($C8="","",$E8)</f>
        <v/>
      </c>
      <c r="AB338" s="110">
        <f>IF($C8="",0,IF(AND(OR($I8="",$I8&lt;=(DATE(YEAR($W$6),MONTH($W$6)+1,1)-1)),OR($J8="",$J8&gt;=$W$6),MOD((YEAR($W$6)*12+MONTH($W$6))-(YEAR(IF($I8="",$L$6,$I8))*12+MONTH(IF($I8="",$L$6,$I8))),MAX(1,N($H8)))=0),N($G8),0))</f>
        <v/>
      </c>
      <c r="AC338" s="110">
        <f>IF($C8="",0,IF(W8="✓",N($G8),IF(ISNUMBER(W8),W8,0)))</f>
        <v/>
      </c>
      <c r="AD338" s="243">
        <f>IF($C8="","",$W$6)</f>
        <v/>
      </c>
      <c r="AE338" s="110">
        <f>IF($C8="","",$K8)</f>
        <v/>
      </c>
    </row>
    <row r="339">
      <c r="Y339" s="243">
        <f>IF(OR($C9="",$F9=""),"",DATE(YEAR($W$6),MONTH($W$6),MIN($F9,DAY((DATE(YEAR($W$6),MONTH($W$6)+1,1)-1)))))</f>
        <v/>
      </c>
      <c r="Z339" s="110">
        <f>IF($C9="","",IF($D9="Доход","Доход","Расход"))</f>
        <v/>
      </c>
      <c r="AA339" s="110">
        <f>IF($C9="","",$E9)</f>
        <v/>
      </c>
      <c r="AB339" s="110">
        <f>IF($C9="",0,IF(AND(OR($I9="",$I9&lt;=(DATE(YEAR($W$6),MONTH($W$6)+1,1)-1)),OR($J9="",$J9&gt;=$W$6),MOD((YEAR($W$6)*12+MONTH($W$6))-(YEAR(IF($I9="",$L$6,$I9))*12+MONTH(IF($I9="",$L$6,$I9))),MAX(1,N($H9)))=0),N($G9),0))</f>
        <v/>
      </c>
      <c r="AC339" s="110">
        <f>IF($C9="",0,IF(W9="✓",N($G9),IF(ISNUMBER(W9),W9,0)))</f>
        <v/>
      </c>
      <c r="AD339" s="243">
        <f>IF($C9="","",$W$6)</f>
        <v/>
      </c>
      <c r="AE339" s="110">
        <f>IF($C9="","",$K9)</f>
        <v/>
      </c>
    </row>
    <row r="340">
      <c r="Y340" s="243">
        <f>IF(OR($C10="",$F10=""),"",DATE(YEAR($W$6),MONTH($W$6),MIN($F10,DAY((DATE(YEAR($W$6),MONTH($W$6)+1,1)-1)))))</f>
        <v/>
      </c>
      <c r="Z340" s="110">
        <f>IF($C10="","",IF($D10="Доход","Доход","Расход"))</f>
        <v/>
      </c>
      <c r="AA340" s="110">
        <f>IF($C10="","",$E10)</f>
        <v/>
      </c>
      <c r="AB340" s="110">
        <f>IF($C10="",0,IF(AND(OR($I10="",$I10&lt;=(DATE(YEAR($W$6),MONTH($W$6)+1,1)-1)),OR($J10="",$J10&gt;=$W$6),MOD((YEAR($W$6)*12+MONTH($W$6))-(YEAR(IF($I10="",$L$6,$I10))*12+MONTH(IF($I10="",$L$6,$I10))),MAX(1,N($H10)))=0),N($G10),0))</f>
        <v/>
      </c>
      <c r="AC340" s="110">
        <f>IF($C10="",0,IF(W10="✓",N($G10),IF(ISNUMBER(W10),W10,0)))</f>
        <v/>
      </c>
      <c r="AD340" s="243">
        <f>IF($C10="","",$W$6)</f>
        <v/>
      </c>
      <c r="AE340" s="110">
        <f>IF($C10="","",$K10)</f>
        <v/>
      </c>
    </row>
    <row r="341">
      <c r="Y341" s="243">
        <f>IF(OR($C11="",$F11=""),"",DATE(YEAR($W$6),MONTH($W$6),MIN($F11,DAY((DATE(YEAR($W$6),MONTH($W$6)+1,1)-1)))))</f>
        <v/>
      </c>
      <c r="Z341" s="110">
        <f>IF($C11="","",IF($D11="Доход","Доход","Расход"))</f>
        <v/>
      </c>
      <c r="AA341" s="110">
        <f>IF($C11="","",$E11)</f>
        <v/>
      </c>
      <c r="AB341" s="110">
        <f>IF($C11="",0,IF(AND(OR($I11="",$I11&lt;=(DATE(YEAR($W$6),MONTH($W$6)+1,1)-1)),OR($J11="",$J11&gt;=$W$6),MOD((YEAR($W$6)*12+MONTH($W$6))-(YEAR(IF($I11="",$L$6,$I11))*12+MONTH(IF($I11="",$L$6,$I11))),MAX(1,N($H11)))=0),N($G11),0))</f>
        <v/>
      </c>
      <c r="AC341" s="110">
        <f>IF($C11="",0,IF(W11="✓",N($G11),IF(ISNUMBER(W11),W11,0)))</f>
        <v/>
      </c>
      <c r="AD341" s="243">
        <f>IF($C11="","",$W$6)</f>
        <v/>
      </c>
      <c r="AE341" s="110">
        <f>IF($C11="","",$K11)</f>
        <v/>
      </c>
    </row>
    <row r="342">
      <c r="Y342" s="243">
        <f>IF(OR($C12="",$F12=""),"",DATE(YEAR($W$6),MONTH($W$6),MIN($F12,DAY((DATE(YEAR($W$6),MONTH($W$6)+1,1)-1)))))</f>
        <v/>
      </c>
      <c r="Z342" s="110">
        <f>IF($C12="","",IF($D12="Доход","Доход","Расход"))</f>
        <v/>
      </c>
      <c r="AA342" s="110">
        <f>IF($C12="","",$E12)</f>
        <v/>
      </c>
      <c r="AB342" s="110">
        <f>IF($C12="",0,IF(AND(OR($I12="",$I12&lt;=(DATE(YEAR($W$6),MONTH($W$6)+1,1)-1)),OR($J12="",$J12&gt;=$W$6),MOD((YEAR($W$6)*12+MONTH($W$6))-(YEAR(IF($I12="",$L$6,$I12))*12+MONTH(IF($I12="",$L$6,$I12))),MAX(1,N($H12)))=0),N($G12),0))</f>
        <v/>
      </c>
      <c r="AC342" s="110">
        <f>IF($C12="",0,IF(W12="✓",N($G12),IF(ISNUMBER(W12),W12,0)))</f>
        <v/>
      </c>
      <c r="AD342" s="243">
        <f>IF($C12="","",$W$6)</f>
        <v/>
      </c>
      <c r="AE342" s="110">
        <f>IF($C12="","",$K12)</f>
        <v/>
      </c>
    </row>
    <row r="343">
      <c r="Y343" s="243">
        <f>IF(OR($C13="",$F13=""),"",DATE(YEAR($W$6),MONTH($W$6),MIN($F13,DAY((DATE(YEAR($W$6),MONTH($W$6)+1,1)-1)))))</f>
        <v/>
      </c>
      <c r="Z343" s="110">
        <f>IF($C13="","",IF($D13="Доход","Доход","Расход"))</f>
        <v/>
      </c>
      <c r="AA343" s="110">
        <f>IF($C13="","",$E13)</f>
        <v/>
      </c>
      <c r="AB343" s="110">
        <f>IF($C13="",0,IF(AND(OR($I13="",$I13&lt;=(DATE(YEAR($W$6),MONTH($W$6)+1,1)-1)),OR($J13="",$J13&gt;=$W$6),MOD((YEAR($W$6)*12+MONTH($W$6))-(YEAR(IF($I13="",$L$6,$I13))*12+MONTH(IF($I13="",$L$6,$I13))),MAX(1,N($H13)))=0),N($G13),0))</f>
        <v/>
      </c>
      <c r="AC343" s="110">
        <f>IF($C13="",0,IF(W13="✓",N($G13),IF(ISNUMBER(W13),W13,0)))</f>
        <v/>
      </c>
      <c r="AD343" s="243">
        <f>IF($C13="","",$W$6)</f>
        <v/>
      </c>
      <c r="AE343" s="110">
        <f>IF($C13="","",$K13)</f>
        <v/>
      </c>
    </row>
    <row r="344">
      <c r="Y344" s="243">
        <f>IF(OR($C14="",$F14=""),"",DATE(YEAR($W$6),MONTH($W$6),MIN($F14,DAY((DATE(YEAR($W$6),MONTH($W$6)+1,1)-1)))))</f>
        <v/>
      </c>
      <c r="Z344" s="110">
        <f>IF($C14="","",IF($D14="Доход","Доход","Расход"))</f>
        <v/>
      </c>
      <c r="AA344" s="110">
        <f>IF($C14="","",$E14)</f>
        <v/>
      </c>
      <c r="AB344" s="110">
        <f>IF($C14="",0,IF(AND(OR($I14="",$I14&lt;=(DATE(YEAR($W$6),MONTH($W$6)+1,1)-1)),OR($J14="",$J14&gt;=$W$6),MOD((YEAR($W$6)*12+MONTH($W$6))-(YEAR(IF($I14="",$L$6,$I14))*12+MONTH(IF($I14="",$L$6,$I14))),MAX(1,N($H14)))=0),N($G14),0))</f>
        <v/>
      </c>
      <c r="AC344" s="110">
        <f>IF($C14="",0,IF(W14="✓",N($G14),IF(ISNUMBER(W14),W14,0)))</f>
        <v/>
      </c>
      <c r="AD344" s="243">
        <f>IF($C14="","",$W$6)</f>
        <v/>
      </c>
      <c r="AE344" s="110">
        <f>IF($C14="","",$K14)</f>
        <v/>
      </c>
    </row>
    <row r="345">
      <c r="Y345" s="243">
        <f>IF(OR($C15="",$F15=""),"",DATE(YEAR($W$6),MONTH($W$6),MIN($F15,DAY((DATE(YEAR($W$6),MONTH($W$6)+1,1)-1)))))</f>
        <v/>
      </c>
      <c r="Z345" s="110">
        <f>IF($C15="","",IF($D15="Доход","Доход","Расход"))</f>
        <v/>
      </c>
      <c r="AA345" s="110">
        <f>IF($C15="","",$E15)</f>
        <v/>
      </c>
      <c r="AB345" s="110">
        <f>IF($C15="",0,IF(AND(OR($I15="",$I15&lt;=(DATE(YEAR($W$6),MONTH($W$6)+1,1)-1)),OR($J15="",$J15&gt;=$W$6),MOD((YEAR($W$6)*12+MONTH($W$6))-(YEAR(IF($I15="",$L$6,$I15))*12+MONTH(IF($I15="",$L$6,$I15))),MAX(1,N($H15)))=0),N($G15),0))</f>
        <v/>
      </c>
      <c r="AC345" s="110">
        <f>IF($C15="",0,IF(W15="✓",N($G15),IF(ISNUMBER(W15),W15,0)))</f>
        <v/>
      </c>
      <c r="AD345" s="243">
        <f>IF($C15="","",$W$6)</f>
        <v/>
      </c>
      <c r="AE345" s="110">
        <f>IF($C15="","",$K15)</f>
        <v/>
      </c>
    </row>
    <row r="346">
      <c r="Y346" s="243">
        <f>IF(OR($C16="",$F16=""),"",DATE(YEAR($W$6),MONTH($W$6),MIN($F16,DAY((DATE(YEAR($W$6),MONTH($W$6)+1,1)-1)))))</f>
        <v/>
      </c>
      <c r="Z346" s="110">
        <f>IF($C16="","",IF($D16="Доход","Доход","Расход"))</f>
        <v/>
      </c>
      <c r="AA346" s="110">
        <f>IF($C16="","",$E16)</f>
        <v/>
      </c>
      <c r="AB346" s="110">
        <f>IF($C16="",0,IF(AND(OR($I16="",$I16&lt;=(DATE(YEAR($W$6),MONTH($W$6)+1,1)-1)),OR($J16="",$J16&gt;=$W$6),MOD((YEAR($W$6)*12+MONTH($W$6))-(YEAR(IF($I16="",$L$6,$I16))*12+MONTH(IF($I16="",$L$6,$I16))),MAX(1,N($H16)))=0),N($G16),0))</f>
        <v/>
      </c>
      <c r="AC346" s="110">
        <f>IF($C16="",0,IF(W16="✓",N($G16),IF(ISNUMBER(W16),W16,0)))</f>
        <v/>
      </c>
      <c r="AD346" s="243">
        <f>IF($C16="","",$W$6)</f>
        <v/>
      </c>
      <c r="AE346" s="110">
        <f>IF($C16="","",$K16)</f>
        <v/>
      </c>
    </row>
    <row r="347">
      <c r="Y347" s="243">
        <f>IF(OR($C17="",$F17=""),"",DATE(YEAR($W$6),MONTH($W$6),MIN($F17,DAY((DATE(YEAR($W$6),MONTH($W$6)+1,1)-1)))))</f>
        <v/>
      </c>
      <c r="Z347" s="110">
        <f>IF($C17="","",IF($D17="Доход","Доход","Расход"))</f>
        <v/>
      </c>
      <c r="AA347" s="110">
        <f>IF($C17="","",$E17)</f>
        <v/>
      </c>
      <c r="AB347" s="110">
        <f>IF($C17="",0,IF(AND(OR($I17="",$I17&lt;=(DATE(YEAR($W$6),MONTH($W$6)+1,1)-1)),OR($J17="",$J17&gt;=$W$6),MOD((YEAR($W$6)*12+MONTH($W$6))-(YEAR(IF($I17="",$L$6,$I17))*12+MONTH(IF($I17="",$L$6,$I17))),MAX(1,N($H17)))=0),N($G17),0))</f>
        <v/>
      </c>
      <c r="AC347" s="110">
        <f>IF($C17="",0,IF(W17="✓",N($G17),IF(ISNUMBER(W17),W17,0)))</f>
        <v/>
      </c>
      <c r="AD347" s="243">
        <f>IF($C17="","",$W$6)</f>
        <v/>
      </c>
      <c r="AE347" s="110">
        <f>IF($C17="","",$K17)</f>
        <v/>
      </c>
    </row>
    <row r="348">
      <c r="Y348" s="243">
        <f>IF(OR($C18="",$F18=""),"",DATE(YEAR($W$6),MONTH($W$6),MIN($F18,DAY((DATE(YEAR($W$6),MONTH($W$6)+1,1)-1)))))</f>
        <v/>
      </c>
      <c r="Z348" s="110">
        <f>IF($C18="","",IF($D18="Доход","Доход","Расход"))</f>
        <v/>
      </c>
      <c r="AA348" s="110">
        <f>IF($C18="","",$E18)</f>
        <v/>
      </c>
      <c r="AB348" s="110">
        <f>IF($C18="",0,IF(AND(OR($I18="",$I18&lt;=(DATE(YEAR($W$6),MONTH($W$6)+1,1)-1)),OR($J18="",$J18&gt;=$W$6),MOD((YEAR($W$6)*12+MONTH($W$6))-(YEAR(IF($I18="",$L$6,$I18))*12+MONTH(IF($I18="",$L$6,$I18))),MAX(1,N($H18)))=0),N($G18),0))</f>
        <v/>
      </c>
      <c r="AC348" s="110">
        <f>IF($C18="",0,IF(W18="✓",N($G18),IF(ISNUMBER(W18),W18,0)))</f>
        <v/>
      </c>
      <c r="AD348" s="243">
        <f>IF($C18="","",$W$6)</f>
        <v/>
      </c>
      <c r="AE348" s="110">
        <f>IF($C18="","",$K18)</f>
        <v/>
      </c>
    </row>
    <row r="349">
      <c r="Y349" s="243">
        <f>IF(OR($C19="",$F19=""),"",DATE(YEAR($W$6),MONTH($W$6),MIN($F19,DAY((DATE(YEAR($W$6),MONTH($W$6)+1,1)-1)))))</f>
        <v/>
      </c>
      <c r="Z349" s="110">
        <f>IF($C19="","",IF($D19="Доход","Доход","Расход"))</f>
        <v/>
      </c>
      <c r="AA349" s="110">
        <f>IF($C19="","",$E19)</f>
        <v/>
      </c>
      <c r="AB349" s="110">
        <f>IF($C19="",0,IF(AND(OR($I19="",$I19&lt;=(DATE(YEAR($W$6),MONTH($W$6)+1,1)-1)),OR($J19="",$J19&gt;=$W$6),MOD((YEAR($W$6)*12+MONTH($W$6))-(YEAR(IF($I19="",$L$6,$I19))*12+MONTH(IF($I19="",$L$6,$I19))),MAX(1,N($H19)))=0),N($G19),0))</f>
        <v/>
      </c>
      <c r="AC349" s="110">
        <f>IF($C19="",0,IF(W19="✓",N($G19),IF(ISNUMBER(W19),W19,0)))</f>
        <v/>
      </c>
      <c r="AD349" s="243">
        <f>IF($C19="","",$W$6)</f>
        <v/>
      </c>
      <c r="AE349" s="110">
        <f>IF($C19="","",$K19)</f>
        <v/>
      </c>
    </row>
    <row r="350">
      <c r="Y350" s="243">
        <f>IF(OR($C20="",$F20=""),"",DATE(YEAR($W$6),MONTH($W$6),MIN($F20,DAY((DATE(YEAR($W$6),MONTH($W$6)+1,1)-1)))))</f>
        <v/>
      </c>
      <c r="Z350" s="110">
        <f>IF($C20="","",IF($D20="Доход","Доход","Расход"))</f>
        <v/>
      </c>
      <c r="AA350" s="110">
        <f>IF($C20="","",$E20)</f>
        <v/>
      </c>
      <c r="AB350" s="110">
        <f>IF($C20="",0,IF(AND(OR($I20="",$I20&lt;=(DATE(YEAR($W$6),MONTH($W$6)+1,1)-1)),OR($J20="",$J20&gt;=$W$6),MOD((YEAR($W$6)*12+MONTH($W$6))-(YEAR(IF($I20="",$L$6,$I20))*12+MONTH(IF($I20="",$L$6,$I20))),MAX(1,N($H20)))=0),N($G20),0))</f>
        <v/>
      </c>
      <c r="AC350" s="110">
        <f>IF($C20="",0,IF(W20="✓",N($G20),IF(ISNUMBER(W20),W20,0)))</f>
        <v/>
      </c>
      <c r="AD350" s="243">
        <f>IF($C20="","",$W$6)</f>
        <v/>
      </c>
      <c r="AE350" s="110">
        <f>IF($C20="","",$K20)</f>
        <v/>
      </c>
    </row>
    <row r="351">
      <c r="Y351" s="243">
        <f>IF(OR($C21="",$F21=""),"",DATE(YEAR($W$6),MONTH($W$6),MIN($F21,DAY((DATE(YEAR($W$6),MONTH($W$6)+1,1)-1)))))</f>
        <v/>
      </c>
      <c r="Z351" s="110">
        <f>IF($C21="","",IF($D21="Доход","Доход","Расход"))</f>
        <v/>
      </c>
      <c r="AA351" s="110">
        <f>IF($C21="","",$E21)</f>
        <v/>
      </c>
      <c r="AB351" s="110">
        <f>IF($C21="",0,IF(AND(OR($I21="",$I21&lt;=(DATE(YEAR($W$6),MONTH($W$6)+1,1)-1)),OR($J21="",$J21&gt;=$W$6),MOD((YEAR($W$6)*12+MONTH($W$6))-(YEAR(IF($I21="",$L$6,$I21))*12+MONTH(IF($I21="",$L$6,$I21))),MAX(1,N($H21)))=0),N($G21),0))</f>
        <v/>
      </c>
      <c r="AC351" s="110">
        <f>IF($C21="",0,IF(W21="✓",N($G21),IF(ISNUMBER(W21),W21,0)))</f>
        <v/>
      </c>
      <c r="AD351" s="243">
        <f>IF($C21="","",$W$6)</f>
        <v/>
      </c>
      <c r="AE351" s="110">
        <f>IF($C21="","",$K21)</f>
        <v/>
      </c>
    </row>
    <row r="352">
      <c r="Y352" s="243">
        <f>IF(OR($C22="",$F22=""),"",DATE(YEAR($W$6),MONTH($W$6),MIN($F22,DAY((DATE(YEAR($W$6),MONTH($W$6)+1,1)-1)))))</f>
        <v/>
      </c>
      <c r="Z352" s="110">
        <f>IF($C22="","",IF($D22="Доход","Доход","Расход"))</f>
        <v/>
      </c>
      <c r="AA352" s="110">
        <f>IF($C22="","",$E22)</f>
        <v/>
      </c>
      <c r="AB352" s="110">
        <f>IF($C22="",0,IF(AND(OR($I22="",$I22&lt;=(DATE(YEAR($W$6),MONTH($W$6)+1,1)-1)),OR($J22="",$J22&gt;=$W$6),MOD((YEAR($W$6)*12+MONTH($W$6))-(YEAR(IF($I22="",$L$6,$I22))*12+MONTH(IF($I22="",$L$6,$I22))),MAX(1,N($H22)))=0),N($G22),0))</f>
        <v/>
      </c>
      <c r="AC352" s="110">
        <f>IF($C22="",0,IF(W22="✓",N($G22),IF(ISNUMBER(W22),W22,0)))</f>
        <v/>
      </c>
      <c r="AD352" s="243">
        <f>IF($C22="","",$W$6)</f>
        <v/>
      </c>
      <c r="AE352" s="110">
        <f>IF($C22="","",$K22)</f>
        <v/>
      </c>
    </row>
    <row r="353">
      <c r="Y353" s="243">
        <f>IF(OR($C23="",$F23=""),"",DATE(YEAR($W$6),MONTH($W$6),MIN($F23,DAY((DATE(YEAR($W$6),MONTH($W$6)+1,1)-1)))))</f>
        <v/>
      </c>
      <c r="Z353" s="110">
        <f>IF($C23="","",IF($D23="Доход","Доход","Расход"))</f>
        <v/>
      </c>
      <c r="AA353" s="110">
        <f>IF($C23="","",$E23)</f>
        <v/>
      </c>
      <c r="AB353" s="110">
        <f>IF($C23="",0,IF(AND(OR($I23="",$I23&lt;=(DATE(YEAR($W$6),MONTH($W$6)+1,1)-1)),OR($J23="",$J23&gt;=$W$6),MOD((YEAR($W$6)*12+MONTH($W$6))-(YEAR(IF($I23="",$L$6,$I23))*12+MONTH(IF($I23="",$L$6,$I23))),MAX(1,N($H23)))=0),N($G23),0))</f>
        <v/>
      </c>
      <c r="AC353" s="110">
        <f>IF($C23="",0,IF(W23="✓",N($G23),IF(ISNUMBER(W23),W23,0)))</f>
        <v/>
      </c>
      <c r="AD353" s="243">
        <f>IF($C23="","",$W$6)</f>
        <v/>
      </c>
      <c r="AE353" s="110">
        <f>IF($C23="","",$K23)</f>
        <v/>
      </c>
    </row>
    <row r="354">
      <c r="Y354" s="243">
        <f>IF(OR($C24="",$F24=""),"",DATE(YEAR($W$6),MONTH($W$6),MIN($F24,DAY((DATE(YEAR($W$6),MONTH($W$6)+1,1)-1)))))</f>
        <v/>
      </c>
      <c r="Z354" s="110">
        <f>IF($C24="","",IF($D24="Доход","Доход","Расход"))</f>
        <v/>
      </c>
      <c r="AA354" s="110">
        <f>IF($C24="","",$E24)</f>
        <v/>
      </c>
      <c r="AB354" s="110">
        <f>IF($C24="",0,IF(AND(OR($I24="",$I24&lt;=(DATE(YEAR($W$6),MONTH($W$6)+1,1)-1)),OR($J24="",$J24&gt;=$W$6),MOD((YEAR($W$6)*12+MONTH($W$6))-(YEAR(IF($I24="",$L$6,$I24))*12+MONTH(IF($I24="",$L$6,$I24))),MAX(1,N($H24)))=0),N($G24),0))</f>
        <v/>
      </c>
      <c r="AC354" s="110">
        <f>IF($C24="",0,IF(W24="✓",N($G24),IF(ISNUMBER(W24),W24,0)))</f>
        <v/>
      </c>
      <c r="AD354" s="243">
        <f>IF($C24="","",$W$6)</f>
        <v/>
      </c>
      <c r="AE354" s="110">
        <f>IF($C24="","",$K24)</f>
        <v/>
      </c>
    </row>
    <row r="355">
      <c r="Y355" s="243">
        <f>IF(OR($C25="",$F25=""),"",DATE(YEAR($W$6),MONTH($W$6),MIN($F25,DAY((DATE(YEAR($W$6),MONTH($W$6)+1,1)-1)))))</f>
        <v/>
      </c>
      <c r="Z355" s="110">
        <f>IF($C25="","",IF($D25="Доход","Доход","Расход"))</f>
        <v/>
      </c>
      <c r="AA355" s="110">
        <f>IF($C25="","",$E25)</f>
        <v/>
      </c>
      <c r="AB355" s="110">
        <f>IF($C25="",0,IF(AND(OR($I25="",$I25&lt;=(DATE(YEAR($W$6),MONTH($W$6)+1,1)-1)),OR($J25="",$J25&gt;=$W$6),MOD((YEAR($W$6)*12+MONTH($W$6))-(YEAR(IF($I25="",$L$6,$I25))*12+MONTH(IF($I25="",$L$6,$I25))),MAX(1,N($H25)))=0),N($G25),0))</f>
        <v/>
      </c>
      <c r="AC355" s="110">
        <f>IF($C25="",0,IF(W25="✓",N($G25),IF(ISNUMBER(W25),W25,0)))</f>
        <v/>
      </c>
      <c r="AD355" s="243">
        <f>IF($C25="","",$W$6)</f>
        <v/>
      </c>
      <c r="AE355" s="110">
        <f>IF($C25="","",$K25)</f>
        <v/>
      </c>
    </row>
    <row r="356">
      <c r="Y356" s="243">
        <f>IF(OR($C26="",$F26=""),"",DATE(YEAR($W$6),MONTH($W$6),MIN($F26,DAY((DATE(YEAR($W$6),MONTH($W$6)+1,1)-1)))))</f>
        <v/>
      </c>
      <c r="Z356" s="110">
        <f>IF($C26="","",IF($D26="Доход","Доход","Расход"))</f>
        <v/>
      </c>
      <c r="AA356" s="110">
        <f>IF($C26="","",$E26)</f>
        <v/>
      </c>
      <c r="AB356" s="110">
        <f>IF($C26="",0,IF(AND(OR($I26="",$I26&lt;=(DATE(YEAR($W$6),MONTH($W$6)+1,1)-1)),OR($J26="",$J26&gt;=$W$6),MOD((YEAR($W$6)*12+MONTH($W$6))-(YEAR(IF($I26="",$L$6,$I26))*12+MONTH(IF($I26="",$L$6,$I26))),MAX(1,N($H26)))=0),N($G26),0))</f>
        <v/>
      </c>
      <c r="AC356" s="110">
        <f>IF($C26="",0,IF(W26="✓",N($G26),IF(ISNUMBER(W26),W26,0)))</f>
        <v/>
      </c>
      <c r="AD356" s="243">
        <f>IF($C26="","",$W$6)</f>
        <v/>
      </c>
      <c r="AE356" s="110">
        <f>IF($C26="","",$K26)</f>
        <v/>
      </c>
    </row>
    <row r="357">
      <c r="Y357" s="243">
        <f>IF(OR($C27="",$F27=""),"",DATE(YEAR($W$6),MONTH($W$6),MIN($F27,DAY((DATE(YEAR($W$6),MONTH($W$6)+1,1)-1)))))</f>
        <v/>
      </c>
      <c r="Z357" s="110">
        <f>IF($C27="","",IF($D27="Доход","Доход","Расход"))</f>
        <v/>
      </c>
      <c r="AA357" s="110">
        <f>IF($C27="","",$E27)</f>
        <v/>
      </c>
      <c r="AB357" s="110">
        <f>IF($C27="",0,IF(AND(OR($I27="",$I27&lt;=(DATE(YEAR($W$6),MONTH($W$6)+1,1)-1)),OR($J27="",$J27&gt;=$W$6),MOD((YEAR($W$6)*12+MONTH($W$6))-(YEAR(IF($I27="",$L$6,$I27))*12+MONTH(IF($I27="",$L$6,$I27))),MAX(1,N($H27)))=0),N($G27),0))</f>
        <v/>
      </c>
      <c r="AC357" s="110">
        <f>IF($C27="",0,IF(W27="✓",N($G27),IF(ISNUMBER(W27),W27,0)))</f>
        <v/>
      </c>
      <c r="AD357" s="243">
        <f>IF($C27="","",$W$6)</f>
        <v/>
      </c>
      <c r="AE357" s="110">
        <f>IF($C27="","",$K27)</f>
        <v/>
      </c>
    </row>
    <row r="358">
      <c r="Y358" s="243">
        <f>IF(OR($C28="",$F28=""),"",DATE(YEAR($W$6),MONTH($W$6),MIN($F28,DAY((DATE(YEAR($W$6),MONTH($W$6)+1,1)-1)))))</f>
        <v/>
      </c>
      <c r="Z358" s="110">
        <f>IF($C28="","",IF($D28="Доход","Доход","Расход"))</f>
        <v/>
      </c>
      <c r="AA358" s="110">
        <f>IF($C28="","",$E28)</f>
        <v/>
      </c>
      <c r="AB358" s="110">
        <f>IF($C28="",0,IF(AND(OR($I28="",$I28&lt;=(DATE(YEAR($W$6),MONTH($W$6)+1,1)-1)),OR($J28="",$J28&gt;=$W$6),MOD((YEAR($W$6)*12+MONTH($W$6))-(YEAR(IF($I28="",$L$6,$I28))*12+MONTH(IF($I28="",$L$6,$I28))),MAX(1,N($H28)))=0),N($G28),0))</f>
        <v/>
      </c>
      <c r="AC358" s="110">
        <f>IF($C28="",0,IF(W28="✓",N($G28),IF(ISNUMBER(W28),W28,0)))</f>
        <v/>
      </c>
      <c r="AD358" s="243">
        <f>IF($C28="","",$W$6)</f>
        <v/>
      </c>
      <c r="AE358" s="110">
        <f>IF($C28="","",$K28)</f>
        <v/>
      </c>
    </row>
    <row r="359">
      <c r="Y359" s="243">
        <f>IF(OR($C29="",$F29=""),"",DATE(YEAR($W$6),MONTH($W$6),MIN($F29,DAY((DATE(YEAR($W$6),MONTH($W$6)+1,1)-1)))))</f>
        <v/>
      </c>
      <c r="Z359" s="110">
        <f>IF($C29="","",IF($D29="Доход","Доход","Расход"))</f>
        <v/>
      </c>
      <c r="AA359" s="110">
        <f>IF($C29="","",$E29)</f>
        <v/>
      </c>
      <c r="AB359" s="110">
        <f>IF($C29="",0,IF(AND(OR($I29="",$I29&lt;=(DATE(YEAR($W$6),MONTH($W$6)+1,1)-1)),OR($J29="",$J29&gt;=$W$6),MOD((YEAR($W$6)*12+MONTH($W$6))-(YEAR(IF($I29="",$L$6,$I29))*12+MONTH(IF($I29="",$L$6,$I29))),MAX(1,N($H29)))=0),N($G29),0))</f>
        <v/>
      </c>
      <c r="AC359" s="110">
        <f>IF($C29="",0,IF(W29="✓",N($G29),IF(ISNUMBER(W29),W29,0)))</f>
        <v/>
      </c>
      <c r="AD359" s="243">
        <f>IF($C29="","",$W$6)</f>
        <v/>
      </c>
      <c r="AE359" s="110">
        <f>IF($C29="","",$K29)</f>
        <v/>
      </c>
    </row>
    <row r="360">
      <c r="Y360" s="243">
        <f>IF(OR($C30="",$F30=""),"",DATE(YEAR($W$6),MONTH($W$6),MIN($F30,DAY((DATE(YEAR($W$6),MONTH($W$6)+1,1)-1)))))</f>
        <v/>
      </c>
      <c r="Z360" s="110">
        <f>IF($C30="","",IF($D30="Доход","Доход","Расход"))</f>
        <v/>
      </c>
      <c r="AA360" s="110">
        <f>IF($C30="","",$E30)</f>
        <v/>
      </c>
      <c r="AB360" s="110">
        <f>IF($C30="",0,IF(AND(OR($I30="",$I30&lt;=(DATE(YEAR($W$6),MONTH($W$6)+1,1)-1)),OR($J30="",$J30&gt;=$W$6),MOD((YEAR($W$6)*12+MONTH($W$6))-(YEAR(IF($I30="",$L$6,$I30))*12+MONTH(IF($I30="",$L$6,$I30))),MAX(1,N($H30)))=0),N($G30),0))</f>
        <v/>
      </c>
      <c r="AC360" s="110">
        <f>IF($C30="",0,IF(W30="✓",N($G30),IF(ISNUMBER(W30),W30,0)))</f>
        <v/>
      </c>
      <c r="AD360" s="243">
        <f>IF($C30="","",$W$6)</f>
        <v/>
      </c>
      <c r="AE360" s="110">
        <f>IF($C30="","",$K30)</f>
        <v/>
      </c>
    </row>
    <row r="361">
      <c r="Y361" s="243">
        <f>IF(OR($C31="",$F31=""),"",DATE(YEAR($W$6),MONTH($W$6),MIN($F31,DAY((DATE(YEAR($W$6),MONTH($W$6)+1,1)-1)))))</f>
        <v/>
      </c>
      <c r="Z361" s="110">
        <f>IF($C31="","",IF($D31="Доход","Доход","Расход"))</f>
        <v/>
      </c>
      <c r="AA361" s="110">
        <f>IF($C31="","",$E31)</f>
        <v/>
      </c>
      <c r="AB361" s="110">
        <f>IF($C31="",0,IF(AND(OR($I31="",$I31&lt;=(DATE(YEAR($W$6),MONTH($W$6)+1,1)-1)),OR($J31="",$J31&gt;=$W$6),MOD((YEAR($W$6)*12+MONTH($W$6))-(YEAR(IF($I31="",$L$6,$I31))*12+MONTH(IF($I31="",$L$6,$I31))),MAX(1,N($H31)))=0),N($G31),0))</f>
        <v/>
      </c>
      <c r="AC361" s="110">
        <f>IF($C31="",0,IF(W31="✓",N($G31),IF(ISNUMBER(W31),W31,0)))</f>
        <v/>
      </c>
      <c r="AD361" s="243">
        <f>IF($C31="","",$W$6)</f>
        <v/>
      </c>
      <c r="AE361" s="110">
        <f>IF($C31="","",$K31)</f>
        <v/>
      </c>
    </row>
    <row r="362">
      <c r="Y362" s="243">
        <f>IF(OR($C32="",$F32=""),"",DATE(YEAR($W$6),MONTH($W$6),MIN($F32,DAY((DATE(YEAR($W$6),MONTH($W$6)+1,1)-1)))))</f>
        <v/>
      </c>
      <c r="Z362" s="110">
        <f>IF($C32="","",IF($D32="Доход","Доход","Расход"))</f>
        <v/>
      </c>
      <c r="AA362" s="110">
        <f>IF($C32="","",$E32)</f>
        <v/>
      </c>
      <c r="AB362" s="110">
        <f>IF($C32="",0,IF(AND(OR($I32="",$I32&lt;=(DATE(YEAR($W$6),MONTH($W$6)+1,1)-1)),OR($J32="",$J32&gt;=$W$6),MOD((YEAR($W$6)*12+MONTH($W$6))-(YEAR(IF($I32="",$L$6,$I32))*12+MONTH(IF($I32="",$L$6,$I32))),MAX(1,N($H32)))=0),N($G32),0))</f>
        <v/>
      </c>
      <c r="AC362" s="110">
        <f>IF($C32="",0,IF(W32="✓",N($G32),IF(ISNUMBER(W32),W32,0)))</f>
        <v/>
      </c>
      <c r="AD362" s="243">
        <f>IF($C32="","",$W$6)</f>
        <v/>
      </c>
      <c r="AE362" s="110">
        <f>IF($C32="","",$K32)</f>
        <v/>
      </c>
    </row>
    <row r="363">
      <c r="Y363" s="243">
        <f>IF(OR($C33="",$F33=""),"",DATE(YEAR($W$6),MONTH($W$6),MIN($F33,DAY((DATE(YEAR($W$6),MONTH($W$6)+1,1)-1)))))</f>
        <v/>
      </c>
      <c r="Z363" s="110">
        <f>IF($C33="","",IF($D33="Доход","Доход","Расход"))</f>
        <v/>
      </c>
      <c r="AA363" s="110">
        <f>IF($C33="","",$E33)</f>
        <v/>
      </c>
      <c r="AB363" s="110">
        <f>IF($C33="",0,IF(AND(OR($I33="",$I33&lt;=(DATE(YEAR($W$6),MONTH($W$6)+1,1)-1)),OR($J33="",$J33&gt;=$W$6),MOD((YEAR($W$6)*12+MONTH($W$6))-(YEAR(IF($I33="",$L$6,$I33))*12+MONTH(IF($I33="",$L$6,$I33))),MAX(1,N($H33)))=0),N($G33),0))</f>
        <v/>
      </c>
      <c r="AC363" s="110">
        <f>IF($C33="",0,IF(W33="✓",N($G33),IF(ISNUMBER(W33),W33,0)))</f>
        <v/>
      </c>
      <c r="AD363" s="243">
        <f>IF($C33="","",$W$6)</f>
        <v/>
      </c>
      <c r="AE363" s="110">
        <f>IF($C33="","",$K33)</f>
        <v/>
      </c>
    </row>
    <row r="364">
      <c r="Y364" s="243">
        <f>IF(OR($C34="",$F34=""),"",DATE(YEAR($W$6),MONTH($W$6),MIN($F34,DAY((DATE(YEAR($W$6),MONTH($W$6)+1,1)-1)))))</f>
        <v/>
      </c>
      <c r="Z364" s="110">
        <f>IF($C34="","",IF($D34="Доход","Доход","Расход"))</f>
        <v/>
      </c>
      <c r="AA364" s="110">
        <f>IF($C34="","",$E34)</f>
        <v/>
      </c>
      <c r="AB364" s="110">
        <f>IF($C34="",0,IF(AND(OR($I34="",$I34&lt;=(DATE(YEAR($W$6),MONTH($W$6)+1,1)-1)),OR($J34="",$J34&gt;=$W$6),MOD((YEAR($W$6)*12+MONTH($W$6))-(YEAR(IF($I34="",$L$6,$I34))*12+MONTH(IF($I34="",$L$6,$I34))),MAX(1,N($H34)))=0),N($G34),0))</f>
        <v/>
      </c>
      <c r="AC364" s="110">
        <f>IF($C34="",0,IF(W34="✓",N($G34),IF(ISNUMBER(W34),W34,0)))</f>
        <v/>
      </c>
      <c r="AD364" s="243">
        <f>IF($C34="","",$W$6)</f>
        <v/>
      </c>
      <c r="AE364" s="110">
        <f>IF($C34="","",$K34)</f>
        <v/>
      </c>
    </row>
    <row r="365">
      <c r="Y365" s="243">
        <f>IF(OR($C35="",$F35=""),"",DATE(YEAR($W$6),MONTH($W$6),MIN($F35,DAY((DATE(YEAR($W$6),MONTH($W$6)+1,1)-1)))))</f>
        <v/>
      </c>
      <c r="Z365" s="110">
        <f>IF($C35="","",IF($D35="Доход","Доход","Расход"))</f>
        <v/>
      </c>
      <c r="AA365" s="110">
        <f>IF($C35="","",$E35)</f>
        <v/>
      </c>
      <c r="AB365" s="110">
        <f>IF($C35="",0,IF(AND(OR($I35="",$I35&lt;=(DATE(YEAR($W$6),MONTH($W$6)+1,1)-1)),OR($J35="",$J35&gt;=$W$6),MOD((YEAR($W$6)*12+MONTH($W$6))-(YEAR(IF($I35="",$L$6,$I35))*12+MONTH(IF($I35="",$L$6,$I35))),MAX(1,N($H35)))=0),N($G35),0))</f>
        <v/>
      </c>
      <c r="AC365" s="110">
        <f>IF($C35="",0,IF(W35="✓",N($G35),IF(ISNUMBER(W35),W35,0)))</f>
        <v/>
      </c>
      <c r="AD365" s="243">
        <f>IF($C35="","",$W$6)</f>
        <v/>
      </c>
      <c r="AE365" s="110">
        <f>IF($C35="","",$K35)</f>
        <v/>
      </c>
    </row>
    <row r="366">
      <c r="Y366" s="243">
        <f>IF(OR($C36="",$F36=""),"",DATE(YEAR($W$6),MONTH($W$6),MIN($F36,DAY((DATE(YEAR($W$6),MONTH($W$6)+1,1)-1)))))</f>
        <v/>
      </c>
      <c r="Z366" s="110">
        <f>IF($C36="","",IF($D36="Доход","Доход","Расход"))</f>
        <v/>
      </c>
      <c r="AA366" s="110">
        <f>IF($C36="","",$E36)</f>
        <v/>
      </c>
      <c r="AB366" s="110">
        <f>IF($C36="",0,IF(AND(OR($I36="",$I36&lt;=(DATE(YEAR($W$6),MONTH($W$6)+1,1)-1)),OR($J36="",$J36&gt;=$W$6),MOD((YEAR($W$6)*12+MONTH($W$6))-(YEAR(IF($I36="",$L$6,$I36))*12+MONTH(IF($I36="",$L$6,$I36))),MAX(1,N($H36)))=0),N($G36),0))</f>
        <v/>
      </c>
      <c r="AC366" s="110">
        <f>IF($C36="",0,IF(W36="✓",N($G36),IF(ISNUMBER(W36),W36,0)))</f>
        <v/>
      </c>
      <c r="AD366" s="243">
        <f>IF($C36="","",$W$6)</f>
        <v/>
      </c>
      <c r="AE366" s="110">
        <f>IF($C36="","",$K36)</f>
        <v/>
      </c>
    </row>
    <row r="367">
      <c r="Y367" s="243">
        <f>IF(OR($C37="",$F37=""),"",DATE(YEAR($W$6),MONTH($W$6),MIN($F37,DAY((DATE(YEAR($W$6),MONTH($W$6)+1,1)-1)))))</f>
        <v/>
      </c>
      <c r="Z367" s="110">
        <f>IF($C37="","",IF($D37="Доход","Доход","Расход"))</f>
        <v/>
      </c>
      <c r="AA367" s="110">
        <f>IF($C37="","",$E37)</f>
        <v/>
      </c>
      <c r="AB367" s="110">
        <f>IF($C37="",0,IF(AND(OR($I37="",$I37&lt;=(DATE(YEAR($W$6),MONTH($W$6)+1,1)-1)),OR($J37="",$J37&gt;=$W$6),MOD((YEAR($W$6)*12+MONTH($W$6))-(YEAR(IF($I37="",$L$6,$I37))*12+MONTH(IF($I37="",$L$6,$I37))),MAX(1,N($H37)))=0),N($G37),0))</f>
        <v/>
      </c>
      <c r="AC367" s="110">
        <f>IF($C37="",0,IF(W37="✓",N($G37),IF(ISNUMBER(W37),W37,0)))</f>
        <v/>
      </c>
      <c r="AD367" s="243">
        <f>IF($C37="","",$W$6)</f>
        <v/>
      </c>
      <c r="AE367" s="110">
        <f>IF($C37="","",$K37)</f>
        <v/>
      </c>
    </row>
  </sheetData>
  <mergeCells count="8">
    <mergeCell ref="B2:W2"/>
    <mergeCell ref="H38:J38"/>
    <mergeCell ref="AG5:AJ5"/>
    <mergeCell ref="B39:F39"/>
    <mergeCell ref="B3:W3"/>
    <mergeCell ref="B38:F38"/>
    <mergeCell ref="B4:W4"/>
    <mergeCell ref="Y5:AE5"/>
  </mergeCells>
  <conditionalFormatting sqref="L8:W37">
    <cfRule type="expression" priority="1" dxfId="9">
      <formula>AND($C8&lt;&gt;"",L8="",NOT(AND(OR($I8="",$I8&lt;=(DATE(YEAR(L$6),MONTH(L$6)+1,1)-1)),OR($J8="",$J8&gt;=L$6),MOD((YEAR(L$6)*12+MONTH(L$6))-(YEAR(IF($I8="",$L$6,$I8))*12+MONTH(IF($I8="",$L$6,$I8))),MAX(1,N($H8)))=0)))</formula>
    </cfRule>
    <cfRule type="expression" priority="2" dxfId="10">
      <formula>ISNUMBER(L8)</formula>
    </cfRule>
  </conditionalFormatting>
  <conditionalFormatting sqref="G8:G37">
    <cfRule type="expression" priority="3" dxfId="2">
      <formula>$D8="Доход"</formula>
    </cfRule>
  </conditionalFormatting>
  <conditionalFormatting sqref="K8:K37">
    <cfRule type="expression" priority="4" dxfId="3">
      <formula>AND($C8&lt;&gt;"",$K8="")</formula>
    </cfRule>
  </conditionalFormatting>
  <dataValidations count="6">
    <dataValidation sqref="D8:D37" showDropDown="0" showInputMessage="0" showErrorMessage="0" allowBlank="1" type="list">
      <formula1>"Расход,Доход"</formula1>
    </dataValidation>
    <dataValidation sqref="E8:E37" showDropDown="0" showInputMessage="0" showErrorMessage="0" allowBlank="1" type="list">
      <formula1>IF($D8="Доход",Доходы_список,Расходы_список)</formula1>
    </dataValidation>
    <dataValidation sqref="K8:K37" showDropDown="0" showInputMessage="0" showErrorMessage="0" allowBlank="1" type="list">
      <formula1>Счета_список</formula1>
    </dataValidation>
    <dataValidation sqref="H8:H37" showDropDown="0" showInputMessage="0" showErrorMessage="0" allowBlank="1" type="list">
      <formula1>"1,2,3,4,6,12"</formula1>
    </dataValidation>
    <dataValidation sqref="L8:W37" showDropDown="0" showInputMessage="0" showErrorMessage="0" allowBlank="1" type="list">
      <formula1>"✓"</formula1>
    </dataValidation>
    <dataValidation sqref="F8:F37" showDropDown="0" showInputMessage="0" showErrorMessage="0" allowBlank="1" type="whole" operator="between">
      <formula1>1</formula1>
      <formula2>31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468C"/>
    <outlinePr summaryBelow="1" summaryRight="1"/>
    <pageSetUpPr/>
  </sheetPr>
  <dimension ref="B2:T21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18" customWidth="1" min="4" max="4"/>
    <col width="13" customWidth="1" min="5" max="5"/>
    <col width="13" customWidth="1" min="6" max="6"/>
    <col width="12" customWidth="1" min="7" max="7"/>
    <col width="13" customWidth="1" min="8" max="8"/>
    <col width="8" customWidth="1" min="9" max="9"/>
    <col width="14" customWidth="1" min="10" max="10"/>
    <col width="10" customWidth="1" min="11" max="11"/>
    <col width="14" customWidth="1" min="12" max="12"/>
    <col width="14" customWidth="1" min="13" max="13"/>
    <col width="9" customWidth="1" min="14" max="14"/>
    <col width="12" customWidth="1" min="15" max="15"/>
    <col width="20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width="2.5" customWidth="1" min="21" max="21"/>
  </cols>
  <sheetData>
    <row r="1" ht="6" customHeight="1"/>
    <row r="2" ht="34" customHeight="1">
      <c r="B2" s="1" t="inlineStr">
        <is>
          <t>Крупные покупки</t>
        </is>
      </c>
    </row>
    <row r="3" ht="20" customHeight="1">
      <c r="B3" s="3" t="inlineStr">
        <is>
          <t>Копим к дате: сколько откладывать и хватит ли денег; купила — ✓ и цена</t>
        </is>
      </c>
    </row>
    <row r="6" ht="32" customHeight="1">
      <c r="B6" s="52" t="inlineStr">
        <is>
          <t>№</t>
        </is>
      </c>
      <c r="C6" s="52" t="inlineStr">
        <is>
          <t>Что покупаем</t>
        </is>
      </c>
      <c r="D6" s="52" t="inlineStr">
        <is>
          <t>Категория</t>
        </is>
      </c>
      <c r="E6" s="52" t="inlineStr">
        <is>
          <t>Стоимость</t>
        </is>
      </c>
      <c r="F6" s="52" t="inlineStr">
        <is>
          <t>Уже отложено</t>
        </is>
      </c>
      <c r="G6" s="52" t="inlineStr">
        <is>
          <t>Дата покупки</t>
        </is>
      </c>
      <c r="H6" s="52" t="inlineStr">
        <is>
          <t>Осталось накопить</t>
        </is>
      </c>
      <c r="I6" s="52" t="inlineStr">
        <is>
          <t>Дней до</t>
        </is>
      </c>
      <c r="J6" s="52" t="inlineStr">
        <is>
          <t>Откладывать в месяц</t>
        </is>
      </c>
      <c r="K6" s="52" t="inlineStr">
        <is>
          <t>Готовность</t>
        </is>
      </c>
      <c r="L6" s="52" t="inlineStr">
        <is>
          <t>Приоритет</t>
        </is>
      </c>
      <c r="M6" s="52" t="inlineStr">
        <is>
          <t>Хватит ли денег</t>
        </is>
      </c>
      <c r="N6" s="52" t="inlineStr">
        <is>
          <t>Куплено</t>
        </is>
      </c>
      <c r="O6" s="52" t="inlineStr">
        <is>
          <t>Цена факт</t>
        </is>
      </c>
      <c r="P6" s="52" t="inlineStr">
        <is>
          <t>Счёт</t>
        </is>
      </c>
    </row>
    <row r="7" ht="21" customHeight="1">
      <c r="B7" s="53" t="n">
        <v>1</v>
      </c>
      <c r="C7" s="56" t="inlineStr">
        <is>
          <t>Ноутбук</t>
        </is>
      </c>
      <c r="D7" s="55" t="inlineStr">
        <is>
          <t>Техника</t>
        </is>
      </c>
      <c r="E7" s="196" t="n">
        <v>500</v>
      </c>
      <c r="F7" s="196" t="n">
        <v>0</v>
      </c>
      <c r="G7" s="213" t="n">
        <v>46366</v>
      </c>
      <c r="H7" s="246">
        <f>IF(E7="","",MAX(E7-F7,0))</f>
        <v/>
      </c>
      <c r="I7" s="120">
        <f>IF(G7="","",G7-TODAY())</f>
        <v/>
      </c>
      <c r="J7" s="247">
        <f>IF(OR(C7="",G7="",E7=""),"",H7/MAX(ROUNDUP(MAX(I7,0)/30,0),1))</f>
        <v/>
      </c>
      <c r="K7" s="122">
        <f>IF(E7="","",IFERROR(MIN(F7/E7,1),0))</f>
        <v/>
      </c>
      <c r="L7" s="55" t="n"/>
      <c r="M7" s="100">
        <f>IF(OR(C7="",G7=""),"",IF($N7="✓","Куплено",IF(OR(G7&lt;Прогноз!$I$6,G7&gt;Прогноз!$J$18),"Вне прогноза",IF(INDEX(Прогноз!$P$6:$P$18,MATCH(G7,Прогноз!$I$6:$I$18,1))&gt;=Настройки!$C$11,"Хватает","Не хватает"))))</f>
        <v/>
      </c>
      <c r="N7" s="123" t="inlineStr">
        <is>
          <t>✓</t>
        </is>
      </c>
      <c r="O7" s="196" t="n">
        <v>480</v>
      </c>
      <c r="P7" s="107" t="inlineStr">
        <is>
          <t>Карта</t>
        </is>
      </c>
      <c r="Q7">
        <f>IF(G7="","",DATE(YEAR(G7),MONTH(G7),1))</f>
        <v/>
      </c>
      <c r="R7">
        <f>IF(C7="",0,N(E7))</f>
        <v/>
      </c>
      <c r="S7">
        <f>IF(N7="✓",IF(O7&lt;&gt;"",O7,N(E7)),0)</f>
        <v/>
      </c>
      <c r="T7">
        <f>IF(N7="✓",S7,R7)</f>
        <v/>
      </c>
    </row>
    <row r="8" ht="21" customHeight="1">
      <c r="B8" s="53" t="n">
        <v>2</v>
      </c>
      <c r="C8" s="56" t="n"/>
      <c r="D8" s="55" t="n"/>
      <c r="E8" s="196" t="n"/>
      <c r="F8" s="196" t="n"/>
      <c r="G8" s="213" t="n"/>
      <c r="H8" s="246">
        <f>IF(E8="","",MAX(E8-F8,0))</f>
        <v/>
      </c>
      <c r="I8" s="120">
        <f>IF(G8="","",G8-TODAY())</f>
        <v/>
      </c>
      <c r="J8" s="247">
        <f>IF(OR(C8="",G8="",E8=""),"",H8/MAX(ROUNDUP(MAX(I8,0)/30,0),1))</f>
        <v/>
      </c>
      <c r="K8" s="122">
        <f>IF(E8="","",IFERROR(MIN(F8/E8,1),0))</f>
        <v/>
      </c>
      <c r="L8" s="55" t="n"/>
      <c r="M8" s="100">
        <f>IF(OR(C8="",G8=""),"",IF($N8="✓","Куплено",IF(OR(G8&lt;Прогноз!$I$6,G8&gt;Прогноз!$J$18),"Вне прогноза",IF(INDEX(Прогноз!$P$6:$P$18,MATCH(G8,Прогноз!$I$6:$I$18,1))&gt;=Настройки!$C$11,"Хватает","Не хватает"))))</f>
        <v/>
      </c>
      <c r="N8" s="123" t="n"/>
      <c r="O8" s="196" t="n"/>
      <c r="P8" s="107" t="n"/>
      <c r="Q8">
        <f>IF(G8="","",DATE(YEAR(G8),MONTH(G8),1))</f>
        <v/>
      </c>
      <c r="R8">
        <f>IF(C8="",0,N(E8))</f>
        <v/>
      </c>
      <c r="S8">
        <f>IF(N8="✓",IF(O8&lt;&gt;"",O8,N(E8)),0)</f>
        <v/>
      </c>
      <c r="T8">
        <f>IF(N8="✓",S8,R8)</f>
        <v/>
      </c>
    </row>
    <row r="9" ht="21" customHeight="1">
      <c r="B9" s="53" t="n">
        <v>3</v>
      </c>
      <c r="C9" s="56" t="n"/>
      <c r="D9" s="55" t="n"/>
      <c r="E9" s="196" t="n"/>
      <c r="F9" s="196" t="n"/>
      <c r="G9" s="213" t="n"/>
      <c r="H9" s="246">
        <f>IF(E9="","",MAX(E9-F9,0))</f>
        <v/>
      </c>
      <c r="I9" s="120">
        <f>IF(G9="","",G9-TODAY())</f>
        <v/>
      </c>
      <c r="J9" s="247">
        <f>IF(OR(C9="",G9="",E9=""),"",H9/MAX(ROUNDUP(MAX(I9,0)/30,0),1))</f>
        <v/>
      </c>
      <c r="K9" s="122">
        <f>IF(E9="","",IFERROR(MIN(F9/E9,1),0))</f>
        <v/>
      </c>
      <c r="L9" s="55" t="n"/>
      <c r="M9" s="100">
        <f>IF(OR(C9="",G9=""),"",IF($N9="✓","Куплено",IF(OR(G9&lt;Прогноз!$I$6,G9&gt;Прогноз!$J$18),"Вне прогноза",IF(INDEX(Прогноз!$P$6:$P$18,MATCH(G9,Прогноз!$I$6:$I$18,1))&gt;=Настройки!$C$11,"Хватает","Не хватает"))))</f>
        <v/>
      </c>
      <c r="N9" s="123" t="n"/>
      <c r="O9" s="196" t="n"/>
      <c r="P9" s="107" t="n"/>
      <c r="Q9">
        <f>IF(G9="","",DATE(YEAR(G9),MONTH(G9),1))</f>
        <v/>
      </c>
      <c r="R9">
        <f>IF(C9="",0,N(E9))</f>
        <v/>
      </c>
      <c r="S9">
        <f>IF(N9="✓",IF(O9&lt;&gt;"",O9,N(E9)),0)</f>
        <v/>
      </c>
      <c r="T9">
        <f>IF(N9="✓",S9,R9)</f>
        <v/>
      </c>
    </row>
    <row r="10" ht="21" customHeight="1">
      <c r="B10" s="53" t="n">
        <v>4</v>
      </c>
      <c r="C10" s="56" t="n"/>
      <c r="D10" s="55" t="n"/>
      <c r="E10" s="196" t="n"/>
      <c r="F10" s="196" t="n"/>
      <c r="G10" s="213" t="n"/>
      <c r="H10" s="246">
        <f>IF(E10="","",MAX(E10-F10,0))</f>
        <v/>
      </c>
      <c r="I10" s="120">
        <f>IF(G10="","",G10-TODAY())</f>
        <v/>
      </c>
      <c r="J10" s="247">
        <f>IF(OR(C10="",G10="",E10=""),"",H10/MAX(ROUNDUP(MAX(I10,0)/30,0),1))</f>
        <v/>
      </c>
      <c r="K10" s="122">
        <f>IF(E10="","",IFERROR(MIN(F10/E10,1),0))</f>
        <v/>
      </c>
      <c r="L10" s="55" t="n"/>
      <c r="M10" s="100">
        <f>IF(OR(C10="",G10=""),"",IF($N10="✓","Куплено",IF(OR(G10&lt;Прогноз!$I$6,G10&gt;Прогноз!$J$18),"Вне прогноза",IF(INDEX(Прогноз!$P$6:$P$18,MATCH(G10,Прогноз!$I$6:$I$18,1))&gt;=Настройки!$C$11,"Хватает","Не хватает"))))</f>
        <v/>
      </c>
      <c r="N10" s="123" t="n"/>
      <c r="O10" s="196" t="n"/>
      <c r="P10" s="107" t="n"/>
      <c r="Q10">
        <f>IF(G10="","",DATE(YEAR(G10),MONTH(G10),1))</f>
        <v/>
      </c>
      <c r="R10">
        <f>IF(C10="",0,N(E10))</f>
        <v/>
      </c>
      <c r="S10">
        <f>IF(N10="✓",IF(O10&lt;&gt;"",O10,N(E10)),0)</f>
        <v/>
      </c>
      <c r="T10">
        <f>IF(N10="✓",S10,R10)</f>
        <v/>
      </c>
    </row>
    <row r="11" ht="21" customHeight="1">
      <c r="B11" s="53" t="n">
        <v>5</v>
      </c>
      <c r="C11" s="56" t="n"/>
      <c r="D11" s="55" t="n"/>
      <c r="E11" s="196" t="n"/>
      <c r="F11" s="196" t="n"/>
      <c r="G11" s="213" t="n"/>
      <c r="H11" s="246">
        <f>IF(E11="","",MAX(E11-F11,0))</f>
        <v/>
      </c>
      <c r="I11" s="120">
        <f>IF(G11="","",G11-TODAY())</f>
        <v/>
      </c>
      <c r="J11" s="247">
        <f>IF(OR(C11="",G11="",E11=""),"",H11/MAX(ROUNDUP(MAX(I11,0)/30,0),1))</f>
        <v/>
      </c>
      <c r="K11" s="122">
        <f>IF(E11="","",IFERROR(MIN(F11/E11,1),0))</f>
        <v/>
      </c>
      <c r="L11" s="55" t="n"/>
      <c r="M11" s="100">
        <f>IF(OR(C11="",G11=""),"",IF($N11="✓","Куплено",IF(OR(G11&lt;Прогноз!$I$6,G11&gt;Прогноз!$J$18),"Вне прогноза",IF(INDEX(Прогноз!$P$6:$P$18,MATCH(G11,Прогноз!$I$6:$I$18,1))&gt;=Настройки!$C$11,"Хватает","Не хватает"))))</f>
        <v/>
      </c>
      <c r="N11" s="123" t="n"/>
      <c r="O11" s="196" t="n"/>
      <c r="P11" s="107" t="n"/>
      <c r="Q11">
        <f>IF(G11="","",DATE(YEAR(G11),MONTH(G11),1))</f>
        <v/>
      </c>
      <c r="R11">
        <f>IF(C11="",0,N(E11))</f>
        <v/>
      </c>
      <c r="S11">
        <f>IF(N11="✓",IF(O11&lt;&gt;"",O11,N(E11)),0)</f>
        <v/>
      </c>
      <c r="T11">
        <f>IF(N11="✓",S11,R11)</f>
        <v/>
      </c>
    </row>
    <row r="12" ht="21" customHeight="1">
      <c r="B12" s="53" t="n">
        <v>6</v>
      </c>
      <c r="C12" s="56" t="n"/>
      <c r="D12" s="55" t="n"/>
      <c r="E12" s="196" t="n"/>
      <c r="F12" s="196" t="n"/>
      <c r="G12" s="213" t="n"/>
      <c r="H12" s="246">
        <f>IF(E12="","",MAX(E12-F12,0))</f>
        <v/>
      </c>
      <c r="I12" s="120">
        <f>IF(G12="","",G12-TODAY())</f>
        <v/>
      </c>
      <c r="J12" s="247">
        <f>IF(OR(C12="",G12="",E12=""),"",H12/MAX(ROUNDUP(MAX(I12,0)/30,0),1))</f>
        <v/>
      </c>
      <c r="K12" s="122">
        <f>IF(E12="","",IFERROR(MIN(F12/E12,1),0))</f>
        <v/>
      </c>
      <c r="L12" s="55" t="n"/>
      <c r="M12" s="100">
        <f>IF(OR(C12="",G12=""),"",IF($N12="✓","Куплено",IF(OR(G12&lt;Прогноз!$I$6,G12&gt;Прогноз!$J$18),"Вне прогноза",IF(INDEX(Прогноз!$P$6:$P$18,MATCH(G12,Прогноз!$I$6:$I$18,1))&gt;=Настройки!$C$11,"Хватает","Не хватает"))))</f>
        <v/>
      </c>
      <c r="N12" s="123" t="n"/>
      <c r="O12" s="196" t="n"/>
      <c r="P12" s="107" t="n"/>
      <c r="Q12">
        <f>IF(G12="","",DATE(YEAR(G12),MONTH(G12),1))</f>
        <v/>
      </c>
      <c r="R12">
        <f>IF(C12="",0,N(E12))</f>
        <v/>
      </c>
      <c r="S12">
        <f>IF(N12="✓",IF(O12&lt;&gt;"",O12,N(E12)),0)</f>
        <v/>
      </c>
      <c r="T12">
        <f>IF(N12="✓",S12,R12)</f>
        <v/>
      </c>
    </row>
    <row r="13" ht="21" customHeight="1">
      <c r="B13" s="53" t="n">
        <v>7</v>
      </c>
      <c r="C13" s="56" t="n"/>
      <c r="D13" s="55" t="n"/>
      <c r="E13" s="196" t="n"/>
      <c r="F13" s="196" t="n"/>
      <c r="G13" s="213" t="n"/>
      <c r="H13" s="246">
        <f>IF(E13="","",MAX(E13-F13,0))</f>
        <v/>
      </c>
      <c r="I13" s="120">
        <f>IF(G13="","",G13-TODAY())</f>
        <v/>
      </c>
      <c r="J13" s="247">
        <f>IF(OR(C13="",G13="",E13=""),"",H13/MAX(ROUNDUP(MAX(I13,0)/30,0),1))</f>
        <v/>
      </c>
      <c r="K13" s="122">
        <f>IF(E13="","",IFERROR(MIN(F13/E13,1),0))</f>
        <v/>
      </c>
      <c r="L13" s="55" t="n"/>
      <c r="M13" s="100">
        <f>IF(OR(C13="",G13=""),"",IF($N13="✓","Куплено",IF(OR(G13&lt;Прогноз!$I$6,G13&gt;Прогноз!$J$18),"Вне прогноза",IF(INDEX(Прогноз!$P$6:$P$18,MATCH(G13,Прогноз!$I$6:$I$18,1))&gt;=Настройки!$C$11,"Хватает","Не хватает"))))</f>
        <v/>
      </c>
      <c r="N13" s="123" t="n"/>
      <c r="O13" s="196" t="n"/>
      <c r="P13" s="107" t="n"/>
      <c r="Q13">
        <f>IF(G13="","",DATE(YEAR(G13),MONTH(G13),1))</f>
        <v/>
      </c>
      <c r="R13">
        <f>IF(C13="",0,N(E13))</f>
        <v/>
      </c>
      <c r="S13">
        <f>IF(N13="✓",IF(O13&lt;&gt;"",O13,N(E13)),0)</f>
        <v/>
      </c>
      <c r="T13">
        <f>IF(N13="✓",S13,R13)</f>
        <v/>
      </c>
    </row>
    <row r="14" ht="21" customHeight="1">
      <c r="B14" s="53" t="n">
        <v>8</v>
      </c>
      <c r="C14" s="56" t="n"/>
      <c r="D14" s="55" t="n"/>
      <c r="E14" s="196" t="n"/>
      <c r="F14" s="196" t="n"/>
      <c r="G14" s="213" t="n"/>
      <c r="H14" s="246">
        <f>IF(E14="","",MAX(E14-F14,0))</f>
        <v/>
      </c>
      <c r="I14" s="120">
        <f>IF(G14="","",G14-TODAY())</f>
        <v/>
      </c>
      <c r="J14" s="247">
        <f>IF(OR(C14="",G14="",E14=""),"",H14/MAX(ROUNDUP(MAX(I14,0)/30,0),1))</f>
        <v/>
      </c>
      <c r="K14" s="122">
        <f>IF(E14="","",IFERROR(MIN(F14/E14,1),0))</f>
        <v/>
      </c>
      <c r="L14" s="55" t="n"/>
      <c r="M14" s="100">
        <f>IF(OR(C14="",G14=""),"",IF($N14="✓","Куплено",IF(OR(G14&lt;Прогноз!$I$6,G14&gt;Прогноз!$J$18),"Вне прогноза",IF(INDEX(Прогноз!$P$6:$P$18,MATCH(G14,Прогноз!$I$6:$I$18,1))&gt;=Настройки!$C$11,"Хватает","Не хватает"))))</f>
        <v/>
      </c>
      <c r="N14" s="123" t="n"/>
      <c r="O14" s="196" t="n"/>
      <c r="P14" s="107" t="n"/>
      <c r="Q14">
        <f>IF(G14="","",DATE(YEAR(G14),MONTH(G14),1))</f>
        <v/>
      </c>
      <c r="R14">
        <f>IF(C14="",0,N(E14))</f>
        <v/>
      </c>
      <c r="S14">
        <f>IF(N14="✓",IF(O14&lt;&gt;"",O14,N(E14)),0)</f>
        <v/>
      </c>
      <c r="T14">
        <f>IF(N14="✓",S14,R14)</f>
        <v/>
      </c>
    </row>
    <row r="15" ht="21" customHeight="1">
      <c r="B15" s="53" t="n">
        <v>9</v>
      </c>
      <c r="C15" s="56" t="n"/>
      <c r="D15" s="55" t="n"/>
      <c r="E15" s="196" t="n"/>
      <c r="F15" s="196" t="n"/>
      <c r="G15" s="213" t="n"/>
      <c r="H15" s="246">
        <f>IF(E15="","",MAX(E15-F15,0))</f>
        <v/>
      </c>
      <c r="I15" s="120">
        <f>IF(G15="","",G15-TODAY())</f>
        <v/>
      </c>
      <c r="J15" s="247">
        <f>IF(OR(C15="",G15="",E15=""),"",H15/MAX(ROUNDUP(MAX(I15,0)/30,0),1))</f>
        <v/>
      </c>
      <c r="K15" s="122">
        <f>IF(E15="","",IFERROR(MIN(F15/E15,1),0))</f>
        <v/>
      </c>
      <c r="L15" s="55" t="n"/>
      <c r="M15" s="100">
        <f>IF(OR(C15="",G15=""),"",IF($N15="✓","Куплено",IF(OR(G15&lt;Прогноз!$I$6,G15&gt;Прогноз!$J$18),"Вне прогноза",IF(INDEX(Прогноз!$P$6:$P$18,MATCH(G15,Прогноз!$I$6:$I$18,1))&gt;=Настройки!$C$11,"Хватает","Не хватает"))))</f>
        <v/>
      </c>
      <c r="N15" s="123" t="n"/>
      <c r="O15" s="196" t="n"/>
      <c r="P15" s="107" t="n"/>
      <c r="Q15">
        <f>IF(G15="","",DATE(YEAR(G15),MONTH(G15),1))</f>
        <v/>
      </c>
      <c r="R15">
        <f>IF(C15="",0,N(E15))</f>
        <v/>
      </c>
      <c r="S15">
        <f>IF(N15="✓",IF(O15&lt;&gt;"",O15,N(E15)),0)</f>
        <v/>
      </c>
      <c r="T15">
        <f>IF(N15="✓",S15,R15)</f>
        <v/>
      </c>
    </row>
    <row r="16" ht="21" customHeight="1">
      <c r="B16" s="53" t="n">
        <v>10</v>
      </c>
      <c r="C16" s="56" t="n"/>
      <c r="D16" s="55" t="n"/>
      <c r="E16" s="196" t="n"/>
      <c r="F16" s="196" t="n"/>
      <c r="G16" s="213" t="n"/>
      <c r="H16" s="246">
        <f>IF(E16="","",MAX(E16-F16,0))</f>
        <v/>
      </c>
      <c r="I16" s="120">
        <f>IF(G16="","",G16-TODAY())</f>
        <v/>
      </c>
      <c r="J16" s="247">
        <f>IF(OR(C16="",G16="",E16=""),"",H16/MAX(ROUNDUP(MAX(I16,0)/30,0),1))</f>
        <v/>
      </c>
      <c r="K16" s="122">
        <f>IF(E16="","",IFERROR(MIN(F16/E16,1),0))</f>
        <v/>
      </c>
      <c r="L16" s="55" t="n"/>
      <c r="M16" s="100">
        <f>IF(OR(C16="",G16=""),"",IF($N16="✓","Куплено",IF(OR(G16&lt;Прогноз!$I$6,G16&gt;Прогноз!$J$18),"Вне прогноза",IF(INDEX(Прогноз!$P$6:$P$18,MATCH(G16,Прогноз!$I$6:$I$18,1))&gt;=Настройки!$C$11,"Хватает","Не хватает"))))</f>
        <v/>
      </c>
      <c r="N16" s="123" t="n"/>
      <c r="O16" s="196" t="n"/>
      <c r="P16" s="107" t="n"/>
      <c r="Q16">
        <f>IF(G16="","",DATE(YEAR(G16),MONTH(G16),1))</f>
        <v/>
      </c>
      <c r="R16">
        <f>IF(C16="",0,N(E16))</f>
        <v/>
      </c>
      <c r="S16">
        <f>IF(N16="✓",IF(O16&lt;&gt;"",O16,N(E16)),0)</f>
        <v/>
      </c>
      <c r="T16">
        <f>IF(N16="✓",S16,R16)</f>
        <v/>
      </c>
    </row>
    <row r="17" ht="21" customHeight="1">
      <c r="B17" s="53" t="n">
        <v>11</v>
      </c>
      <c r="C17" s="56" t="n"/>
      <c r="D17" s="55" t="n"/>
      <c r="E17" s="196" t="n"/>
      <c r="F17" s="196" t="n"/>
      <c r="G17" s="213" t="n"/>
      <c r="H17" s="246">
        <f>IF(E17="","",MAX(E17-F17,0))</f>
        <v/>
      </c>
      <c r="I17" s="120">
        <f>IF(G17="","",G17-TODAY())</f>
        <v/>
      </c>
      <c r="J17" s="247">
        <f>IF(OR(C17="",G17="",E17=""),"",H17/MAX(ROUNDUP(MAX(I17,0)/30,0),1))</f>
        <v/>
      </c>
      <c r="K17" s="122">
        <f>IF(E17="","",IFERROR(MIN(F17/E17,1),0))</f>
        <v/>
      </c>
      <c r="L17" s="55" t="n"/>
      <c r="M17" s="100">
        <f>IF(OR(C17="",G17=""),"",IF($N17="✓","Куплено",IF(OR(G17&lt;Прогноз!$I$6,G17&gt;Прогноз!$J$18),"Вне прогноза",IF(INDEX(Прогноз!$P$6:$P$18,MATCH(G17,Прогноз!$I$6:$I$18,1))&gt;=Настройки!$C$11,"Хватает","Не хватает"))))</f>
        <v/>
      </c>
      <c r="N17" s="123" t="n"/>
      <c r="O17" s="196" t="n"/>
      <c r="P17" s="107" t="n"/>
      <c r="Q17">
        <f>IF(G17="","",DATE(YEAR(G17),MONTH(G17),1))</f>
        <v/>
      </c>
      <c r="R17">
        <f>IF(C17="",0,N(E17))</f>
        <v/>
      </c>
      <c r="S17">
        <f>IF(N17="✓",IF(O17&lt;&gt;"",O17,N(E17)),0)</f>
        <v/>
      </c>
      <c r="T17">
        <f>IF(N17="✓",S17,R17)</f>
        <v/>
      </c>
    </row>
    <row r="18" ht="21" customHeight="1">
      <c r="B18" s="53" t="n">
        <v>12</v>
      </c>
      <c r="C18" s="56" t="n"/>
      <c r="D18" s="55" t="n"/>
      <c r="E18" s="196" t="n"/>
      <c r="F18" s="196" t="n"/>
      <c r="G18" s="213" t="n"/>
      <c r="H18" s="246">
        <f>IF(E18="","",MAX(E18-F18,0))</f>
        <v/>
      </c>
      <c r="I18" s="120">
        <f>IF(G18="","",G18-TODAY())</f>
        <v/>
      </c>
      <c r="J18" s="247">
        <f>IF(OR(C18="",G18="",E18=""),"",H18/MAX(ROUNDUP(MAX(I18,0)/30,0),1))</f>
        <v/>
      </c>
      <c r="K18" s="122">
        <f>IF(E18="","",IFERROR(MIN(F18/E18,1),0))</f>
        <v/>
      </c>
      <c r="L18" s="55" t="n"/>
      <c r="M18" s="100">
        <f>IF(OR(C18="",G18=""),"",IF($N18="✓","Куплено",IF(OR(G18&lt;Прогноз!$I$6,G18&gt;Прогноз!$J$18),"Вне прогноза",IF(INDEX(Прогноз!$P$6:$P$18,MATCH(G18,Прогноз!$I$6:$I$18,1))&gt;=Настройки!$C$11,"Хватает","Не хватает"))))</f>
        <v/>
      </c>
      <c r="N18" s="123" t="n"/>
      <c r="O18" s="196" t="n"/>
      <c r="P18" s="107" t="n"/>
      <c r="Q18">
        <f>IF(G18="","",DATE(YEAR(G18),MONTH(G18),1))</f>
        <v/>
      </c>
      <c r="R18">
        <f>IF(C18="",0,N(E18))</f>
        <v/>
      </c>
      <c r="S18">
        <f>IF(N18="✓",IF(O18&lt;&gt;"",O18,N(E18)),0)</f>
        <v/>
      </c>
      <c r="T18">
        <f>IF(N18="✓",S18,R18)</f>
        <v/>
      </c>
    </row>
    <row r="19" ht="22" customHeight="1">
      <c r="B19" s="124" t="inlineStr">
        <is>
          <t>ИТОГО</t>
        </is>
      </c>
      <c r="E19" s="248">
        <f>SUM(E7:E18)</f>
        <v/>
      </c>
      <c r="F19" s="248">
        <f>SUM(F7:F18)</f>
        <v/>
      </c>
      <c r="G19" s="2" t="n"/>
      <c r="H19" s="248">
        <f>SUM(H7:H18)</f>
        <v/>
      </c>
      <c r="I19" s="2" t="n"/>
      <c r="J19" s="248">
        <f>SUM(J7:J18)</f>
        <v/>
      </c>
      <c r="K19" s="2" t="n"/>
      <c r="L19" s="2" t="n"/>
      <c r="M19" s="2" t="n"/>
      <c r="N19" s="2" t="n"/>
      <c r="O19" s="248">
        <f>SUM(S7:S18)</f>
        <v/>
      </c>
      <c r="P19" s="2" t="n"/>
    </row>
    <row r="21">
      <c r="C21" s="50" t="inlineStr">
        <is>
          <t>Покупка живёт только здесь: в журнал её не вносят, иначе она посчитается дважды. «Цена факт» — если заплатила не столько, сколько планировала. Купила — ✓, дата и счёт.</t>
        </is>
      </c>
    </row>
  </sheetData>
  <mergeCells count="4">
    <mergeCell ref="C21:P21"/>
    <mergeCell ref="B19:D19"/>
    <mergeCell ref="B2:P2"/>
    <mergeCell ref="B3:P3"/>
  </mergeCells>
  <conditionalFormatting sqref="P7:P18">
    <cfRule type="expression" priority="1" dxfId="3">
      <formula>AND($N7="✓",$P7="")</formula>
    </cfRule>
  </conditionalFormatting>
  <conditionalFormatting sqref="G7:G18">
    <cfRule type="expression" priority="2" dxfId="3">
      <formula>AND($N7="✓",$G7="")</formula>
    </cfRule>
  </conditionalFormatting>
  <conditionalFormatting sqref="K7:K18">
    <cfRule type="dataBar" priority="3">
      <dataBar>
        <cfvo type="num" val="0"/>
        <cfvo type="num" val="1"/>
        <color rgb="00D9468C"/>
      </dataBar>
    </cfRule>
  </conditionalFormatting>
  <conditionalFormatting sqref="M7:M18">
    <cfRule type="cellIs" priority="4" operator="equal" dxfId="11">
      <formula>"Хватает"</formula>
    </cfRule>
    <cfRule type="cellIs" priority="5" operator="equal" dxfId="11">
      <formula>"Куплено"</formula>
    </cfRule>
    <cfRule type="cellIs" priority="6" operator="equal" dxfId="12">
      <formula>"Не хватает"</formula>
    </cfRule>
  </conditionalFormatting>
  <dataValidations count="4">
    <dataValidation sqref="P7:P18" showDropDown="0" showInputMessage="0" showErrorMessage="0" allowBlank="1" type="list">
      <formula1>Счета_список</formula1>
    </dataValidation>
    <dataValidation sqref="D7:D18" showDropDown="0" showInputMessage="0" showErrorMessage="0" allowBlank="1" type="list">
      <formula1>Расходы_список</formula1>
    </dataValidation>
    <dataValidation sqref="L7:L18" showDropDown="0" showInputMessage="0" showErrorMessage="0" allowBlank="1" type="list">
      <formula1>Настройки!$R$6:$R$8</formula1>
    </dataValidation>
    <dataValidation sqref="N7:N18" showDropDown="0" showInputMessage="0" showErrorMessage="0" allowBlank="1" type="list">
      <formula1>"✓"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E9F6E"/>
    <outlinePr summaryBelow="1" summaryRight="1"/>
    <pageSetUpPr/>
  </sheetPr>
  <dimension ref="B2:Z5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2.5" customWidth="1" min="8" max="8"/>
    <col width="6" customWidth="1" min="9" max="9"/>
    <col width="13" customWidth="1" min="10" max="10"/>
    <col width="2.5" customWidth="1" min="11" max="11"/>
    <col hidden="1" width="13" customWidth="1" min="26" max="26"/>
  </cols>
  <sheetData>
    <row r="1" ht="6" customHeight="1"/>
    <row r="2" ht="34" customHeight="1">
      <c r="B2" s="1" t="inlineStr">
        <is>
          <t>Месяц</t>
        </is>
      </c>
    </row>
    <row r="3" ht="20" customHeight="1">
      <c r="B3" s="3" t="inlineStr">
        <is>
          <t>План и факт по категориям за любой месяц учётного года</t>
        </is>
      </c>
    </row>
    <row r="4">
      <c r="B4" s="17" t="inlineStr">
        <is>
          <t>Месяц</t>
        </is>
      </c>
      <c r="C4" s="126" t="inlineStr">
        <is>
          <t>Октябрь 2026</t>
        </is>
      </c>
      <c r="D4" s="232" t="n"/>
      <c r="E4" s="24">
        <f>IFERROR(MATCH($C$4,Настройки!$X$6:$X$17,0)-1,0)</f>
        <v/>
      </c>
    </row>
    <row r="5">
      <c r="B5" s="17" t="inlineStr">
        <is>
          <t>Период: с / по</t>
        </is>
      </c>
      <c r="C5" s="249">
        <f>DATE(Настройки!$C$8,Настройки!$D$9+$E$4,1)</f>
        <v/>
      </c>
      <c r="D5" s="249">
        <f>DATE(Настройки!$C$8,Настройки!$D$9+$E$4+1,1)-1</f>
        <v/>
      </c>
    </row>
    <row r="7" ht="18" customHeight="1">
      <c r="B7" s="128" t="inlineStr">
        <is>
          <t>Доход план</t>
        </is>
      </c>
      <c r="C7" s="129" t="inlineStr">
        <is>
          <t>Доход факт</t>
        </is>
      </c>
      <c r="D7" s="130" t="inlineStr">
        <is>
          <t>Расход план</t>
        </is>
      </c>
      <c r="E7" s="131" t="inlineStr">
        <is>
          <t>Расход факт</t>
        </is>
      </c>
      <c r="F7" s="132" t="inlineStr">
        <is>
          <t>Баланс факт</t>
        </is>
      </c>
      <c r="G7" s="133" t="inlineStr">
        <is>
          <t>Лимиты</t>
        </is>
      </c>
    </row>
    <row r="8" ht="28" customHeight="1">
      <c r="B8" s="250">
        <f>SUMIFS(Журнал!$Q$10:$Q$1509,Журнал!$D$10:$D$1509,"Доход",Журнал!$R$10:$R$1509,$C$5)+SUMIFS(Постоянные!$AB$8:$AB$367,Постоянные!$Z$8:$Z$367,"Доход",Постоянные!$AD$8:$AD$367,$C$5)</f>
        <v/>
      </c>
      <c r="C8" s="251">
        <f>SUMIFS(Журнал!$P$10:$P$1509,Журнал!$D$10:$D$1509,"Доход",Журнал!$R$10:$R$1509,$C$5)+SUMIFS(Постоянные!$AC$8:$AC$367,Постоянные!$Z$8:$Z$367,"Доход",Постоянные!$AD$8:$AD$367,$C$5)+SUMIFS(Операции!$Q$10:$Q$1009,Операции!$D$10:$D$1009,"Доход",Операции!$P$10:$P$1009,$C$5)</f>
        <v/>
      </c>
      <c r="D8" s="252">
        <f>SUMIFS(Журнал!$Q$10:$Q$1509,Журнал!$D$10:$D$1509,"&lt;&gt;Доход",Журнал!$R$10:$R$1509,$C$5)+SUMIFS(Постоянные!$AB$8:$AB$367,Постоянные!$Z$8:$Z$367,"Расход",Постоянные!$AD$8:$AD$367,$C$5)+SUMIFS(Покупки!$R$7:$R$18,Покупки!$Q$7:$Q$18,$C$5)</f>
        <v/>
      </c>
      <c r="E8" s="253">
        <f>SUMIFS(Журнал!$P$10:$P$1509,Журнал!$D$10:$D$1509,"&lt;&gt;Доход",Журнал!$R$10:$R$1509,$C$5)+SUMIFS(Постоянные!$AC$8:$AC$367,Постоянные!$Z$8:$Z$367,"Расход",Постоянные!$AD$8:$AD$367,$C$5)+SUMIFS(Покупки!$S$7:$S$18,Покупки!$Q$7:$Q$18,$C$5)+SUMIFS(Операции!$Q$10:$Q$1009,Операции!$D$10:$D$1009,"Расход",Операции!$P$10:$P$1009,$C$5)</f>
        <v/>
      </c>
      <c r="F8" s="254">
        <f>C8-E8</f>
        <v/>
      </c>
      <c r="G8" s="139">
        <f>IFERROR(E42/C42,0)</f>
        <v/>
      </c>
    </row>
    <row r="11" ht="30" customHeight="1">
      <c r="B11" s="13" t="inlineStr">
        <is>
          <t>Категория</t>
        </is>
      </c>
      <c r="C11" s="13" t="inlineStr">
        <is>
          <t>Лимит</t>
        </is>
      </c>
      <c r="D11" s="13" t="inlineStr">
        <is>
          <t>План</t>
        </is>
      </c>
      <c r="E11" s="13" t="inlineStr">
        <is>
          <t>Факт</t>
        </is>
      </c>
      <c r="F11" s="13" t="inlineStr">
        <is>
          <t>Остаток лимита</t>
        </is>
      </c>
      <c r="G11" s="13" t="inlineStr">
        <is>
          <t>% лимита</t>
        </is>
      </c>
      <c r="I11" s="140" t="inlineStr">
        <is>
          <t>День</t>
        </is>
      </c>
      <c r="J11" s="140" t="inlineStr">
        <is>
          <t>Потрачено</t>
        </is>
      </c>
    </row>
    <row r="12" ht="19" customHeight="1">
      <c r="B12" s="141">
        <f>IF(Настройки!$J$6="","",Настройки!$J$6)</f>
        <v/>
      </c>
      <c r="C12" s="196" t="n"/>
      <c r="D12" s="255">
        <f>IF($B12="",0,SUMIFS(Журнал!$Q$10:$Q$1509,Журнал!$D$10:$D$1509,"&lt;&gt;Доход",Журнал!$E$10:$E$1509,$B12,Журнал!$R$10:$R$1509,$C$5)+SUMIFS(Постоянные!$AB$8:$AB$367,Постоянные!$Z$8:$Z$367,"Расход",Постоянные!$AA$8:$AA$367,$B12,Постоянные!$AD$8:$AD$367,$C$5)+SUMIFS(Покупки!$R$7:$R$18,Покупки!$D$7:$D$18,$B12,Покупки!$Q$7:$Q$18,$C$5))</f>
        <v/>
      </c>
      <c r="E12" s="246">
        <f>IF($B12="",0,SUMIFS(Журнал!$P$10:$P$1509,Журнал!$D$10:$D$1509,"&lt;&gt;Доход",Журнал!$E$10:$E$1509,$B12,Журнал!$R$10:$R$1509,$C$5)+SUMIFS(Постоянные!$AC$8:$AC$367,Постоянные!$Z$8:$Z$367,"Расход",Постоянные!$AA$8:$AA$367,$B12,Постоянные!$AD$8:$AD$367,$C$5)+SUMIFS(Покупки!$S$7:$S$18,Покупки!$D$7:$D$18,$B12,Покупки!$Q$7:$Q$18,$C$5)+SUMIFS(Операции!$Q$10:$Q$1009,Операции!$D$10:$D$1009,"Расход",Операции!$E$10:$E$1009,$B12,Операции!$P$10:$P$1009,$C$5))</f>
        <v/>
      </c>
      <c r="F12" s="256">
        <f>IF($C12="","",$C12-$E12)</f>
        <v/>
      </c>
      <c r="G12" s="144">
        <f>IFERROR($E12/$C12,0)</f>
        <v/>
      </c>
      <c r="I12" s="53" t="n">
        <v>1</v>
      </c>
      <c r="J12" s="257">
        <f>IF(DAY(DATE(YEAR($C$5),MONTH($C$5),$I12))&lt;&gt;$I12,"",SUMIFS(Журнал!$P$10:$P$1509,Журнал!$D$10:$D$1509,"&lt;&gt;Доход",Журнал!$C$10:$C$1509,DATE(YEAR($C$5),MONTH($C$5),$I12))+SUMIFS(Постоянные!$AC$8:$AC$367,Постоянные!$Z$8:$Z$367,"Расход",Постоянные!$Y$8:$Y$367,DATE(YEAR($C$5),MONTH($C$5),$I12))+SUMIFS(Покупки!$S$7:$S$18,Покупки!$G$7:$G$18,DATE(YEAR($C$5),MONTH($C$5),$I12))+SUMIFS(Операции!$Q$10:$Q$1009,Операции!$D$10:$D$1009,"Расход",Операции!$C$10:$C$1009,DATE(YEAR($C$5),MONTH($C$5),$I12)))</f>
        <v/>
      </c>
      <c r="Z12">
        <f>IF($B12="",-1,N($E12)-ROW()/1000000)</f>
        <v/>
      </c>
    </row>
    <row r="13" ht="19" customHeight="1">
      <c r="B13" s="141">
        <f>IF(Настройки!$J$7="","",Настройки!$J$7)</f>
        <v/>
      </c>
      <c r="C13" s="196" t="n"/>
      <c r="D13" s="255">
        <f>IF($B13="",0,SUMIFS(Журнал!$Q$10:$Q$1509,Журнал!$D$10:$D$1509,"&lt;&gt;Доход",Журнал!$E$10:$E$1509,$B13,Журнал!$R$10:$R$1509,$C$5)+SUMIFS(Постоянные!$AB$8:$AB$367,Постоянные!$Z$8:$Z$367,"Расход",Постоянные!$AA$8:$AA$367,$B13,Постоянные!$AD$8:$AD$367,$C$5)+SUMIFS(Покупки!$R$7:$R$18,Покупки!$D$7:$D$18,$B13,Покупки!$Q$7:$Q$18,$C$5))</f>
        <v/>
      </c>
      <c r="E13" s="246">
        <f>IF($B13="",0,SUMIFS(Журнал!$P$10:$P$1509,Журнал!$D$10:$D$1509,"&lt;&gt;Доход",Журнал!$E$10:$E$1509,$B13,Журнал!$R$10:$R$1509,$C$5)+SUMIFS(Постоянные!$AC$8:$AC$367,Постоянные!$Z$8:$Z$367,"Расход",Постоянные!$AA$8:$AA$367,$B13,Постоянные!$AD$8:$AD$367,$C$5)+SUMIFS(Покупки!$S$7:$S$18,Покупки!$D$7:$D$18,$B13,Покупки!$Q$7:$Q$18,$C$5)+SUMIFS(Операции!$Q$10:$Q$1009,Операции!$D$10:$D$1009,"Расход",Операции!$E$10:$E$1009,$B13,Операции!$P$10:$P$1009,$C$5))</f>
        <v/>
      </c>
      <c r="F13" s="256">
        <f>IF($C13="","",$C13-$E13)</f>
        <v/>
      </c>
      <c r="G13" s="144">
        <f>IFERROR($E13/$C13,0)</f>
        <v/>
      </c>
      <c r="I13" s="53" t="n">
        <v>2</v>
      </c>
      <c r="J13" s="257">
        <f>IF(DAY(DATE(YEAR($C$5),MONTH($C$5),$I13))&lt;&gt;$I13,"",SUMIFS(Журнал!$P$10:$P$1509,Журнал!$D$10:$D$1509,"&lt;&gt;Доход",Журнал!$C$10:$C$1509,DATE(YEAR($C$5),MONTH($C$5),$I13))+SUMIFS(Постоянные!$AC$8:$AC$367,Постоянные!$Z$8:$Z$367,"Расход",Постоянные!$Y$8:$Y$367,DATE(YEAR($C$5),MONTH($C$5),$I13))+SUMIFS(Покупки!$S$7:$S$18,Покупки!$G$7:$G$18,DATE(YEAR($C$5),MONTH($C$5),$I13))+SUMIFS(Операции!$Q$10:$Q$1009,Операции!$D$10:$D$1009,"Расход",Операции!$C$10:$C$1009,DATE(YEAR($C$5),MONTH($C$5),$I13)))</f>
        <v/>
      </c>
      <c r="Z13">
        <f>IF($B13="",-1,N($E13)-ROW()/1000000)</f>
        <v/>
      </c>
    </row>
    <row r="14" ht="19" customHeight="1">
      <c r="B14" s="141">
        <f>IF(Настройки!$J$8="","",Настройки!$J$8)</f>
        <v/>
      </c>
      <c r="C14" s="196" t="n"/>
      <c r="D14" s="255">
        <f>IF($B14="",0,SUMIFS(Журнал!$Q$10:$Q$1509,Журнал!$D$10:$D$1509,"&lt;&gt;Доход",Журнал!$E$10:$E$1509,$B14,Журнал!$R$10:$R$1509,$C$5)+SUMIFS(Постоянные!$AB$8:$AB$367,Постоянные!$Z$8:$Z$367,"Расход",Постоянные!$AA$8:$AA$367,$B14,Постоянные!$AD$8:$AD$367,$C$5)+SUMIFS(Покупки!$R$7:$R$18,Покупки!$D$7:$D$18,$B14,Покупки!$Q$7:$Q$18,$C$5))</f>
        <v/>
      </c>
      <c r="E14" s="246">
        <f>IF($B14="",0,SUMIFS(Журнал!$P$10:$P$1509,Журнал!$D$10:$D$1509,"&lt;&gt;Доход",Журнал!$E$10:$E$1509,$B14,Журнал!$R$10:$R$1509,$C$5)+SUMIFS(Постоянные!$AC$8:$AC$367,Постоянные!$Z$8:$Z$367,"Расход",Постоянные!$AA$8:$AA$367,$B14,Постоянные!$AD$8:$AD$367,$C$5)+SUMIFS(Покупки!$S$7:$S$18,Покупки!$D$7:$D$18,$B14,Покупки!$Q$7:$Q$18,$C$5)+SUMIFS(Операции!$Q$10:$Q$1009,Операции!$D$10:$D$1009,"Расход",Операции!$E$10:$E$1009,$B14,Операции!$P$10:$P$1009,$C$5))</f>
        <v/>
      </c>
      <c r="F14" s="256">
        <f>IF($C14="","",$C14-$E14)</f>
        <v/>
      </c>
      <c r="G14" s="144">
        <f>IFERROR($E14/$C14,0)</f>
        <v/>
      </c>
      <c r="I14" s="53" t="n">
        <v>3</v>
      </c>
      <c r="J14" s="257">
        <f>IF(DAY(DATE(YEAR($C$5),MONTH($C$5),$I14))&lt;&gt;$I14,"",SUMIFS(Журнал!$P$10:$P$1509,Журнал!$D$10:$D$1509,"&lt;&gt;Доход",Журнал!$C$10:$C$1509,DATE(YEAR($C$5),MONTH($C$5),$I14))+SUMIFS(Постоянные!$AC$8:$AC$367,Постоянные!$Z$8:$Z$367,"Расход",Постоянные!$Y$8:$Y$367,DATE(YEAR($C$5),MONTH($C$5),$I14))+SUMIFS(Покупки!$S$7:$S$18,Покупки!$G$7:$G$18,DATE(YEAR($C$5),MONTH($C$5),$I14))+SUMIFS(Операции!$Q$10:$Q$1009,Операции!$D$10:$D$1009,"Расход",Операции!$C$10:$C$1009,DATE(YEAR($C$5),MONTH($C$5),$I14)))</f>
        <v/>
      </c>
      <c r="Z14">
        <f>IF($B14="",-1,N($E14)-ROW()/1000000)</f>
        <v/>
      </c>
    </row>
    <row r="15" ht="19" customHeight="1">
      <c r="B15" s="141">
        <f>IF(Настройки!$J$9="","",Настройки!$J$9)</f>
        <v/>
      </c>
      <c r="C15" s="196" t="n"/>
      <c r="D15" s="255">
        <f>IF($B15="",0,SUMIFS(Журнал!$Q$10:$Q$1509,Журнал!$D$10:$D$1509,"&lt;&gt;Доход",Журнал!$E$10:$E$1509,$B15,Журнал!$R$10:$R$1509,$C$5)+SUMIFS(Постоянные!$AB$8:$AB$367,Постоянные!$Z$8:$Z$367,"Расход",Постоянные!$AA$8:$AA$367,$B15,Постоянные!$AD$8:$AD$367,$C$5)+SUMIFS(Покупки!$R$7:$R$18,Покупки!$D$7:$D$18,$B15,Покупки!$Q$7:$Q$18,$C$5))</f>
        <v/>
      </c>
      <c r="E15" s="246">
        <f>IF($B15="",0,SUMIFS(Журнал!$P$10:$P$1509,Журнал!$D$10:$D$1509,"&lt;&gt;Доход",Журнал!$E$10:$E$1509,$B15,Журнал!$R$10:$R$1509,$C$5)+SUMIFS(Постоянные!$AC$8:$AC$367,Постоянные!$Z$8:$Z$367,"Расход",Постоянные!$AA$8:$AA$367,$B15,Постоянные!$AD$8:$AD$367,$C$5)+SUMIFS(Покупки!$S$7:$S$18,Покупки!$D$7:$D$18,$B15,Покупки!$Q$7:$Q$18,$C$5)+SUMIFS(Операции!$Q$10:$Q$1009,Операции!$D$10:$D$1009,"Расход",Операции!$E$10:$E$1009,$B15,Операции!$P$10:$P$1009,$C$5))</f>
        <v/>
      </c>
      <c r="F15" s="256">
        <f>IF($C15="","",$C15-$E15)</f>
        <v/>
      </c>
      <c r="G15" s="144">
        <f>IFERROR($E15/$C15,0)</f>
        <v/>
      </c>
      <c r="I15" s="53" t="n">
        <v>4</v>
      </c>
      <c r="J15" s="257">
        <f>IF(DAY(DATE(YEAR($C$5),MONTH($C$5),$I15))&lt;&gt;$I15,"",SUMIFS(Журнал!$P$10:$P$1509,Журнал!$D$10:$D$1509,"&lt;&gt;Доход",Журнал!$C$10:$C$1509,DATE(YEAR($C$5),MONTH($C$5),$I15))+SUMIFS(Постоянные!$AC$8:$AC$367,Постоянные!$Z$8:$Z$367,"Расход",Постоянные!$Y$8:$Y$367,DATE(YEAR($C$5),MONTH($C$5),$I15))+SUMIFS(Покупки!$S$7:$S$18,Покупки!$G$7:$G$18,DATE(YEAR($C$5),MONTH($C$5),$I15))+SUMIFS(Операции!$Q$10:$Q$1009,Операции!$D$10:$D$1009,"Расход",Операции!$C$10:$C$1009,DATE(YEAR($C$5),MONTH($C$5),$I15)))</f>
        <v/>
      </c>
      <c r="Z15">
        <f>IF($B15="",-1,N($E15)-ROW()/1000000)</f>
        <v/>
      </c>
    </row>
    <row r="16" ht="19" customHeight="1">
      <c r="B16" s="141">
        <f>IF(Настройки!$J$10="","",Настройки!$J$10)</f>
        <v/>
      </c>
      <c r="C16" s="196" t="n"/>
      <c r="D16" s="255">
        <f>IF($B16="",0,SUMIFS(Журнал!$Q$10:$Q$1509,Журнал!$D$10:$D$1509,"&lt;&gt;Доход",Журнал!$E$10:$E$1509,$B16,Журнал!$R$10:$R$1509,$C$5)+SUMIFS(Постоянные!$AB$8:$AB$367,Постоянные!$Z$8:$Z$367,"Расход",Постоянные!$AA$8:$AA$367,$B16,Постоянные!$AD$8:$AD$367,$C$5)+SUMIFS(Покупки!$R$7:$R$18,Покупки!$D$7:$D$18,$B16,Покупки!$Q$7:$Q$18,$C$5))</f>
        <v/>
      </c>
      <c r="E16" s="246">
        <f>IF($B16="",0,SUMIFS(Журнал!$P$10:$P$1509,Журнал!$D$10:$D$1509,"&lt;&gt;Доход",Журнал!$E$10:$E$1509,$B16,Журнал!$R$10:$R$1509,$C$5)+SUMIFS(Постоянные!$AC$8:$AC$367,Постоянные!$Z$8:$Z$367,"Расход",Постоянные!$AA$8:$AA$367,$B16,Постоянные!$AD$8:$AD$367,$C$5)+SUMIFS(Покупки!$S$7:$S$18,Покупки!$D$7:$D$18,$B16,Покупки!$Q$7:$Q$18,$C$5)+SUMIFS(Операции!$Q$10:$Q$1009,Операции!$D$10:$D$1009,"Расход",Операции!$E$10:$E$1009,$B16,Операции!$P$10:$P$1009,$C$5))</f>
        <v/>
      </c>
      <c r="F16" s="256">
        <f>IF($C16="","",$C16-$E16)</f>
        <v/>
      </c>
      <c r="G16" s="144">
        <f>IFERROR($E16/$C16,0)</f>
        <v/>
      </c>
      <c r="I16" s="53" t="n">
        <v>5</v>
      </c>
      <c r="J16" s="257">
        <f>IF(DAY(DATE(YEAR($C$5),MONTH($C$5),$I16))&lt;&gt;$I16,"",SUMIFS(Журнал!$P$10:$P$1509,Журнал!$D$10:$D$1509,"&lt;&gt;Доход",Журнал!$C$10:$C$1509,DATE(YEAR($C$5),MONTH($C$5),$I16))+SUMIFS(Постоянные!$AC$8:$AC$367,Постоянные!$Z$8:$Z$367,"Расход",Постоянные!$Y$8:$Y$367,DATE(YEAR($C$5),MONTH($C$5),$I16))+SUMIFS(Покупки!$S$7:$S$18,Покупки!$G$7:$G$18,DATE(YEAR($C$5),MONTH($C$5),$I16))+SUMIFS(Операции!$Q$10:$Q$1009,Операции!$D$10:$D$1009,"Расход",Операции!$C$10:$C$1009,DATE(YEAR($C$5),MONTH($C$5),$I16)))</f>
        <v/>
      </c>
      <c r="Z16">
        <f>IF($B16="",-1,N($E16)-ROW()/1000000)</f>
        <v/>
      </c>
    </row>
    <row r="17" ht="19" customHeight="1">
      <c r="B17" s="141">
        <f>IF(Настройки!$J$11="","",Настройки!$J$11)</f>
        <v/>
      </c>
      <c r="C17" s="196" t="n"/>
      <c r="D17" s="255">
        <f>IF($B17="",0,SUMIFS(Журнал!$Q$10:$Q$1509,Журнал!$D$10:$D$1509,"&lt;&gt;Доход",Журнал!$E$10:$E$1509,$B17,Журнал!$R$10:$R$1509,$C$5)+SUMIFS(Постоянные!$AB$8:$AB$367,Постоянные!$Z$8:$Z$367,"Расход",Постоянные!$AA$8:$AA$367,$B17,Постоянные!$AD$8:$AD$367,$C$5)+SUMIFS(Покупки!$R$7:$R$18,Покупки!$D$7:$D$18,$B17,Покупки!$Q$7:$Q$18,$C$5))</f>
        <v/>
      </c>
      <c r="E17" s="246">
        <f>IF($B17="",0,SUMIFS(Журнал!$P$10:$P$1509,Журнал!$D$10:$D$1509,"&lt;&gt;Доход",Журнал!$E$10:$E$1509,$B17,Журнал!$R$10:$R$1509,$C$5)+SUMIFS(Постоянные!$AC$8:$AC$367,Постоянные!$Z$8:$Z$367,"Расход",Постоянные!$AA$8:$AA$367,$B17,Постоянные!$AD$8:$AD$367,$C$5)+SUMIFS(Покупки!$S$7:$S$18,Покупки!$D$7:$D$18,$B17,Покупки!$Q$7:$Q$18,$C$5)+SUMIFS(Операции!$Q$10:$Q$1009,Операции!$D$10:$D$1009,"Расход",Операции!$E$10:$E$1009,$B17,Операции!$P$10:$P$1009,$C$5))</f>
        <v/>
      </c>
      <c r="F17" s="256">
        <f>IF($C17="","",$C17-$E17)</f>
        <v/>
      </c>
      <c r="G17" s="144">
        <f>IFERROR($E17/$C17,0)</f>
        <v/>
      </c>
      <c r="I17" s="53" t="n">
        <v>6</v>
      </c>
      <c r="J17" s="257">
        <f>IF(DAY(DATE(YEAR($C$5),MONTH($C$5),$I17))&lt;&gt;$I17,"",SUMIFS(Журнал!$P$10:$P$1509,Журнал!$D$10:$D$1509,"&lt;&gt;Доход",Журнал!$C$10:$C$1509,DATE(YEAR($C$5),MONTH($C$5),$I17))+SUMIFS(Постоянные!$AC$8:$AC$367,Постоянные!$Z$8:$Z$367,"Расход",Постоянные!$Y$8:$Y$367,DATE(YEAR($C$5),MONTH($C$5),$I17))+SUMIFS(Покупки!$S$7:$S$18,Покупки!$G$7:$G$18,DATE(YEAR($C$5),MONTH($C$5),$I17))+SUMIFS(Операции!$Q$10:$Q$1009,Операции!$D$10:$D$1009,"Расход",Операции!$C$10:$C$1009,DATE(YEAR($C$5),MONTH($C$5),$I17)))</f>
        <v/>
      </c>
      <c r="Z17">
        <f>IF($B17="",-1,N($E17)-ROW()/1000000)</f>
        <v/>
      </c>
    </row>
    <row r="18" ht="19" customHeight="1">
      <c r="B18" s="141">
        <f>IF(Настройки!$J$12="","",Настройки!$J$12)</f>
        <v/>
      </c>
      <c r="C18" s="196" t="n"/>
      <c r="D18" s="255">
        <f>IF($B18="",0,SUMIFS(Журнал!$Q$10:$Q$1509,Журнал!$D$10:$D$1509,"&lt;&gt;Доход",Журнал!$E$10:$E$1509,$B18,Журнал!$R$10:$R$1509,$C$5)+SUMIFS(Постоянные!$AB$8:$AB$367,Постоянные!$Z$8:$Z$367,"Расход",Постоянные!$AA$8:$AA$367,$B18,Постоянные!$AD$8:$AD$367,$C$5)+SUMIFS(Покупки!$R$7:$R$18,Покупки!$D$7:$D$18,$B18,Покупки!$Q$7:$Q$18,$C$5))</f>
        <v/>
      </c>
      <c r="E18" s="246">
        <f>IF($B18="",0,SUMIFS(Журнал!$P$10:$P$1509,Журнал!$D$10:$D$1509,"&lt;&gt;Доход",Журнал!$E$10:$E$1509,$B18,Журнал!$R$10:$R$1509,$C$5)+SUMIFS(Постоянные!$AC$8:$AC$367,Постоянные!$Z$8:$Z$367,"Расход",Постоянные!$AA$8:$AA$367,$B18,Постоянные!$AD$8:$AD$367,$C$5)+SUMIFS(Покупки!$S$7:$S$18,Покупки!$D$7:$D$18,$B18,Покупки!$Q$7:$Q$18,$C$5)+SUMIFS(Операции!$Q$10:$Q$1009,Операции!$D$10:$D$1009,"Расход",Операции!$E$10:$E$1009,$B18,Операции!$P$10:$P$1009,$C$5))</f>
        <v/>
      </c>
      <c r="F18" s="256">
        <f>IF($C18="","",$C18-$E18)</f>
        <v/>
      </c>
      <c r="G18" s="144">
        <f>IFERROR($E18/$C18,0)</f>
        <v/>
      </c>
      <c r="I18" s="53" t="n">
        <v>7</v>
      </c>
      <c r="J18" s="257">
        <f>IF(DAY(DATE(YEAR($C$5),MONTH($C$5),$I18))&lt;&gt;$I18,"",SUMIFS(Журнал!$P$10:$P$1509,Журнал!$D$10:$D$1509,"&lt;&gt;Доход",Журнал!$C$10:$C$1509,DATE(YEAR($C$5),MONTH($C$5),$I18))+SUMIFS(Постоянные!$AC$8:$AC$367,Постоянные!$Z$8:$Z$367,"Расход",Постоянные!$Y$8:$Y$367,DATE(YEAR($C$5),MONTH($C$5),$I18))+SUMIFS(Покупки!$S$7:$S$18,Покупки!$G$7:$G$18,DATE(YEAR($C$5),MONTH($C$5),$I18))+SUMIFS(Операции!$Q$10:$Q$1009,Операции!$D$10:$D$1009,"Расход",Операции!$C$10:$C$1009,DATE(YEAR($C$5),MONTH($C$5),$I18)))</f>
        <v/>
      </c>
      <c r="Z18">
        <f>IF($B18="",-1,N($E18)-ROW()/1000000)</f>
        <v/>
      </c>
    </row>
    <row r="19" ht="19" customHeight="1">
      <c r="B19" s="141">
        <f>IF(Настройки!$J$13="","",Настройки!$J$13)</f>
        <v/>
      </c>
      <c r="C19" s="196" t="n"/>
      <c r="D19" s="255">
        <f>IF($B19="",0,SUMIFS(Журнал!$Q$10:$Q$1509,Журнал!$D$10:$D$1509,"&lt;&gt;Доход",Журнал!$E$10:$E$1509,$B19,Журнал!$R$10:$R$1509,$C$5)+SUMIFS(Постоянные!$AB$8:$AB$367,Постоянные!$Z$8:$Z$367,"Расход",Постоянные!$AA$8:$AA$367,$B19,Постоянные!$AD$8:$AD$367,$C$5)+SUMIFS(Покупки!$R$7:$R$18,Покупки!$D$7:$D$18,$B19,Покупки!$Q$7:$Q$18,$C$5))</f>
        <v/>
      </c>
      <c r="E19" s="246">
        <f>IF($B19="",0,SUMIFS(Журнал!$P$10:$P$1509,Журнал!$D$10:$D$1509,"&lt;&gt;Доход",Журнал!$E$10:$E$1509,$B19,Журнал!$R$10:$R$1509,$C$5)+SUMIFS(Постоянные!$AC$8:$AC$367,Постоянные!$Z$8:$Z$367,"Расход",Постоянные!$AA$8:$AA$367,$B19,Постоянные!$AD$8:$AD$367,$C$5)+SUMIFS(Покупки!$S$7:$S$18,Покупки!$D$7:$D$18,$B19,Покупки!$Q$7:$Q$18,$C$5)+SUMIFS(Операции!$Q$10:$Q$1009,Операции!$D$10:$D$1009,"Расход",Операции!$E$10:$E$1009,$B19,Операции!$P$10:$P$1009,$C$5))</f>
        <v/>
      </c>
      <c r="F19" s="256">
        <f>IF($C19="","",$C19-$E19)</f>
        <v/>
      </c>
      <c r="G19" s="144">
        <f>IFERROR($E19/$C19,0)</f>
        <v/>
      </c>
      <c r="I19" s="53" t="n">
        <v>8</v>
      </c>
      <c r="J19" s="257">
        <f>IF(DAY(DATE(YEAR($C$5),MONTH($C$5),$I19))&lt;&gt;$I19,"",SUMIFS(Журнал!$P$10:$P$1509,Журнал!$D$10:$D$1509,"&lt;&gt;Доход",Журнал!$C$10:$C$1509,DATE(YEAR($C$5),MONTH($C$5),$I19))+SUMIFS(Постоянные!$AC$8:$AC$367,Постоянные!$Z$8:$Z$367,"Расход",Постоянные!$Y$8:$Y$367,DATE(YEAR($C$5),MONTH($C$5),$I19))+SUMIFS(Покупки!$S$7:$S$18,Покупки!$G$7:$G$18,DATE(YEAR($C$5),MONTH($C$5),$I19))+SUMIFS(Операции!$Q$10:$Q$1009,Операции!$D$10:$D$1009,"Расход",Операции!$C$10:$C$1009,DATE(YEAR($C$5),MONTH($C$5),$I19)))</f>
        <v/>
      </c>
      <c r="Z19">
        <f>IF($B19="",-1,N($E19)-ROW()/1000000)</f>
        <v/>
      </c>
    </row>
    <row r="20" ht="19" customHeight="1">
      <c r="B20" s="141">
        <f>IF(Настройки!$J$14="","",Настройки!$J$14)</f>
        <v/>
      </c>
      <c r="C20" s="196" t="n"/>
      <c r="D20" s="255">
        <f>IF($B20="",0,SUMIFS(Журнал!$Q$10:$Q$1509,Журнал!$D$10:$D$1509,"&lt;&gt;Доход",Журнал!$E$10:$E$1509,$B20,Журнал!$R$10:$R$1509,$C$5)+SUMIFS(Постоянные!$AB$8:$AB$367,Постоянные!$Z$8:$Z$367,"Расход",Постоянные!$AA$8:$AA$367,$B20,Постоянные!$AD$8:$AD$367,$C$5)+SUMIFS(Покупки!$R$7:$R$18,Покупки!$D$7:$D$18,$B20,Покупки!$Q$7:$Q$18,$C$5))</f>
        <v/>
      </c>
      <c r="E20" s="246">
        <f>IF($B20="",0,SUMIFS(Журнал!$P$10:$P$1509,Журнал!$D$10:$D$1509,"&lt;&gt;Доход",Журнал!$E$10:$E$1509,$B20,Журнал!$R$10:$R$1509,$C$5)+SUMIFS(Постоянные!$AC$8:$AC$367,Постоянные!$Z$8:$Z$367,"Расход",Постоянные!$AA$8:$AA$367,$B20,Постоянные!$AD$8:$AD$367,$C$5)+SUMIFS(Покупки!$S$7:$S$18,Покупки!$D$7:$D$18,$B20,Покупки!$Q$7:$Q$18,$C$5)+SUMIFS(Операции!$Q$10:$Q$1009,Операции!$D$10:$D$1009,"Расход",Операции!$E$10:$E$1009,$B20,Операции!$P$10:$P$1009,$C$5))</f>
        <v/>
      </c>
      <c r="F20" s="256">
        <f>IF($C20="","",$C20-$E20)</f>
        <v/>
      </c>
      <c r="G20" s="144">
        <f>IFERROR($E20/$C20,0)</f>
        <v/>
      </c>
      <c r="I20" s="53" t="n">
        <v>9</v>
      </c>
      <c r="J20" s="257">
        <f>IF(DAY(DATE(YEAR($C$5),MONTH($C$5),$I20))&lt;&gt;$I20,"",SUMIFS(Журнал!$P$10:$P$1509,Журнал!$D$10:$D$1509,"&lt;&gt;Доход",Журнал!$C$10:$C$1509,DATE(YEAR($C$5),MONTH($C$5),$I20))+SUMIFS(Постоянные!$AC$8:$AC$367,Постоянные!$Z$8:$Z$367,"Расход",Постоянные!$Y$8:$Y$367,DATE(YEAR($C$5),MONTH($C$5),$I20))+SUMIFS(Покупки!$S$7:$S$18,Покупки!$G$7:$G$18,DATE(YEAR($C$5),MONTH($C$5),$I20))+SUMIFS(Операции!$Q$10:$Q$1009,Операции!$D$10:$D$1009,"Расход",Операции!$C$10:$C$1009,DATE(YEAR($C$5),MONTH($C$5),$I20)))</f>
        <v/>
      </c>
      <c r="Z20">
        <f>IF($B20="",-1,N($E20)-ROW()/1000000)</f>
        <v/>
      </c>
    </row>
    <row r="21" ht="19" customHeight="1">
      <c r="B21" s="141">
        <f>IF(Настройки!$J$15="","",Настройки!$J$15)</f>
        <v/>
      </c>
      <c r="C21" s="196" t="n"/>
      <c r="D21" s="255">
        <f>IF($B21="",0,SUMIFS(Журнал!$Q$10:$Q$1509,Журнал!$D$10:$D$1509,"&lt;&gt;Доход",Журнал!$E$10:$E$1509,$B21,Журнал!$R$10:$R$1509,$C$5)+SUMIFS(Постоянные!$AB$8:$AB$367,Постоянные!$Z$8:$Z$367,"Расход",Постоянные!$AA$8:$AA$367,$B21,Постоянные!$AD$8:$AD$367,$C$5)+SUMIFS(Покупки!$R$7:$R$18,Покупки!$D$7:$D$18,$B21,Покупки!$Q$7:$Q$18,$C$5))</f>
        <v/>
      </c>
      <c r="E21" s="246">
        <f>IF($B21="",0,SUMIFS(Журнал!$P$10:$P$1509,Журнал!$D$10:$D$1509,"&lt;&gt;Доход",Журнал!$E$10:$E$1509,$B21,Журнал!$R$10:$R$1509,$C$5)+SUMIFS(Постоянные!$AC$8:$AC$367,Постоянные!$Z$8:$Z$367,"Расход",Постоянные!$AA$8:$AA$367,$B21,Постоянные!$AD$8:$AD$367,$C$5)+SUMIFS(Покупки!$S$7:$S$18,Покупки!$D$7:$D$18,$B21,Покупки!$Q$7:$Q$18,$C$5)+SUMIFS(Операции!$Q$10:$Q$1009,Операции!$D$10:$D$1009,"Расход",Операции!$E$10:$E$1009,$B21,Операции!$P$10:$P$1009,$C$5))</f>
        <v/>
      </c>
      <c r="F21" s="256">
        <f>IF($C21="","",$C21-$E21)</f>
        <v/>
      </c>
      <c r="G21" s="144">
        <f>IFERROR($E21/$C21,0)</f>
        <v/>
      </c>
      <c r="I21" s="53" t="n">
        <v>10</v>
      </c>
      <c r="J21" s="257">
        <f>IF(DAY(DATE(YEAR($C$5),MONTH($C$5),$I21))&lt;&gt;$I21,"",SUMIFS(Журнал!$P$10:$P$1509,Журнал!$D$10:$D$1509,"&lt;&gt;Доход",Журнал!$C$10:$C$1509,DATE(YEAR($C$5),MONTH($C$5),$I21))+SUMIFS(Постоянные!$AC$8:$AC$367,Постоянные!$Z$8:$Z$367,"Расход",Постоянные!$Y$8:$Y$367,DATE(YEAR($C$5),MONTH($C$5),$I21))+SUMIFS(Покупки!$S$7:$S$18,Покупки!$G$7:$G$18,DATE(YEAR($C$5),MONTH($C$5),$I21))+SUMIFS(Операции!$Q$10:$Q$1009,Операции!$D$10:$D$1009,"Расход",Операции!$C$10:$C$1009,DATE(YEAR($C$5),MONTH($C$5),$I21)))</f>
        <v/>
      </c>
      <c r="Z21">
        <f>IF($B21="",-1,N($E21)-ROW()/1000000)</f>
        <v/>
      </c>
    </row>
    <row r="22" ht="19" customHeight="1">
      <c r="B22" s="141">
        <f>IF(Настройки!$J$16="","",Настройки!$J$16)</f>
        <v/>
      </c>
      <c r="C22" s="196" t="n"/>
      <c r="D22" s="255">
        <f>IF($B22="",0,SUMIFS(Журнал!$Q$10:$Q$1509,Журнал!$D$10:$D$1509,"&lt;&gt;Доход",Журнал!$E$10:$E$1509,$B22,Журнал!$R$10:$R$1509,$C$5)+SUMIFS(Постоянные!$AB$8:$AB$367,Постоянные!$Z$8:$Z$367,"Расход",Постоянные!$AA$8:$AA$367,$B22,Постоянные!$AD$8:$AD$367,$C$5)+SUMIFS(Покупки!$R$7:$R$18,Покупки!$D$7:$D$18,$B22,Покупки!$Q$7:$Q$18,$C$5))</f>
        <v/>
      </c>
      <c r="E22" s="246">
        <f>IF($B22="",0,SUMIFS(Журнал!$P$10:$P$1509,Журнал!$D$10:$D$1509,"&lt;&gt;Доход",Журнал!$E$10:$E$1509,$B22,Журнал!$R$10:$R$1509,$C$5)+SUMIFS(Постоянные!$AC$8:$AC$367,Постоянные!$Z$8:$Z$367,"Расход",Постоянные!$AA$8:$AA$367,$B22,Постоянные!$AD$8:$AD$367,$C$5)+SUMIFS(Покупки!$S$7:$S$18,Покупки!$D$7:$D$18,$B22,Покупки!$Q$7:$Q$18,$C$5)+SUMIFS(Операции!$Q$10:$Q$1009,Операции!$D$10:$D$1009,"Расход",Операции!$E$10:$E$1009,$B22,Операции!$P$10:$P$1009,$C$5))</f>
        <v/>
      </c>
      <c r="F22" s="256">
        <f>IF($C22="","",$C22-$E22)</f>
        <v/>
      </c>
      <c r="G22" s="144">
        <f>IFERROR($E22/$C22,0)</f>
        <v/>
      </c>
      <c r="I22" s="53" t="n">
        <v>11</v>
      </c>
      <c r="J22" s="257">
        <f>IF(DAY(DATE(YEAR($C$5),MONTH($C$5),$I22))&lt;&gt;$I22,"",SUMIFS(Журнал!$P$10:$P$1509,Журнал!$D$10:$D$1509,"&lt;&gt;Доход",Журнал!$C$10:$C$1509,DATE(YEAR($C$5),MONTH($C$5),$I22))+SUMIFS(Постоянные!$AC$8:$AC$367,Постоянные!$Z$8:$Z$367,"Расход",Постоянные!$Y$8:$Y$367,DATE(YEAR($C$5),MONTH($C$5),$I22))+SUMIFS(Покупки!$S$7:$S$18,Покупки!$G$7:$G$18,DATE(YEAR($C$5),MONTH($C$5),$I22))+SUMIFS(Операции!$Q$10:$Q$1009,Операции!$D$10:$D$1009,"Расход",Операции!$C$10:$C$1009,DATE(YEAR($C$5),MONTH($C$5),$I22)))</f>
        <v/>
      </c>
      <c r="Z22">
        <f>IF($B22="",-1,N($E22)-ROW()/1000000)</f>
        <v/>
      </c>
    </row>
    <row r="23" ht="19" customHeight="1">
      <c r="B23" s="141">
        <f>IF(Настройки!$J$17="","",Настройки!$J$17)</f>
        <v/>
      </c>
      <c r="C23" s="196" t="n"/>
      <c r="D23" s="255">
        <f>IF($B23="",0,SUMIFS(Журнал!$Q$10:$Q$1509,Журнал!$D$10:$D$1509,"&lt;&gt;Доход",Журнал!$E$10:$E$1509,$B23,Журнал!$R$10:$R$1509,$C$5)+SUMIFS(Постоянные!$AB$8:$AB$367,Постоянные!$Z$8:$Z$367,"Расход",Постоянные!$AA$8:$AA$367,$B23,Постоянные!$AD$8:$AD$367,$C$5)+SUMIFS(Покупки!$R$7:$R$18,Покупки!$D$7:$D$18,$B23,Покупки!$Q$7:$Q$18,$C$5))</f>
        <v/>
      </c>
      <c r="E23" s="246">
        <f>IF($B23="",0,SUMIFS(Журнал!$P$10:$P$1509,Журнал!$D$10:$D$1509,"&lt;&gt;Доход",Журнал!$E$10:$E$1509,$B23,Журнал!$R$10:$R$1509,$C$5)+SUMIFS(Постоянные!$AC$8:$AC$367,Постоянные!$Z$8:$Z$367,"Расход",Постоянные!$AA$8:$AA$367,$B23,Постоянные!$AD$8:$AD$367,$C$5)+SUMIFS(Покупки!$S$7:$S$18,Покупки!$D$7:$D$18,$B23,Покупки!$Q$7:$Q$18,$C$5)+SUMIFS(Операции!$Q$10:$Q$1009,Операции!$D$10:$D$1009,"Расход",Операции!$E$10:$E$1009,$B23,Операции!$P$10:$P$1009,$C$5))</f>
        <v/>
      </c>
      <c r="F23" s="256">
        <f>IF($C23="","",$C23-$E23)</f>
        <v/>
      </c>
      <c r="G23" s="144">
        <f>IFERROR($E23/$C23,0)</f>
        <v/>
      </c>
      <c r="I23" s="53" t="n">
        <v>12</v>
      </c>
      <c r="J23" s="257">
        <f>IF(DAY(DATE(YEAR($C$5),MONTH($C$5),$I23))&lt;&gt;$I23,"",SUMIFS(Журнал!$P$10:$P$1509,Журнал!$D$10:$D$1509,"&lt;&gt;Доход",Журнал!$C$10:$C$1509,DATE(YEAR($C$5),MONTH($C$5),$I23))+SUMIFS(Постоянные!$AC$8:$AC$367,Постоянные!$Z$8:$Z$367,"Расход",Постоянные!$Y$8:$Y$367,DATE(YEAR($C$5),MONTH($C$5),$I23))+SUMIFS(Покупки!$S$7:$S$18,Покупки!$G$7:$G$18,DATE(YEAR($C$5),MONTH($C$5),$I23))+SUMIFS(Операции!$Q$10:$Q$1009,Операции!$D$10:$D$1009,"Расход",Операции!$C$10:$C$1009,DATE(YEAR($C$5),MONTH($C$5),$I23)))</f>
        <v/>
      </c>
      <c r="Z23">
        <f>IF($B23="",-1,N($E23)-ROW()/1000000)</f>
        <v/>
      </c>
    </row>
    <row r="24" ht="19" customHeight="1">
      <c r="B24" s="141">
        <f>IF(Настройки!$J$18="","",Настройки!$J$18)</f>
        <v/>
      </c>
      <c r="C24" s="196" t="n"/>
      <c r="D24" s="255">
        <f>IF($B24="",0,SUMIFS(Журнал!$Q$10:$Q$1509,Журнал!$D$10:$D$1509,"&lt;&gt;Доход",Журнал!$E$10:$E$1509,$B24,Журнал!$R$10:$R$1509,$C$5)+SUMIFS(Постоянные!$AB$8:$AB$367,Постоянные!$Z$8:$Z$367,"Расход",Постоянные!$AA$8:$AA$367,$B24,Постоянные!$AD$8:$AD$367,$C$5)+SUMIFS(Покупки!$R$7:$R$18,Покупки!$D$7:$D$18,$B24,Покупки!$Q$7:$Q$18,$C$5))</f>
        <v/>
      </c>
      <c r="E24" s="246">
        <f>IF($B24="",0,SUMIFS(Журнал!$P$10:$P$1509,Журнал!$D$10:$D$1509,"&lt;&gt;Доход",Журнал!$E$10:$E$1509,$B24,Журнал!$R$10:$R$1509,$C$5)+SUMIFS(Постоянные!$AC$8:$AC$367,Постоянные!$Z$8:$Z$367,"Расход",Постоянные!$AA$8:$AA$367,$B24,Постоянные!$AD$8:$AD$367,$C$5)+SUMIFS(Покупки!$S$7:$S$18,Покупки!$D$7:$D$18,$B24,Покупки!$Q$7:$Q$18,$C$5)+SUMIFS(Операции!$Q$10:$Q$1009,Операции!$D$10:$D$1009,"Расход",Операции!$E$10:$E$1009,$B24,Операции!$P$10:$P$1009,$C$5))</f>
        <v/>
      </c>
      <c r="F24" s="256">
        <f>IF($C24="","",$C24-$E24)</f>
        <v/>
      </c>
      <c r="G24" s="144">
        <f>IFERROR($E24/$C24,0)</f>
        <v/>
      </c>
      <c r="I24" s="53" t="n">
        <v>13</v>
      </c>
      <c r="J24" s="257">
        <f>IF(DAY(DATE(YEAR($C$5),MONTH($C$5),$I24))&lt;&gt;$I24,"",SUMIFS(Журнал!$P$10:$P$1509,Журнал!$D$10:$D$1509,"&lt;&gt;Доход",Журнал!$C$10:$C$1509,DATE(YEAR($C$5),MONTH($C$5),$I24))+SUMIFS(Постоянные!$AC$8:$AC$367,Постоянные!$Z$8:$Z$367,"Расход",Постоянные!$Y$8:$Y$367,DATE(YEAR($C$5),MONTH($C$5),$I24))+SUMIFS(Покупки!$S$7:$S$18,Покупки!$G$7:$G$18,DATE(YEAR($C$5),MONTH($C$5),$I24))+SUMIFS(Операции!$Q$10:$Q$1009,Операции!$D$10:$D$1009,"Расход",Операции!$C$10:$C$1009,DATE(YEAR($C$5),MONTH($C$5),$I24)))</f>
        <v/>
      </c>
      <c r="Z24">
        <f>IF($B24="",-1,N($E24)-ROW()/1000000)</f>
        <v/>
      </c>
    </row>
    <row r="25" ht="19" customHeight="1">
      <c r="B25" s="141">
        <f>IF(Настройки!$J$19="","",Настройки!$J$19)</f>
        <v/>
      </c>
      <c r="C25" s="196" t="n"/>
      <c r="D25" s="255">
        <f>IF($B25="",0,SUMIFS(Журнал!$Q$10:$Q$1509,Журнал!$D$10:$D$1509,"&lt;&gt;Доход",Журнал!$E$10:$E$1509,$B25,Журнал!$R$10:$R$1509,$C$5)+SUMIFS(Постоянные!$AB$8:$AB$367,Постоянные!$Z$8:$Z$367,"Расход",Постоянные!$AA$8:$AA$367,$B25,Постоянные!$AD$8:$AD$367,$C$5)+SUMIFS(Покупки!$R$7:$R$18,Покупки!$D$7:$D$18,$B25,Покупки!$Q$7:$Q$18,$C$5))</f>
        <v/>
      </c>
      <c r="E25" s="246">
        <f>IF($B25="",0,SUMIFS(Журнал!$P$10:$P$1509,Журнал!$D$10:$D$1509,"&lt;&gt;Доход",Журнал!$E$10:$E$1509,$B25,Журнал!$R$10:$R$1509,$C$5)+SUMIFS(Постоянные!$AC$8:$AC$367,Постоянные!$Z$8:$Z$367,"Расход",Постоянные!$AA$8:$AA$367,$B25,Постоянные!$AD$8:$AD$367,$C$5)+SUMIFS(Покупки!$S$7:$S$18,Покупки!$D$7:$D$18,$B25,Покупки!$Q$7:$Q$18,$C$5)+SUMIFS(Операции!$Q$10:$Q$1009,Операции!$D$10:$D$1009,"Расход",Операции!$E$10:$E$1009,$B25,Операции!$P$10:$P$1009,$C$5))</f>
        <v/>
      </c>
      <c r="F25" s="256">
        <f>IF($C25="","",$C25-$E25)</f>
        <v/>
      </c>
      <c r="G25" s="144">
        <f>IFERROR($E25/$C25,0)</f>
        <v/>
      </c>
      <c r="I25" s="53" t="n">
        <v>14</v>
      </c>
      <c r="J25" s="257">
        <f>IF(DAY(DATE(YEAR($C$5),MONTH($C$5),$I25))&lt;&gt;$I25,"",SUMIFS(Журнал!$P$10:$P$1509,Журнал!$D$10:$D$1509,"&lt;&gt;Доход",Журнал!$C$10:$C$1509,DATE(YEAR($C$5),MONTH($C$5),$I25))+SUMIFS(Постоянные!$AC$8:$AC$367,Постоянные!$Z$8:$Z$367,"Расход",Постоянные!$Y$8:$Y$367,DATE(YEAR($C$5),MONTH($C$5),$I25))+SUMIFS(Покупки!$S$7:$S$18,Покупки!$G$7:$G$18,DATE(YEAR($C$5),MONTH($C$5),$I25))+SUMIFS(Операции!$Q$10:$Q$1009,Операции!$D$10:$D$1009,"Расход",Операции!$C$10:$C$1009,DATE(YEAR($C$5),MONTH($C$5),$I25)))</f>
        <v/>
      </c>
      <c r="Z25">
        <f>IF($B25="",-1,N($E25)-ROW()/1000000)</f>
        <v/>
      </c>
    </row>
    <row r="26" ht="19" customHeight="1">
      <c r="B26" s="141">
        <f>IF(Настройки!$J$20="","",Настройки!$J$20)</f>
        <v/>
      </c>
      <c r="C26" s="196" t="n"/>
      <c r="D26" s="255">
        <f>IF($B26="",0,SUMIFS(Журнал!$Q$10:$Q$1509,Журнал!$D$10:$D$1509,"&lt;&gt;Доход",Журнал!$E$10:$E$1509,$B26,Журнал!$R$10:$R$1509,$C$5)+SUMIFS(Постоянные!$AB$8:$AB$367,Постоянные!$Z$8:$Z$367,"Расход",Постоянные!$AA$8:$AA$367,$B26,Постоянные!$AD$8:$AD$367,$C$5)+SUMIFS(Покупки!$R$7:$R$18,Покупки!$D$7:$D$18,$B26,Покупки!$Q$7:$Q$18,$C$5))</f>
        <v/>
      </c>
      <c r="E26" s="246">
        <f>IF($B26="",0,SUMIFS(Журнал!$P$10:$P$1509,Журнал!$D$10:$D$1509,"&lt;&gt;Доход",Журнал!$E$10:$E$1509,$B26,Журнал!$R$10:$R$1509,$C$5)+SUMIFS(Постоянные!$AC$8:$AC$367,Постоянные!$Z$8:$Z$367,"Расход",Постоянные!$AA$8:$AA$367,$B26,Постоянные!$AD$8:$AD$367,$C$5)+SUMIFS(Покупки!$S$7:$S$18,Покупки!$D$7:$D$18,$B26,Покупки!$Q$7:$Q$18,$C$5)+SUMIFS(Операции!$Q$10:$Q$1009,Операции!$D$10:$D$1009,"Расход",Операции!$E$10:$E$1009,$B26,Операции!$P$10:$P$1009,$C$5))</f>
        <v/>
      </c>
      <c r="F26" s="256">
        <f>IF($C26="","",$C26-$E26)</f>
        <v/>
      </c>
      <c r="G26" s="144">
        <f>IFERROR($E26/$C26,0)</f>
        <v/>
      </c>
      <c r="I26" s="53" t="n">
        <v>15</v>
      </c>
      <c r="J26" s="257">
        <f>IF(DAY(DATE(YEAR($C$5),MONTH($C$5),$I26))&lt;&gt;$I26,"",SUMIFS(Журнал!$P$10:$P$1509,Журнал!$D$10:$D$1509,"&lt;&gt;Доход",Журнал!$C$10:$C$1509,DATE(YEAR($C$5),MONTH($C$5),$I26))+SUMIFS(Постоянные!$AC$8:$AC$367,Постоянные!$Z$8:$Z$367,"Расход",Постоянные!$Y$8:$Y$367,DATE(YEAR($C$5),MONTH($C$5),$I26))+SUMIFS(Покупки!$S$7:$S$18,Покупки!$G$7:$G$18,DATE(YEAR($C$5),MONTH($C$5),$I26))+SUMIFS(Операции!$Q$10:$Q$1009,Операции!$D$10:$D$1009,"Расход",Операции!$C$10:$C$1009,DATE(YEAR($C$5),MONTH($C$5),$I26)))</f>
        <v/>
      </c>
      <c r="Z26">
        <f>IF($B26="",-1,N($E26)-ROW()/1000000)</f>
        <v/>
      </c>
    </row>
    <row r="27" ht="19" customHeight="1">
      <c r="B27" s="141">
        <f>IF(Настройки!$J$21="","",Настройки!$J$21)</f>
        <v/>
      </c>
      <c r="C27" s="196" t="n"/>
      <c r="D27" s="255">
        <f>IF($B27="",0,SUMIFS(Журнал!$Q$10:$Q$1509,Журнал!$D$10:$D$1509,"&lt;&gt;Доход",Журнал!$E$10:$E$1509,$B27,Журнал!$R$10:$R$1509,$C$5)+SUMIFS(Постоянные!$AB$8:$AB$367,Постоянные!$Z$8:$Z$367,"Расход",Постоянные!$AA$8:$AA$367,$B27,Постоянные!$AD$8:$AD$367,$C$5)+SUMIFS(Покупки!$R$7:$R$18,Покупки!$D$7:$D$18,$B27,Покупки!$Q$7:$Q$18,$C$5))</f>
        <v/>
      </c>
      <c r="E27" s="246">
        <f>IF($B27="",0,SUMIFS(Журнал!$P$10:$P$1509,Журнал!$D$10:$D$1509,"&lt;&gt;Доход",Журнал!$E$10:$E$1509,$B27,Журнал!$R$10:$R$1509,$C$5)+SUMIFS(Постоянные!$AC$8:$AC$367,Постоянные!$Z$8:$Z$367,"Расход",Постоянные!$AA$8:$AA$367,$B27,Постоянные!$AD$8:$AD$367,$C$5)+SUMIFS(Покупки!$S$7:$S$18,Покупки!$D$7:$D$18,$B27,Покупки!$Q$7:$Q$18,$C$5)+SUMIFS(Операции!$Q$10:$Q$1009,Операции!$D$10:$D$1009,"Расход",Операции!$E$10:$E$1009,$B27,Операции!$P$10:$P$1009,$C$5))</f>
        <v/>
      </c>
      <c r="F27" s="256">
        <f>IF($C27="","",$C27-$E27)</f>
        <v/>
      </c>
      <c r="G27" s="144">
        <f>IFERROR($E27/$C27,0)</f>
        <v/>
      </c>
      <c r="I27" s="53" t="n">
        <v>16</v>
      </c>
      <c r="J27" s="257">
        <f>IF(DAY(DATE(YEAR($C$5),MONTH($C$5),$I27))&lt;&gt;$I27,"",SUMIFS(Журнал!$P$10:$P$1509,Журнал!$D$10:$D$1509,"&lt;&gt;Доход",Журнал!$C$10:$C$1509,DATE(YEAR($C$5),MONTH($C$5),$I27))+SUMIFS(Постоянные!$AC$8:$AC$367,Постоянные!$Z$8:$Z$367,"Расход",Постоянные!$Y$8:$Y$367,DATE(YEAR($C$5),MONTH($C$5),$I27))+SUMIFS(Покупки!$S$7:$S$18,Покупки!$G$7:$G$18,DATE(YEAR($C$5),MONTH($C$5),$I27))+SUMIFS(Операции!$Q$10:$Q$1009,Операции!$D$10:$D$1009,"Расход",Операции!$C$10:$C$1009,DATE(YEAR($C$5),MONTH($C$5),$I27)))</f>
        <v/>
      </c>
      <c r="Z27">
        <f>IF($B27="",-1,N($E27)-ROW()/1000000)</f>
        <v/>
      </c>
    </row>
    <row r="28" ht="19" customHeight="1">
      <c r="B28" s="141">
        <f>IF(Настройки!$J$22="","",Настройки!$J$22)</f>
        <v/>
      </c>
      <c r="C28" s="196" t="n"/>
      <c r="D28" s="255">
        <f>IF($B28="",0,SUMIFS(Журнал!$Q$10:$Q$1509,Журнал!$D$10:$D$1509,"&lt;&gt;Доход",Журнал!$E$10:$E$1509,$B28,Журнал!$R$10:$R$1509,$C$5)+SUMIFS(Постоянные!$AB$8:$AB$367,Постоянные!$Z$8:$Z$367,"Расход",Постоянные!$AA$8:$AA$367,$B28,Постоянные!$AD$8:$AD$367,$C$5)+SUMIFS(Покупки!$R$7:$R$18,Покупки!$D$7:$D$18,$B28,Покупки!$Q$7:$Q$18,$C$5))</f>
        <v/>
      </c>
      <c r="E28" s="246">
        <f>IF($B28="",0,SUMIFS(Журнал!$P$10:$P$1509,Журнал!$D$10:$D$1509,"&lt;&gt;Доход",Журнал!$E$10:$E$1509,$B28,Журнал!$R$10:$R$1509,$C$5)+SUMIFS(Постоянные!$AC$8:$AC$367,Постоянные!$Z$8:$Z$367,"Расход",Постоянные!$AA$8:$AA$367,$B28,Постоянные!$AD$8:$AD$367,$C$5)+SUMIFS(Покупки!$S$7:$S$18,Покупки!$D$7:$D$18,$B28,Покупки!$Q$7:$Q$18,$C$5)+SUMIFS(Операции!$Q$10:$Q$1009,Операции!$D$10:$D$1009,"Расход",Операции!$E$10:$E$1009,$B28,Операции!$P$10:$P$1009,$C$5))</f>
        <v/>
      </c>
      <c r="F28" s="256">
        <f>IF($C28="","",$C28-$E28)</f>
        <v/>
      </c>
      <c r="G28" s="144">
        <f>IFERROR($E28/$C28,0)</f>
        <v/>
      </c>
      <c r="I28" s="53" t="n">
        <v>17</v>
      </c>
      <c r="J28" s="257">
        <f>IF(DAY(DATE(YEAR($C$5),MONTH($C$5),$I28))&lt;&gt;$I28,"",SUMIFS(Журнал!$P$10:$P$1509,Журнал!$D$10:$D$1509,"&lt;&gt;Доход",Журнал!$C$10:$C$1509,DATE(YEAR($C$5),MONTH($C$5),$I28))+SUMIFS(Постоянные!$AC$8:$AC$367,Постоянные!$Z$8:$Z$367,"Расход",Постоянные!$Y$8:$Y$367,DATE(YEAR($C$5),MONTH($C$5),$I28))+SUMIFS(Покупки!$S$7:$S$18,Покупки!$G$7:$G$18,DATE(YEAR($C$5),MONTH($C$5),$I28))+SUMIFS(Операции!$Q$10:$Q$1009,Операции!$D$10:$D$1009,"Расход",Операции!$C$10:$C$1009,DATE(YEAR($C$5),MONTH($C$5),$I28)))</f>
        <v/>
      </c>
      <c r="Z28">
        <f>IF($B28="",-1,N($E28)-ROW()/1000000)</f>
        <v/>
      </c>
    </row>
    <row r="29" ht="19" customHeight="1">
      <c r="B29" s="141">
        <f>IF(Настройки!$J$23="","",Настройки!$J$23)</f>
        <v/>
      </c>
      <c r="C29" s="196" t="n"/>
      <c r="D29" s="255">
        <f>IF($B29="",0,SUMIFS(Журнал!$Q$10:$Q$1509,Журнал!$D$10:$D$1509,"&lt;&gt;Доход",Журнал!$E$10:$E$1509,$B29,Журнал!$R$10:$R$1509,$C$5)+SUMIFS(Постоянные!$AB$8:$AB$367,Постоянные!$Z$8:$Z$367,"Расход",Постоянные!$AA$8:$AA$367,$B29,Постоянные!$AD$8:$AD$367,$C$5)+SUMIFS(Покупки!$R$7:$R$18,Покупки!$D$7:$D$18,$B29,Покупки!$Q$7:$Q$18,$C$5))</f>
        <v/>
      </c>
      <c r="E29" s="246">
        <f>IF($B29="",0,SUMIFS(Журнал!$P$10:$P$1509,Журнал!$D$10:$D$1509,"&lt;&gt;Доход",Журнал!$E$10:$E$1509,$B29,Журнал!$R$10:$R$1509,$C$5)+SUMIFS(Постоянные!$AC$8:$AC$367,Постоянные!$Z$8:$Z$367,"Расход",Постоянные!$AA$8:$AA$367,$B29,Постоянные!$AD$8:$AD$367,$C$5)+SUMIFS(Покупки!$S$7:$S$18,Покупки!$D$7:$D$18,$B29,Покупки!$Q$7:$Q$18,$C$5)+SUMIFS(Операции!$Q$10:$Q$1009,Операции!$D$10:$D$1009,"Расход",Операции!$E$10:$E$1009,$B29,Операции!$P$10:$P$1009,$C$5))</f>
        <v/>
      </c>
      <c r="F29" s="256">
        <f>IF($C29="","",$C29-$E29)</f>
        <v/>
      </c>
      <c r="G29" s="144">
        <f>IFERROR($E29/$C29,0)</f>
        <v/>
      </c>
      <c r="I29" s="53" t="n">
        <v>18</v>
      </c>
      <c r="J29" s="257">
        <f>IF(DAY(DATE(YEAR($C$5),MONTH($C$5),$I29))&lt;&gt;$I29,"",SUMIFS(Журнал!$P$10:$P$1509,Журнал!$D$10:$D$1509,"&lt;&gt;Доход",Журнал!$C$10:$C$1509,DATE(YEAR($C$5),MONTH($C$5),$I29))+SUMIFS(Постоянные!$AC$8:$AC$367,Постоянные!$Z$8:$Z$367,"Расход",Постоянные!$Y$8:$Y$367,DATE(YEAR($C$5),MONTH($C$5),$I29))+SUMIFS(Покупки!$S$7:$S$18,Покупки!$G$7:$G$18,DATE(YEAR($C$5),MONTH($C$5),$I29))+SUMIFS(Операции!$Q$10:$Q$1009,Операции!$D$10:$D$1009,"Расход",Операции!$C$10:$C$1009,DATE(YEAR($C$5),MONTH($C$5),$I29)))</f>
        <v/>
      </c>
      <c r="Z29">
        <f>IF($B29="",-1,N($E29)-ROW()/1000000)</f>
        <v/>
      </c>
    </row>
    <row r="30" ht="19" customHeight="1">
      <c r="B30" s="141">
        <f>IF(Настройки!$J$24="","",Настройки!$J$24)</f>
        <v/>
      </c>
      <c r="C30" s="196" t="n"/>
      <c r="D30" s="255">
        <f>IF($B30="",0,SUMIFS(Журнал!$Q$10:$Q$1509,Журнал!$D$10:$D$1509,"&lt;&gt;Доход",Журнал!$E$10:$E$1509,$B30,Журнал!$R$10:$R$1509,$C$5)+SUMIFS(Постоянные!$AB$8:$AB$367,Постоянные!$Z$8:$Z$367,"Расход",Постоянные!$AA$8:$AA$367,$B30,Постоянные!$AD$8:$AD$367,$C$5)+SUMIFS(Покупки!$R$7:$R$18,Покупки!$D$7:$D$18,$B30,Покупки!$Q$7:$Q$18,$C$5))</f>
        <v/>
      </c>
      <c r="E30" s="246">
        <f>IF($B30="",0,SUMIFS(Журнал!$P$10:$P$1509,Журнал!$D$10:$D$1509,"&lt;&gt;Доход",Журнал!$E$10:$E$1509,$B30,Журнал!$R$10:$R$1509,$C$5)+SUMIFS(Постоянные!$AC$8:$AC$367,Постоянные!$Z$8:$Z$367,"Расход",Постоянные!$AA$8:$AA$367,$B30,Постоянные!$AD$8:$AD$367,$C$5)+SUMIFS(Покупки!$S$7:$S$18,Покупки!$D$7:$D$18,$B30,Покупки!$Q$7:$Q$18,$C$5)+SUMIFS(Операции!$Q$10:$Q$1009,Операции!$D$10:$D$1009,"Расход",Операции!$E$10:$E$1009,$B30,Операции!$P$10:$P$1009,$C$5))</f>
        <v/>
      </c>
      <c r="F30" s="256">
        <f>IF($C30="","",$C30-$E30)</f>
        <v/>
      </c>
      <c r="G30" s="144">
        <f>IFERROR($E30/$C30,0)</f>
        <v/>
      </c>
      <c r="I30" s="53" t="n">
        <v>19</v>
      </c>
      <c r="J30" s="257">
        <f>IF(DAY(DATE(YEAR($C$5),MONTH($C$5),$I30))&lt;&gt;$I30,"",SUMIFS(Журнал!$P$10:$P$1509,Журнал!$D$10:$D$1509,"&lt;&gt;Доход",Журнал!$C$10:$C$1509,DATE(YEAR($C$5),MONTH($C$5),$I30))+SUMIFS(Постоянные!$AC$8:$AC$367,Постоянные!$Z$8:$Z$367,"Расход",Постоянные!$Y$8:$Y$367,DATE(YEAR($C$5),MONTH($C$5),$I30))+SUMIFS(Покупки!$S$7:$S$18,Покупки!$G$7:$G$18,DATE(YEAR($C$5),MONTH($C$5),$I30))+SUMIFS(Операции!$Q$10:$Q$1009,Операции!$D$10:$D$1009,"Расход",Операции!$C$10:$C$1009,DATE(YEAR($C$5),MONTH($C$5),$I30)))</f>
        <v/>
      </c>
      <c r="Z30">
        <f>IF($B30="",-1,N($E30)-ROW()/1000000)</f>
        <v/>
      </c>
    </row>
    <row r="31" ht="19" customHeight="1">
      <c r="B31" s="141">
        <f>IF(Настройки!$J$25="","",Настройки!$J$25)</f>
        <v/>
      </c>
      <c r="C31" s="196" t="n"/>
      <c r="D31" s="255">
        <f>IF($B31="",0,SUMIFS(Журнал!$Q$10:$Q$1509,Журнал!$D$10:$D$1509,"&lt;&gt;Доход",Журнал!$E$10:$E$1509,$B31,Журнал!$R$10:$R$1509,$C$5)+SUMIFS(Постоянные!$AB$8:$AB$367,Постоянные!$Z$8:$Z$367,"Расход",Постоянные!$AA$8:$AA$367,$B31,Постоянные!$AD$8:$AD$367,$C$5)+SUMIFS(Покупки!$R$7:$R$18,Покупки!$D$7:$D$18,$B31,Покупки!$Q$7:$Q$18,$C$5))</f>
        <v/>
      </c>
      <c r="E31" s="246">
        <f>IF($B31="",0,SUMIFS(Журнал!$P$10:$P$1509,Журнал!$D$10:$D$1509,"&lt;&gt;Доход",Журнал!$E$10:$E$1509,$B31,Журнал!$R$10:$R$1509,$C$5)+SUMIFS(Постоянные!$AC$8:$AC$367,Постоянные!$Z$8:$Z$367,"Расход",Постоянные!$AA$8:$AA$367,$B31,Постоянные!$AD$8:$AD$367,$C$5)+SUMIFS(Покупки!$S$7:$S$18,Покупки!$D$7:$D$18,$B31,Покупки!$Q$7:$Q$18,$C$5)+SUMIFS(Операции!$Q$10:$Q$1009,Операции!$D$10:$D$1009,"Расход",Операции!$E$10:$E$1009,$B31,Операции!$P$10:$P$1009,$C$5))</f>
        <v/>
      </c>
      <c r="F31" s="256">
        <f>IF($C31="","",$C31-$E31)</f>
        <v/>
      </c>
      <c r="G31" s="144">
        <f>IFERROR($E31/$C31,0)</f>
        <v/>
      </c>
      <c r="I31" s="53" t="n">
        <v>20</v>
      </c>
      <c r="J31" s="257">
        <f>IF(DAY(DATE(YEAR($C$5),MONTH($C$5),$I31))&lt;&gt;$I31,"",SUMIFS(Журнал!$P$10:$P$1509,Журнал!$D$10:$D$1509,"&lt;&gt;Доход",Журнал!$C$10:$C$1509,DATE(YEAR($C$5),MONTH($C$5),$I31))+SUMIFS(Постоянные!$AC$8:$AC$367,Постоянные!$Z$8:$Z$367,"Расход",Постоянные!$Y$8:$Y$367,DATE(YEAR($C$5),MONTH($C$5),$I31))+SUMIFS(Покупки!$S$7:$S$18,Покупки!$G$7:$G$18,DATE(YEAR($C$5),MONTH($C$5),$I31))+SUMIFS(Операции!$Q$10:$Q$1009,Операции!$D$10:$D$1009,"Расход",Операции!$C$10:$C$1009,DATE(YEAR($C$5),MONTH($C$5),$I31)))</f>
        <v/>
      </c>
      <c r="Z31">
        <f>IF($B31="",-1,N($E31)-ROW()/1000000)</f>
        <v/>
      </c>
    </row>
    <row r="32" ht="19" customHeight="1">
      <c r="B32" s="141">
        <f>IF(Настройки!$J$26="","",Настройки!$J$26)</f>
        <v/>
      </c>
      <c r="C32" s="196" t="n"/>
      <c r="D32" s="255">
        <f>IF($B32="",0,SUMIFS(Журнал!$Q$10:$Q$1509,Журнал!$D$10:$D$1509,"&lt;&gt;Доход",Журнал!$E$10:$E$1509,$B32,Журнал!$R$10:$R$1509,$C$5)+SUMIFS(Постоянные!$AB$8:$AB$367,Постоянные!$Z$8:$Z$367,"Расход",Постоянные!$AA$8:$AA$367,$B32,Постоянные!$AD$8:$AD$367,$C$5)+SUMIFS(Покупки!$R$7:$R$18,Покупки!$D$7:$D$18,$B32,Покупки!$Q$7:$Q$18,$C$5))</f>
        <v/>
      </c>
      <c r="E32" s="246">
        <f>IF($B32="",0,SUMIFS(Журнал!$P$10:$P$1509,Журнал!$D$10:$D$1509,"&lt;&gt;Доход",Журнал!$E$10:$E$1509,$B32,Журнал!$R$10:$R$1509,$C$5)+SUMIFS(Постоянные!$AC$8:$AC$367,Постоянные!$Z$8:$Z$367,"Расход",Постоянные!$AA$8:$AA$367,$B32,Постоянные!$AD$8:$AD$367,$C$5)+SUMIFS(Покупки!$S$7:$S$18,Покупки!$D$7:$D$18,$B32,Покупки!$Q$7:$Q$18,$C$5)+SUMIFS(Операции!$Q$10:$Q$1009,Операции!$D$10:$D$1009,"Расход",Операции!$E$10:$E$1009,$B32,Операции!$P$10:$P$1009,$C$5))</f>
        <v/>
      </c>
      <c r="F32" s="256">
        <f>IF($C32="","",$C32-$E32)</f>
        <v/>
      </c>
      <c r="G32" s="144">
        <f>IFERROR($E32/$C32,0)</f>
        <v/>
      </c>
      <c r="I32" s="53" t="n">
        <v>21</v>
      </c>
      <c r="J32" s="257">
        <f>IF(DAY(DATE(YEAR($C$5),MONTH($C$5),$I32))&lt;&gt;$I32,"",SUMIFS(Журнал!$P$10:$P$1509,Журнал!$D$10:$D$1509,"&lt;&gt;Доход",Журнал!$C$10:$C$1509,DATE(YEAR($C$5),MONTH($C$5),$I32))+SUMIFS(Постоянные!$AC$8:$AC$367,Постоянные!$Z$8:$Z$367,"Расход",Постоянные!$Y$8:$Y$367,DATE(YEAR($C$5),MONTH($C$5),$I32))+SUMIFS(Покупки!$S$7:$S$18,Покупки!$G$7:$G$18,DATE(YEAR($C$5),MONTH($C$5),$I32))+SUMIFS(Операции!$Q$10:$Q$1009,Операции!$D$10:$D$1009,"Расход",Операции!$C$10:$C$1009,DATE(YEAR($C$5),MONTH($C$5),$I32)))</f>
        <v/>
      </c>
      <c r="Z32">
        <f>IF($B32="",-1,N($E32)-ROW()/1000000)</f>
        <v/>
      </c>
    </row>
    <row r="33" ht="19" customHeight="1">
      <c r="B33" s="141">
        <f>IF(Настройки!$J$27="","",Настройки!$J$27)</f>
        <v/>
      </c>
      <c r="C33" s="196" t="n"/>
      <c r="D33" s="255">
        <f>IF($B33="",0,SUMIFS(Журнал!$Q$10:$Q$1509,Журнал!$D$10:$D$1509,"&lt;&gt;Доход",Журнал!$E$10:$E$1509,$B33,Журнал!$R$10:$R$1509,$C$5)+SUMIFS(Постоянные!$AB$8:$AB$367,Постоянные!$Z$8:$Z$367,"Расход",Постоянные!$AA$8:$AA$367,$B33,Постоянные!$AD$8:$AD$367,$C$5)+SUMIFS(Покупки!$R$7:$R$18,Покупки!$D$7:$D$18,$B33,Покупки!$Q$7:$Q$18,$C$5))</f>
        <v/>
      </c>
      <c r="E33" s="246">
        <f>IF($B33="",0,SUMIFS(Журнал!$P$10:$P$1509,Журнал!$D$10:$D$1509,"&lt;&gt;Доход",Журнал!$E$10:$E$1509,$B33,Журнал!$R$10:$R$1509,$C$5)+SUMIFS(Постоянные!$AC$8:$AC$367,Постоянные!$Z$8:$Z$367,"Расход",Постоянные!$AA$8:$AA$367,$B33,Постоянные!$AD$8:$AD$367,$C$5)+SUMIFS(Покупки!$S$7:$S$18,Покупки!$D$7:$D$18,$B33,Покупки!$Q$7:$Q$18,$C$5)+SUMIFS(Операции!$Q$10:$Q$1009,Операции!$D$10:$D$1009,"Расход",Операции!$E$10:$E$1009,$B33,Операции!$P$10:$P$1009,$C$5))</f>
        <v/>
      </c>
      <c r="F33" s="256">
        <f>IF($C33="","",$C33-$E33)</f>
        <v/>
      </c>
      <c r="G33" s="144">
        <f>IFERROR($E33/$C33,0)</f>
        <v/>
      </c>
      <c r="I33" s="53" t="n">
        <v>22</v>
      </c>
      <c r="J33" s="257">
        <f>IF(DAY(DATE(YEAR($C$5),MONTH($C$5),$I33))&lt;&gt;$I33,"",SUMIFS(Журнал!$P$10:$P$1509,Журнал!$D$10:$D$1509,"&lt;&gt;Доход",Журнал!$C$10:$C$1509,DATE(YEAR($C$5),MONTH($C$5),$I33))+SUMIFS(Постоянные!$AC$8:$AC$367,Постоянные!$Z$8:$Z$367,"Расход",Постоянные!$Y$8:$Y$367,DATE(YEAR($C$5),MONTH($C$5),$I33))+SUMIFS(Покупки!$S$7:$S$18,Покупки!$G$7:$G$18,DATE(YEAR($C$5),MONTH($C$5),$I33))+SUMIFS(Операции!$Q$10:$Q$1009,Операции!$D$10:$D$1009,"Расход",Операции!$C$10:$C$1009,DATE(YEAR($C$5),MONTH($C$5),$I33)))</f>
        <v/>
      </c>
      <c r="Z33">
        <f>IF($B33="",-1,N($E33)-ROW()/1000000)</f>
        <v/>
      </c>
    </row>
    <row r="34" ht="19" customHeight="1">
      <c r="B34" s="141">
        <f>IF(Настройки!$J$28="","",Настройки!$J$28)</f>
        <v/>
      </c>
      <c r="C34" s="196" t="n"/>
      <c r="D34" s="255">
        <f>IF($B34="",0,SUMIFS(Журнал!$Q$10:$Q$1509,Журнал!$D$10:$D$1509,"&lt;&gt;Доход",Журнал!$E$10:$E$1509,$B34,Журнал!$R$10:$R$1509,$C$5)+SUMIFS(Постоянные!$AB$8:$AB$367,Постоянные!$Z$8:$Z$367,"Расход",Постоянные!$AA$8:$AA$367,$B34,Постоянные!$AD$8:$AD$367,$C$5)+SUMIFS(Покупки!$R$7:$R$18,Покупки!$D$7:$D$18,$B34,Покупки!$Q$7:$Q$18,$C$5))</f>
        <v/>
      </c>
      <c r="E34" s="246">
        <f>IF($B34="",0,SUMIFS(Журнал!$P$10:$P$1509,Журнал!$D$10:$D$1509,"&lt;&gt;Доход",Журнал!$E$10:$E$1509,$B34,Журнал!$R$10:$R$1509,$C$5)+SUMIFS(Постоянные!$AC$8:$AC$367,Постоянные!$Z$8:$Z$367,"Расход",Постоянные!$AA$8:$AA$367,$B34,Постоянные!$AD$8:$AD$367,$C$5)+SUMIFS(Покупки!$S$7:$S$18,Покупки!$D$7:$D$18,$B34,Покупки!$Q$7:$Q$18,$C$5)+SUMIFS(Операции!$Q$10:$Q$1009,Операции!$D$10:$D$1009,"Расход",Операции!$E$10:$E$1009,$B34,Операции!$P$10:$P$1009,$C$5))</f>
        <v/>
      </c>
      <c r="F34" s="256">
        <f>IF($C34="","",$C34-$E34)</f>
        <v/>
      </c>
      <c r="G34" s="144">
        <f>IFERROR($E34/$C34,0)</f>
        <v/>
      </c>
      <c r="I34" s="53" t="n">
        <v>23</v>
      </c>
      <c r="J34" s="257">
        <f>IF(DAY(DATE(YEAR($C$5),MONTH($C$5),$I34))&lt;&gt;$I34,"",SUMIFS(Журнал!$P$10:$P$1509,Журнал!$D$10:$D$1509,"&lt;&gt;Доход",Журнал!$C$10:$C$1509,DATE(YEAR($C$5),MONTH($C$5),$I34))+SUMIFS(Постоянные!$AC$8:$AC$367,Постоянные!$Z$8:$Z$367,"Расход",Постоянные!$Y$8:$Y$367,DATE(YEAR($C$5),MONTH($C$5),$I34))+SUMIFS(Покупки!$S$7:$S$18,Покупки!$G$7:$G$18,DATE(YEAR($C$5),MONTH($C$5),$I34))+SUMIFS(Операции!$Q$10:$Q$1009,Операции!$D$10:$D$1009,"Расход",Операции!$C$10:$C$1009,DATE(YEAR($C$5),MONTH($C$5),$I34)))</f>
        <v/>
      </c>
      <c r="Z34">
        <f>IF($B34="",-1,N($E34)-ROW()/1000000)</f>
        <v/>
      </c>
    </row>
    <row r="35" ht="19" customHeight="1">
      <c r="B35" s="141">
        <f>IF(Настройки!$J$29="","",Настройки!$J$29)</f>
        <v/>
      </c>
      <c r="C35" s="196" t="n"/>
      <c r="D35" s="255">
        <f>IF($B35="",0,SUMIFS(Журнал!$Q$10:$Q$1509,Журнал!$D$10:$D$1509,"&lt;&gt;Доход",Журнал!$E$10:$E$1509,$B35,Журнал!$R$10:$R$1509,$C$5)+SUMIFS(Постоянные!$AB$8:$AB$367,Постоянные!$Z$8:$Z$367,"Расход",Постоянные!$AA$8:$AA$367,$B35,Постоянные!$AD$8:$AD$367,$C$5)+SUMIFS(Покупки!$R$7:$R$18,Покупки!$D$7:$D$18,$B35,Покупки!$Q$7:$Q$18,$C$5))</f>
        <v/>
      </c>
      <c r="E35" s="246">
        <f>IF($B35="",0,SUMIFS(Журнал!$P$10:$P$1509,Журнал!$D$10:$D$1509,"&lt;&gt;Доход",Журнал!$E$10:$E$1509,$B35,Журнал!$R$10:$R$1509,$C$5)+SUMIFS(Постоянные!$AC$8:$AC$367,Постоянные!$Z$8:$Z$367,"Расход",Постоянные!$AA$8:$AA$367,$B35,Постоянные!$AD$8:$AD$367,$C$5)+SUMIFS(Покупки!$S$7:$S$18,Покупки!$D$7:$D$18,$B35,Покупки!$Q$7:$Q$18,$C$5)+SUMIFS(Операции!$Q$10:$Q$1009,Операции!$D$10:$D$1009,"Расход",Операции!$E$10:$E$1009,$B35,Операции!$P$10:$P$1009,$C$5))</f>
        <v/>
      </c>
      <c r="F35" s="256">
        <f>IF($C35="","",$C35-$E35)</f>
        <v/>
      </c>
      <c r="G35" s="144">
        <f>IFERROR($E35/$C35,0)</f>
        <v/>
      </c>
      <c r="I35" s="53" t="n">
        <v>24</v>
      </c>
      <c r="J35" s="257">
        <f>IF(DAY(DATE(YEAR($C$5),MONTH($C$5),$I35))&lt;&gt;$I35,"",SUMIFS(Журнал!$P$10:$P$1509,Журнал!$D$10:$D$1509,"&lt;&gt;Доход",Журнал!$C$10:$C$1509,DATE(YEAR($C$5),MONTH($C$5),$I35))+SUMIFS(Постоянные!$AC$8:$AC$367,Постоянные!$Z$8:$Z$367,"Расход",Постоянные!$Y$8:$Y$367,DATE(YEAR($C$5),MONTH($C$5),$I35))+SUMIFS(Покупки!$S$7:$S$18,Покупки!$G$7:$G$18,DATE(YEAR($C$5),MONTH($C$5),$I35))+SUMIFS(Операции!$Q$10:$Q$1009,Операции!$D$10:$D$1009,"Расход",Операции!$C$10:$C$1009,DATE(YEAR($C$5),MONTH($C$5),$I35)))</f>
        <v/>
      </c>
      <c r="Z35">
        <f>IF($B35="",-1,N($E35)-ROW()/1000000)</f>
        <v/>
      </c>
    </row>
    <row r="36" ht="19" customHeight="1">
      <c r="B36" s="141">
        <f>IF(Настройки!$J$30="","",Настройки!$J$30)</f>
        <v/>
      </c>
      <c r="C36" s="196" t="n"/>
      <c r="D36" s="255">
        <f>IF($B36="",0,SUMIFS(Журнал!$Q$10:$Q$1509,Журнал!$D$10:$D$1509,"&lt;&gt;Доход",Журнал!$E$10:$E$1509,$B36,Журнал!$R$10:$R$1509,$C$5)+SUMIFS(Постоянные!$AB$8:$AB$367,Постоянные!$Z$8:$Z$367,"Расход",Постоянные!$AA$8:$AA$367,$B36,Постоянные!$AD$8:$AD$367,$C$5)+SUMIFS(Покупки!$R$7:$R$18,Покупки!$D$7:$D$18,$B36,Покупки!$Q$7:$Q$18,$C$5))</f>
        <v/>
      </c>
      <c r="E36" s="246">
        <f>IF($B36="",0,SUMIFS(Журнал!$P$10:$P$1509,Журнал!$D$10:$D$1509,"&lt;&gt;Доход",Журнал!$E$10:$E$1509,$B36,Журнал!$R$10:$R$1509,$C$5)+SUMIFS(Постоянные!$AC$8:$AC$367,Постоянные!$Z$8:$Z$367,"Расход",Постоянные!$AA$8:$AA$367,$B36,Постоянные!$AD$8:$AD$367,$C$5)+SUMIFS(Покупки!$S$7:$S$18,Покупки!$D$7:$D$18,$B36,Покупки!$Q$7:$Q$18,$C$5)+SUMIFS(Операции!$Q$10:$Q$1009,Операции!$D$10:$D$1009,"Расход",Операции!$E$10:$E$1009,$B36,Операции!$P$10:$P$1009,$C$5))</f>
        <v/>
      </c>
      <c r="F36" s="256">
        <f>IF($C36="","",$C36-$E36)</f>
        <v/>
      </c>
      <c r="G36" s="144">
        <f>IFERROR($E36/$C36,0)</f>
        <v/>
      </c>
      <c r="I36" s="53" t="n">
        <v>25</v>
      </c>
      <c r="J36" s="257">
        <f>IF(DAY(DATE(YEAR($C$5),MONTH($C$5),$I36))&lt;&gt;$I36,"",SUMIFS(Журнал!$P$10:$P$1509,Журнал!$D$10:$D$1509,"&lt;&gt;Доход",Журнал!$C$10:$C$1509,DATE(YEAR($C$5),MONTH($C$5),$I36))+SUMIFS(Постоянные!$AC$8:$AC$367,Постоянные!$Z$8:$Z$367,"Расход",Постоянные!$Y$8:$Y$367,DATE(YEAR($C$5),MONTH($C$5),$I36))+SUMIFS(Покупки!$S$7:$S$18,Покупки!$G$7:$G$18,DATE(YEAR($C$5),MONTH($C$5),$I36))+SUMIFS(Операции!$Q$10:$Q$1009,Операции!$D$10:$D$1009,"Расход",Операции!$C$10:$C$1009,DATE(YEAR($C$5),MONTH($C$5),$I36)))</f>
        <v/>
      </c>
      <c r="Z36">
        <f>IF($B36="",-1,N($E36)-ROW()/1000000)</f>
        <v/>
      </c>
    </row>
    <row r="37" ht="19" customHeight="1">
      <c r="B37" s="141">
        <f>IF(Настройки!$J$31="","",Настройки!$J$31)</f>
        <v/>
      </c>
      <c r="C37" s="196" t="n"/>
      <c r="D37" s="255">
        <f>IF($B37="",0,SUMIFS(Журнал!$Q$10:$Q$1509,Журнал!$D$10:$D$1509,"&lt;&gt;Доход",Журнал!$E$10:$E$1509,$B37,Журнал!$R$10:$R$1509,$C$5)+SUMIFS(Постоянные!$AB$8:$AB$367,Постоянные!$Z$8:$Z$367,"Расход",Постоянные!$AA$8:$AA$367,$B37,Постоянные!$AD$8:$AD$367,$C$5)+SUMIFS(Покупки!$R$7:$R$18,Покупки!$D$7:$D$18,$B37,Покупки!$Q$7:$Q$18,$C$5))</f>
        <v/>
      </c>
      <c r="E37" s="246">
        <f>IF($B37="",0,SUMIFS(Журнал!$P$10:$P$1509,Журнал!$D$10:$D$1509,"&lt;&gt;Доход",Журнал!$E$10:$E$1509,$B37,Журнал!$R$10:$R$1509,$C$5)+SUMIFS(Постоянные!$AC$8:$AC$367,Постоянные!$Z$8:$Z$367,"Расход",Постоянные!$AA$8:$AA$367,$B37,Постоянные!$AD$8:$AD$367,$C$5)+SUMIFS(Покупки!$S$7:$S$18,Покупки!$D$7:$D$18,$B37,Покупки!$Q$7:$Q$18,$C$5)+SUMIFS(Операции!$Q$10:$Q$1009,Операции!$D$10:$D$1009,"Расход",Операции!$E$10:$E$1009,$B37,Операции!$P$10:$P$1009,$C$5))</f>
        <v/>
      </c>
      <c r="F37" s="256">
        <f>IF($C37="","",$C37-$E37)</f>
        <v/>
      </c>
      <c r="G37" s="144">
        <f>IFERROR($E37/$C37,0)</f>
        <v/>
      </c>
      <c r="I37" s="53" t="n">
        <v>26</v>
      </c>
      <c r="J37" s="257">
        <f>IF(DAY(DATE(YEAR($C$5),MONTH($C$5),$I37))&lt;&gt;$I37,"",SUMIFS(Журнал!$P$10:$P$1509,Журнал!$D$10:$D$1509,"&lt;&gt;Доход",Журнал!$C$10:$C$1509,DATE(YEAR($C$5),MONTH($C$5),$I37))+SUMIFS(Постоянные!$AC$8:$AC$367,Постоянные!$Z$8:$Z$367,"Расход",Постоянные!$Y$8:$Y$367,DATE(YEAR($C$5),MONTH($C$5),$I37))+SUMIFS(Покупки!$S$7:$S$18,Покупки!$G$7:$G$18,DATE(YEAR($C$5),MONTH($C$5),$I37))+SUMIFS(Операции!$Q$10:$Q$1009,Операции!$D$10:$D$1009,"Расход",Операции!$C$10:$C$1009,DATE(YEAR($C$5),MONTH($C$5),$I37)))</f>
        <v/>
      </c>
      <c r="Z37">
        <f>IF($B37="",-1,N($E37)-ROW()/1000000)</f>
        <v/>
      </c>
    </row>
    <row r="38" ht="19" customHeight="1">
      <c r="B38" s="141">
        <f>IF(Настройки!$J$32="","",Настройки!$J$32)</f>
        <v/>
      </c>
      <c r="C38" s="196" t="n"/>
      <c r="D38" s="255">
        <f>IF($B38="",0,SUMIFS(Журнал!$Q$10:$Q$1509,Журнал!$D$10:$D$1509,"&lt;&gt;Доход",Журнал!$E$10:$E$1509,$B38,Журнал!$R$10:$R$1509,$C$5)+SUMIFS(Постоянные!$AB$8:$AB$367,Постоянные!$Z$8:$Z$367,"Расход",Постоянные!$AA$8:$AA$367,$B38,Постоянные!$AD$8:$AD$367,$C$5)+SUMIFS(Покупки!$R$7:$R$18,Покупки!$D$7:$D$18,$B38,Покупки!$Q$7:$Q$18,$C$5))</f>
        <v/>
      </c>
      <c r="E38" s="246">
        <f>IF($B38="",0,SUMIFS(Журнал!$P$10:$P$1509,Журнал!$D$10:$D$1509,"&lt;&gt;Доход",Журнал!$E$10:$E$1509,$B38,Журнал!$R$10:$R$1509,$C$5)+SUMIFS(Постоянные!$AC$8:$AC$367,Постоянные!$Z$8:$Z$367,"Расход",Постоянные!$AA$8:$AA$367,$B38,Постоянные!$AD$8:$AD$367,$C$5)+SUMIFS(Покупки!$S$7:$S$18,Покупки!$D$7:$D$18,$B38,Покупки!$Q$7:$Q$18,$C$5)+SUMIFS(Операции!$Q$10:$Q$1009,Операции!$D$10:$D$1009,"Расход",Операции!$E$10:$E$1009,$B38,Операции!$P$10:$P$1009,$C$5))</f>
        <v/>
      </c>
      <c r="F38" s="256">
        <f>IF($C38="","",$C38-$E38)</f>
        <v/>
      </c>
      <c r="G38" s="144">
        <f>IFERROR($E38/$C38,0)</f>
        <v/>
      </c>
      <c r="I38" s="53" t="n">
        <v>27</v>
      </c>
      <c r="J38" s="257">
        <f>IF(DAY(DATE(YEAR($C$5),MONTH($C$5),$I38))&lt;&gt;$I38,"",SUMIFS(Журнал!$P$10:$P$1509,Журнал!$D$10:$D$1509,"&lt;&gt;Доход",Журнал!$C$10:$C$1509,DATE(YEAR($C$5),MONTH($C$5),$I38))+SUMIFS(Постоянные!$AC$8:$AC$367,Постоянные!$Z$8:$Z$367,"Расход",Постоянные!$Y$8:$Y$367,DATE(YEAR($C$5),MONTH($C$5),$I38))+SUMIFS(Покупки!$S$7:$S$18,Покупки!$G$7:$G$18,DATE(YEAR($C$5),MONTH($C$5),$I38))+SUMIFS(Операции!$Q$10:$Q$1009,Операции!$D$10:$D$1009,"Расход",Операции!$C$10:$C$1009,DATE(YEAR($C$5),MONTH($C$5),$I38)))</f>
        <v/>
      </c>
      <c r="Z38">
        <f>IF($B38="",-1,N($E38)-ROW()/1000000)</f>
        <v/>
      </c>
    </row>
    <row r="39" ht="19" customHeight="1">
      <c r="B39" s="141">
        <f>IF(Настройки!$J$33="","",Настройки!$J$33)</f>
        <v/>
      </c>
      <c r="C39" s="196" t="n"/>
      <c r="D39" s="255">
        <f>IF($B39="",0,SUMIFS(Журнал!$Q$10:$Q$1509,Журнал!$D$10:$D$1509,"&lt;&gt;Доход",Журнал!$E$10:$E$1509,$B39,Журнал!$R$10:$R$1509,$C$5)+SUMIFS(Постоянные!$AB$8:$AB$367,Постоянные!$Z$8:$Z$367,"Расход",Постоянные!$AA$8:$AA$367,$B39,Постоянные!$AD$8:$AD$367,$C$5)+SUMIFS(Покупки!$R$7:$R$18,Покупки!$D$7:$D$18,$B39,Покупки!$Q$7:$Q$18,$C$5))</f>
        <v/>
      </c>
      <c r="E39" s="246">
        <f>IF($B39="",0,SUMIFS(Журнал!$P$10:$P$1509,Журнал!$D$10:$D$1509,"&lt;&gt;Доход",Журнал!$E$10:$E$1509,$B39,Журнал!$R$10:$R$1509,$C$5)+SUMIFS(Постоянные!$AC$8:$AC$367,Постоянные!$Z$8:$Z$367,"Расход",Постоянные!$AA$8:$AA$367,$B39,Постоянные!$AD$8:$AD$367,$C$5)+SUMIFS(Покупки!$S$7:$S$18,Покупки!$D$7:$D$18,$B39,Покупки!$Q$7:$Q$18,$C$5)+SUMIFS(Операции!$Q$10:$Q$1009,Операции!$D$10:$D$1009,"Расход",Операции!$E$10:$E$1009,$B39,Операции!$P$10:$P$1009,$C$5))</f>
        <v/>
      </c>
      <c r="F39" s="256">
        <f>IF($C39="","",$C39-$E39)</f>
        <v/>
      </c>
      <c r="G39" s="144">
        <f>IFERROR($E39/$C39,0)</f>
        <v/>
      </c>
      <c r="I39" s="53" t="n">
        <v>28</v>
      </c>
      <c r="J39" s="257">
        <f>IF(DAY(DATE(YEAR($C$5),MONTH($C$5),$I39))&lt;&gt;$I39,"",SUMIFS(Журнал!$P$10:$P$1509,Журнал!$D$10:$D$1509,"&lt;&gt;Доход",Журнал!$C$10:$C$1509,DATE(YEAR($C$5),MONTH($C$5),$I39))+SUMIFS(Постоянные!$AC$8:$AC$367,Постоянные!$Z$8:$Z$367,"Расход",Постоянные!$Y$8:$Y$367,DATE(YEAR($C$5),MONTH($C$5),$I39))+SUMIFS(Покупки!$S$7:$S$18,Покупки!$G$7:$G$18,DATE(YEAR($C$5),MONTH($C$5),$I39))+SUMIFS(Операции!$Q$10:$Q$1009,Операции!$D$10:$D$1009,"Расход",Операции!$C$10:$C$1009,DATE(YEAR($C$5),MONTH($C$5),$I39)))</f>
        <v/>
      </c>
      <c r="Z39">
        <f>IF($B39="",-1,N($E39)-ROW()/1000000)</f>
        <v/>
      </c>
    </row>
    <row r="40" ht="19" customHeight="1">
      <c r="B40" s="141">
        <f>IF(Настройки!$J$34="","",Настройки!$J$34)</f>
        <v/>
      </c>
      <c r="C40" s="196" t="n"/>
      <c r="D40" s="255">
        <f>IF($B40="",0,SUMIFS(Журнал!$Q$10:$Q$1509,Журнал!$D$10:$D$1509,"&lt;&gt;Доход",Журнал!$E$10:$E$1509,$B40,Журнал!$R$10:$R$1509,$C$5)+SUMIFS(Постоянные!$AB$8:$AB$367,Постоянные!$Z$8:$Z$367,"Расход",Постоянные!$AA$8:$AA$367,$B40,Постоянные!$AD$8:$AD$367,$C$5)+SUMIFS(Покупки!$R$7:$R$18,Покупки!$D$7:$D$18,$B40,Покупки!$Q$7:$Q$18,$C$5))</f>
        <v/>
      </c>
      <c r="E40" s="246">
        <f>IF($B40="",0,SUMIFS(Журнал!$P$10:$P$1509,Журнал!$D$10:$D$1509,"&lt;&gt;Доход",Журнал!$E$10:$E$1509,$B40,Журнал!$R$10:$R$1509,$C$5)+SUMIFS(Постоянные!$AC$8:$AC$367,Постоянные!$Z$8:$Z$367,"Расход",Постоянные!$AA$8:$AA$367,$B40,Постоянные!$AD$8:$AD$367,$C$5)+SUMIFS(Покупки!$S$7:$S$18,Покупки!$D$7:$D$18,$B40,Покупки!$Q$7:$Q$18,$C$5)+SUMIFS(Операции!$Q$10:$Q$1009,Операции!$D$10:$D$1009,"Расход",Операции!$E$10:$E$1009,$B40,Операции!$P$10:$P$1009,$C$5))</f>
        <v/>
      </c>
      <c r="F40" s="256">
        <f>IF($C40="","",$C40-$E40)</f>
        <v/>
      </c>
      <c r="G40" s="144">
        <f>IFERROR($E40/$C40,0)</f>
        <v/>
      </c>
      <c r="I40" s="53" t="n">
        <v>29</v>
      </c>
      <c r="J40" s="257">
        <f>IF(DAY(DATE(YEAR($C$5),MONTH($C$5),$I40))&lt;&gt;$I40,"",SUMIFS(Журнал!$P$10:$P$1509,Журнал!$D$10:$D$1509,"&lt;&gt;Доход",Журнал!$C$10:$C$1509,DATE(YEAR($C$5),MONTH($C$5),$I40))+SUMIFS(Постоянные!$AC$8:$AC$367,Постоянные!$Z$8:$Z$367,"Расход",Постоянные!$Y$8:$Y$367,DATE(YEAR($C$5),MONTH($C$5),$I40))+SUMIFS(Покупки!$S$7:$S$18,Покупки!$G$7:$G$18,DATE(YEAR($C$5),MONTH($C$5),$I40))+SUMIFS(Операции!$Q$10:$Q$1009,Операции!$D$10:$D$1009,"Расход",Операции!$C$10:$C$1009,DATE(YEAR($C$5),MONTH($C$5),$I40)))</f>
        <v/>
      </c>
      <c r="Z40">
        <f>IF($B40="",-1,N($E40)-ROW()/1000000)</f>
        <v/>
      </c>
    </row>
    <row r="41" ht="19" customHeight="1">
      <c r="B41" s="141">
        <f>IF(Настройки!$J$35="","",Настройки!$J$35)</f>
        <v/>
      </c>
      <c r="C41" s="196" t="n"/>
      <c r="D41" s="255">
        <f>IF($B41="",0,SUMIFS(Журнал!$Q$10:$Q$1509,Журнал!$D$10:$D$1509,"&lt;&gt;Доход",Журнал!$E$10:$E$1509,$B41,Журнал!$R$10:$R$1509,$C$5)+SUMIFS(Постоянные!$AB$8:$AB$367,Постоянные!$Z$8:$Z$367,"Расход",Постоянные!$AA$8:$AA$367,$B41,Постоянные!$AD$8:$AD$367,$C$5)+SUMIFS(Покупки!$R$7:$R$18,Покупки!$D$7:$D$18,$B41,Покупки!$Q$7:$Q$18,$C$5))</f>
        <v/>
      </c>
      <c r="E41" s="246">
        <f>IF($B41="",0,SUMIFS(Журнал!$P$10:$P$1509,Журнал!$D$10:$D$1509,"&lt;&gt;Доход",Журнал!$E$10:$E$1509,$B41,Журнал!$R$10:$R$1509,$C$5)+SUMIFS(Постоянные!$AC$8:$AC$367,Постоянные!$Z$8:$Z$367,"Расход",Постоянные!$AA$8:$AA$367,$B41,Постоянные!$AD$8:$AD$367,$C$5)+SUMIFS(Покупки!$S$7:$S$18,Покупки!$D$7:$D$18,$B41,Покупки!$Q$7:$Q$18,$C$5)+SUMIFS(Операции!$Q$10:$Q$1009,Операции!$D$10:$D$1009,"Расход",Операции!$E$10:$E$1009,$B41,Операции!$P$10:$P$1009,$C$5))</f>
        <v/>
      </c>
      <c r="F41" s="256">
        <f>IF($C41="","",$C41-$E41)</f>
        <v/>
      </c>
      <c r="G41" s="144">
        <f>IFERROR($E41/$C41,0)</f>
        <v/>
      </c>
      <c r="I41" s="53" t="n">
        <v>30</v>
      </c>
      <c r="J41" s="257">
        <f>IF(DAY(DATE(YEAR($C$5),MONTH($C$5),$I41))&lt;&gt;$I41,"",SUMIFS(Журнал!$P$10:$P$1509,Журнал!$D$10:$D$1509,"&lt;&gt;Доход",Журнал!$C$10:$C$1509,DATE(YEAR($C$5),MONTH($C$5),$I41))+SUMIFS(Постоянные!$AC$8:$AC$367,Постоянные!$Z$8:$Z$367,"Расход",Постоянные!$Y$8:$Y$367,DATE(YEAR($C$5),MONTH($C$5),$I41))+SUMIFS(Покупки!$S$7:$S$18,Покупки!$G$7:$G$18,DATE(YEAR($C$5),MONTH($C$5),$I41))+SUMIFS(Операции!$Q$10:$Q$1009,Операции!$D$10:$D$1009,"Расход",Операции!$C$10:$C$1009,DATE(YEAR($C$5),MONTH($C$5),$I41)))</f>
        <v/>
      </c>
      <c r="Z41">
        <f>IF($B41="",-1,N($E41)-ROW()/1000000)</f>
        <v/>
      </c>
    </row>
    <row r="42" ht="22" customHeight="1">
      <c r="B42" s="77" t="inlineStr">
        <is>
          <t>ИТОГО по категориям</t>
        </is>
      </c>
      <c r="C42" s="258">
        <f>SUM(C12:C41)</f>
        <v/>
      </c>
      <c r="D42" s="258">
        <f>SUM(D12:D41)</f>
        <v/>
      </c>
      <c r="E42" s="258">
        <f>SUM(E12:E41)</f>
        <v/>
      </c>
      <c r="F42" s="231">
        <f>C42-E42</f>
        <v/>
      </c>
      <c r="G42" s="147">
        <f>IFERROR(E42/C42,0)</f>
        <v/>
      </c>
      <c r="I42" s="53" t="n">
        <v>31</v>
      </c>
      <c r="J42" s="257">
        <f>IF(DAY(DATE(YEAR($C$5),MONTH($C$5),$I42))&lt;&gt;$I42,"",SUMIFS(Журнал!$P$10:$P$1509,Журнал!$D$10:$D$1509,"&lt;&gt;Доход",Журнал!$C$10:$C$1509,DATE(YEAR($C$5),MONTH($C$5),$I42))+SUMIFS(Постоянные!$AC$8:$AC$367,Постоянные!$Z$8:$Z$367,"Расход",Постоянные!$Y$8:$Y$367,DATE(YEAR($C$5),MONTH($C$5),$I42))+SUMIFS(Покупки!$S$7:$S$18,Покупки!$G$7:$G$18,DATE(YEAR($C$5),MONTH($C$5),$I42))+SUMIFS(Операции!$Q$10:$Q$1009,Операции!$D$10:$D$1009,"Расход",Операции!$C$10:$C$1009,DATE(YEAR($C$5),MONTH($C$5),$I42)))</f>
        <v/>
      </c>
    </row>
    <row r="43">
      <c r="B43" s="148" t="inlineStr">
        <is>
          <t>Без категории</t>
        </is>
      </c>
      <c r="C43" s="81" t="n"/>
      <c r="D43" s="259">
        <f>D8-D42</f>
        <v/>
      </c>
      <c r="E43" s="259">
        <f>E8-E42</f>
        <v/>
      </c>
      <c r="F43" s="81" t="n"/>
      <c r="G43" s="81" t="n"/>
    </row>
    <row r="44">
      <c r="B44" s="148" t="inlineStr">
        <is>
          <t>Возможных дублей (журнал и операции)</t>
        </is>
      </c>
      <c r="C44" s="232" t="n"/>
      <c r="D44" s="150">
        <f>COUNTIF(Журнал!$N$10:$N$1509,"?*")+COUNTIF(Операции!$K$10:$K$1009,"?*")</f>
        <v/>
      </c>
    </row>
    <row r="45">
      <c r="B45" s="148" t="inlineStr">
        <is>
          <t>Строк журнала и операций вне учётного года</t>
        </is>
      </c>
      <c r="C45" s="232" t="n"/>
      <c r="D45" s="151">
        <f>SUMPRODUCT((Журнал!$C$10:$C$1509&gt;0)*((Журнал!$R$10:$R$1509&lt;DATE(Настройки!$C$8,Настройки!$D$9,1))+(Журнал!$R$10:$R$1509&gt;(DATE(Настройки!$C$8,Настройки!$D$9+12,1)-1))))+SUMPRODUCT((Операции!$C$10:$C$1009&gt;0)*((Операции!$C$10:$C$1009&lt;DATE(Настройки!$C$8,Настройки!$D$9,1))+(Операции!$C$10:$C$1009&gt;(DATE(Настройки!$C$8,Настройки!$D$9+12,1)-1))))</f>
        <v/>
      </c>
    </row>
    <row r="47" ht="24" customHeight="1">
      <c r="B47" s="8" t="inlineStr">
        <is>
          <t>Куда ушли деньги (факт)</t>
        </is>
      </c>
    </row>
    <row r="48">
      <c r="B48" s="152" t="inlineStr">
        <is>
          <t>Статья</t>
        </is>
      </c>
      <c r="C48" s="152" t="inlineStr">
        <is>
          <t>Факт</t>
        </is>
      </c>
      <c r="D48" s="152" t="inlineStr">
        <is>
          <t>Доля</t>
        </is>
      </c>
    </row>
    <row r="49" ht="20" customHeight="1">
      <c r="B49" s="141">
        <f>IF(INDEX($E$12:$E$41,$Z49)&gt;0,INDEX($B$12:$B$41,$Z49),"")</f>
        <v/>
      </c>
      <c r="C49" s="260">
        <f>IF($B49="",0,INDEX($E$12:$E$41,$Z49))</f>
        <v/>
      </c>
      <c r="D49" s="261">
        <f>IF(OR($C49=0,N($E$42)=0),"",$C49/$E$42)</f>
        <v/>
      </c>
      <c r="Z49">
        <f>MATCH(LARGE($Z$12:$Z$41,1),$Z$12:$Z$41,0)</f>
        <v/>
      </c>
    </row>
    <row r="50" ht="20" customHeight="1">
      <c r="B50" s="141">
        <f>IF(INDEX($E$12:$E$41,$Z50)&gt;0,INDEX($B$12:$B$41,$Z50),"")</f>
        <v/>
      </c>
      <c r="C50" s="260">
        <f>IF($B50="",0,INDEX($E$12:$E$41,$Z50))</f>
        <v/>
      </c>
      <c r="D50" s="261">
        <f>IF(OR($C50=0,N($E$42)=0),"",$C50/$E$42)</f>
        <v/>
      </c>
      <c r="Z50">
        <f>MATCH(LARGE($Z$12:$Z$41,2),$Z$12:$Z$41,0)</f>
        <v/>
      </c>
    </row>
    <row r="51" ht="20" customHeight="1">
      <c r="B51" s="141">
        <f>IF(INDEX($E$12:$E$41,$Z51)&gt;0,INDEX($B$12:$B$41,$Z51),"")</f>
        <v/>
      </c>
      <c r="C51" s="260">
        <f>IF($B51="",0,INDEX($E$12:$E$41,$Z51))</f>
        <v/>
      </c>
      <c r="D51" s="261">
        <f>IF(OR($C51=0,N($E$42)=0),"",$C51/$E$42)</f>
        <v/>
      </c>
      <c r="Z51">
        <f>MATCH(LARGE($Z$12:$Z$41,3),$Z$12:$Z$41,0)</f>
        <v/>
      </c>
    </row>
    <row r="52" ht="20" customHeight="1">
      <c r="B52" s="141">
        <f>IF(INDEX($E$12:$E$41,$Z52)&gt;0,INDEX($B$12:$B$41,$Z52),"")</f>
        <v/>
      </c>
      <c r="C52" s="260">
        <f>IF($B52="",0,INDEX($E$12:$E$41,$Z52))</f>
        <v/>
      </c>
      <c r="D52" s="261">
        <f>IF(OR($C52=0,N($E$42)=0),"",$C52/$E$42)</f>
        <v/>
      </c>
      <c r="Z52">
        <f>MATCH(LARGE($Z$12:$Z$41,4),$Z$12:$Z$41,0)</f>
        <v/>
      </c>
    </row>
    <row r="53" ht="20" customHeight="1">
      <c r="B53" s="141">
        <f>IF(INDEX($E$12:$E$41,$Z53)&gt;0,INDEX($B$12:$B$41,$Z53),"")</f>
        <v/>
      </c>
      <c r="C53" s="260">
        <f>IF($B53="",0,INDEX($E$12:$E$41,$Z53))</f>
        <v/>
      </c>
      <c r="D53" s="261">
        <f>IF(OR($C53=0,N($E$42)=0),"",$C53/$E$42)</f>
        <v/>
      </c>
      <c r="Z53">
        <f>MATCH(LARGE($Z$12:$Z$41,5),$Z$12:$Z$41,0)</f>
        <v/>
      </c>
    </row>
    <row r="54" ht="20" customHeight="1">
      <c r="B54" s="141">
        <f>IF(INDEX($E$12:$E$41,$Z54)&gt;0,INDEX($B$12:$B$41,$Z54),"")</f>
        <v/>
      </c>
      <c r="C54" s="260">
        <f>IF($B54="",0,INDEX($E$12:$E$41,$Z54))</f>
        <v/>
      </c>
      <c r="D54" s="261">
        <f>IF(OR($C54=0,N($E$42)=0),"",$C54/$E$42)</f>
        <v/>
      </c>
      <c r="Z54">
        <f>MATCH(LARGE($Z$12:$Z$41,6),$Z$12:$Z$41,0)</f>
        <v/>
      </c>
    </row>
    <row r="55" ht="20" customHeight="1">
      <c r="B55" s="141">
        <f>IF(INDEX($E$12:$E$41,$Z55)&gt;0,INDEX($B$12:$B$41,$Z55),"")</f>
        <v/>
      </c>
      <c r="C55" s="260">
        <f>IF($B55="",0,INDEX($E$12:$E$41,$Z55))</f>
        <v/>
      </c>
      <c r="D55" s="261">
        <f>IF(OR($C55=0,N($E$42)=0),"",$C55/$E$42)</f>
        <v/>
      </c>
      <c r="Z55">
        <f>MATCH(LARGE($Z$12:$Z$41,7),$Z$12:$Z$41,0)</f>
        <v/>
      </c>
    </row>
    <row r="56" ht="20" customHeight="1">
      <c r="B56" s="22">
        <f>IF(C56&gt;0,"Остальное","")</f>
        <v/>
      </c>
      <c r="C56" s="260">
        <f>MAX(0,$E$42-SUM(C49:C55))</f>
        <v/>
      </c>
      <c r="D56" s="261">
        <f>IF(OR($C56=0,N($E$42)=0),"",$C56/$E$42)</f>
        <v/>
      </c>
    </row>
  </sheetData>
  <mergeCells count="6">
    <mergeCell ref="B44:C44"/>
    <mergeCell ref="B3:J3"/>
    <mergeCell ref="B45:C45"/>
    <mergeCell ref="B47:D47"/>
    <mergeCell ref="B2:J2"/>
    <mergeCell ref="C4:D4"/>
  </mergeCells>
  <conditionalFormatting sqref="G12:G41">
    <cfRule type="dataBar" priority="1">
      <dataBar>
        <cfvo type="num" val="0"/>
        <cfvo type="num" val="1"/>
        <color rgb="000E9F6E"/>
      </dataBar>
    </cfRule>
  </conditionalFormatting>
  <conditionalFormatting sqref="D12:D41">
    <cfRule type="expression" priority="2" dxfId="12">
      <formula>AND($C12&gt;0,$D12&gt;$C12)</formula>
    </cfRule>
  </conditionalFormatting>
  <conditionalFormatting sqref="F12:F41">
    <cfRule type="cellIs" priority="3" operator="lessThan" dxfId="13">
      <formula>0</formula>
    </cfRule>
  </conditionalFormatting>
  <conditionalFormatting sqref="D44:D45">
    <cfRule type="cellIs" priority="4" operator="greaterThan" dxfId="4">
      <formula>0</formula>
    </cfRule>
  </conditionalFormatting>
  <conditionalFormatting sqref="D49:D56">
    <cfRule type="dataBar" priority="5">
      <dataBar>
        <cfvo type="num" val="0"/>
        <cfvo type="num" val="1"/>
        <color rgb="00C2870B"/>
      </dataBar>
    </cfRule>
  </conditionalFormatting>
  <dataValidations count="1">
    <dataValidation sqref="C4" showDropDown="0" showInputMessage="0" showErrorMessage="0" allowBlank="1" type="list">
      <formula1>Настройки!$X$6:$X$17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C5CD6"/>
    <outlinePr summaryBelow="1" summaryRight="1"/>
    <pageSetUpPr/>
  </sheetPr>
  <dimension ref="B2:Q2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16" customWidth="1" min="3" max="3"/>
    <col width="16" customWidth="1" min="4" max="4"/>
    <col width="16" customWidth="1" min="5" max="5"/>
    <col width="2.5" customWidth="1" min="6" max="6"/>
    <col width="2.5" customWidth="1" min="7" max="7"/>
    <col width="5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2" customWidth="1" min="17" max="17"/>
    <col width="2.5" customWidth="1" min="18" max="18"/>
  </cols>
  <sheetData>
    <row r="1" ht="6" customHeight="1"/>
    <row r="2" ht="34" customHeight="1">
      <c r="B2" s="1" t="inlineStr">
        <is>
          <t>Прогноз на три месяца</t>
        </is>
      </c>
    </row>
    <row r="3" ht="20" customHeight="1">
      <c r="B3" s="3" t="inlineStr">
        <is>
          <t>Хватит ли денег: по месяцам и по неделям, с учётом подушки</t>
        </is>
      </c>
    </row>
    <row r="5" ht="22" customHeight="1">
      <c r="B5" s="77" t="inlineStr">
        <is>
          <t>Месяц</t>
        </is>
      </c>
      <c r="C5" s="155">
        <f>INDEX(Настройки!$V$6:$V$17,MONTH(DATE(Настройки!$C$6,Настройки!$D$7+0,1)))&amp;" "&amp;YEAR(DATE(Настройки!$C$6,Настройки!$D$7+0,1))</f>
        <v/>
      </c>
      <c r="D5" s="155">
        <f>INDEX(Настройки!$V$6:$V$17,MONTH(DATE(Настройки!$C$6,Настройки!$D$7+1,1)))&amp;" "&amp;YEAR(DATE(Настройки!$C$6,Настройки!$D$7+1,1))</f>
        <v/>
      </c>
      <c r="E5" s="155">
        <f>INDEX(Настройки!$V$6:$V$17,MONTH(DATE(Настройки!$C$6,Настройки!$D$7+2,1)))&amp;" "&amp;YEAR(DATE(Настройки!$C$6,Настройки!$D$7+2,1))</f>
        <v/>
      </c>
      <c r="H5" s="156" t="inlineStr">
        <is>
          <t>№</t>
        </is>
      </c>
      <c r="I5" s="156" t="inlineStr">
        <is>
          <t>Начало</t>
        </is>
      </c>
      <c r="J5" s="156" t="inlineStr">
        <is>
          <t>Конец</t>
        </is>
      </c>
      <c r="K5" s="156" t="inlineStr">
        <is>
          <t>Поступления</t>
        </is>
      </c>
      <c r="L5" s="156" t="inlineStr">
        <is>
          <t>Постоянные</t>
        </is>
      </c>
      <c r="M5" s="156" t="inlineStr">
        <is>
          <t>Разовые</t>
        </is>
      </c>
      <c r="N5" s="156" t="inlineStr">
        <is>
          <t>Покупки</t>
        </is>
      </c>
      <c r="O5" s="156" t="inlineStr">
        <is>
          <t>Расходы всего</t>
        </is>
      </c>
      <c r="P5" s="156" t="inlineStr">
        <is>
          <t>Остаток на конец</t>
        </is>
      </c>
      <c r="Q5" s="156" t="inlineStr">
        <is>
          <t>Подушка</t>
        </is>
      </c>
    </row>
    <row r="6" ht="20" customHeight="1">
      <c r="B6" s="80" t="inlineStr">
        <is>
          <t>Период с</t>
        </is>
      </c>
      <c r="C6" s="262">
        <f>DATE(Настройки!$C$6,Настройки!$D$7+0,1)</f>
        <v/>
      </c>
      <c r="D6" s="262">
        <f>DATE(Настройки!$C$6,Настройки!$D$7+1,1)</f>
        <v/>
      </c>
      <c r="E6" s="262">
        <f>DATE(Настройки!$C$6,Настройки!$D$7+2,1)</f>
        <v/>
      </c>
      <c r="H6" s="53" t="n">
        <v>1</v>
      </c>
      <c r="I6" s="263">
        <f>DATE(Настройки!$C$6,Настройки!$D$7,1)-WEEKDAY(DATE(Настройки!$C$6,Настройки!$D$7,1),2)+1</f>
        <v/>
      </c>
      <c r="J6" s="263">
        <f>I6+6</f>
        <v/>
      </c>
      <c r="K6" s="264">
        <f>SUMIFS(Журнал!$S$10:$S$1509,Журнал!$D$10:$D$1509,"Доход",Журнал!$C$10:$C$1509,"&gt;="&amp;$I6,Журнал!$C$10:$C$1509,"&lt;="&amp;$J6)+SUMIFS(Постоянные!$AJ$8:$AJ$97,Постоянные!$AH$8:$AH$97,"Доход",Постоянные!$AG$8:$AG$97,"&gt;="&amp;$I6,Постоянные!$AG$8:$AG$97,"&lt;="&amp;$J6)+SUMIFS(Операции!$Q$10:$Q$1009,Операции!$D$10:$D$1009,"Доход",Операции!$C$10:$C$1009,"&gt;="&amp;$I6,Операции!$C$10:$C$1009,"&lt;="&amp;$J6)</f>
        <v/>
      </c>
      <c r="L6" s="255">
        <f>SUMIFS(Постоянные!$AJ$8:$AJ$97,Постоянные!$AH$8:$AH$97,"Расход",Постоянные!$AG$8:$AG$97,"&gt;="&amp;$I6,Постоянные!$AG$8:$AG$97,"&lt;="&amp;$J6)</f>
        <v/>
      </c>
      <c r="M6" s="255">
        <f>SUMIFS(Журнал!$S$10:$S$1509,Журнал!$D$10:$D$1509,"&lt;&gt;Доход",Журнал!$C$10:$C$1509,"&gt;="&amp;$I6,Журнал!$C$10:$C$1509,"&lt;="&amp;$J6)+SUMIFS(Операции!$Q$10:$Q$1009,Операции!$D$10:$D$1009,"Расход",Операции!$C$10:$C$1009,"&gt;="&amp;$I6,Операции!$C$10:$C$1009,"&lt;="&amp;$J6)</f>
        <v/>
      </c>
      <c r="N6" s="255">
        <f>SUMIFS(Покупки!$T$7:$T$18,Покупки!$G$7:$G$18,"&gt;="&amp;$I6,Покупки!$G$7:$G$18,"&lt;="&amp;$J6)</f>
        <v/>
      </c>
      <c r="O6" s="265">
        <f>SUM(L6:N6)</f>
        <v/>
      </c>
      <c r="P6" s="266">
        <f>Настройки!$C$10+K6-O6</f>
        <v/>
      </c>
      <c r="Q6" s="267">
        <f>Настройки!$C$11</f>
        <v/>
      </c>
    </row>
    <row r="7" ht="20" customHeight="1">
      <c r="B7" s="80" t="inlineStr">
        <is>
          <t>по</t>
        </is>
      </c>
      <c r="C7" s="262">
        <f>DATE(Настройки!$C$6,Настройки!$D$7+0+1,1)-1</f>
        <v/>
      </c>
      <c r="D7" s="262">
        <f>DATE(Настройки!$C$6,Настройки!$D$7+1+1,1)-1</f>
        <v/>
      </c>
      <c r="E7" s="262">
        <f>DATE(Настройки!$C$6,Настройки!$D$7+2+1,1)-1</f>
        <v/>
      </c>
      <c r="H7" s="53" t="n">
        <v>2</v>
      </c>
      <c r="I7" s="263">
        <f>I6+7</f>
        <v/>
      </c>
      <c r="J7" s="263">
        <f>I7+6</f>
        <v/>
      </c>
      <c r="K7" s="264">
        <f>SUMIFS(Журнал!$S$10:$S$1509,Журнал!$D$10:$D$1509,"Доход",Журнал!$C$10:$C$1509,"&gt;="&amp;$I7,Журнал!$C$10:$C$1509,"&lt;="&amp;$J7)+SUMIFS(Постоянные!$AJ$8:$AJ$97,Постоянные!$AH$8:$AH$97,"Доход",Постоянные!$AG$8:$AG$97,"&gt;="&amp;$I7,Постоянные!$AG$8:$AG$97,"&lt;="&amp;$J7)+SUMIFS(Операции!$Q$10:$Q$1009,Операции!$D$10:$D$1009,"Доход",Операции!$C$10:$C$1009,"&gt;="&amp;$I7,Операции!$C$10:$C$1009,"&lt;="&amp;$J7)</f>
        <v/>
      </c>
      <c r="L7" s="255">
        <f>SUMIFS(Постоянные!$AJ$8:$AJ$97,Постоянные!$AH$8:$AH$97,"Расход",Постоянные!$AG$8:$AG$97,"&gt;="&amp;$I7,Постоянные!$AG$8:$AG$97,"&lt;="&amp;$J7)</f>
        <v/>
      </c>
      <c r="M7" s="255">
        <f>SUMIFS(Журнал!$S$10:$S$1509,Журнал!$D$10:$D$1509,"&lt;&gt;Доход",Журнал!$C$10:$C$1509,"&gt;="&amp;$I7,Журнал!$C$10:$C$1509,"&lt;="&amp;$J7)+SUMIFS(Операции!$Q$10:$Q$1009,Операции!$D$10:$D$1009,"Расход",Операции!$C$10:$C$1009,"&gt;="&amp;$I7,Операции!$C$10:$C$1009,"&lt;="&amp;$J7)</f>
        <v/>
      </c>
      <c r="N7" s="255">
        <f>SUMIFS(Покупки!$T$7:$T$18,Покупки!$G$7:$G$18,"&gt;="&amp;$I7,Покупки!$G$7:$G$18,"&lt;="&amp;$J7)</f>
        <v/>
      </c>
      <c r="O7" s="265">
        <f>SUM(L7:N7)</f>
        <v/>
      </c>
      <c r="P7" s="266">
        <f>P6+K7-O7</f>
        <v/>
      </c>
      <c r="Q7" s="267">
        <f>Настройки!$C$11</f>
        <v/>
      </c>
    </row>
    <row r="8" ht="20" customHeight="1">
      <c r="B8" s="80" t="inlineStr">
        <is>
          <t>Доходы</t>
        </is>
      </c>
      <c r="C8" s="268">
        <f>SUMIFS(Журнал!$S$10:$S$1509,Журнал!$D$10:$D$1509,"Доход",Журнал!$R$10:$R$1509,C$6)+SUMIFS(Постоянные!$AJ$8:$AJ$97,Постоянные!$AH$8:$AH$97,"Доход",Постоянные!$AG$8:$AG$97,"&gt;="&amp;C$6,Постоянные!$AG$8:$AG$97,"&lt;="&amp;C$7)+SUMIFS(Операции!$Q$10:$Q$1009,Операции!$D$10:$D$1009,"Доход",Операции!$C$10:$C$1009,"&gt;="&amp;C$6,Операции!$C$10:$C$1009,"&lt;="&amp;C$7)</f>
        <v/>
      </c>
      <c r="D8" s="268">
        <f>SUMIFS(Журнал!$S$10:$S$1509,Журнал!$D$10:$D$1509,"Доход",Журнал!$R$10:$R$1509,D$6)+SUMIFS(Постоянные!$AJ$8:$AJ$97,Постоянные!$AH$8:$AH$97,"Доход",Постоянные!$AG$8:$AG$97,"&gt;="&amp;D$6,Постоянные!$AG$8:$AG$97,"&lt;="&amp;D$7)+SUMIFS(Операции!$Q$10:$Q$1009,Операции!$D$10:$D$1009,"Доход",Операции!$C$10:$C$1009,"&gt;="&amp;D$6,Операции!$C$10:$C$1009,"&lt;="&amp;D$7)</f>
        <v/>
      </c>
      <c r="E8" s="268">
        <f>SUMIFS(Журнал!$S$10:$S$1509,Журнал!$D$10:$D$1509,"Доход",Журнал!$R$10:$R$1509,E$6)+SUMIFS(Постоянные!$AJ$8:$AJ$97,Постоянные!$AH$8:$AH$97,"Доход",Постоянные!$AG$8:$AG$97,"&gt;="&amp;E$6,Постоянные!$AG$8:$AG$97,"&lt;="&amp;E$7)+SUMIFS(Операции!$Q$10:$Q$1009,Операции!$D$10:$D$1009,"Доход",Операции!$C$10:$C$1009,"&gt;="&amp;E$6,Операции!$C$10:$C$1009,"&lt;="&amp;E$7)</f>
        <v/>
      </c>
      <c r="H8" s="53" t="n">
        <v>3</v>
      </c>
      <c r="I8" s="263">
        <f>I7+7</f>
        <v/>
      </c>
      <c r="J8" s="263">
        <f>I8+6</f>
        <v/>
      </c>
      <c r="K8" s="264">
        <f>SUMIFS(Журнал!$S$10:$S$1509,Журнал!$D$10:$D$1509,"Доход",Журнал!$C$10:$C$1509,"&gt;="&amp;$I8,Журнал!$C$10:$C$1509,"&lt;="&amp;$J8)+SUMIFS(Постоянные!$AJ$8:$AJ$97,Постоянные!$AH$8:$AH$97,"Доход",Постоянные!$AG$8:$AG$97,"&gt;="&amp;$I8,Постоянные!$AG$8:$AG$97,"&lt;="&amp;$J8)+SUMIFS(Операции!$Q$10:$Q$1009,Операции!$D$10:$D$1009,"Доход",Операции!$C$10:$C$1009,"&gt;="&amp;$I8,Операции!$C$10:$C$1009,"&lt;="&amp;$J8)</f>
        <v/>
      </c>
      <c r="L8" s="255">
        <f>SUMIFS(Постоянные!$AJ$8:$AJ$97,Постоянные!$AH$8:$AH$97,"Расход",Постоянные!$AG$8:$AG$97,"&gt;="&amp;$I8,Постоянные!$AG$8:$AG$97,"&lt;="&amp;$J8)</f>
        <v/>
      </c>
      <c r="M8" s="255">
        <f>SUMIFS(Журнал!$S$10:$S$1509,Журнал!$D$10:$D$1509,"&lt;&gt;Доход",Журнал!$C$10:$C$1509,"&gt;="&amp;$I8,Журнал!$C$10:$C$1509,"&lt;="&amp;$J8)+SUMIFS(Операции!$Q$10:$Q$1009,Операции!$D$10:$D$1009,"Расход",Операции!$C$10:$C$1009,"&gt;="&amp;$I8,Операции!$C$10:$C$1009,"&lt;="&amp;$J8)</f>
        <v/>
      </c>
      <c r="N8" s="255">
        <f>SUMIFS(Покупки!$T$7:$T$18,Покупки!$G$7:$G$18,"&gt;="&amp;$I8,Покупки!$G$7:$G$18,"&lt;="&amp;$J8)</f>
        <v/>
      </c>
      <c r="O8" s="265">
        <f>SUM(L8:N8)</f>
        <v/>
      </c>
      <c r="P8" s="266">
        <f>P7+K8-O8</f>
        <v/>
      </c>
      <c r="Q8" s="267">
        <f>Настройки!$C$11</f>
        <v/>
      </c>
    </row>
    <row r="9" ht="20" customHeight="1">
      <c r="B9" s="80" t="inlineStr">
        <is>
          <t>Постоянные расходы</t>
        </is>
      </c>
      <c r="C9" s="269">
        <f>SUMIFS(Постоянные!$AJ$8:$AJ$97,Постоянные!$AH$8:$AH$97,"Расход",Постоянные!$AG$8:$AG$97,"&gt;="&amp;C$6,Постоянные!$AG$8:$AG$97,"&lt;="&amp;C$7)</f>
        <v/>
      </c>
      <c r="D9" s="269">
        <f>SUMIFS(Постоянные!$AJ$8:$AJ$97,Постоянные!$AH$8:$AH$97,"Расход",Постоянные!$AG$8:$AG$97,"&gt;="&amp;D$6,Постоянные!$AG$8:$AG$97,"&lt;="&amp;D$7)</f>
        <v/>
      </c>
      <c r="E9" s="269">
        <f>SUMIFS(Постоянные!$AJ$8:$AJ$97,Постоянные!$AH$8:$AH$97,"Расход",Постоянные!$AG$8:$AG$97,"&gt;="&amp;E$6,Постоянные!$AG$8:$AG$97,"&lt;="&amp;E$7)</f>
        <v/>
      </c>
      <c r="H9" s="53" t="n">
        <v>4</v>
      </c>
      <c r="I9" s="263">
        <f>I8+7</f>
        <v/>
      </c>
      <c r="J9" s="263">
        <f>I9+6</f>
        <v/>
      </c>
      <c r="K9" s="264">
        <f>SUMIFS(Журнал!$S$10:$S$1509,Журнал!$D$10:$D$1509,"Доход",Журнал!$C$10:$C$1509,"&gt;="&amp;$I9,Журнал!$C$10:$C$1509,"&lt;="&amp;$J9)+SUMIFS(Постоянные!$AJ$8:$AJ$97,Постоянные!$AH$8:$AH$97,"Доход",Постоянные!$AG$8:$AG$97,"&gt;="&amp;$I9,Постоянные!$AG$8:$AG$97,"&lt;="&amp;$J9)+SUMIFS(Операции!$Q$10:$Q$1009,Операции!$D$10:$D$1009,"Доход",Операции!$C$10:$C$1009,"&gt;="&amp;$I9,Операции!$C$10:$C$1009,"&lt;="&amp;$J9)</f>
        <v/>
      </c>
      <c r="L9" s="255">
        <f>SUMIFS(Постоянные!$AJ$8:$AJ$97,Постоянные!$AH$8:$AH$97,"Расход",Постоянные!$AG$8:$AG$97,"&gt;="&amp;$I9,Постоянные!$AG$8:$AG$97,"&lt;="&amp;$J9)</f>
        <v/>
      </c>
      <c r="M9" s="255">
        <f>SUMIFS(Журнал!$S$10:$S$1509,Журнал!$D$10:$D$1509,"&lt;&gt;Доход",Журнал!$C$10:$C$1509,"&gt;="&amp;$I9,Журнал!$C$10:$C$1509,"&lt;="&amp;$J9)+SUMIFS(Операции!$Q$10:$Q$1009,Операции!$D$10:$D$1009,"Расход",Операции!$C$10:$C$1009,"&gt;="&amp;$I9,Операции!$C$10:$C$1009,"&lt;="&amp;$J9)</f>
        <v/>
      </c>
      <c r="N9" s="255">
        <f>SUMIFS(Покупки!$T$7:$T$18,Покупки!$G$7:$G$18,"&gt;="&amp;$I9,Покупки!$G$7:$G$18,"&lt;="&amp;$J9)</f>
        <v/>
      </c>
      <c r="O9" s="265">
        <f>SUM(L9:N9)</f>
        <v/>
      </c>
      <c r="P9" s="266">
        <f>P8+K9-O9</f>
        <v/>
      </c>
      <c r="Q9" s="267">
        <f>Настройки!$C$11</f>
        <v/>
      </c>
    </row>
    <row r="10" ht="20" customHeight="1">
      <c r="B10" s="80" t="inlineStr">
        <is>
          <t>Разовые (журнал, операции)</t>
        </is>
      </c>
      <c r="C10" s="269">
        <f>SUMIFS(Журнал!$S$10:$S$1509,Журнал!$D$10:$D$1509,"&lt;&gt;Доход",Журнал!$R$10:$R$1509,C$6)+SUMIFS(Операции!$Q$10:$Q$1009,Операции!$D$10:$D$1009,"Расход",Операции!$C$10:$C$1009,"&gt;="&amp;C$6,Операции!$C$10:$C$1009,"&lt;="&amp;C$7)</f>
        <v/>
      </c>
      <c r="D10" s="269">
        <f>SUMIFS(Журнал!$S$10:$S$1509,Журнал!$D$10:$D$1509,"&lt;&gt;Доход",Журнал!$R$10:$R$1509,D$6)+SUMIFS(Операции!$Q$10:$Q$1009,Операции!$D$10:$D$1009,"Расход",Операции!$C$10:$C$1009,"&gt;="&amp;D$6,Операции!$C$10:$C$1009,"&lt;="&amp;D$7)</f>
        <v/>
      </c>
      <c r="E10" s="269">
        <f>SUMIFS(Журнал!$S$10:$S$1509,Журнал!$D$10:$D$1509,"&lt;&gt;Доход",Журнал!$R$10:$R$1509,E$6)+SUMIFS(Операции!$Q$10:$Q$1009,Операции!$D$10:$D$1009,"Расход",Операции!$C$10:$C$1009,"&gt;="&amp;E$6,Операции!$C$10:$C$1009,"&lt;="&amp;E$7)</f>
        <v/>
      </c>
      <c r="H10" s="53" t="n">
        <v>5</v>
      </c>
      <c r="I10" s="263">
        <f>I9+7</f>
        <v/>
      </c>
      <c r="J10" s="263">
        <f>I10+6</f>
        <v/>
      </c>
      <c r="K10" s="264">
        <f>SUMIFS(Журнал!$S$10:$S$1509,Журнал!$D$10:$D$1509,"Доход",Журнал!$C$10:$C$1509,"&gt;="&amp;$I10,Журнал!$C$10:$C$1509,"&lt;="&amp;$J10)+SUMIFS(Постоянные!$AJ$8:$AJ$97,Постоянные!$AH$8:$AH$97,"Доход",Постоянные!$AG$8:$AG$97,"&gt;="&amp;$I10,Постоянные!$AG$8:$AG$97,"&lt;="&amp;$J10)+SUMIFS(Операции!$Q$10:$Q$1009,Операции!$D$10:$D$1009,"Доход",Операции!$C$10:$C$1009,"&gt;="&amp;$I10,Операции!$C$10:$C$1009,"&lt;="&amp;$J10)</f>
        <v/>
      </c>
      <c r="L10" s="255">
        <f>SUMIFS(Постоянные!$AJ$8:$AJ$97,Постоянные!$AH$8:$AH$97,"Расход",Постоянные!$AG$8:$AG$97,"&gt;="&amp;$I10,Постоянные!$AG$8:$AG$97,"&lt;="&amp;$J10)</f>
        <v/>
      </c>
      <c r="M10" s="255">
        <f>SUMIFS(Журнал!$S$10:$S$1509,Журнал!$D$10:$D$1509,"&lt;&gt;Доход",Журнал!$C$10:$C$1509,"&gt;="&amp;$I10,Журнал!$C$10:$C$1509,"&lt;="&amp;$J10)+SUMIFS(Операции!$Q$10:$Q$1009,Операции!$D$10:$D$1009,"Расход",Операции!$C$10:$C$1009,"&gt;="&amp;$I10,Операции!$C$10:$C$1009,"&lt;="&amp;$J10)</f>
        <v/>
      </c>
      <c r="N10" s="255">
        <f>SUMIFS(Покупки!$T$7:$T$18,Покупки!$G$7:$G$18,"&gt;="&amp;$I10,Покупки!$G$7:$G$18,"&lt;="&amp;$J10)</f>
        <v/>
      </c>
      <c r="O10" s="265">
        <f>SUM(L10:N10)</f>
        <v/>
      </c>
      <c r="P10" s="266">
        <f>P9+K10-O10</f>
        <v/>
      </c>
      <c r="Q10" s="267">
        <f>Настройки!$C$11</f>
        <v/>
      </c>
    </row>
    <row r="11" ht="20" customHeight="1">
      <c r="B11" s="80" t="inlineStr">
        <is>
          <t>Крупные покупки</t>
        </is>
      </c>
      <c r="C11" s="269">
        <f>SUMIFS(Покупки!$T$7:$T$18,Покупки!$G$7:$G$18,"&gt;="&amp;C$6,Покупки!$G$7:$G$18,"&lt;="&amp;C$7)</f>
        <v/>
      </c>
      <c r="D11" s="269">
        <f>SUMIFS(Покупки!$T$7:$T$18,Покупки!$G$7:$G$18,"&gt;="&amp;D$6,Покупки!$G$7:$G$18,"&lt;="&amp;D$7)</f>
        <v/>
      </c>
      <c r="E11" s="269">
        <f>SUMIFS(Покупки!$T$7:$T$18,Покупки!$G$7:$G$18,"&gt;="&amp;E$6,Покупки!$G$7:$G$18,"&lt;="&amp;E$7)</f>
        <v/>
      </c>
      <c r="H11" s="53" t="n">
        <v>6</v>
      </c>
      <c r="I11" s="263">
        <f>I10+7</f>
        <v/>
      </c>
      <c r="J11" s="263">
        <f>I11+6</f>
        <v/>
      </c>
      <c r="K11" s="264">
        <f>SUMIFS(Журнал!$S$10:$S$1509,Журнал!$D$10:$D$1509,"Доход",Журнал!$C$10:$C$1509,"&gt;="&amp;$I11,Журнал!$C$10:$C$1509,"&lt;="&amp;$J11)+SUMIFS(Постоянные!$AJ$8:$AJ$97,Постоянные!$AH$8:$AH$97,"Доход",Постоянные!$AG$8:$AG$97,"&gt;="&amp;$I11,Постоянные!$AG$8:$AG$97,"&lt;="&amp;$J11)+SUMIFS(Операции!$Q$10:$Q$1009,Операции!$D$10:$D$1009,"Доход",Операции!$C$10:$C$1009,"&gt;="&amp;$I11,Операции!$C$10:$C$1009,"&lt;="&amp;$J11)</f>
        <v/>
      </c>
      <c r="L11" s="255">
        <f>SUMIFS(Постоянные!$AJ$8:$AJ$97,Постоянные!$AH$8:$AH$97,"Расход",Постоянные!$AG$8:$AG$97,"&gt;="&amp;$I11,Постоянные!$AG$8:$AG$97,"&lt;="&amp;$J11)</f>
        <v/>
      </c>
      <c r="M11" s="255">
        <f>SUMIFS(Журнал!$S$10:$S$1509,Журнал!$D$10:$D$1509,"&lt;&gt;Доход",Журнал!$C$10:$C$1509,"&gt;="&amp;$I11,Журнал!$C$10:$C$1509,"&lt;="&amp;$J11)+SUMIFS(Операции!$Q$10:$Q$1009,Операции!$D$10:$D$1009,"Расход",Операции!$C$10:$C$1009,"&gt;="&amp;$I11,Операции!$C$10:$C$1009,"&lt;="&amp;$J11)</f>
        <v/>
      </c>
      <c r="N11" s="255">
        <f>SUMIFS(Покупки!$T$7:$T$18,Покупки!$G$7:$G$18,"&gt;="&amp;$I11,Покупки!$G$7:$G$18,"&lt;="&amp;$J11)</f>
        <v/>
      </c>
      <c r="O11" s="265">
        <f>SUM(L11:N11)</f>
        <v/>
      </c>
      <c r="P11" s="266">
        <f>P10+K11-O11</f>
        <v/>
      </c>
      <c r="Q11" s="267">
        <f>Настройки!$C$11</f>
        <v/>
      </c>
    </row>
    <row r="12" ht="20" customHeight="1">
      <c r="B12" s="80" t="inlineStr">
        <is>
          <t>Всего расходов</t>
        </is>
      </c>
      <c r="C12" s="236">
        <f>SUM(C9:C11)</f>
        <v/>
      </c>
      <c r="D12" s="236">
        <f>SUM(D9:D11)</f>
        <v/>
      </c>
      <c r="E12" s="236">
        <f>SUM(E9:E11)</f>
        <v/>
      </c>
      <c r="H12" s="53" t="n">
        <v>7</v>
      </c>
      <c r="I12" s="263">
        <f>I11+7</f>
        <v/>
      </c>
      <c r="J12" s="263">
        <f>I12+6</f>
        <v/>
      </c>
      <c r="K12" s="264">
        <f>SUMIFS(Журнал!$S$10:$S$1509,Журнал!$D$10:$D$1509,"Доход",Журнал!$C$10:$C$1509,"&gt;="&amp;$I12,Журнал!$C$10:$C$1509,"&lt;="&amp;$J12)+SUMIFS(Постоянные!$AJ$8:$AJ$97,Постоянные!$AH$8:$AH$97,"Доход",Постоянные!$AG$8:$AG$97,"&gt;="&amp;$I12,Постоянные!$AG$8:$AG$97,"&lt;="&amp;$J12)+SUMIFS(Операции!$Q$10:$Q$1009,Операции!$D$10:$D$1009,"Доход",Операции!$C$10:$C$1009,"&gt;="&amp;$I12,Операции!$C$10:$C$1009,"&lt;="&amp;$J12)</f>
        <v/>
      </c>
      <c r="L12" s="255">
        <f>SUMIFS(Постоянные!$AJ$8:$AJ$97,Постоянные!$AH$8:$AH$97,"Расход",Постоянные!$AG$8:$AG$97,"&gt;="&amp;$I12,Постоянные!$AG$8:$AG$97,"&lt;="&amp;$J12)</f>
        <v/>
      </c>
      <c r="M12" s="255">
        <f>SUMIFS(Журнал!$S$10:$S$1509,Журнал!$D$10:$D$1509,"&lt;&gt;Доход",Журнал!$C$10:$C$1509,"&gt;="&amp;$I12,Журнал!$C$10:$C$1509,"&lt;="&amp;$J12)+SUMIFS(Операции!$Q$10:$Q$1009,Операции!$D$10:$D$1009,"Расход",Операции!$C$10:$C$1009,"&gt;="&amp;$I12,Операции!$C$10:$C$1009,"&lt;="&amp;$J12)</f>
        <v/>
      </c>
      <c r="N12" s="255">
        <f>SUMIFS(Покупки!$T$7:$T$18,Покупки!$G$7:$G$18,"&gt;="&amp;$I12,Покупки!$G$7:$G$18,"&lt;="&amp;$J12)</f>
        <v/>
      </c>
      <c r="O12" s="265">
        <f>SUM(L12:N12)</f>
        <v/>
      </c>
      <c r="P12" s="266">
        <f>P11+K12-O12</f>
        <v/>
      </c>
      <c r="Q12" s="267">
        <f>Настройки!$C$11</f>
        <v/>
      </c>
    </row>
    <row r="13" ht="20" customHeight="1">
      <c r="B13" s="165" t="inlineStr">
        <is>
          <t>Свободно за месяц</t>
        </is>
      </c>
      <c r="C13" s="270">
        <f>C8-C12</f>
        <v/>
      </c>
      <c r="D13" s="270">
        <f>D8-D12</f>
        <v/>
      </c>
      <c r="E13" s="270">
        <f>E8-E12</f>
        <v/>
      </c>
      <c r="H13" s="53" t="n">
        <v>8</v>
      </c>
      <c r="I13" s="263">
        <f>I12+7</f>
        <v/>
      </c>
      <c r="J13" s="263">
        <f>I13+6</f>
        <v/>
      </c>
      <c r="K13" s="264">
        <f>SUMIFS(Журнал!$S$10:$S$1509,Журнал!$D$10:$D$1509,"Доход",Журнал!$C$10:$C$1509,"&gt;="&amp;$I13,Журнал!$C$10:$C$1509,"&lt;="&amp;$J13)+SUMIFS(Постоянные!$AJ$8:$AJ$97,Постоянные!$AH$8:$AH$97,"Доход",Постоянные!$AG$8:$AG$97,"&gt;="&amp;$I13,Постоянные!$AG$8:$AG$97,"&lt;="&amp;$J13)+SUMIFS(Операции!$Q$10:$Q$1009,Операции!$D$10:$D$1009,"Доход",Операции!$C$10:$C$1009,"&gt;="&amp;$I13,Операции!$C$10:$C$1009,"&lt;="&amp;$J13)</f>
        <v/>
      </c>
      <c r="L13" s="255">
        <f>SUMIFS(Постоянные!$AJ$8:$AJ$97,Постоянные!$AH$8:$AH$97,"Расход",Постоянные!$AG$8:$AG$97,"&gt;="&amp;$I13,Постоянные!$AG$8:$AG$97,"&lt;="&amp;$J13)</f>
        <v/>
      </c>
      <c r="M13" s="255">
        <f>SUMIFS(Журнал!$S$10:$S$1509,Журнал!$D$10:$D$1509,"&lt;&gt;Доход",Журнал!$C$10:$C$1509,"&gt;="&amp;$I13,Журнал!$C$10:$C$1509,"&lt;="&amp;$J13)+SUMIFS(Операции!$Q$10:$Q$1009,Операции!$D$10:$D$1009,"Расход",Операции!$C$10:$C$1009,"&gt;="&amp;$I13,Операции!$C$10:$C$1009,"&lt;="&amp;$J13)</f>
        <v/>
      </c>
      <c r="N13" s="255">
        <f>SUMIFS(Покупки!$T$7:$T$18,Покупки!$G$7:$G$18,"&gt;="&amp;$I13,Покупки!$G$7:$G$18,"&lt;="&amp;$J13)</f>
        <v/>
      </c>
      <c r="O13" s="265">
        <f>SUM(L13:N13)</f>
        <v/>
      </c>
      <c r="P13" s="266">
        <f>P12+K13-O13</f>
        <v/>
      </c>
      <c r="Q13" s="267">
        <f>Настройки!$C$11</f>
        <v/>
      </c>
    </row>
    <row r="14" ht="20" customHeight="1">
      <c r="B14" s="165" t="inlineStr">
        <is>
          <t>Остаток на конец месяца</t>
        </is>
      </c>
      <c r="C14" s="271">
        <f>Настройки!$C$10+C13</f>
        <v/>
      </c>
      <c r="D14" s="271">
        <f>C14+D13</f>
        <v/>
      </c>
      <c r="E14" s="271">
        <f>D14+E13</f>
        <v/>
      </c>
      <c r="H14" s="53" t="n">
        <v>9</v>
      </c>
      <c r="I14" s="263">
        <f>I13+7</f>
        <v/>
      </c>
      <c r="J14" s="263">
        <f>I14+6</f>
        <v/>
      </c>
      <c r="K14" s="264">
        <f>SUMIFS(Журнал!$S$10:$S$1509,Журнал!$D$10:$D$1509,"Доход",Журнал!$C$10:$C$1509,"&gt;="&amp;$I14,Журнал!$C$10:$C$1509,"&lt;="&amp;$J14)+SUMIFS(Постоянные!$AJ$8:$AJ$97,Постоянные!$AH$8:$AH$97,"Доход",Постоянные!$AG$8:$AG$97,"&gt;="&amp;$I14,Постоянные!$AG$8:$AG$97,"&lt;="&amp;$J14)+SUMIFS(Операции!$Q$10:$Q$1009,Операции!$D$10:$D$1009,"Доход",Операции!$C$10:$C$1009,"&gt;="&amp;$I14,Операции!$C$10:$C$1009,"&lt;="&amp;$J14)</f>
        <v/>
      </c>
      <c r="L14" s="255">
        <f>SUMIFS(Постоянные!$AJ$8:$AJ$97,Постоянные!$AH$8:$AH$97,"Расход",Постоянные!$AG$8:$AG$97,"&gt;="&amp;$I14,Постоянные!$AG$8:$AG$97,"&lt;="&amp;$J14)</f>
        <v/>
      </c>
      <c r="M14" s="255">
        <f>SUMIFS(Журнал!$S$10:$S$1509,Журнал!$D$10:$D$1509,"&lt;&gt;Доход",Журнал!$C$10:$C$1509,"&gt;="&amp;$I14,Журнал!$C$10:$C$1509,"&lt;="&amp;$J14)+SUMIFS(Операции!$Q$10:$Q$1009,Операции!$D$10:$D$1009,"Расход",Операции!$C$10:$C$1009,"&gt;="&amp;$I14,Операции!$C$10:$C$1009,"&lt;="&amp;$J14)</f>
        <v/>
      </c>
      <c r="N14" s="255">
        <f>SUMIFS(Покупки!$T$7:$T$18,Покупки!$G$7:$G$18,"&gt;="&amp;$I14,Покупки!$G$7:$G$18,"&lt;="&amp;$J14)</f>
        <v/>
      </c>
      <c r="O14" s="265">
        <f>SUM(L14:N14)</f>
        <v/>
      </c>
      <c r="P14" s="266">
        <f>P13+K14-O14</f>
        <v/>
      </c>
      <c r="Q14" s="267">
        <f>Настройки!$C$11</f>
        <v/>
      </c>
    </row>
    <row r="15" ht="20" customHeight="1">
      <c r="B15" s="80" t="inlineStr">
        <is>
          <t>Запас над подушкой</t>
        </is>
      </c>
      <c r="C15" s="272">
        <f>C14-Настройки!$C$11</f>
        <v/>
      </c>
      <c r="D15" s="272">
        <f>D14-Настройки!$C$11</f>
        <v/>
      </c>
      <c r="E15" s="272">
        <f>E14-Настройки!$C$11</f>
        <v/>
      </c>
      <c r="H15" s="53" t="n">
        <v>10</v>
      </c>
      <c r="I15" s="263">
        <f>I14+7</f>
        <v/>
      </c>
      <c r="J15" s="263">
        <f>I15+6</f>
        <v/>
      </c>
      <c r="K15" s="264">
        <f>SUMIFS(Журнал!$S$10:$S$1509,Журнал!$D$10:$D$1509,"Доход",Журнал!$C$10:$C$1509,"&gt;="&amp;$I15,Журнал!$C$10:$C$1509,"&lt;="&amp;$J15)+SUMIFS(Постоянные!$AJ$8:$AJ$97,Постоянные!$AH$8:$AH$97,"Доход",Постоянные!$AG$8:$AG$97,"&gt;="&amp;$I15,Постоянные!$AG$8:$AG$97,"&lt;="&amp;$J15)+SUMIFS(Операции!$Q$10:$Q$1009,Операции!$D$10:$D$1009,"Доход",Операции!$C$10:$C$1009,"&gt;="&amp;$I15,Операции!$C$10:$C$1009,"&lt;="&amp;$J15)</f>
        <v/>
      </c>
      <c r="L15" s="255">
        <f>SUMIFS(Постоянные!$AJ$8:$AJ$97,Постоянные!$AH$8:$AH$97,"Расход",Постоянные!$AG$8:$AG$97,"&gt;="&amp;$I15,Постоянные!$AG$8:$AG$97,"&lt;="&amp;$J15)</f>
        <v/>
      </c>
      <c r="M15" s="255">
        <f>SUMIFS(Журнал!$S$10:$S$1509,Журнал!$D$10:$D$1509,"&lt;&gt;Доход",Журнал!$C$10:$C$1509,"&gt;="&amp;$I15,Журнал!$C$10:$C$1509,"&lt;="&amp;$J15)+SUMIFS(Операции!$Q$10:$Q$1009,Операции!$D$10:$D$1009,"Расход",Операции!$C$10:$C$1009,"&gt;="&amp;$I15,Операции!$C$10:$C$1009,"&lt;="&amp;$J15)</f>
        <v/>
      </c>
      <c r="N15" s="255">
        <f>SUMIFS(Покупки!$T$7:$T$18,Покупки!$G$7:$G$18,"&gt;="&amp;$I15,Покупки!$G$7:$G$18,"&lt;="&amp;$J15)</f>
        <v/>
      </c>
      <c r="O15" s="265">
        <f>SUM(L15:N15)</f>
        <v/>
      </c>
      <c r="P15" s="266">
        <f>P14+K15-O15</f>
        <v/>
      </c>
      <c r="Q15" s="267">
        <f>Настройки!$C$11</f>
        <v/>
      </c>
    </row>
    <row r="16" ht="20" customHeight="1">
      <c r="H16" s="53" t="n">
        <v>11</v>
      </c>
      <c r="I16" s="263">
        <f>I15+7</f>
        <v/>
      </c>
      <c r="J16" s="263">
        <f>I16+6</f>
        <v/>
      </c>
      <c r="K16" s="264">
        <f>SUMIFS(Журнал!$S$10:$S$1509,Журнал!$D$10:$D$1509,"Доход",Журнал!$C$10:$C$1509,"&gt;="&amp;$I16,Журнал!$C$10:$C$1509,"&lt;="&amp;$J16)+SUMIFS(Постоянные!$AJ$8:$AJ$97,Постоянные!$AH$8:$AH$97,"Доход",Постоянные!$AG$8:$AG$97,"&gt;="&amp;$I16,Постоянные!$AG$8:$AG$97,"&lt;="&amp;$J16)+SUMIFS(Операции!$Q$10:$Q$1009,Операции!$D$10:$D$1009,"Доход",Операции!$C$10:$C$1009,"&gt;="&amp;$I16,Операции!$C$10:$C$1009,"&lt;="&amp;$J16)</f>
        <v/>
      </c>
      <c r="L16" s="255">
        <f>SUMIFS(Постоянные!$AJ$8:$AJ$97,Постоянные!$AH$8:$AH$97,"Расход",Постоянные!$AG$8:$AG$97,"&gt;="&amp;$I16,Постоянные!$AG$8:$AG$97,"&lt;="&amp;$J16)</f>
        <v/>
      </c>
      <c r="M16" s="255">
        <f>SUMIFS(Журнал!$S$10:$S$1509,Журнал!$D$10:$D$1509,"&lt;&gt;Доход",Журнал!$C$10:$C$1509,"&gt;="&amp;$I16,Журнал!$C$10:$C$1509,"&lt;="&amp;$J16)+SUMIFS(Операции!$Q$10:$Q$1009,Операции!$D$10:$D$1009,"Расход",Операции!$C$10:$C$1009,"&gt;="&amp;$I16,Операции!$C$10:$C$1009,"&lt;="&amp;$J16)</f>
        <v/>
      </c>
      <c r="N16" s="255">
        <f>SUMIFS(Покупки!$T$7:$T$18,Покупки!$G$7:$G$18,"&gt;="&amp;$I16,Покупки!$G$7:$G$18,"&lt;="&amp;$J16)</f>
        <v/>
      </c>
      <c r="O16" s="265">
        <f>SUM(L16:N16)</f>
        <v/>
      </c>
      <c r="P16" s="266">
        <f>P15+K16-O16</f>
        <v/>
      </c>
      <c r="Q16" s="267">
        <f>Настройки!$C$11</f>
        <v/>
      </c>
    </row>
    <row r="17" ht="24" customHeight="1">
      <c r="B17" s="8" t="inlineStr">
        <is>
          <t>Итоги трёх месяцев</t>
        </is>
      </c>
      <c r="H17" s="53" t="n">
        <v>12</v>
      </c>
      <c r="I17" s="263">
        <f>I16+7</f>
        <v/>
      </c>
      <c r="J17" s="263">
        <f>I17+6</f>
        <v/>
      </c>
      <c r="K17" s="264">
        <f>SUMIFS(Журнал!$S$10:$S$1509,Журнал!$D$10:$D$1509,"Доход",Журнал!$C$10:$C$1509,"&gt;="&amp;$I17,Журнал!$C$10:$C$1509,"&lt;="&amp;$J17)+SUMIFS(Постоянные!$AJ$8:$AJ$97,Постоянные!$AH$8:$AH$97,"Доход",Постоянные!$AG$8:$AG$97,"&gt;="&amp;$I17,Постоянные!$AG$8:$AG$97,"&lt;="&amp;$J17)+SUMIFS(Операции!$Q$10:$Q$1009,Операции!$D$10:$D$1009,"Доход",Операции!$C$10:$C$1009,"&gt;="&amp;$I17,Операции!$C$10:$C$1009,"&lt;="&amp;$J17)</f>
        <v/>
      </c>
      <c r="L17" s="255">
        <f>SUMIFS(Постоянные!$AJ$8:$AJ$97,Постоянные!$AH$8:$AH$97,"Расход",Постоянные!$AG$8:$AG$97,"&gt;="&amp;$I17,Постоянные!$AG$8:$AG$97,"&lt;="&amp;$J17)</f>
        <v/>
      </c>
      <c r="M17" s="255">
        <f>SUMIFS(Журнал!$S$10:$S$1509,Журнал!$D$10:$D$1509,"&lt;&gt;Доход",Журнал!$C$10:$C$1509,"&gt;="&amp;$I17,Журнал!$C$10:$C$1509,"&lt;="&amp;$J17)+SUMIFS(Операции!$Q$10:$Q$1009,Операции!$D$10:$D$1009,"Расход",Операции!$C$10:$C$1009,"&gt;="&amp;$I17,Операции!$C$10:$C$1009,"&lt;="&amp;$J17)</f>
        <v/>
      </c>
      <c r="N17" s="255">
        <f>SUMIFS(Покупки!$T$7:$T$18,Покупки!$G$7:$G$18,"&gt;="&amp;$I17,Покупки!$G$7:$G$18,"&lt;="&amp;$J17)</f>
        <v/>
      </c>
      <c r="O17" s="265">
        <f>SUM(L17:N17)</f>
        <v/>
      </c>
      <c r="P17" s="266">
        <f>P16+K17-O17</f>
        <v/>
      </c>
      <c r="Q17" s="267">
        <f>Настройки!$C$11</f>
        <v/>
      </c>
    </row>
    <row r="18" ht="24" customHeight="1">
      <c r="B18" s="80" t="inlineStr">
        <is>
          <t>Минимальный остаток</t>
        </is>
      </c>
      <c r="C18" s="273">
        <f>MIN($P$6:$P$18)</f>
        <v/>
      </c>
      <c r="D18" s="234" t="n"/>
      <c r="E18" s="232" t="n"/>
      <c r="H18" s="53" t="n">
        <v>13</v>
      </c>
      <c r="I18" s="263">
        <f>I17+7</f>
        <v/>
      </c>
      <c r="J18" s="263">
        <f>I18+6</f>
        <v/>
      </c>
      <c r="K18" s="264">
        <f>SUMIFS(Журнал!$S$10:$S$1509,Журнал!$D$10:$D$1509,"Доход",Журнал!$C$10:$C$1509,"&gt;="&amp;$I18,Журнал!$C$10:$C$1509,"&lt;="&amp;$J18)+SUMIFS(Постоянные!$AJ$8:$AJ$97,Постоянные!$AH$8:$AH$97,"Доход",Постоянные!$AG$8:$AG$97,"&gt;="&amp;$I18,Постоянные!$AG$8:$AG$97,"&lt;="&amp;$J18)+SUMIFS(Операции!$Q$10:$Q$1009,Операции!$D$10:$D$1009,"Доход",Операции!$C$10:$C$1009,"&gt;="&amp;$I18,Операции!$C$10:$C$1009,"&lt;="&amp;$J18)</f>
        <v/>
      </c>
      <c r="L18" s="255">
        <f>SUMIFS(Постоянные!$AJ$8:$AJ$97,Постоянные!$AH$8:$AH$97,"Расход",Постоянные!$AG$8:$AG$97,"&gt;="&amp;$I18,Постоянные!$AG$8:$AG$97,"&lt;="&amp;$J18)</f>
        <v/>
      </c>
      <c r="M18" s="255">
        <f>SUMIFS(Журнал!$S$10:$S$1509,Журнал!$D$10:$D$1509,"&lt;&gt;Доход",Журнал!$C$10:$C$1509,"&gt;="&amp;$I18,Журнал!$C$10:$C$1509,"&lt;="&amp;$J18)+SUMIFS(Операции!$Q$10:$Q$1009,Операции!$D$10:$D$1009,"Расход",Операции!$C$10:$C$1009,"&gt;="&amp;$I18,Операции!$C$10:$C$1009,"&lt;="&amp;$J18)</f>
        <v/>
      </c>
      <c r="N18" s="255">
        <f>SUMIFS(Покупки!$T$7:$T$18,Покупки!$G$7:$G$18,"&gt;="&amp;$I18,Покупки!$G$7:$G$18,"&lt;="&amp;$J18)</f>
        <v/>
      </c>
      <c r="O18" s="265">
        <f>SUM(L18:N18)</f>
        <v/>
      </c>
      <c r="P18" s="266">
        <f>P17+K18-O18</f>
        <v/>
      </c>
      <c r="Q18" s="267">
        <f>Настройки!$C$11</f>
        <v/>
      </c>
    </row>
    <row r="19" ht="24" customHeight="1">
      <c r="B19" s="80" t="inlineStr">
        <is>
          <t>Неделя с минимальным остатком</t>
        </is>
      </c>
      <c r="C19" s="274">
        <f>INDEX($I$6:$I$18,MATCH(MIN($P$6:$P$18),$P$6:$P$18,0))</f>
        <v/>
      </c>
      <c r="D19" s="234" t="n"/>
      <c r="E19" s="232" t="n"/>
    </row>
    <row r="20" ht="24" customHeight="1">
      <c r="B20" s="80" t="inlineStr">
        <is>
          <t>Свободно за три месяца</t>
        </is>
      </c>
      <c r="C20" s="275">
        <f>C13+D13+E13</f>
        <v/>
      </c>
      <c r="D20" s="234" t="n"/>
      <c r="E20" s="232" t="n"/>
    </row>
    <row r="21" ht="24" customHeight="1">
      <c r="B21" s="80" t="inlineStr">
        <is>
          <t>Всего расходов за три месяца</t>
        </is>
      </c>
      <c r="C21" s="276">
        <f>C12+D12+E12</f>
        <v/>
      </c>
      <c r="D21" s="234" t="n"/>
      <c r="E21" s="232" t="n"/>
    </row>
    <row r="22" ht="24" customHeight="1">
      <c r="B22" s="80" t="inlineStr">
        <is>
          <t>Недель ниже подушки</t>
        </is>
      </c>
      <c r="C22" s="177">
        <f>SUMPRODUCT(($P$6:$P$18&lt;$Q$6:$Q$18)*1)</f>
        <v/>
      </c>
      <c r="D22" s="234" t="n"/>
      <c r="E22" s="232" t="n"/>
    </row>
  </sheetData>
  <mergeCells count="8">
    <mergeCell ref="B17:E17"/>
    <mergeCell ref="C19:E19"/>
    <mergeCell ref="C22:E22"/>
    <mergeCell ref="C18:E18"/>
    <mergeCell ref="B2:Q2"/>
    <mergeCell ref="C21:E21"/>
    <mergeCell ref="C20:E20"/>
    <mergeCell ref="B3:Q3"/>
  </mergeCells>
  <conditionalFormatting sqref="C13:E13">
    <cfRule type="cellIs" priority="1" operator="lessThan" dxfId="14">
      <formula>0</formula>
    </cfRule>
  </conditionalFormatting>
  <conditionalFormatting sqref="C14:E14">
    <cfRule type="cellIs" priority="2" operator="lessThan" dxfId="14">
      <formula>0</formula>
    </cfRule>
  </conditionalFormatting>
  <conditionalFormatting sqref="C15:E15">
    <cfRule type="cellIs" priority="3" operator="lessThan" dxfId="14">
      <formula>0</formula>
    </cfRule>
  </conditionalFormatting>
  <conditionalFormatting sqref="H6:Q18">
    <cfRule type="expression" priority="4" dxfId="3">
      <formula>$P6&lt;$Q6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E8FA8"/>
    <outlinePr summaryBelow="1" summaryRight="1"/>
    <pageSetUpPr/>
  </sheetPr>
  <dimension ref="B2:Z70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.5" customWidth="1" min="16" max="16"/>
    <col hidden="1" width="11" customWidth="1" min="17" max="17"/>
    <col width="2.5" customWidth="1" min="18" max="18"/>
    <col hidden="1" width="13" customWidth="1" min="26" max="26"/>
  </cols>
  <sheetData>
    <row r="1" ht="6" customHeight="1"/>
    <row r="2" ht="34" customHeight="1">
      <c r="B2" s="1" t="inlineStr">
        <is>
          <t>Статистика учётного года</t>
        </is>
      </c>
    </row>
    <row r="3" ht="20" customHeight="1">
      <c r="B3" s="3" t="inlineStr">
        <is>
          <t>12 месяцев подряд: план и факт, баланс, куда уходят деньги</t>
        </is>
      </c>
    </row>
    <row r="4">
      <c r="B4" s="17" t="inlineStr">
        <is>
          <t>Учётный год</t>
        </is>
      </c>
      <c r="C4" s="277">
        <f>Настройки!$F$8</f>
        <v/>
      </c>
      <c r="D4" s="277">
        <f>Настройки!$G$8</f>
        <v/>
      </c>
    </row>
    <row r="6" ht="30" customHeight="1">
      <c r="B6" s="13" t="inlineStr">
        <is>
          <t>Месяц</t>
        </is>
      </c>
      <c r="C6" s="13" t="inlineStr">
        <is>
          <t>Доход план</t>
        </is>
      </c>
      <c r="D6" s="13" t="inlineStr">
        <is>
          <t>Доход факт</t>
        </is>
      </c>
      <c r="E6" s="13" t="inlineStr">
        <is>
          <t>Расход план</t>
        </is>
      </c>
      <c r="F6" s="13" t="inlineStr">
        <is>
          <t>Расход факт</t>
        </is>
      </c>
      <c r="G6" s="13" t="inlineStr">
        <is>
          <t>Баланс (факт)</t>
        </is>
      </c>
      <c r="H6" s="13" t="inlineStr">
        <is>
          <t>Накоплено</t>
        </is>
      </c>
      <c r="I6" s="13" t="inlineStr">
        <is>
          <t>Расход: факт / план</t>
        </is>
      </c>
    </row>
    <row r="7" ht="20" customHeight="1">
      <c r="B7" s="80">
        <f>Настройки!$X$6</f>
        <v/>
      </c>
      <c r="C7" s="269">
        <f>SUMIFS(Журнал!$Q$10:$Q$1509,Журнал!$D$10:$D$1509,"Доход",Журнал!$R$10:$R$1509,$Q7)+SUMIFS(Постоянные!$AB$8:$AB$367,Постоянные!$Z$8:$Z$367,"Доход",Постоянные!$AD$8:$AD$367,$Q7)</f>
        <v/>
      </c>
      <c r="D7" s="268">
        <f>SUMIFS(Журнал!$P$10:$P$1509,Журнал!$D$10:$D$1509,"Доход",Журнал!$R$10:$R$1509,$Q7)+SUMIFS(Постоянные!$AC$8:$AC$367,Постоянные!$Z$8:$Z$367,"Доход",Постоянные!$AD$8:$AD$367,$Q7)+SUMIFS(Операции!$Q$10:$Q$1009,Операции!$D$10:$D$1009,"Доход",Операции!$P$10:$P$1009,$Q7)</f>
        <v/>
      </c>
      <c r="E7" s="269">
        <f>SUMIFS(Журнал!$Q$10:$Q$1509,Журнал!$D$10:$D$1509,"&lt;&gt;Доход",Журнал!$R$10:$R$1509,$Q7)+SUMIFS(Постоянные!$AB$8:$AB$367,Постоянные!$Z$8:$Z$367,"Расход",Постоянные!$AD$8:$AD$367,$Q7)+SUMIFS(Покупки!$R$7:$R$18,Покупки!$Q$7:$Q$18,$Q7)</f>
        <v/>
      </c>
      <c r="F7" s="278">
        <f>SUMIFS(Журнал!$P$10:$P$1509,Журнал!$D$10:$D$1509,"&lt;&gt;Доход",Журнал!$R$10:$R$1509,$Q7)+SUMIFS(Постоянные!$AC$8:$AC$367,Постоянные!$Z$8:$Z$367,"Расход",Постоянные!$AD$8:$AD$367,$Q7)+SUMIFS(Покупки!$S$7:$S$18,Покупки!$Q$7:$Q$18,$Q7)+SUMIFS(Операции!$Q$10:$Q$1009,Операции!$D$10:$D$1009,"Расход",Операции!$P$10:$P$1009,$Q7)</f>
        <v/>
      </c>
      <c r="G7" s="272">
        <f>D7-F7</f>
        <v/>
      </c>
      <c r="H7" s="228">
        <f>SUM($G$7:G7)</f>
        <v/>
      </c>
      <c r="I7" s="180">
        <f>IFERROR(F7/E7,0)</f>
        <v/>
      </c>
      <c r="Q7">
        <f>DATE(Настройки!$C$8,Настройки!$D$9+0,1)</f>
        <v/>
      </c>
    </row>
    <row r="8" ht="20" customHeight="1">
      <c r="B8" s="80">
        <f>Настройки!$X$7</f>
        <v/>
      </c>
      <c r="C8" s="269">
        <f>SUMIFS(Журнал!$Q$10:$Q$1509,Журнал!$D$10:$D$1509,"Доход",Журнал!$R$10:$R$1509,$Q8)+SUMIFS(Постоянные!$AB$8:$AB$367,Постоянные!$Z$8:$Z$367,"Доход",Постоянные!$AD$8:$AD$367,$Q8)</f>
        <v/>
      </c>
      <c r="D8" s="268">
        <f>SUMIFS(Журнал!$P$10:$P$1509,Журнал!$D$10:$D$1509,"Доход",Журнал!$R$10:$R$1509,$Q8)+SUMIFS(Постоянные!$AC$8:$AC$367,Постоянные!$Z$8:$Z$367,"Доход",Постоянные!$AD$8:$AD$367,$Q8)+SUMIFS(Операции!$Q$10:$Q$1009,Операции!$D$10:$D$1009,"Доход",Операции!$P$10:$P$1009,$Q8)</f>
        <v/>
      </c>
      <c r="E8" s="269">
        <f>SUMIFS(Журнал!$Q$10:$Q$1509,Журнал!$D$10:$D$1509,"&lt;&gt;Доход",Журнал!$R$10:$R$1509,$Q8)+SUMIFS(Постоянные!$AB$8:$AB$367,Постоянные!$Z$8:$Z$367,"Расход",Постоянные!$AD$8:$AD$367,$Q8)+SUMIFS(Покупки!$R$7:$R$18,Покупки!$Q$7:$Q$18,$Q8)</f>
        <v/>
      </c>
      <c r="F8" s="278">
        <f>SUMIFS(Журнал!$P$10:$P$1509,Журнал!$D$10:$D$1509,"&lt;&gt;Доход",Журнал!$R$10:$R$1509,$Q8)+SUMIFS(Постоянные!$AC$8:$AC$367,Постоянные!$Z$8:$Z$367,"Расход",Постоянные!$AD$8:$AD$367,$Q8)+SUMIFS(Покупки!$S$7:$S$18,Покупки!$Q$7:$Q$18,$Q8)+SUMIFS(Операции!$Q$10:$Q$1009,Операции!$D$10:$D$1009,"Расход",Операции!$P$10:$P$1009,$Q8)</f>
        <v/>
      </c>
      <c r="G8" s="272">
        <f>D8-F8</f>
        <v/>
      </c>
      <c r="H8" s="228">
        <f>SUM($G$7:G8)</f>
        <v/>
      </c>
      <c r="I8" s="180">
        <f>IFERROR(F8/E8,0)</f>
        <v/>
      </c>
      <c r="Q8">
        <f>DATE(Настройки!$C$8,Настройки!$D$9+1,1)</f>
        <v/>
      </c>
    </row>
    <row r="9" ht="20" customHeight="1">
      <c r="B9" s="80">
        <f>Настройки!$X$8</f>
        <v/>
      </c>
      <c r="C9" s="269">
        <f>SUMIFS(Журнал!$Q$10:$Q$1509,Журнал!$D$10:$D$1509,"Доход",Журнал!$R$10:$R$1509,$Q9)+SUMIFS(Постоянные!$AB$8:$AB$367,Постоянные!$Z$8:$Z$367,"Доход",Постоянные!$AD$8:$AD$367,$Q9)</f>
        <v/>
      </c>
      <c r="D9" s="268">
        <f>SUMIFS(Журнал!$P$10:$P$1509,Журнал!$D$10:$D$1509,"Доход",Журнал!$R$10:$R$1509,$Q9)+SUMIFS(Постоянные!$AC$8:$AC$367,Постоянные!$Z$8:$Z$367,"Доход",Постоянные!$AD$8:$AD$367,$Q9)+SUMIFS(Операции!$Q$10:$Q$1009,Операции!$D$10:$D$1009,"Доход",Операции!$P$10:$P$1009,$Q9)</f>
        <v/>
      </c>
      <c r="E9" s="269">
        <f>SUMIFS(Журнал!$Q$10:$Q$1509,Журнал!$D$10:$D$1509,"&lt;&gt;Доход",Журнал!$R$10:$R$1509,$Q9)+SUMIFS(Постоянные!$AB$8:$AB$367,Постоянные!$Z$8:$Z$367,"Расход",Постоянные!$AD$8:$AD$367,$Q9)+SUMIFS(Покупки!$R$7:$R$18,Покупки!$Q$7:$Q$18,$Q9)</f>
        <v/>
      </c>
      <c r="F9" s="278">
        <f>SUMIFS(Журнал!$P$10:$P$1509,Журнал!$D$10:$D$1509,"&lt;&gt;Доход",Журнал!$R$10:$R$1509,$Q9)+SUMIFS(Постоянные!$AC$8:$AC$367,Постоянные!$Z$8:$Z$367,"Расход",Постоянные!$AD$8:$AD$367,$Q9)+SUMIFS(Покупки!$S$7:$S$18,Покупки!$Q$7:$Q$18,$Q9)+SUMIFS(Операции!$Q$10:$Q$1009,Операции!$D$10:$D$1009,"Расход",Операции!$P$10:$P$1009,$Q9)</f>
        <v/>
      </c>
      <c r="G9" s="272">
        <f>D9-F9</f>
        <v/>
      </c>
      <c r="H9" s="228">
        <f>SUM($G$7:G9)</f>
        <v/>
      </c>
      <c r="I9" s="180">
        <f>IFERROR(F9/E9,0)</f>
        <v/>
      </c>
      <c r="Q9">
        <f>DATE(Настройки!$C$8,Настройки!$D$9+2,1)</f>
        <v/>
      </c>
    </row>
    <row r="10" ht="20" customHeight="1">
      <c r="B10" s="80">
        <f>Настройки!$X$9</f>
        <v/>
      </c>
      <c r="C10" s="269">
        <f>SUMIFS(Журнал!$Q$10:$Q$1509,Журнал!$D$10:$D$1509,"Доход",Журнал!$R$10:$R$1509,$Q10)+SUMIFS(Постоянные!$AB$8:$AB$367,Постоянные!$Z$8:$Z$367,"Доход",Постоянные!$AD$8:$AD$367,$Q10)</f>
        <v/>
      </c>
      <c r="D10" s="268">
        <f>SUMIFS(Журнал!$P$10:$P$1509,Журнал!$D$10:$D$1509,"Доход",Журнал!$R$10:$R$1509,$Q10)+SUMIFS(Постоянные!$AC$8:$AC$367,Постоянные!$Z$8:$Z$367,"Доход",Постоянные!$AD$8:$AD$367,$Q10)+SUMIFS(Операции!$Q$10:$Q$1009,Операции!$D$10:$D$1009,"Доход",Операции!$P$10:$P$1009,$Q10)</f>
        <v/>
      </c>
      <c r="E10" s="269">
        <f>SUMIFS(Журнал!$Q$10:$Q$1509,Журнал!$D$10:$D$1509,"&lt;&gt;Доход",Журнал!$R$10:$R$1509,$Q10)+SUMIFS(Постоянные!$AB$8:$AB$367,Постоянные!$Z$8:$Z$367,"Расход",Постоянные!$AD$8:$AD$367,$Q10)+SUMIFS(Покупки!$R$7:$R$18,Покупки!$Q$7:$Q$18,$Q10)</f>
        <v/>
      </c>
      <c r="F10" s="278">
        <f>SUMIFS(Журнал!$P$10:$P$1509,Журнал!$D$10:$D$1509,"&lt;&gt;Доход",Журнал!$R$10:$R$1509,$Q10)+SUMIFS(Постоянные!$AC$8:$AC$367,Постоянные!$Z$8:$Z$367,"Расход",Постоянные!$AD$8:$AD$367,$Q10)+SUMIFS(Покупки!$S$7:$S$18,Покупки!$Q$7:$Q$18,$Q10)+SUMIFS(Операции!$Q$10:$Q$1009,Операции!$D$10:$D$1009,"Расход",Операции!$P$10:$P$1009,$Q10)</f>
        <v/>
      </c>
      <c r="G10" s="272">
        <f>D10-F10</f>
        <v/>
      </c>
      <c r="H10" s="228">
        <f>SUM($G$7:G10)</f>
        <v/>
      </c>
      <c r="I10" s="180">
        <f>IFERROR(F10/E10,0)</f>
        <v/>
      </c>
      <c r="Q10">
        <f>DATE(Настройки!$C$8,Настройки!$D$9+3,1)</f>
        <v/>
      </c>
    </row>
    <row r="11" ht="20" customHeight="1">
      <c r="B11" s="80">
        <f>Настройки!$X$10</f>
        <v/>
      </c>
      <c r="C11" s="269">
        <f>SUMIFS(Журнал!$Q$10:$Q$1509,Журнал!$D$10:$D$1509,"Доход",Журнал!$R$10:$R$1509,$Q11)+SUMIFS(Постоянные!$AB$8:$AB$367,Постоянные!$Z$8:$Z$367,"Доход",Постоянные!$AD$8:$AD$367,$Q11)</f>
        <v/>
      </c>
      <c r="D11" s="268">
        <f>SUMIFS(Журнал!$P$10:$P$1509,Журнал!$D$10:$D$1509,"Доход",Журнал!$R$10:$R$1509,$Q11)+SUMIFS(Постоянные!$AC$8:$AC$367,Постоянные!$Z$8:$Z$367,"Доход",Постоянные!$AD$8:$AD$367,$Q11)+SUMIFS(Операции!$Q$10:$Q$1009,Операции!$D$10:$D$1009,"Доход",Операции!$P$10:$P$1009,$Q11)</f>
        <v/>
      </c>
      <c r="E11" s="269">
        <f>SUMIFS(Журнал!$Q$10:$Q$1509,Журнал!$D$10:$D$1509,"&lt;&gt;Доход",Журнал!$R$10:$R$1509,$Q11)+SUMIFS(Постоянные!$AB$8:$AB$367,Постоянные!$Z$8:$Z$367,"Расход",Постоянные!$AD$8:$AD$367,$Q11)+SUMIFS(Покупки!$R$7:$R$18,Покупки!$Q$7:$Q$18,$Q11)</f>
        <v/>
      </c>
      <c r="F11" s="278">
        <f>SUMIFS(Журнал!$P$10:$P$1509,Журнал!$D$10:$D$1509,"&lt;&gt;Доход",Журнал!$R$10:$R$1509,$Q11)+SUMIFS(Постоянные!$AC$8:$AC$367,Постоянные!$Z$8:$Z$367,"Расход",Постоянные!$AD$8:$AD$367,$Q11)+SUMIFS(Покупки!$S$7:$S$18,Покупки!$Q$7:$Q$18,$Q11)+SUMIFS(Операции!$Q$10:$Q$1009,Операции!$D$10:$D$1009,"Расход",Операции!$P$10:$P$1009,$Q11)</f>
        <v/>
      </c>
      <c r="G11" s="272">
        <f>D11-F11</f>
        <v/>
      </c>
      <c r="H11" s="228">
        <f>SUM($G$7:G11)</f>
        <v/>
      </c>
      <c r="I11" s="180">
        <f>IFERROR(F11/E11,0)</f>
        <v/>
      </c>
      <c r="Q11">
        <f>DATE(Настройки!$C$8,Настройки!$D$9+4,1)</f>
        <v/>
      </c>
    </row>
    <row r="12" ht="20" customHeight="1">
      <c r="B12" s="80">
        <f>Настройки!$X$11</f>
        <v/>
      </c>
      <c r="C12" s="269">
        <f>SUMIFS(Журнал!$Q$10:$Q$1509,Журнал!$D$10:$D$1509,"Доход",Журнал!$R$10:$R$1509,$Q12)+SUMIFS(Постоянные!$AB$8:$AB$367,Постоянные!$Z$8:$Z$367,"Доход",Постоянные!$AD$8:$AD$367,$Q12)</f>
        <v/>
      </c>
      <c r="D12" s="268">
        <f>SUMIFS(Журнал!$P$10:$P$1509,Журнал!$D$10:$D$1509,"Доход",Журнал!$R$10:$R$1509,$Q12)+SUMIFS(Постоянные!$AC$8:$AC$367,Постоянные!$Z$8:$Z$367,"Доход",Постоянные!$AD$8:$AD$367,$Q12)+SUMIFS(Операции!$Q$10:$Q$1009,Операции!$D$10:$D$1009,"Доход",Операции!$P$10:$P$1009,$Q12)</f>
        <v/>
      </c>
      <c r="E12" s="269">
        <f>SUMIFS(Журнал!$Q$10:$Q$1509,Журнал!$D$10:$D$1509,"&lt;&gt;Доход",Журнал!$R$10:$R$1509,$Q12)+SUMIFS(Постоянные!$AB$8:$AB$367,Постоянные!$Z$8:$Z$367,"Расход",Постоянные!$AD$8:$AD$367,$Q12)+SUMIFS(Покупки!$R$7:$R$18,Покупки!$Q$7:$Q$18,$Q12)</f>
        <v/>
      </c>
      <c r="F12" s="278">
        <f>SUMIFS(Журнал!$P$10:$P$1509,Журнал!$D$10:$D$1509,"&lt;&gt;Доход",Журнал!$R$10:$R$1509,$Q12)+SUMIFS(Постоянные!$AC$8:$AC$367,Постоянные!$Z$8:$Z$367,"Расход",Постоянные!$AD$8:$AD$367,$Q12)+SUMIFS(Покупки!$S$7:$S$18,Покупки!$Q$7:$Q$18,$Q12)+SUMIFS(Операции!$Q$10:$Q$1009,Операции!$D$10:$D$1009,"Расход",Операции!$P$10:$P$1009,$Q12)</f>
        <v/>
      </c>
      <c r="G12" s="272">
        <f>D12-F12</f>
        <v/>
      </c>
      <c r="H12" s="228">
        <f>SUM($G$7:G12)</f>
        <v/>
      </c>
      <c r="I12" s="180">
        <f>IFERROR(F12/E12,0)</f>
        <v/>
      </c>
      <c r="Q12">
        <f>DATE(Настройки!$C$8,Настройки!$D$9+5,1)</f>
        <v/>
      </c>
    </row>
    <row r="13" ht="20" customHeight="1">
      <c r="B13" s="80">
        <f>Настройки!$X$12</f>
        <v/>
      </c>
      <c r="C13" s="269">
        <f>SUMIFS(Журнал!$Q$10:$Q$1509,Журнал!$D$10:$D$1509,"Доход",Журнал!$R$10:$R$1509,$Q13)+SUMIFS(Постоянные!$AB$8:$AB$367,Постоянные!$Z$8:$Z$367,"Доход",Постоянные!$AD$8:$AD$367,$Q13)</f>
        <v/>
      </c>
      <c r="D13" s="268">
        <f>SUMIFS(Журнал!$P$10:$P$1509,Журнал!$D$10:$D$1509,"Доход",Журнал!$R$10:$R$1509,$Q13)+SUMIFS(Постоянные!$AC$8:$AC$367,Постоянные!$Z$8:$Z$367,"Доход",Постоянные!$AD$8:$AD$367,$Q13)+SUMIFS(Операции!$Q$10:$Q$1009,Операции!$D$10:$D$1009,"Доход",Операции!$P$10:$P$1009,$Q13)</f>
        <v/>
      </c>
      <c r="E13" s="269">
        <f>SUMIFS(Журнал!$Q$10:$Q$1509,Журнал!$D$10:$D$1509,"&lt;&gt;Доход",Журнал!$R$10:$R$1509,$Q13)+SUMIFS(Постоянные!$AB$8:$AB$367,Постоянные!$Z$8:$Z$367,"Расход",Постоянные!$AD$8:$AD$367,$Q13)+SUMIFS(Покупки!$R$7:$R$18,Покупки!$Q$7:$Q$18,$Q13)</f>
        <v/>
      </c>
      <c r="F13" s="278">
        <f>SUMIFS(Журнал!$P$10:$P$1509,Журнал!$D$10:$D$1509,"&lt;&gt;Доход",Журнал!$R$10:$R$1509,$Q13)+SUMIFS(Постоянные!$AC$8:$AC$367,Постоянные!$Z$8:$Z$367,"Расход",Постоянные!$AD$8:$AD$367,$Q13)+SUMIFS(Покупки!$S$7:$S$18,Покупки!$Q$7:$Q$18,$Q13)+SUMIFS(Операции!$Q$10:$Q$1009,Операции!$D$10:$D$1009,"Расход",Операции!$P$10:$P$1009,$Q13)</f>
        <v/>
      </c>
      <c r="G13" s="272">
        <f>D13-F13</f>
        <v/>
      </c>
      <c r="H13" s="228">
        <f>SUM($G$7:G13)</f>
        <v/>
      </c>
      <c r="I13" s="180">
        <f>IFERROR(F13/E13,0)</f>
        <v/>
      </c>
      <c r="Q13">
        <f>DATE(Настройки!$C$8,Настройки!$D$9+6,1)</f>
        <v/>
      </c>
    </row>
    <row r="14" ht="20" customHeight="1">
      <c r="B14" s="80">
        <f>Настройки!$X$13</f>
        <v/>
      </c>
      <c r="C14" s="269">
        <f>SUMIFS(Журнал!$Q$10:$Q$1509,Журнал!$D$10:$D$1509,"Доход",Журнал!$R$10:$R$1509,$Q14)+SUMIFS(Постоянные!$AB$8:$AB$367,Постоянные!$Z$8:$Z$367,"Доход",Постоянные!$AD$8:$AD$367,$Q14)</f>
        <v/>
      </c>
      <c r="D14" s="268">
        <f>SUMIFS(Журнал!$P$10:$P$1509,Журнал!$D$10:$D$1509,"Доход",Журнал!$R$10:$R$1509,$Q14)+SUMIFS(Постоянные!$AC$8:$AC$367,Постоянные!$Z$8:$Z$367,"Доход",Постоянные!$AD$8:$AD$367,$Q14)+SUMIFS(Операции!$Q$10:$Q$1009,Операции!$D$10:$D$1009,"Доход",Операции!$P$10:$P$1009,$Q14)</f>
        <v/>
      </c>
      <c r="E14" s="269">
        <f>SUMIFS(Журнал!$Q$10:$Q$1509,Журнал!$D$10:$D$1509,"&lt;&gt;Доход",Журнал!$R$10:$R$1509,$Q14)+SUMIFS(Постоянные!$AB$8:$AB$367,Постоянные!$Z$8:$Z$367,"Расход",Постоянные!$AD$8:$AD$367,$Q14)+SUMIFS(Покупки!$R$7:$R$18,Покупки!$Q$7:$Q$18,$Q14)</f>
        <v/>
      </c>
      <c r="F14" s="278">
        <f>SUMIFS(Журнал!$P$10:$P$1509,Журнал!$D$10:$D$1509,"&lt;&gt;Доход",Журнал!$R$10:$R$1509,$Q14)+SUMIFS(Постоянные!$AC$8:$AC$367,Постоянные!$Z$8:$Z$367,"Расход",Постоянные!$AD$8:$AD$367,$Q14)+SUMIFS(Покупки!$S$7:$S$18,Покупки!$Q$7:$Q$18,$Q14)+SUMIFS(Операции!$Q$10:$Q$1009,Операции!$D$10:$D$1009,"Расход",Операции!$P$10:$P$1009,$Q14)</f>
        <v/>
      </c>
      <c r="G14" s="272">
        <f>D14-F14</f>
        <v/>
      </c>
      <c r="H14" s="228">
        <f>SUM($G$7:G14)</f>
        <v/>
      </c>
      <c r="I14" s="180">
        <f>IFERROR(F14/E14,0)</f>
        <v/>
      </c>
      <c r="Q14">
        <f>DATE(Настройки!$C$8,Настройки!$D$9+7,1)</f>
        <v/>
      </c>
    </row>
    <row r="15" ht="20" customHeight="1">
      <c r="B15" s="80">
        <f>Настройки!$X$14</f>
        <v/>
      </c>
      <c r="C15" s="269">
        <f>SUMIFS(Журнал!$Q$10:$Q$1509,Журнал!$D$10:$D$1509,"Доход",Журнал!$R$10:$R$1509,$Q15)+SUMIFS(Постоянные!$AB$8:$AB$367,Постоянные!$Z$8:$Z$367,"Доход",Постоянные!$AD$8:$AD$367,$Q15)</f>
        <v/>
      </c>
      <c r="D15" s="268">
        <f>SUMIFS(Журнал!$P$10:$P$1509,Журнал!$D$10:$D$1509,"Доход",Журнал!$R$10:$R$1509,$Q15)+SUMIFS(Постоянные!$AC$8:$AC$367,Постоянные!$Z$8:$Z$367,"Доход",Постоянные!$AD$8:$AD$367,$Q15)+SUMIFS(Операции!$Q$10:$Q$1009,Операции!$D$10:$D$1009,"Доход",Операции!$P$10:$P$1009,$Q15)</f>
        <v/>
      </c>
      <c r="E15" s="269">
        <f>SUMIFS(Журнал!$Q$10:$Q$1509,Журнал!$D$10:$D$1509,"&lt;&gt;Доход",Журнал!$R$10:$R$1509,$Q15)+SUMIFS(Постоянные!$AB$8:$AB$367,Постоянные!$Z$8:$Z$367,"Расход",Постоянные!$AD$8:$AD$367,$Q15)+SUMIFS(Покупки!$R$7:$R$18,Покупки!$Q$7:$Q$18,$Q15)</f>
        <v/>
      </c>
      <c r="F15" s="278">
        <f>SUMIFS(Журнал!$P$10:$P$1509,Журнал!$D$10:$D$1509,"&lt;&gt;Доход",Журнал!$R$10:$R$1509,$Q15)+SUMIFS(Постоянные!$AC$8:$AC$367,Постоянные!$Z$8:$Z$367,"Расход",Постоянные!$AD$8:$AD$367,$Q15)+SUMIFS(Покупки!$S$7:$S$18,Покупки!$Q$7:$Q$18,$Q15)+SUMIFS(Операции!$Q$10:$Q$1009,Операции!$D$10:$D$1009,"Расход",Операции!$P$10:$P$1009,$Q15)</f>
        <v/>
      </c>
      <c r="G15" s="272">
        <f>D15-F15</f>
        <v/>
      </c>
      <c r="H15" s="228">
        <f>SUM($G$7:G15)</f>
        <v/>
      </c>
      <c r="I15" s="180">
        <f>IFERROR(F15/E15,0)</f>
        <v/>
      </c>
      <c r="Q15">
        <f>DATE(Настройки!$C$8,Настройки!$D$9+8,1)</f>
        <v/>
      </c>
    </row>
    <row r="16" ht="20" customHeight="1">
      <c r="B16" s="80">
        <f>Настройки!$X$15</f>
        <v/>
      </c>
      <c r="C16" s="269">
        <f>SUMIFS(Журнал!$Q$10:$Q$1509,Журнал!$D$10:$D$1509,"Доход",Журнал!$R$10:$R$1509,$Q16)+SUMIFS(Постоянные!$AB$8:$AB$367,Постоянные!$Z$8:$Z$367,"Доход",Постоянные!$AD$8:$AD$367,$Q16)</f>
        <v/>
      </c>
      <c r="D16" s="268">
        <f>SUMIFS(Журнал!$P$10:$P$1509,Журнал!$D$10:$D$1509,"Доход",Журнал!$R$10:$R$1509,$Q16)+SUMIFS(Постоянные!$AC$8:$AC$367,Постоянные!$Z$8:$Z$367,"Доход",Постоянные!$AD$8:$AD$367,$Q16)+SUMIFS(Операции!$Q$10:$Q$1009,Операции!$D$10:$D$1009,"Доход",Операции!$P$10:$P$1009,$Q16)</f>
        <v/>
      </c>
      <c r="E16" s="269">
        <f>SUMIFS(Журнал!$Q$10:$Q$1509,Журнал!$D$10:$D$1509,"&lt;&gt;Доход",Журнал!$R$10:$R$1509,$Q16)+SUMIFS(Постоянные!$AB$8:$AB$367,Постоянные!$Z$8:$Z$367,"Расход",Постоянные!$AD$8:$AD$367,$Q16)+SUMIFS(Покупки!$R$7:$R$18,Покупки!$Q$7:$Q$18,$Q16)</f>
        <v/>
      </c>
      <c r="F16" s="278">
        <f>SUMIFS(Журнал!$P$10:$P$1509,Журнал!$D$10:$D$1509,"&lt;&gt;Доход",Журнал!$R$10:$R$1509,$Q16)+SUMIFS(Постоянные!$AC$8:$AC$367,Постоянные!$Z$8:$Z$367,"Расход",Постоянные!$AD$8:$AD$367,$Q16)+SUMIFS(Покупки!$S$7:$S$18,Покупки!$Q$7:$Q$18,$Q16)+SUMIFS(Операции!$Q$10:$Q$1009,Операции!$D$10:$D$1009,"Расход",Операции!$P$10:$P$1009,$Q16)</f>
        <v/>
      </c>
      <c r="G16" s="272">
        <f>D16-F16</f>
        <v/>
      </c>
      <c r="H16" s="228">
        <f>SUM($G$7:G16)</f>
        <v/>
      </c>
      <c r="I16" s="180">
        <f>IFERROR(F16/E16,0)</f>
        <v/>
      </c>
      <c r="Q16">
        <f>DATE(Настройки!$C$8,Настройки!$D$9+9,1)</f>
        <v/>
      </c>
    </row>
    <row r="17" ht="20" customHeight="1">
      <c r="B17" s="80">
        <f>Настройки!$X$16</f>
        <v/>
      </c>
      <c r="C17" s="269">
        <f>SUMIFS(Журнал!$Q$10:$Q$1509,Журнал!$D$10:$D$1509,"Доход",Журнал!$R$10:$R$1509,$Q17)+SUMIFS(Постоянные!$AB$8:$AB$367,Постоянные!$Z$8:$Z$367,"Доход",Постоянные!$AD$8:$AD$367,$Q17)</f>
        <v/>
      </c>
      <c r="D17" s="268">
        <f>SUMIFS(Журнал!$P$10:$P$1509,Журнал!$D$10:$D$1509,"Доход",Журнал!$R$10:$R$1509,$Q17)+SUMIFS(Постоянные!$AC$8:$AC$367,Постоянные!$Z$8:$Z$367,"Доход",Постоянные!$AD$8:$AD$367,$Q17)+SUMIFS(Операции!$Q$10:$Q$1009,Операции!$D$10:$D$1009,"Доход",Операции!$P$10:$P$1009,$Q17)</f>
        <v/>
      </c>
      <c r="E17" s="269">
        <f>SUMIFS(Журнал!$Q$10:$Q$1509,Журнал!$D$10:$D$1509,"&lt;&gt;Доход",Журнал!$R$10:$R$1509,$Q17)+SUMIFS(Постоянные!$AB$8:$AB$367,Постоянные!$Z$8:$Z$367,"Расход",Постоянные!$AD$8:$AD$367,$Q17)+SUMIFS(Покупки!$R$7:$R$18,Покупки!$Q$7:$Q$18,$Q17)</f>
        <v/>
      </c>
      <c r="F17" s="278">
        <f>SUMIFS(Журнал!$P$10:$P$1509,Журнал!$D$10:$D$1509,"&lt;&gt;Доход",Журнал!$R$10:$R$1509,$Q17)+SUMIFS(Постоянные!$AC$8:$AC$367,Постоянные!$Z$8:$Z$367,"Расход",Постоянные!$AD$8:$AD$367,$Q17)+SUMIFS(Покупки!$S$7:$S$18,Покупки!$Q$7:$Q$18,$Q17)+SUMIFS(Операции!$Q$10:$Q$1009,Операции!$D$10:$D$1009,"Расход",Операции!$P$10:$P$1009,$Q17)</f>
        <v/>
      </c>
      <c r="G17" s="272">
        <f>D17-F17</f>
        <v/>
      </c>
      <c r="H17" s="228">
        <f>SUM($G$7:G17)</f>
        <v/>
      </c>
      <c r="I17" s="180">
        <f>IFERROR(F17/E17,0)</f>
        <v/>
      </c>
      <c r="Q17">
        <f>DATE(Настройки!$C$8,Настройки!$D$9+10,1)</f>
        <v/>
      </c>
    </row>
    <row r="18" ht="20" customHeight="1">
      <c r="B18" s="80">
        <f>Настройки!$X$17</f>
        <v/>
      </c>
      <c r="C18" s="269">
        <f>SUMIFS(Журнал!$Q$10:$Q$1509,Журнал!$D$10:$D$1509,"Доход",Журнал!$R$10:$R$1509,$Q18)+SUMIFS(Постоянные!$AB$8:$AB$367,Постоянные!$Z$8:$Z$367,"Доход",Постоянные!$AD$8:$AD$367,$Q18)</f>
        <v/>
      </c>
      <c r="D18" s="268">
        <f>SUMIFS(Журнал!$P$10:$P$1509,Журнал!$D$10:$D$1509,"Доход",Журнал!$R$10:$R$1509,$Q18)+SUMIFS(Постоянные!$AC$8:$AC$367,Постоянные!$Z$8:$Z$367,"Доход",Постоянные!$AD$8:$AD$367,$Q18)+SUMIFS(Операции!$Q$10:$Q$1009,Операции!$D$10:$D$1009,"Доход",Операции!$P$10:$P$1009,$Q18)</f>
        <v/>
      </c>
      <c r="E18" s="269">
        <f>SUMIFS(Журнал!$Q$10:$Q$1509,Журнал!$D$10:$D$1509,"&lt;&gt;Доход",Журнал!$R$10:$R$1509,$Q18)+SUMIFS(Постоянные!$AB$8:$AB$367,Постоянные!$Z$8:$Z$367,"Расход",Постоянные!$AD$8:$AD$367,$Q18)+SUMIFS(Покупки!$R$7:$R$18,Покупки!$Q$7:$Q$18,$Q18)</f>
        <v/>
      </c>
      <c r="F18" s="278">
        <f>SUMIFS(Журнал!$P$10:$P$1509,Журнал!$D$10:$D$1509,"&lt;&gt;Доход",Журнал!$R$10:$R$1509,$Q18)+SUMIFS(Постоянные!$AC$8:$AC$367,Постоянные!$Z$8:$Z$367,"Расход",Постоянные!$AD$8:$AD$367,$Q18)+SUMIFS(Покупки!$S$7:$S$18,Покупки!$Q$7:$Q$18,$Q18)+SUMIFS(Операции!$Q$10:$Q$1009,Операции!$D$10:$D$1009,"Расход",Операции!$P$10:$P$1009,$Q18)</f>
        <v/>
      </c>
      <c r="G18" s="272">
        <f>D18-F18</f>
        <v/>
      </c>
      <c r="H18" s="228">
        <f>SUM($G$7:G18)</f>
        <v/>
      </c>
      <c r="I18" s="180">
        <f>IFERROR(F18/E18,0)</f>
        <v/>
      </c>
      <c r="Q18">
        <f>DATE(Настройки!$C$8,Настройки!$D$9+11,1)</f>
        <v/>
      </c>
    </row>
    <row r="19">
      <c r="B19" s="77" t="inlineStr">
        <is>
          <t>ИТОГО</t>
        </is>
      </c>
      <c r="C19" s="231">
        <f>SUM(C7:C18)</f>
        <v/>
      </c>
      <c r="D19" s="231">
        <f>SUM(D7:D18)</f>
        <v/>
      </c>
      <c r="E19" s="231">
        <f>SUM(E7:E18)</f>
        <v/>
      </c>
      <c r="F19" s="231">
        <f>SUM(F7:F18)</f>
        <v/>
      </c>
      <c r="G19" s="231">
        <f>SUM(G7:G18)</f>
        <v/>
      </c>
      <c r="H19" s="78" t="n"/>
      <c r="I19" s="147">
        <f>IFERROR(F19/E19,0)</f>
        <v/>
      </c>
    </row>
    <row r="21" ht="22" customHeight="1">
      <c r="B21" s="80" t="inlineStr">
        <is>
          <t>Средний расход в месяц (факт)</t>
        </is>
      </c>
      <c r="C21" s="279">
        <f>IFERROR(AVERAGEIF(F7:F18,"&gt;0"),0)</f>
        <v/>
      </c>
      <c r="D21" s="234" t="n"/>
      <c r="E21" s="232" t="n"/>
    </row>
    <row r="22" ht="22" customHeight="1">
      <c r="B22" s="80" t="inlineStr">
        <is>
          <t>Самый дорогой месяц</t>
        </is>
      </c>
      <c r="C22" s="182">
        <f>IF(MAX(F7:F18)=0,"—",INDEX(B7:B18,MATCH(MAX(F7:F18),F7:F18,0)))</f>
        <v/>
      </c>
      <c r="D22" s="234" t="n"/>
      <c r="E22" s="232" t="n"/>
    </row>
    <row r="23" ht="22" customHeight="1">
      <c r="B23" s="80" t="inlineStr">
        <is>
          <t>Накоплено за год (доход − расход)</t>
        </is>
      </c>
      <c r="C23" s="280">
        <f>G19</f>
        <v/>
      </c>
      <c r="D23" s="234" t="n"/>
      <c r="E23" s="232" t="n"/>
    </row>
    <row r="25" ht="24" customHeight="1">
      <c r="B25" s="8" t="inlineStr">
        <is>
          <t>Куда уходят деньги: категория × месяц (факт)</t>
        </is>
      </c>
    </row>
    <row r="26" ht="30" customHeight="1">
      <c r="B26" s="184" t="inlineStr">
        <is>
          <t>Категория</t>
        </is>
      </c>
      <c r="C26" s="185">
        <f>B7</f>
        <v/>
      </c>
      <c r="D26" s="185">
        <f>B8</f>
        <v/>
      </c>
      <c r="E26" s="185">
        <f>B9</f>
        <v/>
      </c>
      <c r="F26" s="185">
        <f>B10</f>
        <v/>
      </c>
      <c r="G26" s="185">
        <f>B11</f>
        <v/>
      </c>
      <c r="H26" s="185">
        <f>B12</f>
        <v/>
      </c>
      <c r="I26" s="185">
        <f>B13</f>
        <v/>
      </c>
      <c r="J26" s="185">
        <f>B14</f>
        <v/>
      </c>
      <c r="K26" s="185">
        <f>B15</f>
        <v/>
      </c>
      <c r="L26" s="185">
        <f>B16</f>
        <v/>
      </c>
      <c r="M26" s="185">
        <f>B17</f>
        <v/>
      </c>
      <c r="N26" s="185">
        <f>B18</f>
        <v/>
      </c>
      <c r="O26" s="184" t="inlineStr">
        <is>
          <t>Итого</t>
        </is>
      </c>
    </row>
    <row r="27" ht="18" customHeight="1">
      <c r="B27" s="141">
        <f>IF(Настройки!$J$6="","",Настройки!$J$6)</f>
        <v/>
      </c>
      <c r="C27" s="186">
        <f>IF($B27="",0,SUMIFS(Журнал!$P$10:$P$1509,Журнал!$D$10:$D$1509,"&lt;&gt;Доход",Журнал!$E$10:$E$1509,$B27,Журнал!$R$10:$R$1509,$Q$7)+SUMIFS(Постоянные!$AC$8:$AC$367,Постоянные!$Z$8:$Z$367,"Расход",Постоянные!$AA$8:$AA$367,$B27,Постоянные!$AD$8:$AD$367,$Q$7)+SUMIFS(Покупки!$S$7:$S$18,Покупки!$D$7:$D$18,$B27,Покупки!$Q$7:$Q$18,$Q$7)+SUMIFS(Операции!$Q$10:$Q$1009,Операции!$D$10:$D$1009,"Расход",Операции!$E$10:$E$1009,$B27,Операции!$P$10:$P$1009,$Q$7))</f>
        <v/>
      </c>
      <c r="D27" s="186">
        <f>IF($B27="",0,SUMIFS(Журнал!$P$10:$P$1509,Журнал!$D$10:$D$1509,"&lt;&gt;Доход",Журнал!$E$10:$E$1509,$B27,Журнал!$R$10:$R$1509,$Q$8)+SUMIFS(Постоянные!$AC$8:$AC$367,Постоянные!$Z$8:$Z$367,"Расход",Постоянные!$AA$8:$AA$367,$B27,Постоянные!$AD$8:$AD$367,$Q$8)+SUMIFS(Покупки!$S$7:$S$18,Покупки!$D$7:$D$18,$B27,Покупки!$Q$7:$Q$18,$Q$8)+SUMIFS(Операции!$Q$10:$Q$1009,Операции!$D$10:$D$1009,"Расход",Операции!$E$10:$E$1009,$B27,Операции!$P$10:$P$1009,$Q$8))</f>
        <v/>
      </c>
      <c r="E27" s="186">
        <f>IF($B27="",0,SUMIFS(Журнал!$P$10:$P$1509,Журнал!$D$10:$D$1509,"&lt;&gt;Доход",Журнал!$E$10:$E$1509,$B27,Журнал!$R$10:$R$1509,$Q$9)+SUMIFS(Постоянные!$AC$8:$AC$367,Постоянные!$Z$8:$Z$367,"Расход",Постоянные!$AA$8:$AA$367,$B27,Постоянные!$AD$8:$AD$367,$Q$9)+SUMIFS(Покупки!$S$7:$S$18,Покупки!$D$7:$D$18,$B27,Покупки!$Q$7:$Q$18,$Q$9)+SUMIFS(Операции!$Q$10:$Q$1009,Операции!$D$10:$D$1009,"Расход",Операции!$E$10:$E$1009,$B27,Операции!$P$10:$P$1009,$Q$9))</f>
        <v/>
      </c>
      <c r="F27" s="186">
        <f>IF($B27="",0,SUMIFS(Журнал!$P$10:$P$1509,Журнал!$D$10:$D$1509,"&lt;&gt;Доход",Журнал!$E$10:$E$1509,$B27,Журнал!$R$10:$R$1509,$Q$10)+SUMIFS(Постоянные!$AC$8:$AC$367,Постоянные!$Z$8:$Z$367,"Расход",Постоянные!$AA$8:$AA$367,$B27,Постоянные!$AD$8:$AD$367,$Q$10)+SUMIFS(Покупки!$S$7:$S$18,Покупки!$D$7:$D$18,$B27,Покупки!$Q$7:$Q$18,$Q$10)+SUMIFS(Операции!$Q$10:$Q$1009,Операции!$D$10:$D$1009,"Расход",Операции!$E$10:$E$1009,$B27,Операции!$P$10:$P$1009,$Q$10))</f>
        <v/>
      </c>
      <c r="G27" s="186">
        <f>IF($B27="",0,SUMIFS(Журнал!$P$10:$P$1509,Журнал!$D$10:$D$1509,"&lt;&gt;Доход",Журнал!$E$10:$E$1509,$B27,Журнал!$R$10:$R$1509,$Q$11)+SUMIFS(Постоянные!$AC$8:$AC$367,Постоянные!$Z$8:$Z$367,"Расход",Постоянные!$AA$8:$AA$367,$B27,Постоянные!$AD$8:$AD$367,$Q$11)+SUMIFS(Покупки!$S$7:$S$18,Покупки!$D$7:$D$18,$B27,Покупки!$Q$7:$Q$18,$Q$11)+SUMIFS(Операции!$Q$10:$Q$1009,Операции!$D$10:$D$1009,"Расход",Операции!$E$10:$E$1009,$B27,Операции!$P$10:$P$1009,$Q$11))</f>
        <v/>
      </c>
      <c r="H27" s="186">
        <f>IF($B27="",0,SUMIFS(Журнал!$P$10:$P$1509,Журнал!$D$10:$D$1509,"&lt;&gt;Доход",Журнал!$E$10:$E$1509,$B27,Журнал!$R$10:$R$1509,$Q$12)+SUMIFS(Постоянные!$AC$8:$AC$367,Постоянные!$Z$8:$Z$367,"Расход",Постоянные!$AA$8:$AA$367,$B27,Постоянные!$AD$8:$AD$367,$Q$12)+SUMIFS(Покупки!$S$7:$S$18,Покупки!$D$7:$D$18,$B27,Покупки!$Q$7:$Q$18,$Q$12)+SUMIFS(Операции!$Q$10:$Q$1009,Операции!$D$10:$D$1009,"Расход",Операции!$E$10:$E$1009,$B27,Операции!$P$10:$P$1009,$Q$12))</f>
        <v/>
      </c>
      <c r="I27" s="186">
        <f>IF($B27="",0,SUMIFS(Журнал!$P$10:$P$1509,Журнал!$D$10:$D$1509,"&lt;&gt;Доход",Журнал!$E$10:$E$1509,$B27,Журнал!$R$10:$R$1509,$Q$13)+SUMIFS(Постоянные!$AC$8:$AC$367,Постоянные!$Z$8:$Z$367,"Расход",Постоянные!$AA$8:$AA$367,$B27,Постоянные!$AD$8:$AD$367,$Q$13)+SUMIFS(Покупки!$S$7:$S$18,Покупки!$D$7:$D$18,$B27,Покупки!$Q$7:$Q$18,$Q$13)+SUMIFS(Операции!$Q$10:$Q$1009,Операции!$D$10:$D$1009,"Расход",Операции!$E$10:$E$1009,$B27,Операции!$P$10:$P$1009,$Q$13))</f>
        <v/>
      </c>
      <c r="J27" s="186">
        <f>IF($B27="",0,SUMIFS(Журнал!$P$10:$P$1509,Журнал!$D$10:$D$1509,"&lt;&gt;Доход",Журнал!$E$10:$E$1509,$B27,Журнал!$R$10:$R$1509,$Q$14)+SUMIFS(Постоянные!$AC$8:$AC$367,Постоянные!$Z$8:$Z$367,"Расход",Постоянные!$AA$8:$AA$367,$B27,Постоянные!$AD$8:$AD$367,$Q$14)+SUMIFS(Покупки!$S$7:$S$18,Покупки!$D$7:$D$18,$B27,Покупки!$Q$7:$Q$18,$Q$14)+SUMIFS(Операции!$Q$10:$Q$1009,Операции!$D$10:$D$1009,"Расход",Операции!$E$10:$E$1009,$B27,Операции!$P$10:$P$1009,$Q$14))</f>
        <v/>
      </c>
      <c r="K27" s="186">
        <f>IF($B27="",0,SUMIFS(Журнал!$P$10:$P$1509,Журнал!$D$10:$D$1509,"&lt;&gt;Доход",Журнал!$E$10:$E$1509,$B27,Журнал!$R$10:$R$1509,$Q$15)+SUMIFS(Постоянные!$AC$8:$AC$367,Постоянные!$Z$8:$Z$367,"Расход",Постоянные!$AA$8:$AA$367,$B27,Постоянные!$AD$8:$AD$367,$Q$15)+SUMIFS(Покупки!$S$7:$S$18,Покупки!$D$7:$D$18,$B27,Покупки!$Q$7:$Q$18,$Q$15)+SUMIFS(Операции!$Q$10:$Q$1009,Операции!$D$10:$D$1009,"Расход",Операции!$E$10:$E$1009,$B27,Операции!$P$10:$P$1009,$Q$15))</f>
        <v/>
      </c>
      <c r="L27" s="186">
        <f>IF($B27="",0,SUMIFS(Журнал!$P$10:$P$1509,Журнал!$D$10:$D$1509,"&lt;&gt;Доход",Журнал!$E$10:$E$1509,$B27,Журнал!$R$10:$R$1509,$Q$16)+SUMIFS(Постоянные!$AC$8:$AC$367,Постоянные!$Z$8:$Z$367,"Расход",Постоянные!$AA$8:$AA$367,$B27,Постоянные!$AD$8:$AD$367,$Q$16)+SUMIFS(Покупки!$S$7:$S$18,Покупки!$D$7:$D$18,$B27,Покупки!$Q$7:$Q$18,$Q$16)+SUMIFS(Операции!$Q$10:$Q$1009,Операции!$D$10:$D$1009,"Расход",Операции!$E$10:$E$1009,$B27,Операции!$P$10:$P$1009,$Q$16))</f>
        <v/>
      </c>
      <c r="M27" s="186">
        <f>IF($B27="",0,SUMIFS(Журнал!$P$10:$P$1509,Журнал!$D$10:$D$1509,"&lt;&gt;Доход",Журнал!$E$10:$E$1509,$B27,Журнал!$R$10:$R$1509,$Q$17)+SUMIFS(Постоянные!$AC$8:$AC$367,Постоянные!$Z$8:$Z$367,"Расход",Постоянные!$AA$8:$AA$367,$B27,Постоянные!$AD$8:$AD$367,$Q$17)+SUMIFS(Покупки!$S$7:$S$18,Покупки!$D$7:$D$18,$B27,Покупки!$Q$7:$Q$18,$Q$17)+SUMIFS(Операции!$Q$10:$Q$1009,Операции!$D$10:$D$1009,"Расход",Операции!$E$10:$E$1009,$B27,Операции!$P$10:$P$1009,$Q$17))</f>
        <v/>
      </c>
      <c r="N27" s="186">
        <f>IF($B27="",0,SUMIFS(Журнал!$P$10:$P$1509,Журнал!$D$10:$D$1509,"&lt;&gt;Доход",Журнал!$E$10:$E$1509,$B27,Журнал!$R$10:$R$1509,$Q$18)+SUMIFS(Постоянные!$AC$8:$AC$367,Постоянные!$Z$8:$Z$367,"Расход",Постоянные!$AA$8:$AA$367,$B27,Постоянные!$AD$8:$AD$367,$Q$18)+SUMIFS(Покупки!$S$7:$S$18,Покупки!$D$7:$D$18,$B27,Покупки!$Q$7:$Q$18,$Q$18)+SUMIFS(Операции!$Q$10:$Q$1009,Операции!$D$10:$D$1009,"Расход",Операции!$E$10:$E$1009,$B27,Операции!$P$10:$P$1009,$Q$18))</f>
        <v/>
      </c>
      <c r="O27" s="187">
        <f>SUM(C27:N27)</f>
        <v/>
      </c>
      <c r="Z27">
        <f>IF($B27="",-1,N($O27)-ROW()/1000000)</f>
        <v/>
      </c>
    </row>
    <row r="28" ht="18" customHeight="1">
      <c r="B28" s="141">
        <f>IF(Настройки!$J$7="","",Настройки!$J$7)</f>
        <v/>
      </c>
      <c r="C28" s="186">
        <f>IF($B28="",0,SUMIFS(Журнал!$P$10:$P$1509,Журнал!$D$10:$D$1509,"&lt;&gt;Доход",Журнал!$E$10:$E$1509,$B28,Журнал!$R$10:$R$1509,$Q$7)+SUMIFS(Постоянные!$AC$8:$AC$367,Постоянные!$Z$8:$Z$367,"Расход",Постоянные!$AA$8:$AA$367,$B28,Постоянные!$AD$8:$AD$367,$Q$7)+SUMIFS(Покупки!$S$7:$S$18,Покупки!$D$7:$D$18,$B28,Покупки!$Q$7:$Q$18,$Q$7)+SUMIFS(Операции!$Q$10:$Q$1009,Операции!$D$10:$D$1009,"Расход",Операции!$E$10:$E$1009,$B28,Операции!$P$10:$P$1009,$Q$7))</f>
        <v/>
      </c>
      <c r="D28" s="186">
        <f>IF($B28="",0,SUMIFS(Журнал!$P$10:$P$1509,Журнал!$D$10:$D$1509,"&lt;&gt;Доход",Журнал!$E$10:$E$1509,$B28,Журнал!$R$10:$R$1509,$Q$8)+SUMIFS(Постоянные!$AC$8:$AC$367,Постоянные!$Z$8:$Z$367,"Расход",Постоянные!$AA$8:$AA$367,$B28,Постоянные!$AD$8:$AD$367,$Q$8)+SUMIFS(Покупки!$S$7:$S$18,Покупки!$D$7:$D$18,$B28,Покупки!$Q$7:$Q$18,$Q$8)+SUMIFS(Операции!$Q$10:$Q$1009,Операции!$D$10:$D$1009,"Расход",Операции!$E$10:$E$1009,$B28,Операции!$P$10:$P$1009,$Q$8))</f>
        <v/>
      </c>
      <c r="E28" s="186">
        <f>IF($B28="",0,SUMIFS(Журнал!$P$10:$P$1509,Журнал!$D$10:$D$1509,"&lt;&gt;Доход",Журнал!$E$10:$E$1509,$B28,Журнал!$R$10:$R$1509,$Q$9)+SUMIFS(Постоянные!$AC$8:$AC$367,Постоянные!$Z$8:$Z$367,"Расход",Постоянные!$AA$8:$AA$367,$B28,Постоянные!$AD$8:$AD$367,$Q$9)+SUMIFS(Покупки!$S$7:$S$18,Покупки!$D$7:$D$18,$B28,Покупки!$Q$7:$Q$18,$Q$9)+SUMIFS(Операции!$Q$10:$Q$1009,Операции!$D$10:$D$1009,"Расход",Операции!$E$10:$E$1009,$B28,Операции!$P$10:$P$1009,$Q$9))</f>
        <v/>
      </c>
      <c r="F28" s="186">
        <f>IF($B28="",0,SUMIFS(Журнал!$P$10:$P$1509,Журнал!$D$10:$D$1509,"&lt;&gt;Доход",Журнал!$E$10:$E$1509,$B28,Журнал!$R$10:$R$1509,$Q$10)+SUMIFS(Постоянные!$AC$8:$AC$367,Постоянные!$Z$8:$Z$367,"Расход",Постоянные!$AA$8:$AA$367,$B28,Постоянные!$AD$8:$AD$367,$Q$10)+SUMIFS(Покупки!$S$7:$S$18,Покупки!$D$7:$D$18,$B28,Покупки!$Q$7:$Q$18,$Q$10)+SUMIFS(Операции!$Q$10:$Q$1009,Операции!$D$10:$D$1009,"Расход",Операции!$E$10:$E$1009,$B28,Операции!$P$10:$P$1009,$Q$10))</f>
        <v/>
      </c>
      <c r="G28" s="186">
        <f>IF($B28="",0,SUMIFS(Журнал!$P$10:$P$1509,Журнал!$D$10:$D$1509,"&lt;&gt;Доход",Журнал!$E$10:$E$1509,$B28,Журнал!$R$10:$R$1509,$Q$11)+SUMIFS(Постоянные!$AC$8:$AC$367,Постоянные!$Z$8:$Z$367,"Расход",Постоянные!$AA$8:$AA$367,$B28,Постоянные!$AD$8:$AD$367,$Q$11)+SUMIFS(Покупки!$S$7:$S$18,Покупки!$D$7:$D$18,$B28,Покупки!$Q$7:$Q$18,$Q$11)+SUMIFS(Операции!$Q$10:$Q$1009,Операции!$D$10:$D$1009,"Расход",Операции!$E$10:$E$1009,$B28,Операции!$P$10:$P$1009,$Q$11))</f>
        <v/>
      </c>
      <c r="H28" s="186">
        <f>IF($B28="",0,SUMIFS(Журнал!$P$10:$P$1509,Журнал!$D$10:$D$1509,"&lt;&gt;Доход",Журнал!$E$10:$E$1509,$B28,Журнал!$R$10:$R$1509,$Q$12)+SUMIFS(Постоянные!$AC$8:$AC$367,Постоянные!$Z$8:$Z$367,"Расход",Постоянные!$AA$8:$AA$367,$B28,Постоянные!$AD$8:$AD$367,$Q$12)+SUMIFS(Покупки!$S$7:$S$18,Покупки!$D$7:$D$18,$B28,Покупки!$Q$7:$Q$18,$Q$12)+SUMIFS(Операции!$Q$10:$Q$1009,Операции!$D$10:$D$1009,"Расход",Операции!$E$10:$E$1009,$B28,Операции!$P$10:$P$1009,$Q$12))</f>
        <v/>
      </c>
      <c r="I28" s="186">
        <f>IF($B28="",0,SUMIFS(Журнал!$P$10:$P$1509,Журнал!$D$10:$D$1509,"&lt;&gt;Доход",Журнал!$E$10:$E$1509,$B28,Журнал!$R$10:$R$1509,$Q$13)+SUMIFS(Постоянные!$AC$8:$AC$367,Постоянные!$Z$8:$Z$367,"Расход",Постоянные!$AA$8:$AA$367,$B28,Постоянные!$AD$8:$AD$367,$Q$13)+SUMIFS(Покупки!$S$7:$S$18,Покупки!$D$7:$D$18,$B28,Покупки!$Q$7:$Q$18,$Q$13)+SUMIFS(Операции!$Q$10:$Q$1009,Операции!$D$10:$D$1009,"Расход",Операции!$E$10:$E$1009,$B28,Операции!$P$10:$P$1009,$Q$13))</f>
        <v/>
      </c>
      <c r="J28" s="186">
        <f>IF($B28="",0,SUMIFS(Журнал!$P$10:$P$1509,Журнал!$D$10:$D$1509,"&lt;&gt;Доход",Журнал!$E$10:$E$1509,$B28,Журнал!$R$10:$R$1509,$Q$14)+SUMIFS(Постоянные!$AC$8:$AC$367,Постоянные!$Z$8:$Z$367,"Расход",Постоянные!$AA$8:$AA$367,$B28,Постоянные!$AD$8:$AD$367,$Q$14)+SUMIFS(Покупки!$S$7:$S$18,Покупки!$D$7:$D$18,$B28,Покупки!$Q$7:$Q$18,$Q$14)+SUMIFS(Операции!$Q$10:$Q$1009,Операции!$D$10:$D$1009,"Расход",Операции!$E$10:$E$1009,$B28,Операции!$P$10:$P$1009,$Q$14))</f>
        <v/>
      </c>
      <c r="K28" s="186">
        <f>IF($B28="",0,SUMIFS(Журнал!$P$10:$P$1509,Журнал!$D$10:$D$1509,"&lt;&gt;Доход",Журнал!$E$10:$E$1509,$B28,Журнал!$R$10:$R$1509,$Q$15)+SUMIFS(Постоянные!$AC$8:$AC$367,Постоянные!$Z$8:$Z$367,"Расход",Постоянные!$AA$8:$AA$367,$B28,Постоянные!$AD$8:$AD$367,$Q$15)+SUMIFS(Покупки!$S$7:$S$18,Покупки!$D$7:$D$18,$B28,Покупки!$Q$7:$Q$18,$Q$15)+SUMIFS(Операции!$Q$10:$Q$1009,Операции!$D$10:$D$1009,"Расход",Операции!$E$10:$E$1009,$B28,Операции!$P$10:$P$1009,$Q$15))</f>
        <v/>
      </c>
      <c r="L28" s="186">
        <f>IF($B28="",0,SUMIFS(Журнал!$P$10:$P$1509,Журнал!$D$10:$D$1509,"&lt;&gt;Доход",Журнал!$E$10:$E$1509,$B28,Журнал!$R$10:$R$1509,$Q$16)+SUMIFS(Постоянные!$AC$8:$AC$367,Постоянные!$Z$8:$Z$367,"Расход",Постоянные!$AA$8:$AA$367,$B28,Постоянные!$AD$8:$AD$367,$Q$16)+SUMIFS(Покупки!$S$7:$S$18,Покупки!$D$7:$D$18,$B28,Покупки!$Q$7:$Q$18,$Q$16)+SUMIFS(Операции!$Q$10:$Q$1009,Операции!$D$10:$D$1009,"Расход",Операции!$E$10:$E$1009,$B28,Операции!$P$10:$P$1009,$Q$16))</f>
        <v/>
      </c>
      <c r="M28" s="186">
        <f>IF($B28="",0,SUMIFS(Журнал!$P$10:$P$1509,Журнал!$D$10:$D$1509,"&lt;&gt;Доход",Журнал!$E$10:$E$1509,$B28,Журнал!$R$10:$R$1509,$Q$17)+SUMIFS(Постоянные!$AC$8:$AC$367,Постоянные!$Z$8:$Z$367,"Расход",Постоянные!$AA$8:$AA$367,$B28,Постоянные!$AD$8:$AD$367,$Q$17)+SUMIFS(Покупки!$S$7:$S$18,Покупки!$D$7:$D$18,$B28,Покупки!$Q$7:$Q$18,$Q$17)+SUMIFS(Операции!$Q$10:$Q$1009,Операции!$D$10:$D$1009,"Расход",Операции!$E$10:$E$1009,$B28,Операции!$P$10:$P$1009,$Q$17))</f>
        <v/>
      </c>
      <c r="N28" s="186">
        <f>IF($B28="",0,SUMIFS(Журнал!$P$10:$P$1509,Журнал!$D$10:$D$1509,"&lt;&gt;Доход",Журнал!$E$10:$E$1509,$B28,Журнал!$R$10:$R$1509,$Q$18)+SUMIFS(Постоянные!$AC$8:$AC$367,Постоянные!$Z$8:$Z$367,"Расход",Постоянные!$AA$8:$AA$367,$B28,Постоянные!$AD$8:$AD$367,$Q$18)+SUMIFS(Покупки!$S$7:$S$18,Покупки!$D$7:$D$18,$B28,Покупки!$Q$7:$Q$18,$Q$18)+SUMIFS(Операции!$Q$10:$Q$1009,Операции!$D$10:$D$1009,"Расход",Операции!$E$10:$E$1009,$B28,Операции!$P$10:$P$1009,$Q$18))</f>
        <v/>
      </c>
      <c r="O28" s="187">
        <f>SUM(C28:N28)</f>
        <v/>
      </c>
      <c r="Z28">
        <f>IF($B28="",-1,N($O28)-ROW()/1000000)</f>
        <v/>
      </c>
    </row>
    <row r="29" ht="18" customHeight="1">
      <c r="B29" s="141">
        <f>IF(Настройки!$J$8="","",Настройки!$J$8)</f>
        <v/>
      </c>
      <c r="C29" s="186">
        <f>IF($B29="",0,SUMIFS(Журнал!$P$10:$P$1509,Журнал!$D$10:$D$1509,"&lt;&gt;Доход",Журнал!$E$10:$E$1509,$B29,Журнал!$R$10:$R$1509,$Q$7)+SUMIFS(Постоянные!$AC$8:$AC$367,Постоянные!$Z$8:$Z$367,"Расход",Постоянные!$AA$8:$AA$367,$B29,Постоянные!$AD$8:$AD$367,$Q$7)+SUMIFS(Покупки!$S$7:$S$18,Покупки!$D$7:$D$18,$B29,Покупки!$Q$7:$Q$18,$Q$7)+SUMIFS(Операции!$Q$10:$Q$1009,Операции!$D$10:$D$1009,"Расход",Операции!$E$10:$E$1009,$B29,Операции!$P$10:$P$1009,$Q$7))</f>
        <v/>
      </c>
      <c r="D29" s="186">
        <f>IF($B29="",0,SUMIFS(Журнал!$P$10:$P$1509,Журнал!$D$10:$D$1509,"&lt;&gt;Доход",Журнал!$E$10:$E$1509,$B29,Журнал!$R$10:$R$1509,$Q$8)+SUMIFS(Постоянные!$AC$8:$AC$367,Постоянные!$Z$8:$Z$367,"Расход",Постоянные!$AA$8:$AA$367,$B29,Постоянные!$AD$8:$AD$367,$Q$8)+SUMIFS(Покупки!$S$7:$S$18,Покупки!$D$7:$D$18,$B29,Покупки!$Q$7:$Q$18,$Q$8)+SUMIFS(Операции!$Q$10:$Q$1009,Операции!$D$10:$D$1009,"Расход",Операции!$E$10:$E$1009,$B29,Операции!$P$10:$P$1009,$Q$8))</f>
        <v/>
      </c>
      <c r="E29" s="186">
        <f>IF($B29="",0,SUMIFS(Журнал!$P$10:$P$1509,Журнал!$D$10:$D$1509,"&lt;&gt;Доход",Журнал!$E$10:$E$1509,$B29,Журнал!$R$10:$R$1509,$Q$9)+SUMIFS(Постоянные!$AC$8:$AC$367,Постоянные!$Z$8:$Z$367,"Расход",Постоянные!$AA$8:$AA$367,$B29,Постоянные!$AD$8:$AD$367,$Q$9)+SUMIFS(Покупки!$S$7:$S$18,Покупки!$D$7:$D$18,$B29,Покупки!$Q$7:$Q$18,$Q$9)+SUMIFS(Операции!$Q$10:$Q$1009,Операции!$D$10:$D$1009,"Расход",Операции!$E$10:$E$1009,$B29,Операции!$P$10:$P$1009,$Q$9))</f>
        <v/>
      </c>
      <c r="F29" s="186">
        <f>IF($B29="",0,SUMIFS(Журнал!$P$10:$P$1509,Журнал!$D$10:$D$1509,"&lt;&gt;Доход",Журнал!$E$10:$E$1509,$B29,Журнал!$R$10:$R$1509,$Q$10)+SUMIFS(Постоянные!$AC$8:$AC$367,Постоянные!$Z$8:$Z$367,"Расход",Постоянные!$AA$8:$AA$367,$B29,Постоянные!$AD$8:$AD$367,$Q$10)+SUMIFS(Покупки!$S$7:$S$18,Покупки!$D$7:$D$18,$B29,Покупки!$Q$7:$Q$18,$Q$10)+SUMIFS(Операции!$Q$10:$Q$1009,Операции!$D$10:$D$1009,"Расход",Операции!$E$10:$E$1009,$B29,Операции!$P$10:$P$1009,$Q$10))</f>
        <v/>
      </c>
      <c r="G29" s="186">
        <f>IF($B29="",0,SUMIFS(Журнал!$P$10:$P$1509,Журнал!$D$10:$D$1509,"&lt;&gt;Доход",Журнал!$E$10:$E$1509,$B29,Журнал!$R$10:$R$1509,$Q$11)+SUMIFS(Постоянные!$AC$8:$AC$367,Постоянные!$Z$8:$Z$367,"Расход",Постоянные!$AA$8:$AA$367,$B29,Постоянные!$AD$8:$AD$367,$Q$11)+SUMIFS(Покупки!$S$7:$S$18,Покупки!$D$7:$D$18,$B29,Покупки!$Q$7:$Q$18,$Q$11)+SUMIFS(Операции!$Q$10:$Q$1009,Операции!$D$10:$D$1009,"Расход",Операции!$E$10:$E$1009,$B29,Операции!$P$10:$P$1009,$Q$11))</f>
        <v/>
      </c>
      <c r="H29" s="186">
        <f>IF($B29="",0,SUMIFS(Журнал!$P$10:$P$1509,Журнал!$D$10:$D$1509,"&lt;&gt;Доход",Журнал!$E$10:$E$1509,$B29,Журнал!$R$10:$R$1509,$Q$12)+SUMIFS(Постоянные!$AC$8:$AC$367,Постоянные!$Z$8:$Z$367,"Расход",Постоянные!$AA$8:$AA$367,$B29,Постоянные!$AD$8:$AD$367,$Q$12)+SUMIFS(Покупки!$S$7:$S$18,Покупки!$D$7:$D$18,$B29,Покупки!$Q$7:$Q$18,$Q$12)+SUMIFS(Операции!$Q$10:$Q$1009,Операции!$D$10:$D$1009,"Расход",Операции!$E$10:$E$1009,$B29,Операции!$P$10:$P$1009,$Q$12))</f>
        <v/>
      </c>
      <c r="I29" s="186">
        <f>IF($B29="",0,SUMIFS(Журнал!$P$10:$P$1509,Журнал!$D$10:$D$1509,"&lt;&gt;Доход",Журнал!$E$10:$E$1509,$B29,Журнал!$R$10:$R$1509,$Q$13)+SUMIFS(Постоянные!$AC$8:$AC$367,Постоянные!$Z$8:$Z$367,"Расход",Постоянные!$AA$8:$AA$367,$B29,Постоянные!$AD$8:$AD$367,$Q$13)+SUMIFS(Покупки!$S$7:$S$18,Покупки!$D$7:$D$18,$B29,Покупки!$Q$7:$Q$18,$Q$13)+SUMIFS(Операции!$Q$10:$Q$1009,Операции!$D$10:$D$1009,"Расход",Операции!$E$10:$E$1009,$B29,Операции!$P$10:$P$1009,$Q$13))</f>
        <v/>
      </c>
      <c r="J29" s="186">
        <f>IF($B29="",0,SUMIFS(Журнал!$P$10:$P$1509,Журнал!$D$10:$D$1509,"&lt;&gt;Доход",Журнал!$E$10:$E$1509,$B29,Журнал!$R$10:$R$1509,$Q$14)+SUMIFS(Постоянные!$AC$8:$AC$367,Постоянные!$Z$8:$Z$367,"Расход",Постоянные!$AA$8:$AA$367,$B29,Постоянные!$AD$8:$AD$367,$Q$14)+SUMIFS(Покупки!$S$7:$S$18,Покупки!$D$7:$D$18,$B29,Покупки!$Q$7:$Q$18,$Q$14)+SUMIFS(Операции!$Q$10:$Q$1009,Операции!$D$10:$D$1009,"Расход",Операции!$E$10:$E$1009,$B29,Операции!$P$10:$P$1009,$Q$14))</f>
        <v/>
      </c>
      <c r="K29" s="186">
        <f>IF($B29="",0,SUMIFS(Журнал!$P$10:$P$1509,Журнал!$D$10:$D$1509,"&lt;&gt;Доход",Журнал!$E$10:$E$1509,$B29,Журнал!$R$10:$R$1509,$Q$15)+SUMIFS(Постоянные!$AC$8:$AC$367,Постоянные!$Z$8:$Z$367,"Расход",Постоянные!$AA$8:$AA$367,$B29,Постоянные!$AD$8:$AD$367,$Q$15)+SUMIFS(Покупки!$S$7:$S$18,Покупки!$D$7:$D$18,$B29,Покупки!$Q$7:$Q$18,$Q$15)+SUMIFS(Операции!$Q$10:$Q$1009,Операции!$D$10:$D$1009,"Расход",Операции!$E$10:$E$1009,$B29,Операции!$P$10:$P$1009,$Q$15))</f>
        <v/>
      </c>
      <c r="L29" s="186">
        <f>IF($B29="",0,SUMIFS(Журнал!$P$10:$P$1509,Журнал!$D$10:$D$1509,"&lt;&gt;Доход",Журнал!$E$10:$E$1509,$B29,Журнал!$R$10:$R$1509,$Q$16)+SUMIFS(Постоянные!$AC$8:$AC$367,Постоянные!$Z$8:$Z$367,"Расход",Постоянные!$AA$8:$AA$367,$B29,Постоянные!$AD$8:$AD$367,$Q$16)+SUMIFS(Покупки!$S$7:$S$18,Покупки!$D$7:$D$18,$B29,Покупки!$Q$7:$Q$18,$Q$16)+SUMIFS(Операции!$Q$10:$Q$1009,Операции!$D$10:$D$1009,"Расход",Операции!$E$10:$E$1009,$B29,Операции!$P$10:$P$1009,$Q$16))</f>
        <v/>
      </c>
      <c r="M29" s="186">
        <f>IF($B29="",0,SUMIFS(Журнал!$P$10:$P$1509,Журнал!$D$10:$D$1509,"&lt;&gt;Доход",Журнал!$E$10:$E$1509,$B29,Журнал!$R$10:$R$1509,$Q$17)+SUMIFS(Постоянные!$AC$8:$AC$367,Постоянные!$Z$8:$Z$367,"Расход",Постоянные!$AA$8:$AA$367,$B29,Постоянные!$AD$8:$AD$367,$Q$17)+SUMIFS(Покупки!$S$7:$S$18,Покупки!$D$7:$D$18,$B29,Покупки!$Q$7:$Q$18,$Q$17)+SUMIFS(Операции!$Q$10:$Q$1009,Операции!$D$10:$D$1009,"Расход",Операции!$E$10:$E$1009,$B29,Операции!$P$10:$P$1009,$Q$17))</f>
        <v/>
      </c>
      <c r="N29" s="186">
        <f>IF($B29="",0,SUMIFS(Журнал!$P$10:$P$1509,Журнал!$D$10:$D$1509,"&lt;&gt;Доход",Журнал!$E$10:$E$1509,$B29,Журнал!$R$10:$R$1509,$Q$18)+SUMIFS(Постоянные!$AC$8:$AC$367,Постоянные!$Z$8:$Z$367,"Расход",Постоянные!$AA$8:$AA$367,$B29,Постоянные!$AD$8:$AD$367,$Q$18)+SUMIFS(Покупки!$S$7:$S$18,Покупки!$D$7:$D$18,$B29,Покупки!$Q$7:$Q$18,$Q$18)+SUMIFS(Операции!$Q$10:$Q$1009,Операции!$D$10:$D$1009,"Расход",Операции!$E$10:$E$1009,$B29,Операции!$P$10:$P$1009,$Q$18))</f>
        <v/>
      </c>
      <c r="O29" s="187">
        <f>SUM(C29:N29)</f>
        <v/>
      </c>
      <c r="Z29">
        <f>IF($B29="",-1,N($O29)-ROW()/1000000)</f>
        <v/>
      </c>
    </row>
    <row r="30" ht="18" customHeight="1">
      <c r="B30" s="141">
        <f>IF(Настройки!$J$9="","",Настройки!$J$9)</f>
        <v/>
      </c>
      <c r="C30" s="186">
        <f>IF($B30="",0,SUMIFS(Журнал!$P$10:$P$1509,Журнал!$D$10:$D$1509,"&lt;&gt;Доход",Журнал!$E$10:$E$1509,$B30,Журнал!$R$10:$R$1509,$Q$7)+SUMIFS(Постоянные!$AC$8:$AC$367,Постоянные!$Z$8:$Z$367,"Расход",Постоянные!$AA$8:$AA$367,$B30,Постоянные!$AD$8:$AD$367,$Q$7)+SUMIFS(Покупки!$S$7:$S$18,Покупки!$D$7:$D$18,$B30,Покупки!$Q$7:$Q$18,$Q$7)+SUMIFS(Операции!$Q$10:$Q$1009,Операции!$D$10:$D$1009,"Расход",Операции!$E$10:$E$1009,$B30,Операции!$P$10:$P$1009,$Q$7))</f>
        <v/>
      </c>
      <c r="D30" s="186">
        <f>IF($B30="",0,SUMIFS(Журнал!$P$10:$P$1509,Журнал!$D$10:$D$1509,"&lt;&gt;Доход",Журнал!$E$10:$E$1509,$B30,Журнал!$R$10:$R$1509,$Q$8)+SUMIFS(Постоянные!$AC$8:$AC$367,Постоянные!$Z$8:$Z$367,"Расход",Постоянные!$AA$8:$AA$367,$B30,Постоянные!$AD$8:$AD$367,$Q$8)+SUMIFS(Покупки!$S$7:$S$18,Покупки!$D$7:$D$18,$B30,Покупки!$Q$7:$Q$18,$Q$8)+SUMIFS(Операции!$Q$10:$Q$1009,Операции!$D$10:$D$1009,"Расход",Операции!$E$10:$E$1009,$B30,Операции!$P$10:$P$1009,$Q$8))</f>
        <v/>
      </c>
      <c r="E30" s="186">
        <f>IF($B30="",0,SUMIFS(Журнал!$P$10:$P$1509,Журнал!$D$10:$D$1509,"&lt;&gt;Доход",Журнал!$E$10:$E$1509,$B30,Журнал!$R$10:$R$1509,$Q$9)+SUMIFS(Постоянные!$AC$8:$AC$367,Постоянные!$Z$8:$Z$367,"Расход",Постоянные!$AA$8:$AA$367,$B30,Постоянные!$AD$8:$AD$367,$Q$9)+SUMIFS(Покупки!$S$7:$S$18,Покупки!$D$7:$D$18,$B30,Покупки!$Q$7:$Q$18,$Q$9)+SUMIFS(Операции!$Q$10:$Q$1009,Операции!$D$10:$D$1009,"Расход",Операции!$E$10:$E$1009,$B30,Операции!$P$10:$P$1009,$Q$9))</f>
        <v/>
      </c>
      <c r="F30" s="186">
        <f>IF($B30="",0,SUMIFS(Журнал!$P$10:$P$1509,Журнал!$D$10:$D$1509,"&lt;&gt;Доход",Журнал!$E$10:$E$1509,$B30,Журнал!$R$10:$R$1509,$Q$10)+SUMIFS(Постоянные!$AC$8:$AC$367,Постоянные!$Z$8:$Z$367,"Расход",Постоянные!$AA$8:$AA$367,$B30,Постоянные!$AD$8:$AD$367,$Q$10)+SUMIFS(Покупки!$S$7:$S$18,Покупки!$D$7:$D$18,$B30,Покупки!$Q$7:$Q$18,$Q$10)+SUMIFS(Операции!$Q$10:$Q$1009,Операции!$D$10:$D$1009,"Расход",Операции!$E$10:$E$1009,$B30,Операции!$P$10:$P$1009,$Q$10))</f>
        <v/>
      </c>
      <c r="G30" s="186">
        <f>IF($B30="",0,SUMIFS(Журнал!$P$10:$P$1509,Журнал!$D$10:$D$1509,"&lt;&gt;Доход",Журнал!$E$10:$E$1509,$B30,Журнал!$R$10:$R$1509,$Q$11)+SUMIFS(Постоянные!$AC$8:$AC$367,Постоянные!$Z$8:$Z$367,"Расход",Постоянные!$AA$8:$AA$367,$B30,Постоянные!$AD$8:$AD$367,$Q$11)+SUMIFS(Покупки!$S$7:$S$18,Покупки!$D$7:$D$18,$B30,Покупки!$Q$7:$Q$18,$Q$11)+SUMIFS(Операции!$Q$10:$Q$1009,Операции!$D$10:$D$1009,"Расход",Операции!$E$10:$E$1009,$B30,Операции!$P$10:$P$1009,$Q$11))</f>
        <v/>
      </c>
      <c r="H30" s="186">
        <f>IF($B30="",0,SUMIFS(Журнал!$P$10:$P$1509,Журнал!$D$10:$D$1509,"&lt;&gt;Доход",Журнал!$E$10:$E$1509,$B30,Журнал!$R$10:$R$1509,$Q$12)+SUMIFS(Постоянные!$AC$8:$AC$367,Постоянные!$Z$8:$Z$367,"Расход",Постоянные!$AA$8:$AA$367,$B30,Постоянные!$AD$8:$AD$367,$Q$12)+SUMIFS(Покупки!$S$7:$S$18,Покупки!$D$7:$D$18,$B30,Покупки!$Q$7:$Q$18,$Q$12)+SUMIFS(Операции!$Q$10:$Q$1009,Операции!$D$10:$D$1009,"Расход",Операции!$E$10:$E$1009,$B30,Операции!$P$10:$P$1009,$Q$12))</f>
        <v/>
      </c>
      <c r="I30" s="186">
        <f>IF($B30="",0,SUMIFS(Журнал!$P$10:$P$1509,Журнал!$D$10:$D$1509,"&lt;&gt;Доход",Журнал!$E$10:$E$1509,$B30,Журнал!$R$10:$R$1509,$Q$13)+SUMIFS(Постоянные!$AC$8:$AC$367,Постоянные!$Z$8:$Z$367,"Расход",Постоянные!$AA$8:$AA$367,$B30,Постоянные!$AD$8:$AD$367,$Q$13)+SUMIFS(Покупки!$S$7:$S$18,Покупки!$D$7:$D$18,$B30,Покупки!$Q$7:$Q$18,$Q$13)+SUMIFS(Операции!$Q$10:$Q$1009,Операции!$D$10:$D$1009,"Расход",Операции!$E$10:$E$1009,$B30,Операции!$P$10:$P$1009,$Q$13))</f>
        <v/>
      </c>
      <c r="J30" s="186">
        <f>IF($B30="",0,SUMIFS(Журнал!$P$10:$P$1509,Журнал!$D$10:$D$1509,"&lt;&gt;Доход",Журнал!$E$10:$E$1509,$B30,Журнал!$R$10:$R$1509,$Q$14)+SUMIFS(Постоянные!$AC$8:$AC$367,Постоянные!$Z$8:$Z$367,"Расход",Постоянные!$AA$8:$AA$367,$B30,Постоянные!$AD$8:$AD$367,$Q$14)+SUMIFS(Покупки!$S$7:$S$18,Покупки!$D$7:$D$18,$B30,Покупки!$Q$7:$Q$18,$Q$14)+SUMIFS(Операции!$Q$10:$Q$1009,Операции!$D$10:$D$1009,"Расход",Операции!$E$10:$E$1009,$B30,Операции!$P$10:$P$1009,$Q$14))</f>
        <v/>
      </c>
      <c r="K30" s="186">
        <f>IF($B30="",0,SUMIFS(Журнал!$P$10:$P$1509,Журнал!$D$10:$D$1509,"&lt;&gt;Доход",Журнал!$E$10:$E$1509,$B30,Журнал!$R$10:$R$1509,$Q$15)+SUMIFS(Постоянные!$AC$8:$AC$367,Постоянные!$Z$8:$Z$367,"Расход",Постоянные!$AA$8:$AA$367,$B30,Постоянные!$AD$8:$AD$367,$Q$15)+SUMIFS(Покупки!$S$7:$S$18,Покупки!$D$7:$D$18,$B30,Покупки!$Q$7:$Q$18,$Q$15)+SUMIFS(Операции!$Q$10:$Q$1009,Операции!$D$10:$D$1009,"Расход",Операции!$E$10:$E$1009,$B30,Операции!$P$10:$P$1009,$Q$15))</f>
        <v/>
      </c>
      <c r="L30" s="186">
        <f>IF($B30="",0,SUMIFS(Журнал!$P$10:$P$1509,Журнал!$D$10:$D$1509,"&lt;&gt;Доход",Журнал!$E$10:$E$1509,$B30,Журнал!$R$10:$R$1509,$Q$16)+SUMIFS(Постоянные!$AC$8:$AC$367,Постоянные!$Z$8:$Z$367,"Расход",Постоянные!$AA$8:$AA$367,$B30,Постоянные!$AD$8:$AD$367,$Q$16)+SUMIFS(Покупки!$S$7:$S$18,Покупки!$D$7:$D$18,$B30,Покупки!$Q$7:$Q$18,$Q$16)+SUMIFS(Операции!$Q$10:$Q$1009,Операции!$D$10:$D$1009,"Расход",Операции!$E$10:$E$1009,$B30,Операции!$P$10:$P$1009,$Q$16))</f>
        <v/>
      </c>
      <c r="M30" s="186">
        <f>IF($B30="",0,SUMIFS(Журнал!$P$10:$P$1509,Журнал!$D$10:$D$1509,"&lt;&gt;Доход",Журнал!$E$10:$E$1509,$B30,Журнал!$R$10:$R$1509,$Q$17)+SUMIFS(Постоянные!$AC$8:$AC$367,Постоянные!$Z$8:$Z$367,"Расход",Постоянные!$AA$8:$AA$367,$B30,Постоянные!$AD$8:$AD$367,$Q$17)+SUMIFS(Покупки!$S$7:$S$18,Покупки!$D$7:$D$18,$B30,Покупки!$Q$7:$Q$18,$Q$17)+SUMIFS(Операции!$Q$10:$Q$1009,Операции!$D$10:$D$1009,"Расход",Операции!$E$10:$E$1009,$B30,Операции!$P$10:$P$1009,$Q$17))</f>
        <v/>
      </c>
      <c r="N30" s="186">
        <f>IF($B30="",0,SUMIFS(Журнал!$P$10:$P$1509,Журнал!$D$10:$D$1509,"&lt;&gt;Доход",Журнал!$E$10:$E$1509,$B30,Журнал!$R$10:$R$1509,$Q$18)+SUMIFS(Постоянные!$AC$8:$AC$367,Постоянные!$Z$8:$Z$367,"Расход",Постоянные!$AA$8:$AA$367,$B30,Постоянные!$AD$8:$AD$367,$Q$18)+SUMIFS(Покупки!$S$7:$S$18,Покупки!$D$7:$D$18,$B30,Покупки!$Q$7:$Q$18,$Q$18)+SUMIFS(Операции!$Q$10:$Q$1009,Операции!$D$10:$D$1009,"Расход",Операции!$E$10:$E$1009,$B30,Операции!$P$10:$P$1009,$Q$18))</f>
        <v/>
      </c>
      <c r="O30" s="187">
        <f>SUM(C30:N30)</f>
        <v/>
      </c>
      <c r="Z30">
        <f>IF($B30="",-1,N($O30)-ROW()/1000000)</f>
        <v/>
      </c>
    </row>
    <row r="31" ht="18" customHeight="1">
      <c r="B31" s="141">
        <f>IF(Настройки!$J$10="","",Настройки!$J$10)</f>
        <v/>
      </c>
      <c r="C31" s="186">
        <f>IF($B31="",0,SUMIFS(Журнал!$P$10:$P$1509,Журнал!$D$10:$D$1509,"&lt;&gt;Доход",Журнал!$E$10:$E$1509,$B31,Журнал!$R$10:$R$1509,$Q$7)+SUMIFS(Постоянные!$AC$8:$AC$367,Постоянные!$Z$8:$Z$367,"Расход",Постоянные!$AA$8:$AA$367,$B31,Постоянные!$AD$8:$AD$367,$Q$7)+SUMIFS(Покупки!$S$7:$S$18,Покупки!$D$7:$D$18,$B31,Покупки!$Q$7:$Q$18,$Q$7)+SUMIFS(Операции!$Q$10:$Q$1009,Операции!$D$10:$D$1009,"Расход",Операции!$E$10:$E$1009,$B31,Операции!$P$10:$P$1009,$Q$7))</f>
        <v/>
      </c>
      <c r="D31" s="186">
        <f>IF($B31="",0,SUMIFS(Журнал!$P$10:$P$1509,Журнал!$D$10:$D$1509,"&lt;&gt;Доход",Журнал!$E$10:$E$1509,$B31,Журнал!$R$10:$R$1509,$Q$8)+SUMIFS(Постоянные!$AC$8:$AC$367,Постоянные!$Z$8:$Z$367,"Расход",Постоянные!$AA$8:$AA$367,$B31,Постоянные!$AD$8:$AD$367,$Q$8)+SUMIFS(Покупки!$S$7:$S$18,Покупки!$D$7:$D$18,$B31,Покупки!$Q$7:$Q$18,$Q$8)+SUMIFS(Операции!$Q$10:$Q$1009,Операции!$D$10:$D$1009,"Расход",Операции!$E$10:$E$1009,$B31,Операции!$P$10:$P$1009,$Q$8))</f>
        <v/>
      </c>
      <c r="E31" s="186">
        <f>IF($B31="",0,SUMIFS(Журнал!$P$10:$P$1509,Журнал!$D$10:$D$1509,"&lt;&gt;Доход",Журнал!$E$10:$E$1509,$B31,Журнал!$R$10:$R$1509,$Q$9)+SUMIFS(Постоянные!$AC$8:$AC$367,Постоянные!$Z$8:$Z$367,"Расход",Постоянные!$AA$8:$AA$367,$B31,Постоянные!$AD$8:$AD$367,$Q$9)+SUMIFS(Покупки!$S$7:$S$18,Покупки!$D$7:$D$18,$B31,Покупки!$Q$7:$Q$18,$Q$9)+SUMIFS(Операции!$Q$10:$Q$1009,Операции!$D$10:$D$1009,"Расход",Операции!$E$10:$E$1009,$B31,Операции!$P$10:$P$1009,$Q$9))</f>
        <v/>
      </c>
      <c r="F31" s="186">
        <f>IF($B31="",0,SUMIFS(Журнал!$P$10:$P$1509,Журнал!$D$10:$D$1509,"&lt;&gt;Доход",Журнал!$E$10:$E$1509,$B31,Журнал!$R$10:$R$1509,$Q$10)+SUMIFS(Постоянные!$AC$8:$AC$367,Постоянные!$Z$8:$Z$367,"Расход",Постоянные!$AA$8:$AA$367,$B31,Постоянные!$AD$8:$AD$367,$Q$10)+SUMIFS(Покупки!$S$7:$S$18,Покупки!$D$7:$D$18,$B31,Покупки!$Q$7:$Q$18,$Q$10)+SUMIFS(Операции!$Q$10:$Q$1009,Операции!$D$10:$D$1009,"Расход",Операции!$E$10:$E$1009,$B31,Операции!$P$10:$P$1009,$Q$10))</f>
        <v/>
      </c>
      <c r="G31" s="186">
        <f>IF($B31="",0,SUMIFS(Журнал!$P$10:$P$1509,Журнал!$D$10:$D$1509,"&lt;&gt;Доход",Журнал!$E$10:$E$1509,$B31,Журнал!$R$10:$R$1509,$Q$11)+SUMIFS(Постоянные!$AC$8:$AC$367,Постоянные!$Z$8:$Z$367,"Расход",Постоянные!$AA$8:$AA$367,$B31,Постоянные!$AD$8:$AD$367,$Q$11)+SUMIFS(Покупки!$S$7:$S$18,Покупки!$D$7:$D$18,$B31,Покупки!$Q$7:$Q$18,$Q$11)+SUMIFS(Операции!$Q$10:$Q$1009,Операции!$D$10:$D$1009,"Расход",Операции!$E$10:$E$1009,$B31,Операции!$P$10:$P$1009,$Q$11))</f>
        <v/>
      </c>
      <c r="H31" s="186">
        <f>IF($B31="",0,SUMIFS(Журнал!$P$10:$P$1509,Журнал!$D$10:$D$1509,"&lt;&gt;Доход",Журнал!$E$10:$E$1509,$B31,Журнал!$R$10:$R$1509,$Q$12)+SUMIFS(Постоянные!$AC$8:$AC$367,Постоянные!$Z$8:$Z$367,"Расход",Постоянные!$AA$8:$AA$367,$B31,Постоянные!$AD$8:$AD$367,$Q$12)+SUMIFS(Покупки!$S$7:$S$18,Покупки!$D$7:$D$18,$B31,Покупки!$Q$7:$Q$18,$Q$12)+SUMIFS(Операции!$Q$10:$Q$1009,Операции!$D$10:$D$1009,"Расход",Операции!$E$10:$E$1009,$B31,Операции!$P$10:$P$1009,$Q$12))</f>
        <v/>
      </c>
      <c r="I31" s="186">
        <f>IF($B31="",0,SUMIFS(Журнал!$P$10:$P$1509,Журнал!$D$10:$D$1509,"&lt;&gt;Доход",Журнал!$E$10:$E$1509,$B31,Журнал!$R$10:$R$1509,$Q$13)+SUMIFS(Постоянные!$AC$8:$AC$367,Постоянные!$Z$8:$Z$367,"Расход",Постоянные!$AA$8:$AA$367,$B31,Постоянные!$AD$8:$AD$367,$Q$13)+SUMIFS(Покупки!$S$7:$S$18,Покупки!$D$7:$D$18,$B31,Покупки!$Q$7:$Q$18,$Q$13)+SUMIFS(Операции!$Q$10:$Q$1009,Операции!$D$10:$D$1009,"Расход",Операции!$E$10:$E$1009,$B31,Операции!$P$10:$P$1009,$Q$13))</f>
        <v/>
      </c>
      <c r="J31" s="186">
        <f>IF($B31="",0,SUMIFS(Журнал!$P$10:$P$1509,Журнал!$D$10:$D$1509,"&lt;&gt;Доход",Журнал!$E$10:$E$1509,$B31,Журнал!$R$10:$R$1509,$Q$14)+SUMIFS(Постоянные!$AC$8:$AC$367,Постоянные!$Z$8:$Z$367,"Расход",Постоянные!$AA$8:$AA$367,$B31,Постоянные!$AD$8:$AD$367,$Q$14)+SUMIFS(Покупки!$S$7:$S$18,Покупки!$D$7:$D$18,$B31,Покупки!$Q$7:$Q$18,$Q$14)+SUMIFS(Операции!$Q$10:$Q$1009,Операции!$D$10:$D$1009,"Расход",Операции!$E$10:$E$1009,$B31,Операции!$P$10:$P$1009,$Q$14))</f>
        <v/>
      </c>
      <c r="K31" s="186">
        <f>IF($B31="",0,SUMIFS(Журнал!$P$10:$P$1509,Журнал!$D$10:$D$1509,"&lt;&gt;Доход",Журнал!$E$10:$E$1509,$B31,Журнал!$R$10:$R$1509,$Q$15)+SUMIFS(Постоянные!$AC$8:$AC$367,Постоянные!$Z$8:$Z$367,"Расход",Постоянные!$AA$8:$AA$367,$B31,Постоянные!$AD$8:$AD$367,$Q$15)+SUMIFS(Покупки!$S$7:$S$18,Покупки!$D$7:$D$18,$B31,Покупки!$Q$7:$Q$18,$Q$15)+SUMIFS(Операции!$Q$10:$Q$1009,Операции!$D$10:$D$1009,"Расход",Операции!$E$10:$E$1009,$B31,Операции!$P$10:$P$1009,$Q$15))</f>
        <v/>
      </c>
      <c r="L31" s="186">
        <f>IF($B31="",0,SUMIFS(Журнал!$P$10:$P$1509,Журнал!$D$10:$D$1509,"&lt;&gt;Доход",Журнал!$E$10:$E$1509,$B31,Журнал!$R$10:$R$1509,$Q$16)+SUMIFS(Постоянные!$AC$8:$AC$367,Постоянные!$Z$8:$Z$367,"Расход",Постоянные!$AA$8:$AA$367,$B31,Постоянные!$AD$8:$AD$367,$Q$16)+SUMIFS(Покупки!$S$7:$S$18,Покупки!$D$7:$D$18,$B31,Покупки!$Q$7:$Q$18,$Q$16)+SUMIFS(Операции!$Q$10:$Q$1009,Операции!$D$10:$D$1009,"Расход",Операции!$E$10:$E$1009,$B31,Операции!$P$10:$P$1009,$Q$16))</f>
        <v/>
      </c>
      <c r="M31" s="186">
        <f>IF($B31="",0,SUMIFS(Журнал!$P$10:$P$1509,Журнал!$D$10:$D$1509,"&lt;&gt;Доход",Журнал!$E$10:$E$1509,$B31,Журнал!$R$10:$R$1509,$Q$17)+SUMIFS(Постоянные!$AC$8:$AC$367,Постоянные!$Z$8:$Z$367,"Расход",Постоянные!$AA$8:$AA$367,$B31,Постоянные!$AD$8:$AD$367,$Q$17)+SUMIFS(Покупки!$S$7:$S$18,Покупки!$D$7:$D$18,$B31,Покупки!$Q$7:$Q$18,$Q$17)+SUMIFS(Операции!$Q$10:$Q$1009,Операции!$D$10:$D$1009,"Расход",Операции!$E$10:$E$1009,$B31,Операции!$P$10:$P$1009,$Q$17))</f>
        <v/>
      </c>
      <c r="N31" s="186">
        <f>IF($B31="",0,SUMIFS(Журнал!$P$10:$P$1509,Журнал!$D$10:$D$1509,"&lt;&gt;Доход",Журнал!$E$10:$E$1509,$B31,Журнал!$R$10:$R$1509,$Q$18)+SUMIFS(Постоянные!$AC$8:$AC$367,Постоянные!$Z$8:$Z$367,"Расход",Постоянные!$AA$8:$AA$367,$B31,Постоянные!$AD$8:$AD$367,$Q$18)+SUMIFS(Покупки!$S$7:$S$18,Покупки!$D$7:$D$18,$B31,Покупки!$Q$7:$Q$18,$Q$18)+SUMIFS(Операции!$Q$10:$Q$1009,Операции!$D$10:$D$1009,"Расход",Операции!$E$10:$E$1009,$B31,Операции!$P$10:$P$1009,$Q$18))</f>
        <v/>
      </c>
      <c r="O31" s="187">
        <f>SUM(C31:N31)</f>
        <v/>
      </c>
      <c r="Z31">
        <f>IF($B31="",-1,N($O31)-ROW()/1000000)</f>
        <v/>
      </c>
    </row>
    <row r="32" ht="18" customHeight="1">
      <c r="B32" s="141">
        <f>IF(Настройки!$J$11="","",Настройки!$J$11)</f>
        <v/>
      </c>
      <c r="C32" s="186">
        <f>IF($B32="",0,SUMIFS(Журнал!$P$10:$P$1509,Журнал!$D$10:$D$1509,"&lt;&gt;Доход",Журнал!$E$10:$E$1509,$B32,Журнал!$R$10:$R$1509,$Q$7)+SUMIFS(Постоянные!$AC$8:$AC$367,Постоянные!$Z$8:$Z$367,"Расход",Постоянные!$AA$8:$AA$367,$B32,Постоянные!$AD$8:$AD$367,$Q$7)+SUMIFS(Покупки!$S$7:$S$18,Покупки!$D$7:$D$18,$B32,Покупки!$Q$7:$Q$18,$Q$7)+SUMIFS(Операции!$Q$10:$Q$1009,Операции!$D$10:$D$1009,"Расход",Операции!$E$10:$E$1009,$B32,Операции!$P$10:$P$1009,$Q$7))</f>
        <v/>
      </c>
      <c r="D32" s="186">
        <f>IF($B32="",0,SUMIFS(Журнал!$P$10:$P$1509,Журнал!$D$10:$D$1509,"&lt;&gt;Доход",Журнал!$E$10:$E$1509,$B32,Журнал!$R$10:$R$1509,$Q$8)+SUMIFS(Постоянные!$AC$8:$AC$367,Постоянные!$Z$8:$Z$367,"Расход",Постоянные!$AA$8:$AA$367,$B32,Постоянные!$AD$8:$AD$367,$Q$8)+SUMIFS(Покупки!$S$7:$S$18,Покупки!$D$7:$D$18,$B32,Покупки!$Q$7:$Q$18,$Q$8)+SUMIFS(Операции!$Q$10:$Q$1009,Операции!$D$10:$D$1009,"Расход",Операции!$E$10:$E$1009,$B32,Операции!$P$10:$P$1009,$Q$8))</f>
        <v/>
      </c>
      <c r="E32" s="186">
        <f>IF($B32="",0,SUMIFS(Журнал!$P$10:$P$1509,Журнал!$D$10:$D$1509,"&lt;&gt;Доход",Журнал!$E$10:$E$1509,$B32,Журнал!$R$10:$R$1509,$Q$9)+SUMIFS(Постоянные!$AC$8:$AC$367,Постоянные!$Z$8:$Z$367,"Расход",Постоянные!$AA$8:$AA$367,$B32,Постоянные!$AD$8:$AD$367,$Q$9)+SUMIFS(Покупки!$S$7:$S$18,Покупки!$D$7:$D$18,$B32,Покупки!$Q$7:$Q$18,$Q$9)+SUMIFS(Операции!$Q$10:$Q$1009,Операции!$D$10:$D$1009,"Расход",Операции!$E$10:$E$1009,$B32,Операции!$P$10:$P$1009,$Q$9))</f>
        <v/>
      </c>
      <c r="F32" s="186">
        <f>IF($B32="",0,SUMIFS(Журнал!$P$10:$P$1509,Журнал!$D$10:$D$1509,"&lt;&gt;Доход",Журнал!$E$10:$E$1509,$B32,Журнал!$R$10:$R$1509,$Q$10)+SUMIFS(Постоянные!$AC$8:$AC$367,Постоянные!$Z$8:$Z$367,"Расход",Постоянные!$AA$8:$AA$367,$B32,Постоянные!$AD$8:$AD$367,$Q$10)+SUMIFS(Покупки!$S$7:$S$18,Покупки!$D$7:$D$18,$B32,Покупки!$Q$7:$Q$18,$Q$10)+SUMIFS(Операции!$Q$10:$Q$1009,Операции!$D$10:$D$1009,"Расход",Операции!$E$10:$E$1009,$B32,Операции!$P$10:$P$1009,$Q$10))</f>
        <v/>
      </c>
      <c r="G32" s="186">
        <f>IF($B32="",0,SUMIFS(Журнал!$P$10:$P$1509,Журнал!$D$10:$D$1509,"&lt;&gt;Доход",Журнал!$E$10:$E$1509,$B32,Журнал!$R$10:$R$1509,$Q$11)+SUMIFS(Постоянные!$AC$8:$AC$367,Постоянные!$Z$8:$Z$367,"Расход",Постоянные!$AA$8:$AA$367,$B32,Постоянные!$AD$8:$AD$367,$Q$11)+SUMIFS(Покупки!$S$7:$S$18,Покупки!$D$7:$D$18,$B32,Покупки!$Q$7:$Q$18,$Q$11)+SUMIFS(Операции!$Q$10:$Q$1009,Операции!$D$10:$D$1009,"Расход",Операции!$E$10:$E$1009,$B32,Операции!$P$10:$P$1009,$Q$11))</f>
        <v/>
      </c>
      <c r="H32" s="186">
        <f>IF($B32="",0,SUMIFS(Журнал!$P$10:$P$1509,Журнал!$D$10:$D$1509,"&lt;&gt;Доход",Журнал!$E$10:$E$1509,$B32,Журнал!$R$10:$R$1509,$Q$12)+SUMIFS(Постоянные!$AC$8:$AC$367,Постоянные!$Z$8:$Z$367,"Расход",Постоянные!$AA$8:$AA$367,$B32,Постоянные!$AD$8:$AD$367,$Q$12)+SUMIFS(Покупки!$S$7:$S$18,Покупки!$D$7:$D$18,$B32,Покупки!$Q$7:$Q$18,$Q$12)+SUMIFS(Операции!$Q$10:$Q$1009,Операции!$D$10:$D$1009,"Расход",Операции!$E$10:$E$1009,$B32,Операции!$P$10:$P$1009,$Q$12))</f>
        <v/>
      </c>
      <c r="I32" s="186">
        <f>IF($B32="",0,SUMIFS(Журнал!$P$10:$P$1509,Журнал!$D$10:$D$1509,"&lt;&gt;Доход",Журнал!$E$10:$E$1509,$B32,Журнал!$R$10:$R$1509,$Q$13)+SUMIFS(Постоянные!$AC$8:$AC$367,Постоянные!$Z$8:$Z$367,"Расход",Постоянные!$AA$8:$AA$367,$B32,Постоянные!$AD$8:$AD$367,$Q$13)+SUMIFS(Покупки!$S$7:$S$18,Покупки!$D$7:$D$18,$B32,Покупки!$Q$7:$Q$18,$Q$13)+SUMIFS(Операции!$Q$10:$Q$1009,Операции!$D$10:$D$1009,"Расход",Операции!$E$10:$E$1009,$B32,Операции!$P$10:$P$1009,$Q$13))</f>
        <v/>
      </c>
      <c r="J32" s="186">
        <f>IF($B32="",0,SUMIFS(Журнал!$P$10:$P$1509,Журнал!$D$10:$D$1509,"&lt;&gt;Доход",Журнал!$E$10:$E$1509,$B32,Журнал!$R$10:$R$1509,$Q$14)+SUMIFS(Постоянные!$AC$8:$AC$367,Постоянные!$Z$8:$Z$367,"Расход",Постоянные!$AA$8:$AA$367,$B32,Постоянные!$AD$8:$AD$367,$Q$14)+SUMIFS(Покупки!$S$7:$S$18,Покупки!$D$7:$D$18,$B32,Покупки!$Q$7:$Q$18,$Q$14)+SUMIFS(Операции!$Q$10:$Q$1009,Операции!$D$10:$D$1009,"Расход",Операции!$E$10:$E$1009,$B32,Операции!$P$10:$P$1009,$Q$14))</f>
        <v/>
      </c>
      <c r="K32" s="186">
        <f>IF($B32="",0,SUMIFS(Журнал!$P$10:$P$1509,Журнал!$D$10:$D$1509,"&lt;&gt;Доход",Журнал!$E$10:$E$1509,$B32,Журнал!$R$10:$R$1509,$Q$15)+SUMIFS(Постоянные!$AC$8:$AC$367,Постоянные!$Z$8:$Z$367,"Расход",Постоянные!$AA$8:$AA$367,$B32,Постоянные!$AD$8:$AD$367,$Q$15)+SUMIFS(Покупки!$S$7:$S$18,Покупки!$D$7:$D$18,$B32,Покупки!$Q$7:$Q$18,$Q$15)+SUMIFS(Операции!$Q$10:$Q$1009,Операции!$D$10:$D$1009,"Расход",Операции!$E$10:$E$1009,$B32,Операции!$P$10:$P$1009,$Q$15))</f>
        <v/>
      </c>
      <c r="L32" s="186">
        <f>IF($B32="",0,SUMIFS(Журнал!$P$10:$P$1509,Журнал!$D$10:$D$1509,"&lt;&gt;Доход",Журнал!$E$10:$E$1509,$B32,Журнал!$R$10:$R$1509,$Q$16)+SUMIFS(Постоянные!$AC$8:$AC$367,Постоянные!$Z$8:$Z$367,"Расход",Постоянные!$AA$8:$AA$367,$B32,Постоянные!$AD$8:$AD$367,$Q$16)+SUMIFS(Покупки!$S$7:$S$18,Покупки!$D$7:$D$18,$B32,Покупки!$Q$7:$Q$18,$Q$16)+SUMIFS(Операции!$Q$10:$Q$1009,Операции!$D$10:$D$1009,"Расход",Операции!$E$10:$E$1009,$B32,Операции!$P$10:$P$1009,$Q$16))</f>
        <v/>
      </c>
      <c r="M32" s="186">
        <f>IF($B32="",0,SUMIFS(Журнал!$P$10:$P$1509,Журнал!$D$10:$D$1509,"&lt;&gt;Доход",Журнал!$E$10:$E$1509,$B32,Журнал!$R$10:$R$1509,$Q$17)+SUMIFS(Постоянные!$AC$8:$AC$367,Постоянные!$Z$8:$Z$367,"Расход",Постоянные!$AA$8:$AA$367,$B32,Постоянные!$AD$8:$AD$367,$Q$17)+SUMIFS(Покупки!$S$7:$S$18,Покупки!$D$7:$D$18,$B32,Покупки!$Q$7:$Q$18,$Q$17)+SUMIFS(Операции!$Q$10:$Q$1009,Операции!$D$10:$D$1009,"Расход",Операции!$E$10:$E$1009,$B32,Операции!$P$10:$P$1009,$Q$17))</f>
        <v/>
      </c>
      <c r="N32" s="186">
        <f>IF($B32="",0,SUMIFS(Журнал!$P$10:$P$1509,Журнал!$D$10:$D$1509,"&lt;&gt;Доход",Журнал!$E$10:$E$1509,$B32,Журнал!$R$10:$R$1509,$Q$18)+SUMIFS(Постоянные!$AC$8:$AC$367,Постоянные!$Z$8:$Z$367,"Расход",Постоянные!$AA$8:$AA$367,$B32,Постоянные!$AD$8:$AD$367,$Q$18)+SUMIFS(Покупки!$S$7:$S$18,Покупки!$D$7:$D$18,$B32,Покупки!$Q$7:$Q$18,$Q$18)+SUMIFS(Операции!$Q$10:$Q$1009,Операции!$D$10:$D$1009,"Расход",Операции!$E$10:$E$1009,$B32,Операции!$P$10:$P$1009,$Q$18))</f>
        <v/>
      </c>
      <c r="O32" s="187">
        <f>SUM(C32:N32)</f>
        <v/>
      </c>
      <c r="Z32">
        <f>IF($B32="",-1,N($O32)-ROW()/1000000)</f>
        <v/>
      </c>
    </row>
    <row r="33" ht="18" customHeight="1">
      <c r="B33" s="141">
        <f>IF(Настройки!$J$12="","",Настройки!$J$12)</f>
        <v/>
      </c>
      <c r="C33" s="186">
        <f>IF($B33="",0,SUMIFS(Журнал!$P$10:$P$1509,Журнал!$D$10:$D$1509,"&lt;&gt;Доход",Журнал!$E$10:$E$1509,$B33,Журнал!$R$10:$R$1509,$Q$7)+SUMIFS(Постоянные!$AC$8:$AC$367,Постоянные!$Z$8:$Z$367,"Расход",Постоянные!$AA$8:$AA$367,$B33,Постоянные!$AD$8:$AD$367,$Q$7)+SUMIFS(Покупки!$S$7:$S$18,Покупки!$D$7:$D$18,$B33,Покупки!$Q$7:$Q$18,$Q$7)+SUMIFS(Операции!$Q$10:$Q$1009,Операции!$D$10:$D$1009,"Расход",Операции!$E$10:$E$1009,$B33,Операции!$P$10:$P$1009,$Q$7))</f>
        <v/>
      </c>
      <c r="D33" s="186">
        <f>IF($B33="",0,SUMIFS(Журнал!$P$10:$P$1509,Журнал!$D$10:$D$1509,"&lt;&gt;Доход",Журнал!$E$10:$E$1509,$B33,Журнал!$R$10:$R$1509,$Q$8)+SUMIFS(Постоянные!$AC$8:$AC$367,Постоянные!$Z$8:$Z$367,"Расход",Постоянные!$AA$8:$AA$367,$B33,Постоянные!$AD$8:$AD$367,$Q$8)+SUMIFS(Покупки!$S$7:$S$18,Покупки!$D$7:$D$18,$B33,Покупки!$Q$7:$Q$18,$Q$8)+SUMIFS(Операции!$Q$10:$Q$1009,Операции!$D$10:$D$1009,"Расход",Операции!$E$10:$E$1009,$B33,Операции!$P$10:$P$1009,$Q$8))</f>
        <v/>
      </c>
      <c r="E33" s="186">
        <f>IF($B33="",0,SUMIFS(Журнал!$P$10:$P$1509,Журнал!$D$10:$D$1509,"&lt;&gt;Доход",Журнал!$E$10:$E$1509,$B33,Журнал!$R$10:$R$1509,$Q$9)+SUMIFS(Постоянные!$AC$8:$AC$367,Постоянные!$Z$8:$Z$367,"Расход",Постоянные!$AA$8:$AA$367,$B33,Постоянные!$AD$8:$AD$367,$Q$9)+SUMIFS(Покупки!$S$7:$S$18,Покупки!$D$7:$D$18,$B33,Покупки!$Q$7:$Q$18,$Q$9)+SUMIFS(Операции!$Q$10:$Q$1009,Операции!$D$10:$D$1009,"Расход",Операции!$E$10:$E$1009,$B33,Операции!$P$10:$P$1009,$Q$9))</f>
        <v/>
      </c>
      <c r="F33" s="186">
        <f>IF($B33="",0,SUMIFS(Журнал!$P$10:$P$1509,Журнал!$D$10:$D$1509,"&lt;&gt;Доход",Журнал!$E$10:$E$1509,$B33,Журнал!$R$10:$R$1509,$Q$10)+SUMIFS(Постоянные!$AC$8:$AC$367,Постоянные!$Z$8:$Z$367,"Расход",Постоянные!$AA$8:$AA$367,$B33,Постоянные!$AD$8:$AD$367,$Q$10)+SUMIFS(Покупки!$S$7:$S$18,Покупки!$D$7:$D$18,$B33,Покупки!$Q$7:$Q$18,$Q$10)+SUMIFS(Операции!$Q$10:$Q$1009,Операции!$D$10:$D$1009,"Расход",Операции!$E$10:$E$1009,$B33,Операции!$P$10:$P$1009,$Q$10))</f>
        <v/>
      </c>
      <c r="G33" s="186">
        <f>IF($B33="",0,SUMIFS(Журнал!$P$10:$P$1509,Журнал!$D$10:$D$1509,"&lt;&gt;Доход",Журнал!$E$10:$E$1509,$B33,Журнал!$R$10:$R$1509,$Q$11)+SUMIFS(Постоянные!$AC$8:$AC$367,Постоянные!$Z$8:$Z$367,"Расход",Постоянные!$AA$8:$AA$367,$B33,Постоянные!$AD$8:$AD$367,$Q$11)+SUMIFS(Покупки!$S$7:$S$18,Покупки!$D$7:$D$18,$B33,Покупки!$Q$7:$Q$18,$Q$11)+SUMIFS(Операции!$Q$10:$Q$1009,Операции!$D$10:$D$1009,"Расход",Операции!$E$10:$E$1009,$B33,Операции!$P$10:$P$1009,$Q$11))</f>
        <v/>
      </c>
      <c r="H33" s="186">
        <f>IF($B33="",0,SUMIFS(Журнал!$P$10:$P$1509,Журнал!$D$10:$D$1509,"&lt;&gt;Доход",Журнал!$E$10:$E$1509,$B33,Журнал!$R$10:$R$1509,$Q$12)+SUMIFS(Постоянные!$AC$8:$AC$367,Постоянные!$Z$8:$Z$367,"Расход",Постоянные!$AA$8:$AA$367,$B33,Постоянные!$AD$8:$AD$367,$Q$12)+SUMIFS(Покупки!$S$7:$S$18,Покупки!$D$7:$D$18,$B33,Покупки!$Q$7:$Q$18,$Q$12)+SUMIFS(Операции!$Q$10:$Q$1009,Операции!$D$10:$D$1009,"Расход",Операции!$E$10:$E$1009,$B33,Операции!$P$10:$P$1009,$Q$12))</f>
        <v/>
      </c>
      <c r="I33" s="186">
        <f>IF($B33="",0,SUMIFS(Журнал!$P$10:$P$1509,Журнал!$D$10:$D$1509,"&lt;&gt;Доход",Журнал!$E$10:$E$1509,$B33,Журнал!$R$10:$R$1509,$Q$13)+SUMIFS(Постоянные!$AC$8:$AC$367,Постоянные!$Z$8:$Z$367,"Расход",Постоянные!$AA$8:$AA$367,$B33,Постоянные!$AD$8:$AD$367,$Q$13)+SUMIFS(Покупки!$S$7:$S$18,Покупки!$D$7:$D$18,$B33,Покупки!$Q$7:$Q$18,$Q$13)+SUMIFS(Операции!$Q$10:$Q$1009,Операции!$D$10:$D$1009,"Расход",Операции!$E$10:$E$1009,$B33,Операции!$P$10:$P$1009,$Q$13))</f>
        <v/>
      </c>
      <c r="J33" s="186">
        <f>IF($B33="",0,SUMIFS(Журнал!$P$10:$P$1509,Журнал!$D$10:$D$1509,"&lt;&gt;Доход",Журнал!$E$10:$E$1509,$B33,Журнал!$R$10:$R$1509,$Q$14)+SUMIFS(Постоянные!$AC$8:$AC$367,Постоянные!$Z$8:$Z$367,"Расход",Постоянные!$AA$8:$AA$367,$B33,Постоянные!$AD$8:$AD$367,$Q$14)+SUMIFS(Покупки!$S$7:$S$18,Покупки!$D$7:$D$18,$B33,Покупки!$Q$7:$Q$18,$Q$14)+SUMIFS(Операции!$Q$10:$Q$1009,Операции!$D$10:$D$1009,"Расход",Операции!$E$10:$E$1009,$B33,Операции!$P$10:$P$1009,$Q$14))</f>
        <v/>
      </c>
      <c r="K33" s="186">
        <f>IF($B33="",0,SUMIFS(Журнал!$P$10:$P$1509,Журнал!$D$10:$D$1509,"&lt;&gt;Доход",Журнал!$E$10:$E$1509,$B33,Журнал!$R$10:$R$1509,$Q$15)+SUMIFS(Постоянные!$AC$8:$AC$367,Постоянные!$Z$8:$Z$367,"Расход",Постоянные!$AA$8:$AA$367,$B33,Постоянные!$AD$8:$AD$367,$Q$15)+SUMIFS(Покупки!$S$7:$S$18,Покупки!$D$7:$D$18,$B33,Покупки!$Q$7:$Q$18,$Q$15)+SUMIFS(Операции!$Q$10:$Q$1009,Операции!$D$10:$D$1009,"Расход",Операции!$E$10:$E$1009,$B33,Операции!$P$10:$P$1009,$Q$15))</f>
        <v/>
      </c>
      <c r="L33" s="186">
        <f>IF($B33="",0,SUMIFS(Журнал!$P$10:$P$1509,Журнал!$D$10:$D$1509,"&lt;&gt;Доход",Журнал!$E$10:$E$1509,$B33,Журнал!$R$10:$R$1509,$Q$16)+SUMIFS(Постоянные!$AC$8:$AC$367,Постоянные!$Z$8:$Z$367,"Расход",Постоянные!$AA$8:$AA$367,$B33,Постоянные!$AD$8:$AD$367,$Q$16)+SUMIFS(Покупки!$S$7:$S$18,Покупки!$D$7:$D$18,$B33,Покупки!$Q$7:$Q$18,$Q$16)+SUMIFS(Операции!$Q$10:$Q$1009,Операции!$D$10:$D$1009,"Расход",Операции!$E$10:$E$1009,$B33,Операции!$P$10:$P$1009,$Q$16))</f>
        <v/>
      </c>
      <c r="M33" s="186">
        <f>IF($B33="",0,SUMIFS(Журнал!$P$10:$P$1509,Журнал!$D$10:$D$1509,"&lt;&gt;Доход",Журнал!$E$10:$E$1509,$B33,Журнал!$R$10:$R$1509,$Q$17)+SUMIFS(Постоянные!$AC$8:$AC$367,Постоянные!$Z$8:$Z$367,"Расход",Постоянные!$AA$8:$AA$367,$B33,Постоянные!$AD$8:$AD$367,$Q$17)+SUMIFS(Покупки!$S$7:$S$18,Покупки!$D$7:$D$18,$B33,Покупки!$Q$7:$Q$18,$Q$17)+SUMIFS(Операции!$Q$10:$Q$1009,Операции!$D$10:$D$1009,"Расход",Операции!$E$10:$E$1009,$B33,Операции!$P$10:$P$1009,$Q$17))</f>
        <v/>
      </c>
      <c r="N33" s="186">
        <f>IF($B33="",0,SUMIFS(Журнал!$P$10:$P$1509,Журнал!$D$10:$D$1509,"&lt;&gt;Доход",Журнал!$E$10:$E$1509,$B33,Журнал!$R$10:$R$1509,$Q$18)+SUMIFS(Постоянные!$AC$8:$AC$367,Постоянные!$Z$8:$Z$367,"Расход",Постоянные!$AA$8:$AA$367,$B33,Постоянные!$AD$8:$AD$367,$Q$18)+SUMIFS(Покупки!$S$7:$S$18,Покупки!$D$7:$D$18,$B33,Покупки!$Q$7:$Q$18,$Q$18)+SUMIFS(Операции!$Q$10:$Q$1009,Операции!$D$10:$D$1009,"Расход",Операции!$E$10:$E$1009,$B33,Операции!$P$10:$P$1009,$Q$18))</f>
        <v/>
      </c>
      <c r="O33" s="187">
        <f>SUM(C33:N33)</f>
        <v/>
      </c>
      <c r="Z33">
        <f>IF($B33="",-1,N($O33)-ROW()/1000000)</f>
        <v/>
      </c>
    </row>
    <row r="34" ht="18" customHeight="1">
      <c r="B34" s="141">
        <f>IF(Настройки!$J$13="","",Настройки!$J$13)</f>
        <v/>
      </c>
      <c r="C34" s="186">
        <f>IF($B34="",0,SUMIFS(Журнал!$P$10:$P$1509,Журнал!$D$10:$D$1509,"&lt;&gt;Доход",Журнал!$E$10:$E$1509,$B34,Журнал!$R$10:$R$1509,$Q$7)+SUMIFS(Постоянные!$AC$8:$AC$367,Постоянные!$Z$8:$Z$367,"Расход",Постоянные!$AA$8:$AA$367,$B34,Постоянные!$AD$8:$AD$367,$Q$7)+SUMIFS(Покупки!$S$7:$S$18,Покупки!$D$7:$D$18,$B34,Покупки!$Q$7:$Q$18,$Q$7)+SUMIFS(Операции!$Q$10:$Q$1009,Операции!$D$10:$D$1009,"Расход",Операции!$E$10:$E$1009,$B34,Операции!$P$10:$P$1009,$Q$7))</f>
        <v/>
      </c>
      <c r="D34" s="186">
        <f>IF($B34="",0,SUMIFS(Журнал!$P$10:$P$1509,Журнал!$D$10:$D$1509,"&lt;&gt;Доход",Журнал!$E$10:$E$1509,$B34,Журнал!$R$10:$R$1509,$Q$8)+SUMIFS(Постоянные!$AC$8:$AC$367,Постоянные!$Z$8:$Z$367,"Расход",Постоянные!$AA$8:$AA$367,$B34,Постоянные!$AD$8:$AD$367,$Q$8)+SUMIFS(Покупки!$S$7:$S$18,Покупки!$D$7:$D$18,$B34,Покупки!$Q$7:$Q$18,$Q$8)+SUMIFS(Операции!$Q$10:$Q$1009,Операции!$D$10:$D$1009,"Расход",Операции!$E$10:$E$1009,$B34,Операции!$P$10:$P$1009,$Q$8))</f>
        <v/>
      </c>
      <c r="E34" s="186">
        <f>IF($B34="",0,SUMIFS(Журнал!$P$10:$P$1509,Журнал!$D$10:$D$1509,"&lt;&gt;Доход",Журнал!$E$10:$E$1509,$B34,Журнал!$R$10:$R$1509,$Q$9)+SUMIFS(Постоянные!$AC$8:$AC$367,Постоянные!$Z$8:$Z$367,"Расход",Постоянные!$AA$8:$AA$367,$B34,Постоянные!$AD$8:$AD$367,$Q$9)+SUMIFS(Покупки!$S$7:$S$18,Покупки!$D$7:$D$18,$B34,Покупки!$Q$7:$Q$18,$Q$9)+SUMIFS(Операции!$Q$10:$Q$1009,Операции!$D$10:$D$1009,"Расход",Операции!$E$10:$E$1009,$B34,Операции!$P$10:$P$1009,$Q$9))</f>
        <v/>
      </c>
      <c r="F34" s="186">
        <f>IF($B34="",0,SUMIFS(Журнал!$P$10:$P$1509,Журнал!$D$10:$D$1509,"&lt;&gt;Доход",Журнал!$E$10:$E$1509,$B34,Журнал!$R$10:$R$1509,$Q$10)+SUMIFS(Постоянные!$AC$8:$AC$367,Постоянные!$Z$8:$Z$367,"Расход",Постоянные!$AA$8:$AA$367,$B34,Постоянные!$AD$8:$AD$367,$Q$10)+SUMIFS(Покупки!$S$7:$S$18,Покупки!$D$7:$D$18,$B34,Покупки!$Q$7:$Q$18,$Q$10)+SUMIFS(Операции!$Q$10:$Q$1009,Операции!$D$10:$D$1009,"Расход",Операции!$E$10:$E$1009,$B34,Операции!$P$10:$P$1009,$Q$10))</f>
        <v/>
      </c>
      <c r="G34" s="186">
        <f>IF($B34="",0,SUMIFS(Журнал!$P$10:$P$1509,Журнал!$D$10:$D$1509,"&lt;&gt;Доход",Журнал!$E$10:$E$1509,$B34,Журнал!$R$10:$R$1509,$Q$11)+SUMIFS(Постоянные!$AC$8:$AC$367,Постоянные!$Z$8:$Z$367,"Расход",Постоянные!$AA$8:$AA$367,$B34,Постоянные!$AD$8:$AD$367,$Q$11)+SUMIFS(Покупки!$S$7:$S$18,Покупки!$D$7:$D$18,$B34,Покупки!$Q$7:$Q$18,$Q$11)+SUMIFS(Операции!$Q$10:$Q$1009,Операции!$D$10:$D$1009,"Расход",Операции!$E$10:$E$1009,$B34,Операции!$P$10:$P$1009,$Q$11))</f>
        <v/>
      </c>
      <c r="H34" s="186">
        <f>IF($B34="",0,SUMIFS(Журнал!$P$10:$P$1509,Журнал!$D$10:$D$1509,"&lt;&gt;Доход",Журнал!$E$10:$E$1509,$B34,Журнал!$R$10:$R$1509,$Q$12)+SUMIFS(Постоянные!$AC$8:$AC$367,Постоянные!$Z$8:$Z$367,"Расход",Постоянные!$AA$8:$AA$367,$B34,Постоянные!$AD$8:$AD$367,$Q$12)+SUMIFS(Покупки!$S$7:$S$18,Покупки!$D$7:$D$18,$B34,Покупки!$Q$7:$Q$18,$Q$12)+SUMIFS(Операции!$Q$10:$Q$1009,Операции!$D$10:$D$1009,"Расход",Операции!$E$10:$E$1009,$B34,Операции!$P$10:$P$1009,$Q$12))</f>
        <v/>
      </c>
      <c r="I34" s="186">
        <f>IF($B34="",0,SUMIFS(Журнал!$P$10:$P$1509,Журнал!$D$10:$D$1509,"&lt;&gt;Доход",Журнал!$E$10:$E$1509,$B34,Журнал!$R$10:$R$1509,$Q$13)+SUMIFS(Постоянные!$AC$8:$AC$367,Постоянные!$Z$8:$Z$367,"Расход",Постоянные!$AA$8:$AA$367,$B34,Постоянные!$AD$8:$AD$367,$Q$13)+SUMIFS(Покупки!$S$7:$S$18,Покупки!$D$7:$D$18,$B34,Покупки!$Q$7:$Q$18,$Q$13)+SUMIFS(Операции!$Q$10:$Q$1009,Операции!$D$10:$D$1009,"Расход",Операции!$E$10:$E$1009,$B34,Операции!$P$10:$P$1009,$Q$13))</f>
        <v/>
      </c>
      <c r="J34" s="186">
        <f>IF($B34="",0,SUMIFS(Журнал!$P$10:$P$1509,Журнал!$D$10:$D$1509,"&lt;&gt;Доход",Журнал!$E$10:$E$1509,$B34,Журнал!$R$10:$R$1509,$Q$14)+SUMIFS(Постоянные!$AC$8:$AC$367,Постоянные!$Z$8:$Z$367,"Расход",Постоянные!$AA$8:$AA$367,$B34,Постоянные!$AD$8:$AD$367,$Q$14)+SUMIFS(Покупки!$S$7:$S$18,Покупки!$D$7:$D$18,$B34,Покупки!$Q$7:$Q$18,$Q$14)+SUMIFS(Операции!$Q$10:$Q$1009,Операции!$D$10:$D$1009,"Расход",Операции!$E$10:$E$1009,$B34,Операции!$P$10:$P$1009,$Q$14))</f>
        <v/>
      </c>
      <c r="K34" s="186">
        <f>IF($B34="",0,SUMIFS(Журнал!$P$10:$P$1509,Журнал!$D$10:$D$1509,"&lt;&gt;Доход",Журнал!$E$10:$E$1509,$B34,Журнал!$R$10:$R$1509,$Q$15)+SUMIFS(Постоянные!$AC$8:$AC$367,Постоянные!$Z$8:$Z$367,"Расход",Постоянные!$AA$8:$AA$367,$B34,Постоянные!$AD$8:$AD$367,$Q$15)+SUMIFS(Покупки!$S$7:$S$18,Покупки!$D$7:$D$18,$B34,Покупки!$Q$7:$Q$18,$Q$15)+SUMIFS(Операции!$Q$10:$Q$1009,Операции!$D$10:$D$1009,"Расход",Операции!$E$10:$E$1009,$B34,Операции!$P$10:$P$1009,$Q$15))</f>
        <v/>
      </c>
      <c r="L34" s="186">
        <f>IF($B34="",0,SUMIFS(Журнал!$P$10:$P$1509,Журнал!$D$10:$D$1509,"&lt;&gt;Доход",Журнал!$E$10:$E$1509,$B34,Журнал!$R$10:$R$1509,$Q$16)+SUMIFS(Постоянные!$AC$8:$AC$367,Постоянные!$Z$8:$Z$367,"Расход",Постоянные!$AA$8:$AA$367,$B34,Постоянные!$AD$8:$AD$367,$Q$16)+SUMIFS(Покупки!$S$7:$S$18,Покупки!$D$7:$D$18,$B34,Покупки!$Q$7:$Q$18,$Q$16)+SUMIFS(Операции!$Q$10:$Q$1009,Операции!$D$10:$D$1009,"Расход",Операции!$E$10:$E$1009,$B34,Операции!$P$10:$P$1009,$Q$16))</f>
        <v/>
      </c>
      <c r="M34" s="186">
        <f>IF($B34="",0,SUMIFS(Журнал!$P$10:$P$1509,Журнал!$D$10:$D$1509,"&lt;&gt;Доход",Журнал!$E$10:$E$1509,$B34,Журнал!$R$10:$R$1509,$Q$17)+SUMIFS(Постоянные!$AC$8:$AC$367,Постоянные!$Z$8:$Z$367,"Расход",Постоянные!$AA$8:$AA$367,$B34,Постоянные!$AD$8:$AD$367,$Q$17)+SUMIFS(Покупки!$S$7:$S$18,Покупки!$D$7:$D$18,$B34,Покупки!$Q$7:$Q$18,$Q$17)+SUMIFS(Операции!$Q$10:$Q$1009,Операции!$D$10:$D$1009,"Расход",Операции!$E$10:$E$1009,$B34,Операции!$P$10:$P$1009,$Q$17))</f>
        <v/>
      </c>
      <c r="N34" s="186">
        <f>IF($B34="",0,SUMIFS(Журнал!$P$10:$P$1509,Журнал!$D$10:$D$1509,"&lt;&gt;Доход",Журнал!$E$10:$E$1509,$B34,Журнал!$R$10:$R$1509,$Q$18)+SUMIFS(Постоянные!$AC$8:$AC$367,Постоянные!$Z$8:$Z$367,"Расход",Постоянные!$AA$8:$AA$367,$B34,Постоянные!$AD$8:$AD$367,$Q$18)+SUMIFS(Покупки!$S$7:$S$18,Покупки!$D$7:$D$18,$B34,Покупки!$Q$7:$Q$18,$Q$18)+SUMIFS(Операции!$Q$10:$Q$1009,Операции!$D$10:$D$1009,"Расход",Операции!$E$10:$E$1009,$B34,Операции!$P$10:$P$1009,$Q$18))</f>
        <v/>
      </c>
      <c r="O34" s="187">
        <f>SUM(C34:N34)</f>
        <v/>
      </c>
      <c r="Z34">
        <f>IF($B34="",-1,N($O34)-ROW()/1000000)</f>
        <v/>
      </c>
    </row>
    <row r="35" ht="18" customHeight="1">
      <c r="B35" s="141">
        <f>IF(Настройки!$J$14="","",Настройки!$J$14)</f>
        <v/>
      </c>
      <c r="C35" s="186">
        <f>IF($B35="",0,SUMIFS(Журнал!$P$10:$P$1509,Журнал!$D$10:$D$1509,"&lt;&gt;Доход",Журнал!$E$10:$E$1509,$B35,Журнал!$R$10:$R$1509,$Q$7)+SUMIFS(Постоянные!$AC$8:$AC$367,Постоянные!$Z$8:$Z$367,"Расход",Постоянные!$AA$8:$AA$367,$B35,Постоянные!$AD$8:$AD$367,$Q$7)+SUMIFS(Покупки!$S$7:$S$18,Покупки!$D$7:$D$18,$B35,Покупки!$Q$7:$Q$18,$Q$7)+SUMIFS(Операции!$Q$10:$Q$1009,Операции!$D$10:$D$1009,"Расход",Операции!$E$10:$E$1009,$B35,Операции!$P$10:$P$1009,$Q$7))</f>
        <v/>
      </c>
      <c r="D35" s="186">
        <f>IF($B35="",0,SUMIFS(Журнал!$P$10:$P$1509,Журнал!$D$10:$D$1509,"&lt;&gt;Доход",Журнал!$E$10:$E$1509,$B35,Журнал!$R$10:$R$1509,$Q$8)+SUMIFS(Постоянные!$AC$8:$AC$367,Постоянные!$Z$8:$Z$367,"Расход",Постоянные!$AA$8:$AA$367,$B35,Постоянные!$AD$8:$AD$367,$Q$8)+SUMIFS(Покупки!$S$7:$S$18,Покупки!$D$7:$D$18,$B35,Покупки!$Q$7:$Q$18,$Q$8)+SUMIFS(Операции!$Q$10:$Q$1009,Операции!$D$10:$D$1009,"Расход",Операции!$E$10:$E$1009,$B35,Операции!$P$10:$P$1009,$Q$8))</f>
        <v/>
      </c>
      <c r="E35" s="186">
        <f>IF($B35="",0,SUMIFS(Журнал!$P$10:$P$1509,Журнал!$D$10:$D$1509,"&lt;&gt;Доход",Журнал!$E$10:$E$1509,$B35,Журнал!$R$10:$R$1509,$Q$9)+SUMIFS(Постоянные!$AC$8:$AC$367,Постоянные!$Z$8:$Z$367,"Расход",Постоянные!$AA$8:$AA$367,$B35,Постоянные!$AD$8:$AD$367,$Q$9)+SUMIFS(Покупки!$S$7:$S$18,Покупки!$D$7:$D$18,$B35,Покупки!$Q$7:$Q$18,$Q$9)+SUMIFS(Операции!$Q$10:$Q$1009,Операции!$D$10:$D$1009,"Расход",Операции!$E$10:$E$1009,$B35,Операции!$P$10:$P$1009,$Q$9))</f>
        <v/>
      </c>
      <c r="F35" s="186">
        <f>IF($B35="",0,SUMIFS(Журнал!$P$10:$P$1509,Журнал!$D$10:$D$1509,"&lt;&gt;Доход",Журнал!$E$10:$E$1509,$B35,Журнал!$R$10:$R$1509,$Q$10)+SUMIFS(Постоянные!$AC$8:$AC$367,Постоянные!$Z$8:$Z$367,"Расход",Постоянные!$AA$8:$AA$367,$B35,Постоянные!$AD$8:$AD$367,$Q$10)+SUMIFS(Покупки!$S$7:$S$18,Покупки!$D$7:$D$18,$B35,Покупки!$Q$7:$Q$18,$Q$10)+SUMIFS(Операции!$Q$10:$Q$1009,Операции!$D$10:$D$1009,"Расход",Операции!$E$10:$E$1009,$B35,Операции!$P$10:$P$1009,$Q$10))</f>
        <v/>
      </c>
      <c r="G35" s="186">
        <f>IF($B35="",0,SUMIFS(Журнал!$P$10:$P$1509,Журнал!$D$10:$D$1509,"&lt;&gt;Доход",Журнал!$E$10:$E$1509,$B35,Журнал!$R$10:$R$1509,$Q$11)+SUMIFS(Постоянные!$AC$8:$AC$367,Постоянные!$Z$8:$Z$367,"Расход",Постоянные!$AA$8:$AA$367,$B35,Постоянные!$AD$8:$AD$367,$Q$11)+SUMIFS(Покупки!$S$7:$S$18,Покупки!$D$7:$D$18,$B35,Покупки!$Q$7:$Q$18,$Q$11)+SUMIFS(Операции!$Q$10:$Q$1009,Операции!$D$10:$D$1009,"Расход",Операции!$E$10:$E$1009,$B35,Операции!$P$10:$P$1009,$Q$11))</f>
        <v/>
      </c>
      <c r="H35" s="186">
        <f>IF($B35="",0,SUMIFS(Журнал!$P$10:$P$1509,Журнал!$D$10:$D$1509,"&lt;&gt;Доход",Журнал!$E$10:$E$1509,$B35,Журнал!$R$10:$R$1509,$Q$12)+SUMIFS(Постоянные!$AC$8:$AC$367,Постоянные!$Z$8:$Z$367,"Расход",Постоянные!$AA$8:$AA$367,$B35,Постоянные!$AD$8:$AD$367,$Q$12)+SUMIFS(Покупки!$S$7:$S$18,Покупки!$D$7:$D$18,$B35,Покупки!$Q$7:$Q$18,$Q$12)+SUMIFS(Операции!$Q$10:$Q$1009,Операции!$D$10:$D$1009,"Расход",Операции!$E$10:$E$1009,$B35,Операции!$P$10:$P$1009,$Q$12))</f>
        <v/>
      </c>
      <c r="I35" s="186">
        <f>IF($B35="",0,SUMIFS(Журнал!$P$10:$P$1509,Журнал!$D$10:$D$1509,"&lt;&gt;Доход",Журнал!$E$10:$E$1509,$B35,Журнал!$R$10:$R$1509,$Q$13)+SUMIFS(Постоянные!$AC$8:$AC$367,Постоянные!$Z$8:$Z$367,"Расход",Постоянные!$AA$8:$AA$367,$B35,Постоянные!$AD$8:$AD$367,$Q$13)+SUMIFS(Покупки!$S$7:$S$18,Покупки!$D$7:$D$18,$B35,Покупки!$Q$7:$Q$18,$Q$13)+SUMIFS(Операции!$Q$10:$Q$1009,Операции!$D$10:$D$1009,"Расход",Операции!$E$10:$E$1009,$B35,Операции!$P$10:$P$1009,$Q$13))</f>
        <v/>
      </c>
      <c r="J35" s="186">
        <f>IF($B35="",0,SUMIFS(Журнал!$P$10:$P$1509,Журнал!$D$10:$D$1509,"&lt;&gt;Доход",Журнал!$E$10:$E$1509,$B35,Журнал!$R$10:$R$1509,$Q$14)+SUMIFS(Постоянные!$AC$8:$AC$367,Постоянные!$Z$8:$Z$367,"Расход",Постоянные!$AA$8:$AA$367,$B35,Постоянные!$AD$8:$AD$367,$Q$14)+SUMIFS(Покупки!$S$7:$S$18,Покупки!$D$7:$D$18,$B35,Покупки!$Q$7:$Q$18,$Q$14)+SUMIFS(Операции!$Q$10:$Q$1009,Операции!$D$10:$D$1009,"Расход",Операции!$E$10:$E$1009,$B35,Операции!$P$10:$P$1009,$Q$14))</f>
        <v/>
      </c>
      <c r="K35" s="186">
        <f>IF($B35="",0,SUMIFS(Журнал!$P$10:$P$1509,Журнал!$D$10:$D$1509,"&lt;&gt;Доход",Журнал!$E$10:$E$1509,$B35,Журнал!$R$10:$R$1509,$Q$15)+SUMIFS(Постоянные!$AC$8:$AC$367,Постоянные!$Z$8:$Z$367,"Расход",Постоянные!$AA$8:$AA$367,$B35,Постоянные!$AD$8:$AD$367,$Q$15)+SUMIFS(Покупки!$S$7:$S$18,Покупки!$D$7:$D$18,$B35,Покупки!$Q$7:$Q$18,$Q$15)+SUMIFS(Операции!$Q$10:$Q$1009,Операции!$D$10:$D$1009,"Расход",Операции!$E$10:$E$1009,$B35,Операции!$P$10:$P$1009,$Q$15))</f>
        <v/>
      </c>
      <c r="L35" s="186">
        <f>IF($B35="",0,SUMIFS(Журнал!$P$10:$P$1509,Журнал!$D$10:$D$1509,"&lt;&gt;Доход",Журнал!$E$10:$E$1509,$B35,Журнал!$R$10:$R$1509,$Q$16)+SUMIFS(Постоянные!$AC$8:$AC$367,Постоянные!$Z$8:$Z$367,"Расход",Постоянные!$AA$8:$AA$367,$B35,Постоянные!$AD$8:$AD$367,$Q$16)+SUMIFS(Покупки!$S$7:$S$18,Покупки!$D$7:$D$18,$B35,Покупки!$Q$7:$Q$18,$Q$16)+SUMIFS(Операции!$Q$10:$Q$1009,Операции!$D$10:$D$1009,"Расход",Операции!$E$10:$E$1009,$B35,Операции!$P$10:$P$1009,$Q$16))</f>
        <v/>
      </c>
      <c r="M35" s="186">
        <f>IF($B35="",0,SUMIFS(Журнал!$P$10:$P$1509,Журнал!$D$10:$D$1509,"&lt;&gt;Доход",Журнал!$E$10:$E$1509,$B35,Журнал!$R$10:$R$1509,$Q$17)+SUMIFS(Постоянные!$AC$8:$AC$367,Постоянные!$Z$8:$Z$367,"Расход",Постоянные!$AA$8:$AA$367,$B35,Постоянные!$AD$8:$AD$367,$Q$17)+SUMIFS(Покупки!$S$7:$S$18,Покупки!$D$7:$D$18,$B35,Покупки!$Q$7:$Q$18,$Q$17)+SUMIFS(Операции!$Q$10:$Q$1009,Операции!$D$10:$D$1009,"Расход",Операции!$E$10:$E$1009,$B35,Операции!$P$10:$P$1009,$Q$17))</f>
        <v/>
      </c>
      <c r="N35" s="186">
        <f>IF($B35="",0,SUMIFS(Журнал!$P$10:$P$1509,Журнал!$D$10:$D$1509,"&lt;&gt;Доход",Журнал!$E$10:$E$1509,$B35,Журнал!$R$10:$R$1509,$Q$18)+SUMIFS(Постоянные!$AC$8:$AC$367,Постоянные!$Z$8:$Z$367,"Расход",Постоянные!$AA$8:$AA$367,$B35,Постоянные!$AD$8:$AD$367,$Q$18)+SUMIFS(Покупки!$S$7:$S$18,Покупки!$D$7:$D$18,$B35,Покупки!$Q$7:$Q$18,$Q$18)+SUMIFS(Операции!$Q$10:$Q$1009,Операции!$D$10:$D$1009,"Расход",Операции!$E$10:$E$1009,$B35,Операции!$P$10:$P$1009,$Q$18))</f>
        <v/>
      </c>
      <c r="O35" s="187">
        <f>SUM(C35:N35)</f>
        <v/>
      </c>
      <c r="Z35">
        <f>IF($B35="",-1,N($O35)-ROW()/1000000)</f>
        <v/>
      </c>
    </row>
    <row r="36" ht="18" customHeight="1">
      <c r="B36" s="141">
        <f>IF(Настройки!$J$15="","",Настройки!$J$15)</f>
        <v/>
      </c>
      <c r="C36" s="186">
        <f>IF($B36="",0,SUMIFS(Журнал!$P$10:$P$1509,Журнал!$D$10:$D$1509,"&lt;&gt;Доход",Журнал!$E$10:$E$1509,$B36,Журнал!$R$10:$R$1509,$Q$7)+SUMIFS(Постоянные!$AC$8:$AC$367,Постоянные!$Z$8:$Z$367,"Расход",Постоянные!$AA$8:$AA$367,$B36,Постоянные!$AD$8:$AD$367,$Q$7)+SUMIFS(Покупки!$S$7:$S$18,Покупки!$D$7:$D$18,$B36,Покупки!$Q$7:$Q$18,$Q$7)+SUMIFS(Операции!$Q$10:$Q$1009,Операции!$D$10:$D$1009,"Расход",Операции!$E$10:$E$1009,$B36,Операции!$P$10:$P$1009,$Q$7))</f>
        <v/>
      </c>
      <c r="D36" s="186">
        <f>IF($B36="",0,SUMIFS(Журнал!$P$10:$P$1509,Журнал!$D$10:$D$1509,"&lt;&gt;Доход",Журнал!$E$10:$E$1509,$B36,Журнал!$R$10:$R$1509,$Q$8)+SUMIFS(Постоянные!$AC$8:$AC$367,Постоянные!$Z$8:$Z$367,"Расход",Постоянные!$AA$8:$AA$367,$B36,Постоянные!$AD$8:$AD$367,$Q$8)+SUMIFS(Покупки!$S$7:$S$18,Покупки!$D$7:$D$18,$B36,Покупки!$Q$7:$Q$18,$Q$8)+SUMIFS(Операции!$Q$10:$Q$1009,Операции!$D$10:$D$1009,"Расход",Операции!$E$10:$E$1009,$B36,Операции!$P$10:$P$1009,$Q$8))</f>
        <v/>
      </c>
      <c r="E36" s="186">
        <f>IF($B36="",0,SUMIFS(Журнал!$P$10:$P$1509,Журнал!$D$10:$D$1509,"&lt;&gt;Доход",Журнал!$E$10:$E$1509,$B36,Журнал!$R$10:$R$1509,$Q$9)+SUMIFS(Постоянные!$AC$8:$AC$367,Постоянные!$Z$8:$Z$367,"Расход",Постоянные!$AA$8:$AA$367,$B36,Постоянные!$AD$8:$AD$367,$Q$9)+SUMIFS(Покупки!$S$7:$S$18,Покупки!$D$7:$D$18,$B36,Покупки!$Q$7:$Q$18,$Q$9)+SUMIFS(Операции!$Q$10:$Q$1009,Операции!$D$10:$D$1009,"Расход",Операции!$E$10:$E$1009,$B36,Операции!$P$10:$P$1009,$Q$9))</f>
        <v/>
      </c>
      <c r="F36" s="186">
        <f>IF($B36="",0,SUMIFS(Журнал!$P$10:$P$1509,Журнал!$D$10:$D$1509,"&lt;&gt;Доход",Журнал!$E$10:$E$1509,$B36,Журнал!$R$10:$R$1509,$Q$10)+SUMIFS(Постоянные!$AC$8:$AC$367,Постоянные!$Z$8:$Z$367,"Расход",Постоянные!$AA$8:$AA$367,$B36,Постоянные!$AD$8:$AD$367,$Q$10)+SUMIFS(Покупки!$S$7:$S$18,Покупки!$D$7:$D$18,$B36,Покупки!$Q$7:$Q$18,$Q$10)+SUMIFS(Операции!$Q$10:$Q$1009,Операции!$D$10:$D$1009,"Расход",Операции!$E$10:$E$1009,$B36,Операции!$P$10:$P$1009,$Q$10))</f>
        <v/>
      </c>
      <c r="G36" s="186">
        <f>IF($B36="",0,SUMIFS(Журнал!$P$10:$P$1509,Журнал!$D$10:$D$1509,"&lt;&gt;Доход",Журнал!$E$10:$E$1509,$B36,Журнал!$R$10:$R$1509,$Q$11)+SUMIFS(Постоянные!$AC$8:$AC$367,Постоянные!$Z$8:$Z$367,"Расход",Постоянные!$AA$8:$AA$367,$B36,Постоянные!$AD$8:$AD$367,$Q$11)+SUMIFS(Покупки!$S$7:$S$18,Покупки!$D$7:$D$18,$B36,Покупки!$Q$7:$Q$18,$Q$11)+SUMIFS(Операции!$Q$10:$Q$1009,Операции!$D$10:$D$1009,"Расход",Операции!$E$10:$E$1009,$B36,Операции!$P$10:$P$1009,$Q$11))</f>
        <v/>
      </c>
      <c r="H36" s="186">
        <f>IF($B36="",0,SUMIFS(Журнал!$P$10:$P$1509,Журнал!$D$10:$D$1509,"&lt;&gt;Доход",Журнал!$E$10:$E$1509,$B36,Журнал!$R$10:$R$1509,$Q$12)+SUMIFS(Постоянные!$AC$8:$AC$367,Постоянные!$Z$8:$Z$367,"Расход",Постоянные!$AA$8:$AA$367,$B36,Постоянные!$AD$8:$AD$367,$Q$12)+SUMIFS(Покупки!$S$7:$S$18,Покупки!$D$7:$D$18,$B36,Покупки!$Q$7:$Q$18,$Q$12)+SUMIFS(Операции!$Q$10:$Q$1009,Операции!$D$10:$D$1009,"Расход",Операции!$E$10:$E$1009,$B36,Операции!$P$10:$P$1009,$Q$12))</f>
        <v/>
      </c>
      <c r="I36" s="186">
        <f>IF($B36="",0,SUMIFS(Журнал!$P$10:$P$1509,Журнал!$D$10:$D$1509,"&lt;&gt;Доход",Журнал!$E$10:$E$1509,$B36,Журнал!$R$10:$R$1509,$Q$13)+SUMIFS(Постоянные!$AC$8:$AC$367,Постоянные!$Z$8:$Z$367,"Расход",Постоянные!$AA$8:$AA$367,$B36,Постоянные!$AD$8:$AD$367,$Q$13)+SUMIFS(Покупки!$S$7:$S$18,Покупки!$D$7:$D$18,$B36,Покупки!$Q$7:$Q$18,$Q$13)+SUMIFS(Операции!$Q$10:$Q$1009,Операции!$D$10:$D$1009,"Расход",Операции!$E$10:$E$1009,$B36,Операции!$P$10:$P$1009,$Q$13))</f>
        <v/>
      </c>
      <c r="J36" s="186">
        <f>IF($B36="",0,SUMIFS(Журнал!$P$10:$P$1509,Журнал!$D$10:$D$1509,"&lt;&gt;Доход",Журнал!$E$10:$E$1509,$B36,Журнал!$R$10:$R$1509,$Q$14)+SUMIFS(Постоянные!$AC$8:$AC$367,Постоянные!$Z$8:$Z$367,"Расход",Постоянные!$AA$8:$AA$367,$B36,Постоянные!$AD$8:$AD$367,$Q$14)+SUMIFS(Покупки!$S$7:$S$18,Покупки!$D$7:$D$18,$B36,Покупки!$Q$7:$Q$18,$Q$14)+SUMIFS(Операции!$Q$10:$Q$1009,Операции!$D$10:$D$1009,"Расход",Операции!$E$10:$E$1009,$B36,Операции!$P$10:$P$1009,$Q$14))</f>
        <v/>
      </c>
      <c r="K36" s="186">
        <f>IF($B36="",0,SUMIFS(Журнал!$P$10:$P$1509,Журнал!$D$10:$D$1509,"&lt;&gt;Доход",Журнал!$E$10:$E$1509,$B36,Журнал!$R$10:$R$1509,$Q$15)+SUMIFS(Постоянные!$AC$8:$AC$367,Постоянные!$Z$8:$Z$367,"Расход",Постоянные!$AA$8:$AA$367,$B36,Постоянные!$AD$8:$AD$367,$Q$15)+SUMIFS(Покупки!$S$7:$S$18,Покупки!$D$7:$D$18,$B36,Покупки!$Q$7:$Q$18,$Q$15)+SUMIFS(Операции!$Q$10:$Q$1009,Операции!$D$10:$D$1009,"Расход",Операции!$E$10:$E$1009,$B36,Операции!$P$10:$P$1009,$Q$15))</f>
        <v/>
      </c>
      <c r="L36" s="186">
        <f>IF($B36="",0,SUMIFS(Журнал!$P$10:$P$1509,Журнал!$D$10:$D$1509,"&lt;&gt;Доход",Журнал!$E$10:$E$1509,$B36,Журнал!$R$10:$R$1509,$Q$16)+SUMIFS(Постоянные!$AC$8:$AC$367,Постоянные!$Z$8:$Z$367,"Расход",Постоянные!$AA$8:$AA$367,$B36,Постоянные!$AD$8:$AD$367,$Q$16)+SUMIFS(Покупки!$S$7:$S$18,Покупки!$D$7:$D$18,$B36,Покупки!$Q$7:$Q$18,$Q$16)+SUMIFS(Операции!$Q$10:$Q$1009,Операции!$D$10:$D$1009,"Расход",Операции!$E$10:$E$1009,$B36,Операции!$P$10:$P$1009,$Q$16))</f>
        <v/>
      </c>
      <c r="M36" s="186">
        <f>IF($B36="",0,SUMIFS(Журнал!$P$10:$P$1509,Журнал!$D$10:$D$1509,"&lt;&gt;Доход",Журнал!$E$10:$E$1509,$B36,Журнал!$R$10:$R$1509,$Q$17)+SUMIFS(Постоянные!$AC$8:$AC$367,Постоянные!$Z$8:$Z$367,"Расход",Постоянные!$AA$8:$AA$367,$B36,Постоянные!$AD$8:$AD$367,$Q$17)+SUMIFS(Покупки!$S$7:$S$18,Покупки!$D$7:$D$18,$B36,Покупки!$Q$7:$Q$18,$Q$17)+SUMIFS(Операции!$Q$10:$Q$1009,Операции!$D$10:$D$1009,"Расход",Операции!$E$10:$E$1009,$B36,Операции!$P$10:$P$1009,$Q$17))</f>
        <v/>
      </c>
      <c r="N36" s="186">
        <f>IF($B36="",0,SUMIFS(Журнал!$P$10:$P$1509,Журнал!$D$10:$D$1509,"&lt;&gt;Доход",Журнал!$E$10:$E$1509,$B36,Журнал!$R$10:$R$1509,$Q$18)+SUMIFS(Постоянные!$AC$8:$AC$367,Постоянные!$Z$8:$Z$367,"Расход",Постоянные!$AA$8:$AA$367,$B36,Постоянные!$AD$8:$AD$367,$Q$18)+SUMIFS(Покупки!$S$7:$S$18,Покупки!$D$7:$D$18,$B36,Покупки!$Q$7:$Q$18,$Q$18)+SUMIFS(Операции!$Q$10:$Q$1009,Операции!$D$10:$D$1009,"Расход",Операции!$E$10:$E$1009,$B36,Операции!$P$10:$P$1009,$Q$18))</f>
        <v/>
      </c>
      <c r="O36" s="187">
        <f>SUM(C36:N36)</f>
        <v/>
      </c>
      <c r="Z36">
        <f>IF($B36="",-1,N($O36)-ROW()/1000000)</f>
        <v/>
      </c>
    </row>
    <row r="37" ht="18" customHeight="1">
      <c r="B37" s="141">
        <f>IF(Настройки!$J$16="","",Настройки!$J$16)</f>
        <v/>
      </c>
      <c r="C37" s="186">
        <f>IF($B37="",0,SUMIFS(Журнал!$P$10:$P$1509,Журнал!$D$10:$D$1509,"&lt;&gt;Доход",Журнал!$E$10:$E$1509,$B37,Журнал!$R$10:$R$1509,$Q$7)+SUMIFS(Постоянные!$AC$8:$AC$367,Постоянные!$Z$8:$Z$367,"Расход",Постоянные!$AA$8:$AA$367,$B37,Постоянные!$AD$8:$AD$367,$Q$7)+SUMIFS(Покупки!$S$7:$S$18,Покупки!$D$7:$D$18,$B37,Покупки!$Q$7:$Q$18,$Q$7)+SUMIFS(Операции!$Q$10:$Q$1009,Операции!$D$10:$D$1009,"Расход",Операции!$E$10:$E$1009,$B37,Операции!$P$10:$P$1009,$Q$7))</f>
        <v/>
      </c>
      <c r="D37" s="186">
        <f>IF($B37="",0,SUMIFS(Журнал!$P$10:$P$1509,Журнал!$D$10:$D$1509,"&lt;&gt;Доход",Журнал!$E$10:$E$1509,$B37,Журнал!$R$10:$R$1509,$Q$8)+SUMIFS(Постоянные!$AC$8:$AC$367,Постоянные!$Z$8:$Z$367,"Расход",Постоянные!$AA$8:$AA$367,$B37,Постоянные!$AD$8:$AD$367,$Q$8)+SUMIFS(Покупки!$S$7:$S$18,Покупки!$D$7:$D$18,$B37,Покупки!$Q$7:$Q$18,$Q$8)+SUMIFS(Операции!$Q$10:$Q$1009,Операции!$D$10:$D$1009,"Расход",Операции!$E$10:$E$1009,$B37,Операции!$P$10:$P$1009,$Q$8))</f>
        <v/>
      </c>
      <c r="E37" s="186">
        <f>IF($B37="",0,SUMIFS(Журнал!$P$10:$P$1509,Журнал!$D$10:$D$1509,"&lt;&gt;Доход",Журнал!$E$10:$E$1509,$B37,Журнал!$R$10:$R$1509,$Q$9)+SUMIFS(Постоянные!$AC$8:$AC$367,Постоянные!$Z$8:$Z$367,"Расход",Постоянные!$AA$8:$AA$367,$B37,Постоянные!$AD$8:$AD$367,$Q$9)+SUMIFS(Покупки!$S$7:$S$18,Покупки!$D$7:$D$18,$B37,Покупки!$Q$7:$Q$18,$Q$9)+SUMIFS(Операции!$Q$10:$Q$1009,Операции!$D$10:$D$1009,"Расход",Операции!$E$10:$E$1009,$B37,Операции!$P$10:$P$1009,$Q$9))</f>
        <v/>
      </c>
      <c r="F37" s="186">
        <f>IF($B37="",0,SUMIFS(Журнал!$P$10:$P$1509,Журнал!$D$10:$D$1509,"&lt;&gt;Доход",Журнал!$E$10:$E$1509,$B37,Журнал!$R$10:$R$1509,$Q$10)+SUMIFS(Постоянные!$AC$8:$AC$367,Постоянные!$Z$8:$Z$367,"Расход",Постоянные!$AA$8:$AA$367,$B37,Постоянные!$AD$8:$AD$367,$Q$10)+SUMIFS(Покупки!$S$7:$S$18,Покупки!$D$7:$D$18,$B37,Покупки!$Q$7:$Q$18,$Q$10)+SUMIFS(Операции!$Q$10:$Q$1009,Операции!$D$10:$D$1009,"Расход",Операции!$E$10:$E$1009,$B37,Операции!$P$10:$P$1009,$Q$10))</f>
        <v/>
      </c>
      <c r="G37" s="186">
        <f>IF($B37="",0,SUMIFS(Журнал!$P$10:$P$1509,Журнал!$D$10:$D$1509,"&lt;&gt;Доход",Журнал!$E$10:$E$1509,$B37,Журнал!$R$10:$R$1509,$Q$11)+SUMIFS(Постоянные!$AC$8:$AC$367,Постоянные!$Z$8:$Z$367,"Расход",Постоянные!$AA$8:$AA$367,$B37,Постоянные!$AD$8:$AD$367,$Q$11)+SUMIFS(Покупки!$S$7:$S$18,Покупки!$D$7:$D$18,$B37,Покупки!$Q$7:$Q$18,$Q$11)+SUMIFS(Операции!$Q$10:$Q$1009,Операции!$D$10:$D$1009,"Расход",Операции!$E$10:$E$1009,$B37,Операции!$P$10:$P$1009,$Q$11))</f>
        <v/>
      </c>
      <c r="H37" s="186">
        <f>IF($B37="",0,SUMIFS(Журнал!$P$10:$P$1509,Журнал!$D$10:$D$1509,"&lt;&gt;Доход",Журнал!$E$10:$E$1509,$B37,Журнал!$R$10:$R$1509,$Q$12)+SUMIFS(Постоянные!$AC$8:$AC$367,Постоянные!$Z$8:$Z$367,"Расход",Постоянные!$AA$8:$AA$367,$B37,Постоянные!$AD$8:$AD$367,$Q$12)+SUMIFS(Покупки!$S$7:$S$18,Покупки!$D$7:$D$18,$B37,Покупки!$Q$7:$Q$18,$Q$12)+SUMIFS(Операции!$Q$10:$Q$1009,Операции!$D$10:$D$1009,"Расход",Операции!$E$10:$E$1009,$B37,Операции!$P$10:$P$1009,$Q$12))</f>
        <v/>
      </c>
      <c r="I37" s="186">
        <f>IF($B37="",0,SUMIFS(Журнал!$P$10:$P$1509,Журнал!$D$10:$D$1509,"&lt;&gt;Доход",Журнал!$E$10:$E$1509,$B37,Журнал!$R$10:$R$1509,$Q$13)+SUMIFS(Постоянные!$AC$8:$AC$367,Постоянные!$Z$8:$Z$367,"Расход",Постоянные!$AA$8:$AA$367,$B37,Постоянные!$AD$8:$AD$367,$Q$13)+SUMIFS(Покупки!$S$7:$S$18,Покупки!$D$7:$D$18,$B37,Покупки!$Q$7:$Q$18,$Q$13)+SUMIFS(Операции!$Q$10:$Q$1009,Операции!$D$10:$D$1009,"Расход",Операции!$E$10:$E$1009,$B37,Операции!$P$10:$P$1009,$Q$13))</f>
        <v/>
      </c>
      <c r="J37" s="186">
        <f>IF($B37="",0,SUMIFS(Журнал!$P$10:$P$1509,Журнал!$D$10:$D$1509,"&lt;&gt;Доход",Журнал!$E$10:$E$1509,$B37,Журнал!$R$10:$R$1509,$Q$14)+SUMIFS(Постоянные!$AC$8:$AC$367,Постоянные!$Z$8:$Z$367,"Расход",Постоянные!$AA$8:$AA$367,$B37,Постоянные!$AD$8:$AD$367,$Q$14)+SUMIFS(Покупки!$S$7:$S$18,Покупки!$D$7:$D$18,$B37,Покупки!$Q$7:$Q$18,$Q$14)+SUMIFS(Операции!$Q$10:$Q$1009,Операции!$D$10:$D$1009,"Расход",Операции!$E$10:$E$1009,$B37,Операции!$P$10:$P$1009,$Q$14))</f>
        <v/>
      </c>
      <c r="K37" s="186">
        <f>IF($B37="",0,SUMIFS(Журнал!$P$10:$P$1509,Журнал!$D$10:$D$1509,"&lt;&gt;Доход",Журнал!$E$10:$E$1509,$B37,Журнал!$R$10:$R$1509,$Q$15)+SUMIFS(Постоянные!$AC$8:$AC$367,Постоянные!$Z$8:$Z$367,"Расход",Постоянные!$AA$8:$AA$367,$B37,Постоянные!$AD$8:$AD$367,$Q$15)+SUMIFS(Покупки!$S$7:$S$18,Покупки!$D$7:$D$18,$B37,Покупки!$Q$7:$Q$18,$Q$15)+SUMIFS(Операции!$Q$10:$Q$1009,Операции!$D$10:$D$1009,"Расход",Операции!$E$10:$E$1009,$B37,Операции!$P$10:$P$1009,$Q$15))</f>
        <v/>
      </c>
      <c r="L37" s="186">
        <f>IF($B37="",0,SUMIFS(Журнал!$P$10:$P$1509,Журнал!$D$10:$D$1509,"&lt;&gt;Доход",Журнал!$E$10:$E$1509,$B37,Журнал!$R$10:$R$1509,$Q$16)+SUMIFS(Постоянные!$AC$8:$AC$367,Постоянные!$Z$8:$Z$367,"Расход",Постоянные!$AA$8:$AA$367,$B37,Постоянные!$AD$8:$AD$367,$Q$16)+SUMIFS(Покупки!$S$7:$S$18,Покупки!$D$7:$D$18,$B37,Покупки!$Q$7:$Q$18,$Q$16)+SUMIFS(Операции!$Q$10:$Q$1009,Операции!$D$10:$D$1009,"Расход",Операции!$E$10:$E$1009,$B37,Операции!$P$10:$P$1009,$Q$16))</f>
        <v/>
      </c>
      <c r="M37" s="186">
        <f>IF($B37="",0,SUMIFS(Журнал!$P$10:$P$1509,Журнал!$D$10:$D$1509,"&lt;&gt;Доход",Журнал!$E$10:$E$1509,$B37,Журнал!$R$10:$R$1509,$Q$17)+SUMIFS(Постоянные!$AC$8:$AC$367,Постоянные!$Z$8:$Z$367,"Расход",Постоянные!$AA$8:$AA$367,$B37,Постоянные!$AD$8:$AD$367,$Q$17)+SUMIFS(Покупки!$S$7:$S$18,Покупки!$D$7:$D$18,$B37,Покупки!$Q$7:$Q$18,$Q$17)+SUMIFS(Операции!$Q$10:$Q$1009,Операции!$D$10:$D$1009,"Расход",Операции!$E$10:$E$1009,$B37,Операции!$P$10:$P$1009,$Q$17))</f>
        <v/>
      </c>
      <c r="N37" s="186">
        <f>IF($B37="",0,SUMIFS(Журнал!$P$10:$P$1509,Журнал!$D$10:$D$1509,"&lt;&gt;Доход",Журнал!$E$10:$E$1509,$B37,Журнал!$R$10:$R$1509,$Q$18)+SUMIFS(Постоянные!$AC$8:$AC$367,Постоянные!$Z$8:$Z$367,"Расход",Постоянные!$AA$8:$AA$367,$B37,Постоянные!$AD$8:$AD$367,$Q$18)+SUMIFS(Покупки!$S$7:$S$18,Покупки!$D$7:$D$18,$B37,Покупки!$Q$7:$Q$18,$Q$18)+SUMIFS(Операции!$Q$10:$Q$1009,Операции!$D$10:$D$1009,"Расход",Операции!$E$10:$E$1009,$B37,Операции!$P$10:$P$1009,$Q$18))</f>
        <v/>
      </c>
      <c r="O37" s="187">
        <f>SUM(C37:N37)</f>
        <v/>
      </c>
      <c r="Z37">
        <f>IF($B37="",-1,N($O37)-ROW()/1000000)</f>
        <v/>
      </c>
    </row>
    <row r="38" ht="18" customHeight="1">
      <c r="B38" s="141">
        <f>IF(Настройки!$J$17="","",Настройки!$J$17)</f>
        <v/>
      </c>
      <c r="C38" s="186">
        <f>IF($B38="",0,SUMIFS(Журнал!$P$10:$P$1509,Журнал!$D$10:$D$1509,"&lt;&gt;Доход",Журнал!$E$10:$E$1509,$B38,Журнал!$R$10:$R$1509,$Q$7)+SUMIFS(Постоянные!$AC$8:$AC$367,Постоянные!$Z$8:$Z$367,"Расход",Постоянные!$AA$8:$AA$367,$B38,Постоянные!$AD$8:$AD$367,$Q$7)+SUMIFS(Покупки!$S$7:$S$18,Покупки!$D$7:$D$18,$B38,Покупки!$Q$7:$Q$18,$Q$7)+SUMIFS(Операции!$Q$10:$Q$1009,Операции!$D$10:$D$1009,"Расход",Операции!$E$10:$E$1009,$B38,Операции!$P$10:$P$1009,$Q$7))</f>
        <v/>
      </c>
      <c r="D38" s="186">
        <f>IF($B38="",0,SUMIFS(Журнал!$P$10:$P$1509,Журнал!$D$10:$D$1509,"&lt;&gt;Доход",Журнал!$E$10:$E$1509,$B38,Журнал!$R$10:$R$1509,$Q$8)+SUMIFS(Постоянные!$AC$8:$AC$367,Постоянные!$Z$8:$Z$367,"Расход",Постоянные!$AA$8:$AA$367,$B38,Постоянные!$AD$8:$AD$367,$Q$8)+SUMIFS(Покупки!$S$7:$S$18,Покупки!$D$7:$D$18,$B38,Покупки!$Q$7:$Q$18,$Q$8)+SUMIFS(Операции!$Q$10:$Q$1009,Операции!$D$10:$D$1009,"Расход",Операции!$E$10:$E$1009,$B38,Операции!$P$10:$P$1009,$Q$8))</f>
        <v/>
      </c>
      <c r="E38" s="186">
        <f>IF($B38="",0,SUMIFS(Журнал!$P$10:$P$1509,Журнал!$D$10:$D$1509,"&lt;&gt;Доход",Журнал!$E$10:$E$1509,$B38,Журнал!$R$10:$R$1509,$Q$9)+SUMIFS(Постоянные!$AC$8:$AC$367,Постоянные!$Z$8:$Z$367,"Расход",Постоянные!$AA$8:$AA$367,$B38,Постоянные!$AD$8:$AD$367,$Q$9)+SUMIFS(Покупки!$S$7:$S$18,Покупки!$D$7:$D$18,$B38,Покупки!$Q$7:$Q$18,$Q$9)+SUMIFS(Операции!$Q$10:$Q$1009,Операции!$D$10:$D$1009,"Расход",Операции!$E$10:$E$1009,$B38,Операции!$P$10:$P$1009,$Q$9))</f>
        <v/>
      </c>
      <c r="F38" s="186">
        <f>IF($B38="",0,SUMIFS(Журнал!$P$10:$P$1509,Журнал!$D$10:$D$1509,"&lt;&gt;Доход",Журнал!$E$10:$E$1509,$B38,Журнал!$R$10:$R$1509,$Q$10)+SUMIFS(Постоянные!$AC$8:$AC$367,Постоянные!$Z$8:$Z$367,"Расход",Постоянные!$AA$8:$AA$367,$B38,Постоянные!$AD$8:$AD$367,$Q$10)+SUMIFS(Покупки!$S$7:$S$18,Покупки!$D$7:$D$18,$B38,Покупки!$Q$7:$Q$18,$Q$10)+SUMIFS(Операции!$Q$10:$Q$1009,Операции!$D$10:$D$1009,"Расход",Операции!$E$10:$E$1009,$B38,Операции!$P$10:$P$1009,$Q$10))</f>
        <v/>
      </c>
      <c r="G38" s="186">
        <f>IF($B38="",0,SUMIFS(Журнал!$P$10:$P$1509,Журнал!$D$10:$D$1509,"&lt;&gt;Доход",Журнал!$E$10:$E$1509,$B38,Журнал!$R$10:$R$1509,$Q$11)+SUMIFS(Постоянные!$AC$8:$AC$367,Постоянные!$Z$8:$Z$367,"Расход",Постоянные!$AA$8:$AA$367,$B38,Постоянные!$AD$8:$AD$367,$Q$11)+SUMIFS(Покупки!$S$7:$S$18,Покупки!$D$7:$D$18,$B38,Покупки!$Q$7:$Q$18,$Q$11)+SUMIFS(Операции!$Q$10:$Q$1009,Операции!$D$10:$D$1009,"Расход",Операции!$E$10:$E$1009,$B38,Операции!$P$10:$P$1009,$Q$11))</f>
        <v/>
      </c>
      <c r="H38" s="186">
        <f>IF($B38="",0,SUMIFS(Журнал!$P$10:$P$1509,Журнал!$D$10:$D$1509,"&lt;&gt;Доход",Журнал!$E$10:$E$1509,$B38,Журнал!$R$10:$R$1509,$Q$12)+SUMIFS(Постоянные!$AC$8:$AC$367,Постоянные!$Z$8:$Z$367,"Расход",Постоянные!$AA$8:$AA$367,$B38,Постоянные!$AD$8:$AD$367,$Q$12)+SUMIFS(Покупки!$S$7:$S$18,Покупки!$D$7:$D$18,$B38,Покупки!$Q$7:$Q$18,$Q$12)+SUMIFS(Операции!$Q$10:$Q$1009,Операции!$D$10:$D$1009,"Расход",Операции!$E$10:$E$1009,$B38,Операции!$P$10:$P$1009,$Q$12))</f>
        <v/>
      </c>
      <c r="I38" s="186">
        <f>IF($B38="",0,SUMIFS(Журнал!$P$10:$P$1509,Журнал!$D$10:$D$1509,"&lt;&gt;Доход",Журнал!$E$10:$E$1509,$B38,Журнал!$R$10:$R$1509,$Q$13)+SUMIFS(Постоянные!$AC$8:$AC$367,Постоянные!$Z$8:$Z$367,"Расход",Постоянные!$AA$8:$AA$367,$B38,Постоянные!$AD$8:$AD$367,$Q$13)+SUMIFS(Покупки!$S$7:$S$18,Покупки!$D$7:$D$18,$B38,Покупки!$Q$7:$Q$18,$Q$13)+SUMIFS(Операции!$Q$10:$Q$1009,Операции!$D$10:$D$1009,"Расход",Операции!$E$10:$E$1009,$B38,Операции!$P$10:$P$1009,$Q$13))</f>
        <v/>
      </c>
      <c r="J38" s="186">
        <f>IF($B38="",0,SUMIFS(Журнал!$P$10:$P$1509,Журнал!$D$10:$D$1509,"&lt;&gt;Доход",Журнал!$E$10:$E$1509,$B38,Журнал!$R$10:$R$1509,$Q$14)+SUMIFS(Постоянные!$AC$8:$AC$367,Постоянные!$Z$8:$Z$367,"Расход",Постоянные!$AA$8:$AA$367,$B38,Постоянные!$AD$8:$AD$367,$Q$14)+SUMIFS(Покупки!$S$7:$S$18,Покупки!$D$7:$D$18,$B38,Покупки!$Q$7:$Q$18,$Q$14)+SUMIFS(Операции!$Q$10:$Q$1009,Операции!$D$10:$D$1009,"Расход",Операции!$E$10:$E$1009,$B38,Операции!$P$10:$P$1009,$Q$14))</f>
        <v/>
      </c>
      <c r="K38" s="186">
        <f>IF($B38="",0,SUMIFS(Журнал!$P$10:$P$1509,Журнал!$D$10:$D$1509,"&lt;&gt;Доход",Журнал!$E$10:$E$1509,$B38,Журнал!$R$10:$R$1509,$Q$15)+SUMIFS(Постоянные!$AC$8:$AC$367,Постоянные!$Z$8:$Z$367,"Расход",Постоянные!$AA$8:$AA$367,$B38,Постоянные!$AD$8:$AD$367,$Q$15)+SUMIFS(Покупки!$S$7:$S$18,Покупки!$D$7:$D$18,$B38,Покупки!$Q$7:$Q$18,$Q$15)+SUMIFS(Операции!$Q$10:$Q$1009,Операции!$D$10:$D$1009,"Расход",Операции!$E$10:$E$1009,$B38,Операции!$P$10:$P$1009,$Q$15))</f>
        <v/>
      </c>
      <c r="L38" s="186">
        <f>IF($B38="",0,SUMIFS(Журнал!$P$10:$P$1509,Журнал!$D$10:$D$1509,"&lt;&gt;Доход",Журнал!$E$10:$E$1509,$B38,Журнал!$R$10:$R$1509,$Q$16)+SUMIFS(Постоянные!$AC$8:$AC$367,Постоянные!$Z$8:$Z$367,"Расход",Постоянные!$AA$8:$AA$367,$B38,Постоянные!$AD$8:$AD$367,$Q$16)+SUMIFS(Покупки!$S$7:$S$18,Покупки!$D$7:$D$18,$B38,Покупки!$Q$7:$Q$18,$Q$16)+SUMIFS(Операции!$Q$10:$Q$1009,Операции!$D$10:$D$1009,"Расход",Операции!$E$10:$E$1009,$B38,Операции!$P$10:$P$1009,$Q$16))</f>
        <v/>
      </c>
      <c r="M38" s="186">
        <f>IF($B38="",0,SUMIFS(Журнал!$P$10:$P$1509,Журнал!$D$10:$D$1509,"&lt;&gt;Доход",Журнал!$E$10:$E$1509,$B38,Журнал!$R$10:$R$1509,$Q$17)+SUMIFS(Постоянные!$AC$8:$AC$367,Постоянные!$Z$8:$Z$367,"Расход",Постоянные!$AA$8:$AA$367,$B38,Постоянные!$AD$8:$AD$367,$Q$17)+SUMIFS(Покупки!$S$7:$S$18,Покупки!$D$7:$D$18,$B38,Покупки!$Q$7:$Q$18,$Q$17)+SUMIFS(Операции!$Q$10:$Q$1009,Операции!$D$10:$D$1009,"Расход",Операции!$E$10:$E$1009,$B38,Операции!$P$10:$P$1009,$Q$17))</f>
        <v/>
      </c>
      <c r="N38" s="186">
        <f>IF($B38="",0,SUMIFS(Журнал!$P$10:$P$1509,Журнал!$D$10:$D$1509,"&lt;&gt;Доход",Журнал!$E$10:$E$1509,$B38,Журнал!$R$10:$R$1509,$Q$18)+SUMIFS(Постоянные!$AC$8:$AC$367,Постоянные!$Z$8:$Z$367,"Расход",Постоянные!$AA$8:$AA$367,$B38,Постоянные!$AD$8:$AD$367,$Q$18)+SUMIFS(Покупки!$S$7:$S$18,Покупки!$D$7:$D$18,$B38,Покупки!$Q$7:$Q$18,$Q$18)+SUMIFS(Операции!$Q$10:$Q$1009,Операции!$D$10:$D$1009,"Расход",Операции!$E$10:$E$1009,$B38,Операции!$P$10:$P$1009,$Q$18))</f>
        <v/>
      </c>
      <c r="O38" s="187">
        <f>SUM(C38:N38)</f>
        <v/>
      </c>
      <c r="Z38">
        <f>IF($B38="",-1,N($O38)-ROW()/1000000)</f>
        <v/>
      </c>
    </row>
    <row r="39" ht="18" customHeight="1">
      <c r="B39" s="141">
        <f>IF(Настройки!$J$18="","",Настройки!$J$18)</f>
        <v/>
      </c>
      <c r="C39" s="186">
        <f>IF($B39="",0,SUMIFS(Журнал!$P$10:$P$1509,Журнал!$D$10:$D$1509,"&lt;&gt;Доход",Журнал!$E$10:$E$1509,$B39,Журнал!$R$10:$R$1509,$Q$7)+SUMIFS(Постоянные!$AC$8:$AC$367,Постоянные!$Z$8:$Z$367,"Расход",Постоянные!$AA$8:$AA$367,$B39,Постоянные!$AD$8:$AD$367,$Q$7)+SUMIFS(Покупки!$S$7:$S$18,Покупки!$D$7:$D$18,$B39,Покупки!$Q$7:$Q$18,$Q$7)+SUMIFS(Операции!$Q$10:$Q$1009,Операции!$D$10:$D$1009,"Расход",Операции!$E$10:$E$1009,$B39,Операции!$P$10:$P$1009,$Q$7))</f>
        <v/>
      </c>
      <c r="D39" s="186">
        <f>IF($B39="",0,SUMIFS(Журнал!$P$10:$P$1509,Журнал!$D$10:$D$1509,"&lt;&gt;Доход",Журнал!$E$10:$E$1509,$B39,Журнал!$R$10:$R$1509,$Q$8)+SUMIFS(Постоянные!$AC$8:$AC$367,Постоянные!$Z$8:$Z$367,"Расход",Постоянные!$AA$8:$AA$367,$B39,Постоянные!$AD$8:$AD$367,$Q$8)+SUMIFS(Покупки!$S$7:$S$18,Покупки!$D$7:$D$18,$B39,Покупки!$Q$7:$Q$18,$Q$8)+SUMIFS(Операции!$Q$10:$Q$1009,Операции!$D$10:$D$1009,"Расход",Операции!$E$10:$E$1009,$B39,Операции!$P$10:$P$1009,$Q$8))</f>
        <v/>
      </c>
      <c r="E39" s="186">
        <f>IF($B39="",0,SUMIFS(Журнал!$P$10:$P$1509,Журнал!$D$10:$D$1509,"&lt;&gt;Доход",Журнал!$E$10:$E$1509,$B39,Журнал!$R$10:$R$1509,$Q$9)+SUMIFS(Постоянные!$AC$8:$AC$367,Постоянные!$Z$8:$Z$367,"Расход",Постоянные!$AA$8:$AA$367,$B39,Постоянные!$AD$8:$AD$367,$Q$9)+SUMIFS(Покупки!$S$7:$S$18,Покупки!$D$7:$D$18,$B39,Покупки!$Q$7:$Q$18,$Q$9)+SUMIFS(Операции!$Q$10:$Q$1009,Операции!$D$10:$D$1009,"Расход",Операции!$E$10:$E$1009,$B39,Операции!$P$10:$P$1009,$Q$9))</f>
        <v/>
      </c>
      <c r="F39" s="186">
        <f>IF($B39="",0,SUMIFS(Журнал!$P$10:$P$1509,Журнал!$D$10:$D$1509,"&lt;&gt;Доход",Журнал!$E$10:$E$1509,$B39,Журнал!$R$10:$R$1509,$Q$10)+SUMIFS(Постоянные!$AC$8:$AC$367,Постоянные!$Z$8:$Z$367,"Расход",Постоянные!$AA$8:$AA$367,$B39,Постоянные!$AD$8:$AD$367,$Q$10)+SUMIFS(Покупки!$S$7:$S$18,Покупки!$D$7:$D$18,$B39,Покупки!$Q$7:$Q$18,$Q$10)+SUMIFS(Операции!$Q$10:$Q$1009,Операции!$D$10:$D$1009,"Расход",Операции!$E$10:$E$1009,$B39,Операции!$P$10:$P$1009,$Q$10))</f>
        <v/>
      </c>
      <c r="G39" s="186">
        <f>IF($B39="",0,SUMIFS(Журнал!$P$10:$P$1509,Журнал!$D$10:$D$1509,"&lt;&gt;Доход",Журнал!$E$10:$E$1509,$B39,Журнал!$R$10:$R$1509,$Q$11)+SUMIFS(Постоянные!$AC$8:$AC$367,Постоянные!$Z$8:$Z$367,"Расход",Постоянные!$AA$8:$AA$367,$B39,Постоянные!$AD$8:$AD$367,$Q$11)+SUMIFS(Покупки!$S$7:$S$18,Покупки!$D$7:$D$18,$B39,Покупки!$Q$7:$Q$18,$Q$11)+SUMIFS(Операции!$Q$10:$Q$1009,Операции!$D$10:$D$1009,"Расход",Операции!$E$10:$E$1009,$B39,Операции!$P$10:$P$1009,$Q$11))</f>
        <v/>
      </c>
      <c r="H39" s="186">
        <f>IF($B39="",0,SUMIFS(Журнал!$P$10:$P$1509,Журнал!$D$10:$D$1509,"&lt;&gt;Доход",Журнал!$E$10:$E$1509,$B39,Журнал!$R$10:$R$1509,$Q$12)+SUMIFS(Постоянные!$AC$8:$AC$367,Постоянные!$Z$8:$Z$367,"Расход",Постоянные!$AA$8:$AA$367,$B39,Постоянные!$AD$8:$AD$367,$Q$12)+SUMIFS(Покупки!$S$7:$S$18,Покупки!$D$7:$D$18,$B39,Покупки!$Q$7:$Q$18,$Q$12)+SUMIFS(Операции!$Q$10:$Q$1009,Операции!$D$10:$D$1009,"Расход",Операции!$E$10:$E$1009,$B39,Операции!$P$10:$P$1009,$Q$12))</f>
        <v/>
      </c>
      <c r="I39" s="186">
        <f>IF($B39="",0,SUMIFS(Журнал!$P$10:$P$1509,Журнал!$D$10:$D$1509,"&lt;&gt;Доход",Журнал!$E$10:$E$1509,$B39,Журнал!$R$10:$R$1509,$Q$13)+SUMIFS(Постоянные!$AC$8:$AC$367,Постоянные!$Z$8:$Z$367,"Расход",Постоянные!$AA$8:$AA$367,$B39,Постоянные!$AD$8:$AD$367,$Q$13)+SUMIFS(Покупки!$S$7:$S$18,Покупки!$D$7:$D$18,$B39,Покупки!$Q$7:$Q$18,$Q$13)+SUMIFS(Операции!$Q$10:$Q$1009,Операции!$D$10:$D$1009,"Расход",Операции!$E$10:$E$1009,$B39,Операции!$P$10:$P$1009,$Q$13))</f>
        <v/>
      </c>
      <c r="J39" s="186">
        <f>IF($B39="",0,SUMIFS(Журнал!$P$10:$P$1509,Журнал!$D$10:$D$1509,"&lt;&gt;Доход",Журнал!$E$10:$E$1509,$B39,Журнал!$R$10:$R$1509,$Q$14)+SUMIFS(Постоянные!$AC$8:$AC$367,Постоянные!$Z$8:$Z$367,"Расход",Постоянные!$AA$8:$AA$367,$B39,Постоянные!$AD$8:$AD$367,$Q$14)+SUMIFS(Покупки!$S$7:$S$18,Покупки!$D$7:$D$18,$B39,Покупки!$Q$7:$Q$18,$Q$14)+SUMIFS(Операции!$Q$10:$Q$1009,Операции!$D$10:$D$1009,"Расход",Операции!$E$10:$E$1009,$B39,Операции!$P$10:$P$1009,$Q$14))</f>
        <v/>
      </c>
      <c r="K39" s="186">
        <f>IF($B39="",0,SUMIFS(Журнал!$P$10:$P$1509,Журнал!$D$10:$D$1509,"&lt;&gt;Доход",Журнал!$E$10:$E$1509,$B39,Журнал!$R$10:$R$1509,$Q$15)+SUMIFS(Постоянные!$AC$8:$AC$367,Постоянные!$Z$8:$Z$367,"Расход",Постоянные!$AA$8:$AA$367,$B39,Постоянные!$AD$8:$AD$367,$Q$15)+SUMIFS(Покупки!$S$7:$S$18,Покупки!$D$7:$D$18,$B39,Покупки!$Q$7:$Q$18,$Q$15)+SUMIFS(Операции!$Q$10:$Q$1009,Операции!$D$10:$D$1009,"Расход",Операции!$E$10:$E$1009,$B39,Операции!$P$10:$P$1009,$Q$15))</f>
        <v/>
      </c>
      <c r="L39" s="186">
        <f>IF($B39="",0,SUMIFS(Журнал!$P$10:$P$1509,Журнал!$D$10:$D$1509,"&lt;&gt;Доход",Журнал!$E$10:$E$1509,$B39,Журнал!$R$10:$R$1509,$Q$16)+SUMIFS(Постоянные!$AC$8:$AC$367,Постоянные!$Z$8:$Z$367,"Расход",Постоянные!$AA$8:$AA$367,$B39,Постоянные!$AD$8:$AD$367,$Q$16)+SUMIFS(Покупки!$S$7:$S$18,Покупки!$D$7:$D$18,$B39,Покупки!$Q$7:$Q$18,$Q$16)+SUMIFS(Операции!$Q$10:$Q$1009,Операции!$D$10:$D$1009,"Расход",Операции!$E$10:$E$1009,$B39,Операции!$P$10:$P$1009,$Q$16))</f>
        <v/>
      </c>
      <c r="M39" s="186">
        <f>IF($B39="",0,SUMIFS(Журнал!$P$10:$P$1509,Журнал!$D$10:$D$1509,"&lt;&gt;Доход",Журнал!$E$10:$E$1509,$B39,Журнал!$R$10:$R$1509,$Q$17)+SUMIFS(Постоянные!$AC$8:$AC$367,Постоянные!$Z$8:$Z$367,"Расход",Постоянные!$AA$8:$AA$367,$B39,Постоянные!$AD$8:$AD$367,$Q$17)+SUMIFS(Покупки!$S$7:$S$18,Покупки!$D$7:$D$18,$B39,Покупки!$Q$7:$Q$18,$Q$17)+SUMIFS(Операции!$Q$10:$Q$1009,Операции!$D$10:$D$1009,"Расход",Операции!$E$10:$E$1009,$B39,Операции!$P$10:$P$1009,$Q$17))</f>
        <v/>
      </c>
      <c r="N39" s="186">
        <f>IF($B39="",0,SUMIFS(Журнал!$P$10:$P$1509,Журнал!$D$10:$D$1509,"&lt;&gt;Доход",Журнал!$E$10:$E$1509,$B39,Журнал!$R$10:$R$1509,$Q$18)+SUMIFS(Постоянные!$AC$8:$AC$367,Постоянные!$Z$8:$Z$367,"Расход",Постоянные!$AA$8:$AA$367,$B39,Постоянные!$AD$8:$AD$367,$Q$18)+SUMIFS(Покупки!$S$7:$S$18,Покупки!$D$7:$D$18,$B39,Покупки!$Q$7:$Q$18,$Q$18)+SUMIFS(Операции!$Q$10:$Q$1009,Операции!$D$10:$D$1009,"Расход",Операции!$E$10:$E$1009,$B39,Операции!$P$10:$P$1009,$Q$18))</f>
        <v/>
      </c>
      <c r="O39" s="187">
        <f>SUM(C39:N39)</f>
        <v/>
      </c>
      <c r="Z39">
        <f>IF($B39="",-1,N($O39)-ROW()/1000000)</f>
        <v/>
      </c>
    </row>
    <row r="40" ht="18" customHeight="1">
      <c r="B40" s="141">
        <f>IF(Настройки!$J$19="","",Настройки!$J$19)</f>
        <v/>
      </c>
      <c r="C40" s="186">
        <f>IF($B40="",0,SUMIFS(Журнал!$P$10:$P$1509,Журнал!$D$10:$D$1509,"&lt;&gt;Доход",Журнал!$E$10:$E$1509,$B40,Журнал!$R$10:$R$1509,$Q$7)+SUMIFS(Постоянные!$AC$8:$AC$367,Постоянные!$Z$8:$Z$367,"Расход",Постоянные!$AA$8:$AA$367,$B40,Постоянные!$AD$8:$AD$367,$Q$7)+SUMIFS(Покупки!$S$7:$S$18,Покупки!$D$7:$D$18,$B40,Покупки!$Q$7:$Q$18,$Q$7)+SUMIFS(Операции!$Q$10:$Q$1009,Операции!$D$10:$D$1009,"Расход",Операции!$E$10:$E$1009,$B40,Операции!$P$10:$P$1009,$Q$7))</f>
        <v/>
      </c>
      <c r="D40" s="186">
        <f>IF($B40="",0,SUMIFS(Журнал!$P$10:$P$1509,Журнал!$D$10:$D$1509,"&lt;&gt;Доход",Журнал!$E$10:$E$1509,$B40,Журнал!$R$10:$R$1509,$Q$8)+SUMIFS(Постоянные!$AC$8:$AC$367,Постоянные!$Z$8:$Z$367,"Расход",Постоянные!$AA$8:$AA$367,$B40,Постоянные!$AD$8:$AD$367,$Q$8)+SUMIFS(Покупки!$S$7:$S$18,Покупки!$D$7:$D$18,$B40,Покупки!$Q$7:$Q$18,$Q$8)+SUMIFS(Операции!$Q$10:$Q$1009,Операции!$D$10:$D$1009,"Расход",Операции!$E$10:$E$1009,$B40,Операции!$P$10:$P$1009,$Q$8))</f>
        <v/>
      </c>
      <c r="E40" s="186">
        <f>IF($B40="",0,SUMIFS(Журнал!$P$10:$P$1509,Журнал!$D$10:$D$1509,"&lt;&gt;Доход",Журнал!$E$10:$E$1509,$B40,Журнал!$R$10:$R$1509,$Q$9)+SUMIFS(Постоянные!$AC$8:$AC$367,Постоянные!$Z$8:$Z$367,"Расход",Постоянные!$AA$8:$AA$367,$B40,Постоянные!$AD$8:$AD$367,$Q$9)+SUMIFS(Покупки!$S$7:$S$18,Покупки!$D$7:$D$18,$B40,Покупки!$Q$7:$Q$18,$Q$9)+SUMIFS(Операции!$Q$10:$Q$1009,Операции!$D$10:$D$1009,"Расход",Операции!$E$10:$E$1009,$B40,Операции!$P$10:$P$1009,$Q$9))</f>
        <v/>
      </c>
      <c r="F40" s="186">
        <f>IF($B40="",0,SUMIFS(Журнал!$P$10:$P$1509,Журнал!$D$10:$D$1509,"&lt;&gt;Доход",Журнал!$E$10:$E$1509,$B40,Журнал!$R$10:$R$1509,$Q$10)+SUMIFS(Постоянные!$AC$8:$AC$367,Постоянные!$Z$8:$Z$367,"Расход",Постоянные!$AA$8:$AA$367,$B40,Постоянные!$AD$8:$AD$367,$Q$10)+SUMIFS(Покупки!$S$7:$S$18,Покупки!$D$7:$D$18,$B40,Покупки!$Q$7:$Q$18,$Q$10)+SUMIFS(Операции!$Q$10:$Q$1009,Операции!$D$10:$D$1009,"Расход",Операции!$E$10:$E$1009,$B40,Операции!$P$10:$P$1009,$Q$10))</f>
        <v/>
      </c>
      <c r="G40" s="186">
        <f>IF($B40="",0,SUMIFS(Журнал!$P$10:$P$1509,Журнал!$D$10:$D$1509,"&lt;&gt;Доход",Журнал!$E$10:$E$1509,$B40,Журнал!$R$10:$R$1509,$Q$11)+SUMIFS(Постоянные!$AC$8:$AC$367,Постоянные!$Z$8:$Z$367,"Расход",Постоянные!$AA$8:$AA$367,$B40,Постоянные!$AD$8:$AD$367,$Q$11)+SUMIFS(Покупки!$S$7:$S$18,Покупки!$D$7:$D$18,$B40,Покупки!$Q$7:$Q$18,$Q$11)+SUMIFS(Операции!$Q$10:$Q$1009,Операции!$D$10:$D$1009,"Расход",Операции!$E$10:$E$1009,$B40,Операции!$P$10:$P$1009,$Q$11))</f>
        <v/>
      </c>
      <c r="H40" s="186">
        <f>IF($B40="",0,SUMIFS(Журнал!$P$10:$P$1509,Журнал!$D$10:$D$1509,"&lt;&gt;Доход",Журнал!$E$10:$E$1509,$B40,Журнал!$R$10:$R$1509,$Q$12)+SUMIFS(Постоянные!$AC$8:$AC$367,Постоянные!$Z$8:$Z$367,"Расход",Постоянные!$AA$8:$AA$367,$B40,Постоянные!$AD$8:$AD$367,$Q$12)+SUMIFS(Покупки!$S$7:$S$18,Покупки!$D$7:$D$18,$B40,Покупки!$Q$7:$Q$18,$Q$12)+SUMIFS(Операции!$Q$10:$Q$1009,Операции!$D$10:$D$1009,"Расход",Операции!$E$10:$E$1009,$B40,Операции!$P$10:$P$1009,$Q$12))</f>
        <v/>
      </c>
      <c r="I40" s="186">
        <f>IF($B40="",0,SUMIFS(Журнал!$P$10:$P$1509,Журнал!$D$10:$D$1509,"&lt;&gt;Доход",Журнал!$E$10:$E$1509,$B40,Журнал!$R$10:$R$1509,$Q$13)+SUMIFS(Постоянные!$AC$8:$AC$367,Постоянные!$Z$8:$Z$367,"Расход",Постоянные!$AA$8:$AA$367,$B40,Постоянные!$AD$8:$AD$367,$Q$13)+SUMIFS(Покупки!$S$7:$S$18,Покупки!$D$7:$D$18,$B40,Покупки!$Q$7:$Q$18,$Q$13)+SUMIFS(Операции!$Q$10:$Q$1009,Операции!$D$10:$D$1009,"Расход",Операции!$E$10:$E$1009,$B40,Операции!$P$10:$P$1009,$Q$13))</f>
        <v/>
      </c>
      <c r="J40" s="186">
        <f>IF($B40="",0,SUMIFS(Журнал!$P$10:$P$1509,Журнал!$D$10:$D$1509,"&lt;&gt;Доход",Журнал!$E$10:$E$1509,$B40,Журнал!$R$10:$R$1509,$Q$14)+SUMIFS(Постоянные!$AC$8:$AC$367,Постоянные!$Z$8:$Z$367,"Расход",Постоянные!$AA$8:$AA$367,$B40,Постоянные!$AD$8:$AD$367,$Q$14)+SUMIFS(Покупки!$S$7:$S$18,Покупки!$D$7:$D$18,$B40,Покупки!$Q$7:$Q$18,$Q$14)+SUMIFS(Операции!$Q$10:$Q$1009,Операции!$D$10:$D$1009,"Расход",Операции!$E$10:$E$1009,$B40,Операции!$P$10:$P$1009,$Q$14))</f>
        <v/>
      </c>
      <c r="K40" s="186">
        <f>IF($B40="",0,SUMIFS(Журнал!$P$10:$P$1509,Журнал!$D$10:$D$1509,"&lt;&gt;Доход",Журнал!$E$10:$E$1509,$B40,Журнал!$R$10:$R$1509,$Q$15)+SUMIFS(Постоянные!$AC$8:$AC$367,Постоянные!$Z$8:$Z$367,"Расход",Постоянные!$AA$8:$AA$367,$B40,Постоянные!$AD$8:$AD$367,$Q$15)+SUMIFS(Покупки!$S$7:$S$18,Покупки!$D$7:$D$18,$B40,Покупки!$Q$7:$Q$18,$Q$15)+SUMIFS(Операции!$Q$10:$Q$1009,Операции!$D$10:$D$1009,"Расход",Операции!$E$10:$E$1009,$B40,Операции!$P$10:$P$1009,$Q$15))</f>
        <v/>
      </c>
      <c r="L40" s="186">
        <f>IF($B40="",0,SUMIFS(Журнал!$P$10:$P$1509,Журнал!$D$10:$D$1509,"&lt;&gt;Доход",Журнал!$E$10:$E$1509,$B40,Журнал!$R$10:$R$1509,$Q$16)+SUMIFS(Постоянные!$AC$8:$AC$367,Постоянные!$Z$8:$Z$367,"Расход",Постоянные!$AA$8:$AA$367,$B40,Постоянные!$AD$8:$AD$367,$Q$16)+SUMIFS(Покупки!$S$7:$S$18,Покупки!$D$7:$D$18,$B40,Покупки!$Q$7:$Q$18,$Q$16)+SUMIFS(Операции!$Q$10:$Q$1009,Операции!$D$10:$D$1009,"Расход",Операции!$E$10:$E$1009,$B40,Операции!$P$10:$P$1009,$Q$16))</f>
        <v/>
      </c>
      <c r="M40" s="186">
        <f>IF($B40="",0,SUMIFS(Журнал!$P$10:$P$1509,Журнал!$D$10:$D$1509,"&lt;&gt;Доход",Журнал!$E$10:$E$1509,$B40,Журнал!$R$10:$R$1509,$Q$17)+SUMIFS(Постоянные!$AC$8:$AC$367,Постоянные!$Z$8:$Z$367,"Расход",Постоянные!$AA$8:$AA$367,$B40,Постоянные!$AD$8:$AD$367,$Q$17)+SUMIFS(Покупки!$S$7:$S$18,Покупки!$D$7:$D$18,$B40,Покупки!$Q$7:$Q$18,$Q$17)+SUMIFS(Операции!$Q$10:$Q$1009,Операции!$D$10:$D$1009,"Расход",Операции!$E$10:$E$1009,$B40,Операции!$P$10:$P$1009,$Q$17))</f>
        <v/>
      </c>
      <c r="N40" s="186">
        <f>IF($B40="",0,SUMIFS(Журнал!$P$10:$P$1509,Журнал!$D$10:$D$1509,"&lt;&gt;Доход",Журнал!$E$10:$E$1509,$B40,Журнал!$R$10:$R$1509,$Q$18)+SUMIFS(Постоянные!$AC$8:$AC$367,Постоянные!$Z$8:$Z$367,"Расход",Постоянные!$AA$8:$AA$367,$B40,Постоянные!$AD$8:$AD$367,$Q$18)+SUMIFS(Покупки!$S$7:$S$18,Покупки!$D$7:$D$18,$B40,Покупки!$Q$7:$Q$18,$Q$18)+SUMIFS(Операции!$Q$10:$Q$1009,Операции!$D$10:$D$1009,"Расход",Операции!$E$10:$E$1009,$B40,Операции!$P$10:$P$1009,$Q$18))</f>
        <v/>
      </c>
      <c r="O40" s="187">
        <f>SUM(C40:N40)</f>
        <v/>
      </c>
      <c r="Z40">
        <f>IF($B40="",-1,N($O40)-ROW()/1000000)</f>
        <v/>
      </c>
    </row>
    <row r="41" ht="18" customHeight="1">
      <c r="B41" s="141">
        <f>IF(Настройки!$J$20="","",Настройки!$J$20)</f>
        <v/>
      </c>
      <c r="C41" s="186">
        <f>IF($B41="",0,SUMIFS(Журнал!$P$10:$P$1509,Журнал!$D$10:$D$1509,"&lt;&gt;Доход",Журнал!$E$10:$E$1509,$B41,Журнал!$R$10:$R$1509,$Q$7)+SUMIFS(Постоянные!$AC$8:$AC$367,Постоянные!$Z$8:$Z$367,"Расход",Постоянные!$AA$8:$AA$367,$B41,Постоянные!$AD$8:$AD$367,$Q$7)+SUMIFS(Покупки!$S$7:$S$18,Покупки!$D$7:$D$18,$B41,Покупки!$Q$7:$Q$18,$Q$7)+SUMIFS(Операции!$Q$10:$Q$1009,Операции!$D$10:$D$1009,"Расход",Операции!$E$10:$E$1009,$B41,Операции!$P$10:$P$1009,$Q$7))</f>
        <v/>
      </c>
      <c r="D41" s="186">
        <f>IF($B41="",0,SUMIFS(Журнал!$P$10:$P$1509,Журнал!$D$10:$D$1509,"&lt;&gt;Доход",Журнал!$E$10:$E$1509,$B41,Журнал!$R$10:$R$1509,$Q$8)+SUMIFS(Постоянные!$AC$8:$AC$367,Постоянные!$Z$8:$Z$367,"Расход",Постоянные!$AA$8:$AA$367,$B41,Постоянные!$AD$8:$AD$367,$Q$8)+SUMIFS(Покупки!$S$7:$S$18,Покупки!$D$7:$D$18,$B41,Покупки!$Q$7:$Q$18,$Q$8)+SUMIFS(Операции!$Q$10:$Q$1009,Операции!$D$10:$D$1009,"Расход",Операции!$E$10:$E$1009,$B41,Операции!$P$10:$P$1009,$Q$8))</f>
        <v/>
      </c>
      <c r="E41" s="186">
        <f>IF($B41="",0,SUMIFS(Журнал!$P$10:$P$1509,Журнал!$D$10:$D$1509,"&lt;&gt;Доход",Журнал!$E$10:$E$1509,$B41,Журнал!$R$10:$R$1509,$Q$9)+SUMIFS(Постоянные!$AC$8:$AC$367,Постоянные!$Z$8:$Z$367,"Расход",Постоянные!$AA$8:$AA$367,$B41,Постоянные!$AD$8:$AD$367,$Q$9)+SUMIFS(Покупки!$S$7:$S$18,Покупки!$D$7:$D$18,$B41,Покупки!$Q$7:$Q$18,$Q$9)+SUMIFS(Операции!$Q$10:$Q$1009,Операции!$D$10:$D$1009,"Расход",Операции!$E$10:$E$1009,$B41,Операции!$P$10:$P$1009,$Q$9))</f>
        <v/>
      </c>
      <c r="F41" s="186">
        <f>IF($B41="",0,SUMIFS(Журнал!$P$10:$P$1509,Журнал!$D$10:$D$1509,"&lt;&gt;Доход",Журнал!$E$10:$E$1509,$B41,Журнал!$R$10:$R$1509,$Q$10)+SUMIFS(Постоянные!$AC$8:$AC$367,Постоянные!$Z$8:$Z$367,"Расход",Постоянные!$AA$8:$AA$367,$B41,Постоянные!$AD$8:$AD$367,$Q$10)+SUMIFS(Покупки!$S$7:$S$18,Покупки!$D$7:$D$18,$B41,Покупки!$Q$7:$Q$18,$Q$10)+SUMIFS(Операции!$Q$10:$Q$1009,Операции!$D$10:$D$1009,"Расход",Операции!$E$10:$E$1009,$B41,Операции!$P$10:$P$1009,$Q$10))</f>
        <v/>
      </c>
      <c r="G41" s="186">
        <f>IF($B41="",0,SUMIFS(Журнал!$P$10:$P$1509,Журнал!$D$10:$D$1509,"&lt;&gt;Доход",Журнал!$E$10:$E$1509,$B41,Журнал!$R$10:$R$1509,$Q$11)+SUMIFS(Постоянные!$AC$8:$AC$367,Постоянные!$Z$8:$Z$367,"Расход",Постоянные!$AA$8:$AA$367,$B41,Постоянные!$AD$8:$AD$367,$Q$11)+SUMIFS(Покупки!$S$7:$S$18,Покупки!$D$7:$D$18,$B41,Покупки!$Q$7:$Q$18,$Q$11)+SUMIFS(Операции!$Q$10:$Q$1009,Операции!$D$10:$D$1009,"Расход",Операции!$E$10:$E$1009,$B41,Операции!$P$10:$P$1009,$Q$11))</f>
        <v/>
      </c>
      <c r="H41" s="186">
        <f>IF($B41="",0,SUMIFS(Журнал!$P$10:$P$1509,Журнал!$D$10:$D$1509,"&lt;&gt;Доход",Журнал!$E$10:$E$1509,$B41,Журнал!$R$10:$R$1509,$Q$12)+SUMIFS(Постоянные!$AC$8:$AC$367,Постоянные!$Z$8:$Z$367,"Расход",Постоянные!$AA$8:$AA$367,$B41,Постоянные!$AD$8:$AD$367,$Q$12)+SUMIFS(Покупки!$S$7:$S$18,Покупки!$D$7:$D$18,$B41,Покупки!$Q$7:$Q$18,$Q$12)+SUMIFS(Операции!$Q$10:$Q$1009,Операции!$D$10:$D$1009,"Расход",Операции!$E$10:$E$1009,$B41,Операции!$P$10:$P$1009,$Q$12))</f>
        <v/>
      </c>
      <c r="I41" s="186">
        <f>IF($B41="",0,SUMIFS(Журнал!$P$10:$P$1509,Журнал!$D$10:$D$1509,"&lt;&gt;Доход",Журнал!$E$10:$E$1509,$B41,Журнал!$R$10:$R$1509,$Q$13)+SUMIFS(Постоянные!$AC$8:$AC$367,Постоянные!$Z$8:$Z$367,"Расход",Постоянные!$AA$8:$AA$367,$B41,Постоянные!$AD$8:$AD$367,$Q$13)+SUMIFS(Покупки!$S$7:$S$18,Покупки!$D$7:$D$18,$B41,Покупки!$Q$7:$Q$18,$Q$13)+SUMIFS(Операции!$Q$10:$Q$1009,Операции!$D$10:$D$1009,"Расход",Операции!$E$10:$E$1009,$B41,Операции!$P$10:$P$1009,$Q$13))</f>
        <v/>
      </c>
      <c r="J41" s="186">
        <f>IF($B41="",0,SUMIFS(Журнал!$P$10:$P$1509,Журнал!$D$10:$D$1509,"&lt;&gt;Доход",Журнал!$E$10:$E$1509,$B41,Журнал!$R$10:$R$1509,$Q$14)+SUMIFS(Постоянные!$AC$8:$AC$367,Постоянные!$Z$8:$Z$367,"Расход",Постоянные!$AA$8:$AA$367,$B41,Постоянные!$AD$8:$AD$367,$Q$14)+SUMIFS(Покупки!$S$7:$S$18,Покупки!$D$7:$D$18,$B41,Покупки!$Q$7:$Q$18,$Q$14)+SUMIFS(Операции!$Q$10:$Q$1009,Операции!$D$10:$D$1009,"Расход",Операции!$E$10:$E$1009,$B41,Операции!$P$10:$P$1009,$Q$14))</f>
        <v/>
      </c>
      <c r="K41" s="186">
        <f>IF($B41="",0,SUMIFS(Журнал!$P$10:$P$1509,Журнал!$D$10:$D$1509,"&lt;&gt;Доход",Журнал!$E$10:$E$1509,$B41,Журнал!$R$10:$R$1509,$Q$15)+SUMIFS(Постоянные!$AC$8:$AC$367,Постоянные!$Z$8:$Z$367,"Расход",Постоянные!$AA$8:$AA$367,$B41,Постоянные!$AD$8:$AD$367,$Q$15)+SUMIFS(Покупки!$S$7:$S$18,Покупки!$D$7:$D$18,$B41,Покупки!$Q$7:$Q$18,$Q$15)+SUMIFS(Операции!$Q$10:$Q$1009,Операции!$D$10:$D$1009,"Расход",Операции!$E$10:$E$1009,$B41,Операции!$P$10:$P$1009,$Q$15))</f>
        <v/>
      </c>
      <c r="L41" s="186">
        <f>IF($B41="",0,SUMIFS(Журнал!$P$10:$P$1509,Журнал!$D$10:$D$1509,"&lt;&gt;Доход",Журнал!$E$10:$E$1509,$B41,Журнал!$R$10:$R$1509,$Q$16)+SUMIFS(Постоянные!$AC$8:$AC$367,Постоянные!$Z$8:$Z$367,"Расход",Постоянные!$AA$8:$AA$367,$B41,Постоянные!$AD$8:$AD$367,$Q$16)+SUMIFS(Покупки!$S$7:$S$18,Покупки!$D$7:$D$18,$B41,Покупки!$Q$7:$Q$18,$Q$16)+SUMIFS(Операции!$Q$10:$Q$1009,Операции!$D$10:$D$1009,"Расход",Операции!$E$10:$E$1009,$B41,Операции!$P$10:$P$1009,$Q$16))</f>
        <v/>
      </c>
      <c r="M41" s="186">
        <f>IF($B41="",0,SUMIFS(Журнал!$P$10:$P$1509,Журнал!$D$10:$D$1509,"&lt;&gt;Доход",Журнал!$E$10:$E$1509,$B41,Журнал!$R$10:$R$1509,$Q$17)+SUMIFS(Постоянные!$AC$8:$AC$367,Постоянные!$Z$8:$Z$367,"Расход",Постоянные!$AA$8:$AA$367,$B41,Постоянные!$AD$8:$AD$367,$Q$17)+SUMIFS(Покупки!$S$7:$S$18,Покупки!$D$7:$D$18,$B41,Покупки!$Q$7:$Q$18,$Q$17)+SUMIFS(Операции!$Q$10:$Q$1009,Операции!$D$10:$D$1009,"Расход",Операции!$E$10:$E$1009,$B41,Операции!$P$10:$P$1009,$Q$17))</f>
        <v/>
      </c>
      <c r="N41" s="186">
        <f>IF($B41="",0,SUMIFS(Журнал!$P$10:$P$1509,Журнал!$D$10:$D$1509,"&lt;&gt;Доход",Журнал!$E$10:$E$1509,$B41,Журнал!$R$10:$R$1509,$Q$18)+SUMIFS(Постоянные!$AC$8:$AC$367,Постоянные!$Z$8:$Z$367,"Расход",Постоянные!$AA$8:$AA$367,$B41,Постоянные!$AD$8:$AD$367,$Q$18)+SUMIFS(Покупки!$S$7:$S$18,Покупки!$D$7:$D$18,$B41,Покупки!$Q$7:$Q$18,$Q$18)+SUMIFS(Операции!$Q$10:$Q$1009,Операции!$D$10:$D$1009,"Расход",Операции!$E$10:$E$1009,$B41,Операции!$P$10:$P$1009,$Q$18))</f>
        <v/>
      </c>
      <c r="O41" s="187">
        <f>SUM(C41:N41)</f>
        <v/>
      </c>
      <c r="Z41">
        <f>IF($B41="",-1,N($O41)-ROW()/1000000)</f>
        <v/>
      </c>
    </row>
    <row r="42" ht="18" customHeight="1">
      <c r="B42" s="141">
        <f>IF(Настройки!$J$21="","",Настройки!$J$21)</f>
        <v/>
      </c>
      <c r="C42" s="186">
        <f>IF($B42="",0,SUMIFS(Журнал!$P$10:$P$1509,Журнал!$D$10:$D$1509,"&lt;&gt;Доход",Журнал!$E$10:$E$1509,$B42,Журнал!$R$10:$R$1509,$Q$7)+SUMIFS(Постоянные!$AC$8:$AC$367,Постоянные!$Z$8:$Z$367,"Расход",Постоянные!$AA$8:$AA$367,$B42,Постоянные!$AD$8:$AD$367,$Q$7)+SUMIFS(Покупки!$S$7:$S$18,Покупки!$D$7:$D$18,$B42,Покупки!$Q$7:$Q$18,$Q$7)+SUMIFS(Операции!$Q$10:$Q$1009,Операции!$D$10:$D$1009,"Расход",Операции!$E$10:$E$1009,$B42,Операции!$P$10:$P$1009,$Q$7))</f>
        <v/>
      </c>
      <c r="D42" s="186">
        <f>IF($B42="",0,SUMIFS(Журнал!$P$10:$P$1509,Журнал!$D$10:$D$1509,"&lt;&gt;Доход",Журнал!$E$10:$E$1509,$B42,Журнал!$R$10:$R$1509,$Q$8)+SUMIFS(Постоянные!$AC$8:$AC$367,Постоянные!$Z$8:$Z$367,"Расход",Постоянные!$AA$8:$AA$367,$B42,Постоянные!$AD$8:$AD$367,$Q$8)+SUMIFS(Покупки!$S$7:$S$18,Покупки!$D$7:$D$18,$B42,Покупки!$Q$7:$Q$18,$Q$8)+SUMIFS(Операции!$Q$10:$Q$1009,Операции!$D$10:$D$1009,"Расход",Операции!$E$10:$E$1009,$B42,Операции!$P$10:$P$1009,$Q$8))</f>
        <v/>
      </c>
      <c r="E42" s="186">
        <f>IF($B42="",0,SUMIFS(Журнал!$P$10:$P$1509,Журнал!$D$10:$D$1509,"&lt;&gt;Доход",Журнал!$E$10:$E$1509,$B42,Журнал!$R$10:$R$1509,$Q$9)+SUMIFS(Постоянные!$AC$8:$AC$367,Постоянные!$Z$8:$Z$367,"Расход",Постоянные!$AA$8:$AA$367,$B42,Постоянные!$AD$8:$AD$367,$Q$9)+SUMIFS(Покупки!$S$7:$S$18,Покупки!$D$7:$D$18,$B42,Покупки!$Q$7:$Q$18,$Q$9)+SUMIFS(Операции!$Q$10:$Q$1009,Операции!$D$10:$D$1009,"Расход",Операции!$E$10:$E$1009,$B42,Операции!$P$10:$P$1009,$Q$9))</f>
        <v/>
      </c>
      <c r="F42" s="186">
        <f>IF($B42="",0,SUMIFS(Журнал!$P$10:$P$1509,Журнал!$D$10:$D$1509,"&lt;&gt;Доход",Журнал!$E$10:$E$1509,$B42,Журнал!$R$10:$R$1509,$Q$10)+SUMIFS(Постоянные!$AC$8:$AC$367,Постоянные!$Z$8:$Z$367,"Расход",Постоянные!$AA$8:$AA$367,$B42,Постоянные!$AD$8:$AD$367,$Q$10)+SUMIFS(Покупки!$S$7:$S$18,Покупки!$D$7:$D$18,$B42,Покупки!$Q$7:$Q$18,$Q$10)+SUMIFS(Операции!$Q$10:$Q$1009,Операции!$D$10:$D$1009,"Расход",Операции!$E$10:$E$1009,$B42,Операции!$P$10:$P$1009,$Q$10))</f>
        <v/>
      </c>
      <c r="G42" s="186">
        <f>IF($B42="",0,SUMIFS(Журнал!$P$10:$P$1509,Журнал!$D$10:$D$1509,"&lt;&gt;Доход",Журнал!$E$10:$E$1509,$B42,Журнал!$R$10:$R$1509,$Q$11)+SUMIFS(Постоянные!$AC$8:$AC$367,Постоянные!$Z$8:$Z$367,"Расход",Постоянные!$AA$8:$AA$367,$B42,Постоянные!$AD$8:$AD$367,$Q$11)+SUMIFS(Покупки!$S$7:$S$18,Покупки!$D$7:$D$18,$B42,Покупки!$Q$7:$Q$18,$Q$11)+SUMIFS(Операции!$Q$10:$Q$1009,Операции!$D$10:$D$1009,"Расход",Операции!$E$10:$E$1009,$B42,Операции!$P$10:$P$1009,$Q$11))</f>
        <v/>
      </c>
      <c r="H42" s="186">
        <f>IF($B42="",0,SUMIFS(Журнал!$P$10:$P$1509,Журнал!$D$10:$D$1509,"&lt;&gt;Доход",Журнал!$E$10:$E$1509,$B42,Журнал!$R$10:$R$1509,$Q$12)+SUMIFS(Постоянные!$AC$8:$AC$367,Постоянные!$Z$8:$Z$367,"Расход",Постоянные!$AA$8:$AA$367,$B42,Постоянные!$AD$8:$AD$367,$Q$12)+SUMIFS(Покупки!$S$7:$S$18,Покупки!$D$7:$D$18,$B42,Покупки!$Q$7:$Q$18,$Q$12)+SUMIFS(Операции!$Q$10:$Q$1009,Операции!$D$10:$D$1009,"Расход",Операции!$E$10:$E$1009,$B42,Операции!$P$10:$P$1009,$Q$12))</f>
        <v/>
      </c>
      <c r="I42" s="186">
        <f>IF($B42="",0,SUMIFS(Журнал!$P$10:$P$1509,Журнал!$D$10:$D$1509,"&lt;&gt;Доход",Журнал!$E$10:$E$1509,$B42,Журнал!$R$10:$R$1509,$Q$13)+SUMIFS(Постоянные!$AC$8:$AC$367,Постоянные!$Z$8:$Z$367,"Расход",Постоянные!$AA$8:$AA$367,$B42,Постоянные!$AD$8:$AD$367,$Q$13)+SUMIFS(Покупки!$S$7:$S$18,Покупки!$D$7:$D$18,$B42,Покупки!$Q$7:$Q$18,$Q$13)+SUMIFS(Операции!$Q$10:$Q$1009,Операции!$D$10:$D$1009,"Расход",Операции!$E$10:$E$1009,$B42,Операции!$P$10:$P$1009,$Q$13))</f>
        <v/>
      </c>
      <c r="J42" s="186">
        <f>IF($B42="",0,SUMIFS(Журнал!$P$10:$P$1509,Журнал!$D$10:$D$1509,"&lt;&gt;Доход",Журнал!$E$10:$E$1509,$B42,Журнал!$R$10:$R$1509,$Q$14)+SUMIFS(Постоянные!$AC$8:$AC$367,Постоянные!$Z$8:$Z$367,"Расход",Постоянные!$AA$8:$AA$367,$B42,Постоянные!$AD$8:$AD$367,$Q$14)+SUMIFS(Покупки!$S$7:$S$18,Покупки!$D$7:$D$18,$B42,Покупки!$Q$7:$Q$18,$Q$14)+SUMIFS(Операции!$Q$10:$Q$1009,Операции!$D$10:$D$1009,"Расход",Операции!$E$10:$E$1009,$B42,Операции!$P$10:$P$1009,$Q$14))</f>
        <v/>
      </c>
      <c r="K42" s="186">
        <f>IF($B42="",0,SUMIFS(Журнал!$P$10:$P$1509,Журнал!$D$10:$D$1509,"&lt;&gt;Доход",Журнал!$E$10:$E$1509,$B42,Журнал!$R$10:$R$1509,$Q$15)+SUMIFS(Постоянные!$AC$8:$AC$367,Постоянные!$Z$8:$Z$367,"Расход",Постоянные!$AA$8:$AA$367,$B42,Постоянные!$AD$8:$AD$367,$Q$15)+SUMIFS(Покупки!$S$7:$S$18,Покупки!$D$7:$D$18,$B42,Покупки!$Q$7:$Q$18,$Q$15)+SUMIFS(Операции!$Q$10:$Q$1009,Операции!$D$10:$D$1009,"Расход",Операции!$E$10:$E$1009,$B42,Операции!$P$10:$P$1009,$Q$15))</f>
        <v/>
      </c>
      <c r="L42" s="186">
        <f>IF($B42="",0,SUMIFS(Журнал!$P$10:$P$1509,Журнал!$D$10:$D$1509,"&lt;&gt;Доход",Журнал!$E$10:$E$1509,$B42,Журнал!$R$10:$R$1509,$Q$16)+SUMIFS(Постоянные!$AC$8:$AC$367,Постоянные!$Z$8:$Z$367,"Расход",Постоянные!$AA$8:$AA$367,$B42,Постоянные!$AD$8:$AD$367,$Q$16)+SUMIFS(Покупки!$S$7:$S$18,Покупки!$D$7:$D$18,$B42,Покупки!$Q$7:$Q$18,$Q$16)+SUMIFS(Операции!$Q$10:$Q$1009,Операции!$D$10:$D$1009,"Расход",Операции!$E$10:$E$1009,$B42,Операции!$P$10:$P$1009,$Q$16))</f>
        <v/>
      </c>
      <c r="M42" s="186">
        <f>IF($B42="",0,SUMIFS(Журнал!$P$10:$P$1509,Журнал!$D$10:$D$1509,"&lt;&gt;Доход",Журнал!$E$10:$E$1509,$B42,Журнал!$R$10:$R$1509,$Q$17)+SUMIFS(Постоянные!$AC$8:$AC$367,Постоянные!$Z$8:$Z$367,"Расход",Постоянные!$AA$8:$AA$367,$B42,Постоянные!$AD$8:$AD$367,$Q$17)+SUMIFS(Покупки!$S$7:$S$18,Покупки!$D$7:$D$18,$B42,Покупки!$Q$7:$Q$18,$Q$17)+SUMIFS(Операции!$Q$10:$Q$1009,Операции!$D$10:$D$1009,"Расход",Операции!$E$10:$E$1009,$B42,Операции!$P$10:$P$1009,$Q$17))</f>
        <v/>
      </c>
      <c r="N42" s="186">
        <f>IF($B42="",0,SUMIFS(Журнал!$P$10:$P$1509,Журнал!$D$10:$D$1509,"&lt;&gt;Доход",Журнал!$E$10:$E$1509,$B42,Журнал!$R$10:$R$1509,$Q$18)+SUMIFS(Постоянные!$AC$8:$AC$367,Постоянные!$Z$8:$Z$367,"Расход",Постоянные!$AA$8:$AA$367,$B42,Постоянные!$AD$8:$AD$367,$Q$18)+SUMIFS(Покупки!$S$7:$S$18,Покупки!$D$7:$D$18,$B42,Покупки!$Q$7:$Q$18,$Q$18)+SUMIFS(Операции!$Q$10:$Q$1009,Операции!$D$10:$D$1009,"Расход",Операции!$E$10:$E$1009,$B42,Операции!$P$10:$P$1009,$Q$18))</f>
        <v/>
      </c>
      <c r="O42" s="187">
        <f>SUM(C42:N42)</f>
        <v/>
      </c>
      <c r="Z42">
        <f>IF($B42="",-1,N($O42)-ROW()/1000000)</f>
        <v/>
      </c>
    </row>
    <row r="43" ht="18" customHeight="1">
      <c r="B43" s="141">
        <f>IF(Настройки!$J$22="","",Настройки!$J$22)</f>
        <v/>
      </c>
      <c r="C43" s="186">
        <f>IF($B43="",0,SUMIFS(Журнал!$P$10:$P$1509,Журнал!$D$10:$D$1509,"&lt;&gt;Доход",Журнал!$E$10:$E$1509,$B43,Журнал!$R$10:$R$1509,$Q$7)+SUMIFS(Постоянные!$AC$8:$AC$367,Постоянные!$Z$8:$Z$367,"Расход",Постоянные!$AA$8:$AA$367,$B43,Постоянные!$AD$8:$AD$367,$Q$7)+SUMIFS(Покупки!$S$7:$S$18,Покупки!$D$7:$D$18,$B43,Покупки!$Q$7:$Q$18,$Q$7)+SUMIFS(Операции!$Q$10:$Q$1009,Операции!$D$10:$D$1009,"Расход",Операции!$E$10:$E$1009,$B43,Операции!$P$10:$P$1009,$Q$7))</f>
        <v/>
      </c>
      <c r="D43" s="186">
        <f>IF($B43="",0,SUMIFS(Журнал!$P$10:$P$1509,Журнал!$D$10:$D$1509,"&lt;&gt;Доход",Журнал!$E$10:$E$1509,$B43,Журнал!$R$10:$R$1509,$Q$8)+SUMIFS(Постоянные!$AC$8:$AC$367,Постоянные!$Z$8:$Z$367,"Расход",Постоянные!$AA$8:$AA$367,$B43,Постоянные!$AD$8:$AD$367,$Q$8)+SUMIFS(Покупки!$S$7:$S$18,Покупки!$D$7:$D$18,$B43,Покупки!$Q$7:$Q$18,$Q$8)+SUMIFS(Операции!$Q$10:$Q$1009,Операции!$D$10:$D$1009,"Расход",Операции!$E$10:$E$1009,$B43,Операции!$P$10:$P$1009,$Q$8))</f>
        <v/>
      </c>
      <c r="E43" s="186">
        <f>IF($B43="",0,SUMIFS(Журнал!$P$10:$P$1509,Журнал!$D$10:$D$1509,"&lt;&gt;Доход",Журнал!$E$10:$E$1509,$B43,Журнал!$R$10:$R$1509,$Q$9)+SUMIFS(Постоянные!$AC$8:$AC$367,Постоянные!$Z$8:$Z$367,"Расход",Постоянные!$AA$8:$AA$367,$B43,Постоянные!$AD$8:$AD$367,$Q$9)+SUMIFS(Покупки!$S$7:$S$18,Покупки!$D$7:$D$18,$B43,Покупки!$Q$7:$Q$18,$Q$9)+SUMIFS(Операции!$Q$10:$Q$1009,Операции!$D$10:$D$1009,"Расход",Операции!$E$10:$E$1009,$B43,Операции!$P$10:$P$1009,$Q$9))</f>
        <v/>
      </c>
      <c r="F43" s="186">
        <f>IF($B43="",0,SUMIFS(Журнал!$P$10:$P$1509,Журнал!$D$10:$D$1509,"&lt;&gt;Доход",Журнал!$E$10:$E$1509,$B43,Журнал!$R$10:$R$1509,$Q$10)+SUMIFS(Постоянные!$AC$8:$AC$367,Постоянные!$Z$8:$Z$367,"Расход",Постоянные!$AA$8:$AA$367,$B43,Постоянные!$AD$8:$AD$367,$Q$10)+SUMIFS(Покупки!$S$7:$S$18,Покупки!$D$7:$D$18,$B43,Покупки!$Q$7:$Q$18,$Q$10)+SUMIFS(Операции!$Q$10:$Q$1009,Операции!$D$10:$D$1009,"Расход",Операции!$E$10:$E$1009,$B43,Операции!$P$10:$P$1009,$Q$10))</f>
        <v/>
      </c>
      <c r="G43" s="186">
        <f>IF($B43="",0,SUMIFS(Журнал!$P$10:$P$1509,Журнал!$D$10:$D$1509,"&lt;&gt;Доход",Журнал!$E$10:$E$1509,$B43,Журнал!$R$10:$R$1509,$Q$11)+SUMIFS(Постоянные!$AC$8:$AC$367,Постоянные!$Z$8:$Z$367,"Расход",Постоянные!$AA$8:$AA$367,$B43,Постоянные!$AD$8:$AD$367,$Q$11)+SUMIFS(Покупки!$S$7:$S$18,Покупки!$D$7:$D$18,$B43,Покупки!$Q$7:$Q$18,$Q$11)+SUMIFS(Операции!$Q$10:$Q$1009,Операции!$D$10:$D$1009,"Расход",Операции!$E$10:$E$1009,$B43,Операции!$P$10:$P$1009,$Q$11))</f>
        <v/>
      </c>
      <c r="H43" s="186">
        <f>IF($B43="",0,SUMIFS(Журнал!$P$10:$P$1509,Журнал!$D$10:$D$1509,"&lt;&gt;Доход",Журнал!$E$10:$E$1509,$B43,Журнал!$R$10:$R$1509,$Q$12)+SUMIFS(Постоянные!$AC$8:$AC$367,Постоянные!$Z$8:$Z$367,"Расход",Постоянные!$AA$8:$AA$367,$B43,Постоянные!$AD$8:$AD$367,$Q$12)+SUMIFS(Покупки!$S$7:$S$18,Покупки!$D$7:$D$18,$B43,Покупки!$Q$7:$Q$18,$Q$12)+SUMIFS(Операции!$Q$10:$Q$1009,Операции!$D$10:$D$1009,"Расход",Операции!$E$10:$E$1009,$B43,Операции!$P$10:$P$1009,$Q$12))</f>
        <v/>
      </c>
      <c r="I43" s="186">
        <f>IF($B43="",0,SUMIFS(Журнал!$P$10:$P$1509,Журнал!$D$10:$D$1509,"&lt;&gt;Доход",Журнал!$E$10:$E$1509,$B43,Журнал!$R$10:$R$1509,$Q$13)+SUMIFS(Постоянные!$AC$8:$AC$367,Постоянные!$Z$8:$Z$367,"Расход",Постоянные!$AA$8:$AA$367,$B43,Постоянные!$AD$8:$AD$367,$Q$13)+SUMIFS(Покупки!$S$7:$S$18,Покупки!$D$7:$D$18,$B43,Покупки!$Q$7:$Q$18,$Q$13)+SUMIFS(Операции!$Q$10:$Q$1009,Операции!$D$10:$D$1009,"Расход",Операции!$E$10:$E$1009,$B43,Операции!$P$10:$P$1009,$Q$13))</f>
        <v/>
      </c>
      <c r="J43" s="186">
        <f>IF($B43="",0,SUMIFS(Журнал!$P$10:$P$1509,Журнал!$D$10:$D$1509,"&lt;&gt;Доход",Журнал!$E$10:$E$1509,$B43,Журнал!$R$10:$R$1509,$Q$14)+SUMIFS(Постоянные!$AC$8:$AC$367,Постоянные!$Z$8:$Z$367,"Расход",Постоянные!$AA$8:$AA$367,$B43,Постоянные!$AD$8:$AD$367,$Q$14)+SUMIFS(Покупки!$S$7:$S$18,Покупки!$D$7:$D$18,$B43,Покупки!$Q$7:$Q$18,$Q$14)+SUMIFS(Операции!$Q$10:$Q$1009,Операции!$D$10:$D$1009,"Расход",Операции!$E$10:$E$1009,$B43,Операции!$P$10:$P$1009,$Q$14))</f>
        <v/>
      </c>
      <c r="K43" s="186">
        <f>IF($B43="",0,SUMIFS(Журнал!$P$10:$P$1509,Журнал!$D$10:$D$1509,"&lt;&gt;Доход",Журнал!$E$10:$E$1509,$B43,Журнал!$R$10:$R$1509,$Q$15)+SUMIFS(Постоянные!$AC$8:$AC$367,Постоянные!$Z$8:$Z$367,"Расход",Постоянные!$AA$8:$AA$367,$B43,Постоянные!$AD$8:$AD$367,$Q$15)+SUMIFS(Покупки!$S$7:$S$18,Покупки!$D$7:$D$18,$B43,Покупки!$Q$7:$Q$18,$Q$15)+SUMIFS(Операции!$Q$10:$Q$1009,Операции!$D$10:$D$1009,"Расход",Операции!$E$10:$E$1009,$B43,Операции!$P$10:$P$1009,$Q$15))</f>
        <v/>
      </c>
      <c r="L43" s="186">
        <f>IF($B43="",0,SUMIFS(Журнал!$P$10:$P$1509,Журнал!$D$10:$D$1509,"&lt;&gt;Доход",Журнал!$E$10:$E$1509,$B43,Журнал!$R$10:$R$1509,$Q$16)+SUMIFS(Постоянные!$AC$8:$AC$367,Постоянные!$Z$8:$Z$367,"Расход",Постоянные!$AA$8:$AA$367,$B43,Постоянные!$AD$8:$AD$367,$Q$16)+SUMIFS(Покупки!$S$7:$S$18,Покупки!$D$7:$D$18,$B43,Покупки!$Q$7:$Q$18,$Q$16)+SUMIFS(Операции!$Q$10:$Q$1009,Операции!$D$10:$D$1009,"Расход",Операции!$E$10:$E$1009,$B43,Операции!$P$10:$P$1009,$Q$16))</f>
        <v/>
      </c>
      <c r="M43" s="186">
        <f>IF($B43="",0,SUMIFS(Журнал!$P$10:$P$1509,Журнал!$D$10:$D$1509,"&lt;&gt;Доход",Журнал!$E$10:$E$1509,$B43,Журнал!$R$10:$R$1509,$Q$17)+SUMIFS(Постоянные!$AC$8:$AC$367,Постоянные!$Z$8:$Z$367,"Расход",Постоянные!$AA$8:$AA$367,$B43,Постоянные!$AD$8:$AD$367,$Q$17)+SUMIFS(Покупки!$S$7:$S$18,Покупки!$D$7:$D$18,$B43,Покупки!$Q$7:$Q$18,$Q$17)+SUMIFS(Операции!$Q$10:$Q$1009,Операции!$D$10:$D$1009,"Расход",Операции!$E$10:$E$1009,$B43,Операции!$P$10:$P$1009,$Q$17))</f>
        <v/>
      </c>
      <c r="N43" s="186">
        <f>IF($B43="",0,SUMIFS(Журнал!$P$10:$P$1509,Журнал!$D$10:$D$1509,"&lt;&gt;Доход",Журнал!$E$10:$E$1509,$B43,Журнал!$R$10:$R$1509,$Q$18)+SUMIFS(Постоянные!$AC$8:$AC$367,Постоянные!$Z$8:$Z$367,"Расход",Постоянные!$AA$8:$AA$367,$B43,Постоянные!$AD$8:$AD$367,$Q$18)+SUMIFS(Покупки!$S$7:$S$18,Покупки!$D$7:$D$18,$B43,Покупки!$Q$7:$Q$18,$Q$18)+SUMIFS(Операции!$Q$10:$Q$1009,Операции!$D$10:$D$1009,"Расход",Операции!$E$10:$E$1009,$B43,Операции!$P$10:$P$1009,$Q$18))</f>
        <v/>
      </c>
      <c r="O43" s="187">
        <f>SUM(C43:N43)</f>
        <v/>
      </c>
      <c r="Z43">
        <f>IF($B43="",-1,N($O43)-ROW()/1000000)</f>
        <v/>
      </c>
    </row>
    <row r="44" ht="18" customHeight="1">
      <c r="B44" s="141">
        <f>IF(Настройки!$J$23="","",Настройки!$J$23)</f>
        <v/>
      </c>
      <c r="C44" s="186">
        <f>IF($B44="",0,SUMIFS(Журнал!$P$10:$P$1509,Журнал!$D$10:$D$1509,"&lt;&gt;Доход",Журнал!$E$10:$E$1509,$B44,Журнал!$R$10:$R$1509,$Q$7)+SUMIFS(Постоянные!$AC$8:$AC$367,Постоянные!$Z$8:$Z$367,"Расход",Постоянные!$AA$8:$AA$367,$B44,Постоянные!$AD$8:$AD$367,$Q$7)+SUMIFS(Покупки!$S$7:$S$18,Покупки!$D$7:$D$18,$B44,Покупки!$Q$7:$Q$18,$Q$7)+SUMIFS(Операции!$Q$10:$Q$1009,Операции!$D$10:$D$1009,"Расход",Операции!$E$10:$E$1009,$B44,Операции!$P$10:$P$1009,$Q$7))</f>
        <v/>
      </c>
      <c r="D44" s="186">
        <f>IF($B44="",0,SUMIFS(Журнал!$P$10:$P$1509,Журнал!$D$10:$D$1509,"&lt;&gt;Доход",Журнал!$E$10:$E$1509,$B44,Журнал!$R$10:$R$1509,$Q$8)+SUMIFS(Постоянные!$AC$8:$AC$367,Постоянные!$Z$8:$Z$367,"Расход",Постоянные!$AA$8:$AA$367,$B44,Постоянные!$AD$8:$AD$367,$Q$8)+SUMIFS(Покупки!$S$7:$S$18,Покупки!$D$7:$D$18,$B44,Покупки!$Q$7:$Q$18,$Q$8)+SUMIFS(Операции!$Q$10:$Q$1009,Операции!$D$10:$D$1009,"Расход",Операции!$E$10:$E$1009,$B44,Операции!$P$10:$P$1009,$Q$8))</f>
        <v/>
      </c>
      <c r="E44" s="186">
        <f>IF($B44="",0,SUMIFS(Журнал!$P$10:$P$1509,Журнал!$D$10:$D$1509,"&lt;&gt;Доход",Журнал!$E$10:$E$1509,$B44,Журнал!$R$10:$R$1509,$Q$9)+SUMIFS(Постоянные!$AC$8:$AC$367,Постоянные!$Z$8:$Z$367,"Расход",Постоянные!$AA$8:$AA$367,$B44,Постоянные!$AD$8:$AD$367,$Q$9)+SUMIFS(Покупки!$S$7:$S$18,Покупки!$D$7:$D$18,$B44,Покупки!$Q$7:$Q$18,$Q$9)+SUMIFS(Операции!$Q$10:$Q$1009,Операции!$D$10:$D$1009,"Расход",Операции!$E$10:$E$1009,$B44,Операции!$P$10:$P$1009,$Q$9))</f>
        <v/>
      </c>
      <c r="F44" s="186">
        <f>IF($B44="",0,SUMIFS(Журнал!$P$10:$P$1509,Журнал!$D$10:$D$1509,"&lt;&gt;Доход",Журнал!$E$10:$E$1509,$B44,Журнал!$R$10:$R$1509,$Q$10)+SUMIFS(Постоянные!$AC$8:$AC$367,Постоянные!$Z$8:$Z$367,"Расход",Постоянные!$AA$8:$AA$367,$B44,Постоянные!$AD$8:$AD$367,$Q$10)+SUMIFS(Покупки!$S$7:$S$18,Покупки!$D$7:$D$18,$B44,Покупки!$Q$7:$Q$18,$Q$10)+SUMIFS(Операции!$Q$10:$Q$1009,Операции!$D$10:$D$1009,"Расход",Операции!$E$10:$E$1009,$B44,Операции!$P$10:$P$1009,$Q$10))</f>
        <v/>
      </c>
      <c r="G44" s="186">
        <f>IF($B44="",0,SUMIFS(Журнал!$P$10:$P$1509,Журнал!$D$10:$D$1509,"&lt;&gt;Доход",Журнал!$E$10:$E$1509,$B44,Журнал!$R$10:$R$1509,$Q$11)+SUMIFS(Постоянные!$AC$8:$AC$367,Постоянные!$Z$8:$Z$367,"Расход",Постоянные!$AA$8:$AA$367,$B44,Постоянные!$AD$8:$AD$367,$Q$11)+SUMIFS(Покупки!$S$7:$S$18,Покупки!$D$7:$D$18,$B44,Покупки!$Q$7:$Q$18,$Q$11)+SUMIFS(Операции!$Q$10:$Q$1009,Операции!$D$10:$D$1009,"Расход",Операции!$E$10:$E$1009,$B44,Операции!$P$10:$P$1009,$Q$11))</f>
        <v/>
      </c>
      <c r="H44" s="186">
        <f>IF($B44="",0,SUMIFS(Журнал!$P$10:$P$1509,Журнал!$D$10:$D$1509,"&lt;&gt;Доход",Журнал!$E$10:$E$1509,$B44,Журнал!$R$10:$R$1509,$Q$12)+SUMIFS(Постоянные!$AC$8:$AC$367,Постоянные!$Z$8:$Z$367,"Расход",Постоянные!$AA$8:$AA$367,$B44,Постоянные!$AD$8:$AD$367,$Q$12)+SUMIFS(Покупки!$S$7:$S$18,Покупки!$D$7:$D$18,$B44,Покупки!$Q$7:$Q$18,$Q$12)+SUMIFS(Операции!$Q$10:$Q$1009,Операции!$D$10:$D$1009,"Расход",Операции!$E$10:$E$1009,$B44,Операции!$P$10:$P$1009,$Q$12))</f>
        <v/>
      </c>
      <c r="I44" s="186">
        <f>IF($B44="",0,SUMIFS(Журнал!$P$10:$P$1509,Журнал!$D$10:$D$1509,"&lt;&gt;Доход",Журнал!$E$10:$E$1509,$B44,Журнал!$R$10:$R$1509,$Q$13)+SUMIFS(Постоянные!$AC$8:$AC$367,Постоянные!$Z$8:$Z$367,"Расход",Постоянные!$AA$8:$AA$367,$B44,Постоянные!$AD$8:$AD$367,$Q$13)+SUMIFS(Покупки!$S$7:$S$18,Покупки!$D$7:$D$18,$B44,Покупки!$Q$7:$Q$18,$Q$13)+SUMIFS(Операции!$Q$10:$Q$1009,Операции!$D$10:$D$1009,"Расход",Операции!$E$10:$E$1009,$B44,Операции!$P$10:$P$1009,$Q$13))</f>
        <v/>
      </c>
      <c r="J44" s="186">
        <f>IF($B44="",0,SUMIFS(Журнал!$P$10:$P$1509,Журнал!$D$10:$D$1509,"&lt;&gt;Доход",Журнал!$E$10:$E$1509,$B44,Журнал!$R$10:$R$1509,$Q$14)+SUMIFS(Постоянные!$AC$8:$AC$367,Постоянные!$Z$8:$Z$367,"Расход",Постоянные!$AA$8:$AA$367,$B44,Постоянные!$AD$8:$AD$367,$Q$14)+SUMIFS(Покупки!$S$7:$S$18,Покупки!$D$7:$D$18,$B44,Покупки!$Q$7:$Q$18,$Q$14)+SUMIFS(Операции!$Q$10:$Q$1009,Операции!$D$10:$D$1009,"Расход",Операции!$E$10:$E$1009,$B44,Операции!$P$10:$P$1009,$Q$14))</f>
        <v/>
      </c>
      <c r="K44" s="186">
        <f>IF($B44="",0,SUMIFS(Журнал!$P$10:$P$1509,Журнал!$D$10:$D$1509,"&lt;&gt;Доход",Журнал!$E$10:$E$1509,$B44,Журнал!$R$10:$R$1509,$Q$15)+SUMIFS(Постоянные!$AC$8:$AC$367,Постоянные!$Z$8:$Z$367,"Расход",Постоянные!$AA$8:$AA$367,$B44,Постоянные!$AD$8:$AD$367,$Q$15)+SUMIFS(Покупки!$S$7:$S$18,Покупки!$D$7:$D$18,$B44,Покупки!$Q$7:$Q$18,$Q$15)+SUMIFS(Операции!$Q$10:$Q$1009,Операции!$D$10:$D$1009,"Расход",Операции!$E$10:$E$1009,$B44,Операции!$P$10:$P$1009,$Q$15))</f>
        <v/>
      </c>
      <c r="L44" s="186">
        <f>IF($B44="",0,SUMIFS(Журнал!$P$10:$P$1509,Журнал!$D$10:$D$1509,"&lt;&gt;Доход",Журнал!$E$10:$E$1509,$B44,Журнал!$R$10:$R$1509,$Q$16)+SUMIFS(Постоянные!$AC$8:$AC$367,Постоянные!$Z$8:$Z$367,"Расход",Постоянные!$AA$8:$AA$367,$B44,Постоянные!$AD$8:$AD$367,$Q$16)+SUMIFS(Покупки!$S$7:$S$18,Покупки!$D$7:$D$18,$B44,Покупки!$Q$7:$Q$18,$Q$16)+SUMIFS(Операции!$Q$10:$Q$1009,Операции!$D$10:$D$1009,"Расход",Операции!$E$10:$E$1009,$B44,Операции!$P$10:$P$1009,$Q$16))</f>
        <v/>
      </c>
      <c r="M44" s="186">
        <f>IF($B44="",0,SUMIFS(Журнал!$P$10:$P$1509,Журнал!$D$10:$D$1509,"&lt;&gt;Доход",Журнал!$E$10:$E$1509,$B44,Журнал!$R$10:$R$1509,$Q$17)+SUMIFS(Постоянные!$AC$8:$AC$367,Постоянные!$Z$8:$Z$367,"Расход",Постоянные!$AA$8:$AA$367,$B44,Постоянные!$AD$8:$AD$367,$Q$17)+SUMIFS(Покупки!$S$7:$S$18,Покупки!$D$7:$D$18,$B44,Покупки!$Q$7:$Q$18,$Q$17)+SUMIFS(Операции!$Q$10:$Q$1009,Операции!$D$10:$D$1009,"Расход",Операции!$E$10:$E$1009,$B44,Операции!$P$10:$P$1009,$Q$17))</f>
        <v/>
      </c>
      <c r="N44" s="186">
        <f>IF($B44="",0,SUMIFS(Журнал!$P$10:$P$1509,Журнал!$D$10:$D$1509,"&lt;&gt;Доход",Журнал!$E$10:$E$1509,$B44,Журнал!$R$10:$R$1509,$Q$18)+SUMIFS(Постоянные!$AC$8:$AC$367,Постоянные!$Z$8:$Z$367,"Расход",Постоянные!$AA$8:$AA$367,$B44,Постоянные!$AD$8:$AD$367,$Q$18)+SUMIFS(Покупки!$S$7:$S$18,Покупки!$D$7:$D$18,$B44,Покупки!$Q$7:$Q$18,$Q$18)+SUMIFS(Операции!$Q$10:$Q$1009,Операции!$D$10:$D$1009,"Расход",Операции!$E$10:$E$1009,$B44,Операции!$P$10:$P$1009,$Q$18))</f>
        <v/>
      </c>
      <c r="O44" s="187">
        <f>SUM(C44:N44)</f>
        <v/>
      </c>
      <c r="Z44">
        <f>IF($B44="",-1,N($O44)-ROW()/1000000)</f>
        <v/>
      </c>
    </row>
    <row r="45" ht="18" customHeight="1">
      <c r="B45" s="141">
        <f>IF(Настройки!$J$24="","",Настройки!$J$24)</f>
        <v/>
      </c>
      <c r="C45" s="186">
        <f>IF($B45="",0,SUMIFS(Журнал!$P$10:$P$1509,Журнал!$D$10:$D$1509,"&lt;&gt;Доход",Журнал!$E$10:$E$1509,$B45,Журнал!$R$10:$R$1509,$Q$7)+SUMIFS(Постоянные!$AC$8:$AC$367,Постоянные!$Z$8:$Z$367,"Расход",Постоянные!$AA$8:$AA$367,$B45,Постоянные!$AD$8:$AD$367,$Q$7)+SUMIFS(Покупки!$S$7:$S$18,Покупки!$D$7:$D$18,$B45,Покупки!$Q$7:$Q$18,$Q$7)+SUMIFS(Операции!$Q$10:$Q$1009,Операции!$D$10:$D$1009,"Расход",Операции!$E$10:$E$1009,$B45,Операции!$P$10:$P$1009,$Q$7))</f>
        <v/>
      </c>
      <c r="D45" s="186">
        <f>IF($B45="",0,SUMIFS(Журнал!$P$10:$P$1509,Журнал!$D$10:$D$1509,"&lt;&gt;Доход",Журнал!$E$10:$E$1509,$B45,Журнал!$R$10:$R$1509,$Q$8)+SUMIFS(Постоянные!$AC$8:$AC$367,Постоянные!$Z$8:$Z$367,"Расход",Постоянные!$AA$8:$AA$367,$B45,Постоянные!$AD$8:$AD$367,$Q$8)+SUMIFS(Покупки!$S$7:$S$18,Покупки!$D$7:$D$18,$B45,Покупки!$Q$7:$Q$18,$Q$8)+SUMIFS(Операции!$Q$10:$Q$1009,Операции!$D$10:$D$1009,"Расход",Операции!$E$10:$E$1009,$B45,Операции!$P$10:$P$1009,$Q$8))</f>
        <v/>
      </c>
      <c r="E45" s="186">
        <f>IF($B45="",0,SUMIFS(Журнал!$P$10:$P$1509,Журнал!$D$10:$D$1509,"&lt;&gt;Доход",Журнал!$E$10:$E$1509,$B45,Журнал!$R$10:$R$1509,$Q$9)+SUMIFS(Постоянные!$AC$8:$AC$367,Постоянные!$Z$8:$Z$367,"Расход",Постоянные!$AA$8:$AA$367,$B45,Постоянные!$AD$8:$AD$367,$Q$9)+SUMIFS(Покупки!$S$7:$S$18,Покупки!$D$7:$D$18,$B45,Покупки!$Q$7:$Q$18,$Q$9)+SUMIFS(Операции!$Q$10:$Q$1009,Операции!$D$10:$D$1009,"Расход",Операции!$E$10:$E$1009,$B45,Операции!$P$10:$P$1009,$Q$9))</f>
        <v/>
      </c>
      <c r="F45" s="186">
        <f>IF($B45="",0,SUMIFS(Журнал!$P$10:$P$1509,Журнал!$D$10:$D$1509,"&lt;&gt;Доход",Журнал!$E$10:$E$1509,$B45,Журнал!$R$10:$R$1509,$Q$10)+SUMIFS(Постоянные!$AC$8:$AC$367,Постоянные!$Z$8:$Z$367,"Расход",Постоянные!$AA$8:$AA$367,$B45,Постоянные!$AD$8:$AD$367,$Q$10)+SUMIFS(Покупки!$S$7:$S$18,Покупки!$D$7:$D$18,$B45,Покупки!$Q$7:$Q$18,$Q$10)+SUMIFS(Операции!$Q$10:$Q$1009,Операции!$D$10:$D$1009,"Расход",Операции!$E$10:$E$1009,$B45,Операции!$P$10:$P$1009,$Q$10))</f>
        <v/>
      </c>
      <c r="G45" s="186">
        <f>IF($B45="",0,SUMIFS(Журнал!$P$10:$P$1509,Журнал!$D$10:$D$1509,"&lt;&gt;Доход",Журнал!$E$10:$E$1509,$B45,Журнал!$R$10:$R$1509,$Q$11)+SUMIFS(Постоянные!$AC$8:$AC$367,Постоянные!$Z$8:$Z$367,"Расход",Постоянные!$AA$8:$AA$367,$B45,Постоянные!$AD$8:$AD$367,$Q$11)+SUMIFS(Покупки!$S$7:$S$18,Покупки!$D$7:$D$18,$B45,Покупки!$Q$7:$Q$18,$Q$11)+SUMIFS(Операции!$Q$10:$Q$1009,Операции!$D$10:$D$1009,"Расход",Операции!$E$10:$E$1009,$B45,Операции!$P$10:$P$1009,$Q$11))</f>
        <v/>
      </c>
      <c r="H45" s="186">
        <f>IF($B45="",0,SUMIFS(Журнал!$P$10:$P$1509,Журнал!$D$10:$D$1509,"&lt;&gt;Доход",Журнал!$E$10:$E$1509,$B45,Журнал!$R$10:$R$1509,$Q$12)+SUMIFS(Постоянные!$AC$8:$AC$367,Постоянные!$Z$8:$Z$367,"Расход",Постоянные!$AA$8:$AA$367,$B45,Постоянные!$AD$8:$AD$367,$Q$12)+SUMIFS(Покупки!$S$7:$S$18,Покупки!$D$7:$D$18,$B45,Покупки!$Q$7:$Q$18,$Q$12)+SUMIFS(Операции!$Q$10:$Q$1009,Операции!$D$10:$D$1009,"Расход",Операции!$E$10:$E$1009,$B45,Операции!$P$10:$P$1009,$Q$12))</f>
        <v/>
      </c>
      <c r="I45" s="186">
        <f>IF($B45="",0,SUMIFS(Журнал!$P$10:$P$1509,Журнал!$D$10:$D$1509,"&lt;&gt;Доход",Журнал!$E$10:$E$1509,$B45,Журнал!$R$10:$R$1509,$Q$13)+SUMIFS(Постоянные!$AC$8:$AC$367,Постоянные!$Z$8:$Z$367,"Расход",Постоянные!$AA$8:$AA$367,$B45,Постоянные!$AD$8:$AD$367,$Q$13)+SUMIFS(Покупки!$S$7:$S$18,Покупки!$D$7:$D$18,$B45,Покупки!$Q$7:$Q$18,$Q$13)+SUMIFS(Операции!$Q$10:$Q$1009,Операции!$D$10:$D$1009,"Расход",Операции!$E$10:$E$1009,$B45,Операции!$P$10:$P$1009,$Q$13))</f>
        <v/>
      </c>
      <c r="J45" s="186">
        <f>IF($B45="",0,SUMIFS(Журнал!$P$10:$P$1509,Журнал!$D$10:$D$1509,"&lt;&gt;Доход",Журнал!$E$10:$E$1509,$B45,Журнал!$R$10:$R$1509,$Q$14)+SUMIFS(Постоянные!$AC$8:$AC$367,Постоянные!$Z$8:$Z$367,"Расход",Постоянные!$AA$8:$AA$367,$B45,Постоянные!$AD$8:$AD$367,$Q$14)+SUMIFS(Покупки!$S$7:$S$18,Покупки!$D$7:$D$18,$B45,Покупки!$Q$7:$Q$18,$Q$14)+SUMIFS(Операции!$Q$10:$Q$1009,Операции!$D$10:$D$1009,"Расход",Операции!$E$10:$E$1009,$B45,Операции!$P$10:$P$1009,$Q$14))</f>
        <v/>
      </c>
      <c r="K45" s="186">
        <f>IF($B45="",0,SUMIFS(Журнал!$P$10:$P$1509,Журнал!$D$10:$D$1509,"&lt;&gt;Доход",Журнал!$E$10:$E$1509,$B45,Журнал!$R$10:$R$1509,$Q$15)+SUMIFS(Постоянные!$AC$8:$AC$367,Постоянные!$Z$8:$Z$367,"Расход",Постоянные!$AA$8:$AA$367,$B45,Постоянные!$AD$8:$AD$367,$Q$15)+SUMIFS(Покупки!$S$7:$S$18,Покупки!$D$7:$D$18,$B45,Покупки!$Q$7:$Q$18,$Q$15)+SUMIFS(Операции!$Q$10:$Q$1009,Операции!$D$10:$D$1009,"Расход",Операции!$E$10:$E$1009,$B45,Операции!$P$10:$P$1009,$Q$15))</f>
        <v/>
      </c>
      <c r="L45" s="186">
        <f>IF($B45="",0,SUMIFS(Журнал!$P$10:$P$1509,Журнал!$D$10:$D$1509,"&lt;&gt;Доход",Журнал!$E$10:$E$1509,$B45,Журнал!$R$10:$R$1509,$Q$16)+SUMIFS(Постоянные!$AC$8:$AC$367,Постоянные!$Z$8:$Z$367,"Расход",Постоянные!$AA$8:$AA$367,$B45,Постоянные!$AD$8:$AD$367,$Q$16)+SUMIFS(Покупки!$S$7:$S$18,Покупки!$D$7:$D$18,$B45,Покупки!$Q$7:$Q$18,$Q$16)+SUMIFS(Операции!$Q$10:$Q$1009,Операции!$D$10:$D$1009,"Расход",Операции!$E$10:$E$1009,$B45,Операции!$P$10:$P$1009,$Q$16))</f>
        <v/>
      </c>
      <c r="M45" s="186">
        <f>IF($B45="",0,SUMIFS(Журнал!$P$10:$P$1509,Журнал!$D$10:$D$1509,"&lt;&gt;Доход",Журнал!$E$10:$E$1509,$B45,Журнал!$R$10:$R$1509,$Q$17)+SUMIFS(Постоянные!$AC$8:$AC$367,Постоянные!$Z$8:$Z$367,"Расход",Постоянные!$AA$8:$AA$367,$B45,Постоянные!$AD$8:$AD$367,$Q$17)+SUMIFS(Покупки!$S$7:$S$18,Покупки!$D$7:$D$18,$B45,Покупки!$Q$7:$Q$18,$Q$17)+SUMIFS(Операции!$Q$10:$Q$1009,Операции!$D$10:$D$1009,"Расход",Операции!$E$10:$E$1009,$B45,Операции!$P$10:$P$1009,$Q$17))</f>
        <v/>
      </c>
      <c r="N45" s="186">
        <f>IF($B45="",0,SUMIFS(Журнал!$P$10:$P$1509,Журнал!$D$10:$D$1509,"&lt;&gt;Доход",Журнал!$E$10:$E$1509,$B45,Журнал!$R$10:$R$1509,$Q$18)+SUMIFS(Постоянные!$AC$8:$AC$367,Постоянные!$Z$8:$Z$367,"Расход",Постоянные!$AA$8:$AA$367,$B45,Постоянные!$AD$8:$AD$367,$Q$18)+SUMIFS(Покупки!$S$7:$S$18,Покупки!$D$7:$D$18,$B45,Покупки!$Q$7:$Q$18,$Q$18)+SUMIFS(Операции!$Q$10:$Q$1009,Операции!$D$10:$D$1009,"Расход",Операции!$E$10:$E$1009,$B45,Операции!$P$10:$P$1009,$Q$18))</f>
        <v/>
      </c>
      <c r="O45" s="187">
        <f>SUM(C45:N45)</f>
        <v/>
      </c>
      <c r="Z45">
        <f>IF($B45="",-1,N($O45)-ROW()/1000000)</f>
        <v/>
      </c>
    </row>
    <row r="46" ht="18" customHeight="1">
      <c r="B46" s="141">
        <f>IF(Настройки!$J$25="","",Настройки!$J$25)</f>
        <v/>
      </c>
      <c r="C46" s="186">
        <f>IF($B46="",0,SUMIFS(Журнал!$P$10:$P$1509,Журнал!$D$10:$D$1509,"&lt;&gt;Доход",Журнал!$E$10:$E$1509,$B46,Журнал!$R$10:$R$1509,$Q$7)+SUMIFS(Постоянные!$AC$8:$AC$367,Постоянные!$Z$8:$Z$367,"Расход",Постоянные!$AA$8:$AA$367,$B46,Постоянные!$AD$8:$AD$367,$Q$7)+SUMIFS(Покупки!$S$7:$S$18,Покупки!$D$7:$D$18,$B46,Покупки!$Q$7:$Q$18,$Q$7)+SUMIFS(Операции!$Q$10:$Q$1009,Операции!$D$10:$D$1009,"Расход",Операции!$E$10:$E$1009,$B46,Операции!$P$10:$P$1009,$Q$7))</f>
        <v/>
      </c>
      <c r="D46" s="186">
        <f>IF($B46="",0,SUMIFS(Журнал!$P$10:$P$1509,Журнал!$D$10:$D$1509,"&lt;&gt;Доход",Журнал!$E$10:$E$1509,$B46,Журнал!$R$10:$R$1509,$Q$8)+SUMIFS(Постоянные!$AC$8:$AC$367,Постоянные!$Z$8:$Z$367,"Расход",Постоянные!$AA$8:$AA$367,$B46,Постоянные!$AD$8:$AD$367,$Q$8)+SUMIFS(Покупки!$S$7:$S$18,Покупки!$D$7:$D$18,$B46,Покупки!$Q$7:$Q$18,$Q$8)+SUMIFS(Операции!$Q$10:$Q$1009,Операции!$D$10:$D$1009,"Расход",Операции!$E$10:$E$1009,$B46,Операции!$P$10:$P$1009,$Q$8))</f>
        <v/>
      </c>
      <c r="E46" s="186">
        <f>IF($B46="",0,SUMIFS(Журнал!$P$10:$P$1509,Журнал!$D$10:$D$1509,"&lt;&gt;Доход",Журнал!$E$10:$E$1509,$B46,Журнал!$R$10:$R$1509,$Q$9)+SUMIFS(Постоянные!$AC$8:$AC$367,Постоянные!$Z$8:$Z$367,"Расход",Постоянные!$AA$8:$AA$367,$B46,Постоянные!$AD$8:$AD$367,$Q$9)+SUMIFS(Покупки!$S$7:$S$18,Покупки!$D$7:$D$18,$B46,Покупки!$Q$7:$Q$18,$Q$9)+SUMIFS(Операции!$Q$10:$Q$1009,Операции!$D$10:$D$1009,"Расход",Операции!$E$10:$E$1009,$B46,Операции!$P$10:$P$1009,$Q$9))</f>
        <v/>
      </c>
      <c r="F46" s="186">
        <f>IF($B46="",0,SUMIFS(Журнал!$P$10:$P$1509,Журнал!$D$10:$D$1509,"&lt;&gt;Доход",Журнал!$E$10:$E$1509,$B46,Журнал!$R$10:$R$1509,$Q$10)+SUMIFS(Постоянные!$AC$8:$AC$367,Постоянные!$Z$8:$Z$367,"Расход",Постоянные!$AA$8:$AA$367,$B46,Постоянные!$AD$8:$AD$367,$Q$10)+SUMIFS(Покупки!$S$7:$S$18,Покупки!$D$7:$D$18,$B46,Покупки!$Q$7:$Q$18,$Q$10)+SUMIFS(Операции!$Q$10:$Q$1009,Операции!$D$10:$D$1009,"Расход",Операции!$E$10:$E$1009,$B46,Операции!$P$10:$P$1009,$Q$10))</f>
        <v/>
      </c>
      <c r="G46" s="186">
        <f>IF($B46="",0,SUMIFS(Журнал!$P$10:$P$1509,Журнал!$D$10:$D$1509,"&lt;&gt;Доход",Журнал!$E$10:$E$1509,$B46,Журнал!$R$10:$R$1509,$Q$11)+SUMIFS(Постоянные!$AC$8:$AC$367,Постоянные!$Z$8:$Z$367,"Расход",Постоянные!$AA$8:$AA$367,$B46,Постоянные!$AD$8:$AD$367,$Q$11)+SUMIFS(Покупки!$S$7:$S$18,Покупки!$D$7:$D$18,$B46,Покупки!$Q$7:$Q$18,$Q$11)+SUMIFS(Операции!$Q$10:$Q$1009,Операции!$D$10:$D$1009,"Расход",Операции!$E$10:$E$1009,$B46,Операции!$P$10:$P$1009,$Q$11))</f>
        <v/>
      </c>
      <c r="H46" s="186">
        <f>IF($B46="",0,SUMIFS(Журнал!$P$10:$P$1509,Журнал!$D$10:$D$1509,"&lt;&gt;Доход",Журнал!$E$10:$E$1509,$B46,Журнал!$R$10:$R$1509,$Q$12)+SUMIFS(Постоянные!$AC$8:$AC$367,Постоянные!$Z$8:$Z$367,"Расход",Постоянные!$AA$8:$AA$367,$B46,Постоянные!$AD$8:$AD$367,$Q$12)+SUMIFS(Покупки!$S$7:$S$18,Покупки!$D$7:$D$18,$B46,Покупки!$Q$7:$Q$18,$Q$12)+SUMIFS(Операции!$Q$10:$Q$1009,Операции!$D$10:$D$1009,"Расход",Операции!$E$10:$E$1009,$B46,Операции!$P$10:$P$1009,$Q$12))</f>
        <v/>
      </c>
      <c r="I46" s="186">
        <f>IF($B46="",0,SUMIFS(Журнал!$P$10:$P$1509,Журнал!$D$10:$D$1509,"&lt;&gt;Доход",Журнал!$E$10:$E$1509,$B46,Журнал!$R$10:$R$1509,$Q$13)+SUMIFS(Постоянные!$AC$8:$AC$367,Постоянные!$Z$8:$Z$367,"Расход",Постоянные!$AA$8:$AA$367,$B46,Постоянные!$AD$8:$AD$367,$Q$13)+SUMIFS(Покупки!$S$7:$S$18,Покупки!$D$7:$D$18,$B46,Покупки!$Q$7:$Q$18,$Q$13)+SUMIFS(Операции!$Q$10:$Q$1009,Операции!$D$10:$D$1009,"Расход",Операции!$E$10:$E$1009,$B46,Операции!$P$10:$P$1009,$Q$13))</f>
        <v/>
      </c>
      <c r="J46" s="186">
        <f>IF($B46="",0,SUMIFS(Журнал!$P$10:$P$1509,Журнал!$D$10:$D$1509,"&lt;&gt;Доход",Журнал!$E$10:$E$1509,$B46,Журнал!$R$10:$R$1509,$Q$14)+SUMIFS(Постоянные!$AC$8:$AC$367,Постоянные!$Z$8:$Z$367,"Расход",Постоянные!$AA$8:$AA$367,$B46,Постоянные!$AD$8:$AD$367,$Q$14)+SUMIFS(Покупки!$S$7:$S$18,Покупки!$D$7:$D$18,$B46,Покупки!$Q$7:$Q$18,$Q$14)+SUMIFS(Операции!$Q$10:$Q$1009,Операции!$D$10:$D$1009,"Расход",Операции!$E$10:$E$1009,$B46,Операции!$P$10:$P$1009,$Q$14))</f>
        <v/>
      </c>
      <c r="K46" s="186">
        <f>IF($B46="",0,SUMIFS(Журнал!$P$10:$P$1509,Журнал!$D$10:$D$1509,"&lt;&gt;Доход",Журнал!$E$10:$E$1509,$B46,Журнал!$R$10:$R$1509,$Q$15)+SUMIFS(Постоянные!$AC$8:$AC$367,Постоянные!$Z$8:$Z$367,"Расход",Постоянные!$AA$8:$AA$367,$B46,Постоянные!$AD$8:$AD$367,$Q$15)+SUMIFS(Покупки!$S$7:$S$18,Покупки!$D$7:$D$18,$B46,Покупки!$Q$7:$Q$18,$Q$15)+SUMIFS(Операции!$Q$10:$Q$1009,Операции!$D$10:$D$1009,"Расход",Операции!$E$10:$E$1009,$B46,Операции!$P$10:$P$1009,$Q$15))</f>
        <v/>
      </c>
      <c r="L46" s="186">
        <f>IF($B46="",0,SUMIFS(Журнал!$P$10:$P$1509,Журнал!$D$10:$D$1509,"&lt;&gt;Доход",Журнал!$E$10:$E$1509,$B46,Журнал!$R$10:$R$1509,$Q$16)+SUMIFS(Постоянные!$AC$8:$AC$367,Постоянные!$Z$8:$Z$367,"Расход",Постоянные!$AA$8:$AA$367,$B46,Постоянные!$AD$8:$AD$367,$Q$16)+SUMIFS(Покупки!$S$7:$S$18,Покупки!$D$7:$D$18,$B46,Покупки!$Q$7:$Q$18,$Q$16)+SUMIFS(Операции!$Q$10:$Q$1009,Операции!$D$10:$D$1009,"Расход",Операции!$E$10:$E$1009,$B46,Операции!$P$10:$P$1009,$Q$16))</f>
        <v/>
      </c>
      <c r="M46" s="186">
        <f>IF($B46="",0,SUMIFS(Журнал!$P$10:$P$1509,Журнал!$D$10:$D$1509,"&lt;&gt;Доход",Журнал!$E$10:$E$1509,$B46,Журнал!$R$10:$R$1509,$Q$17)+SUMIFS(Постоянные!$AC$8:$AC$367,Постоянные!$Z$8:$Z$367,"Расход",Постоянные!$AA$8:$AA$367,$B46,Постоянные!$AD$8:$AD$367,$Q$17)+SUMIFS(Покупки!$S$7:$S$18,Покупки!$D$7:$D$18,$B46,Покупки!$Q$7:$Q$18,$Q$17)+SUMIFS(Операции!$Q$10:$Q$1009,Операции!$D$10:$D$1009,"Расход",Операции!$E$10:$E$1009,$B46,Операции!$P$10:$P$1009,$Q$17))</f>
        <v/>
      </c>
      <c r="N46" s="186">
        <f>IF($B46="",0,SUMIFS(Журнал!$P$10:$P$1509,Журнал!$D$10:$D$1509,"&lt;&gt;Доход",Журнал!$E$10:$E$1509,$B46,Журнал!$R$10:$R$1509,$Q$18)+SUMIFS(Постоянные!$AC$8:$AC$367,Постоянные!$Z$8:$Z$367,"Расход",Постоянные!$AA$8:$AA$367,$B46,Постоянные!$AD$8:$AD$367,$Q$18)+SUMIFS(Покупки!$S$7:$S$18,Покупки!$D$7:$D$18,$B46,Покупки!$Q$7:$Q$18,$Q$18)+SUMIFS(Операции!$Q$10:$Q$1009,Операции!$D$10:$D$1009,"Расход",Операции!$E$10:$E$1009,$B46,Операции!$P$10:$P$1009,$Q$18))</f>
        <v/>
      </c>
      <c r="O46" s="187">
        <f>SUM(C46:N46)</f>
        <v/>
      </c>
      <c r="Z46">
        <f>IF($B46="",-1,N($O46)-ROW()/1000000)</f>
        <v/>
      </c>
    </row>
    <row r="47" ht="18" customHeight="1">
      <c r="B47" s="141">
        <f>IF(Настройки!$J$26="","",Настройки!$J$26)</f>
        <v/>
      </c>
      <c r="C47" s="186">
        <f>IF($B47="",0,SUMIFS(Журнал!$P$10:$P$1509,Журнал!$D$10:$D$1509,"&lt;&gt;Доход",Журнал!$E$10:$E$1509,$B47,Журнал!$R$10:$R$1509,$Q$7)+SUMIFS(Постоянные!$AC$8:$AC$367,Постоянные!$Z$8:$Z$367,"Расход",Постоянные!$AA$8:$AA$367,$B47,Постоянные!$AD$8:$AD$367,$Q$7)+SUMIFS(Покупки!$S$7:$S$18,Покупки!$D$7:$D$18,$B47,Покупки!$Q$7:$Q$18,$Q$7)+SUMIFS(Операции!$Q$10:$Q$1009,Операции!$D$10:$D$1009,"Расход",Операции!$E$10:$E$1009,$B47,Операции!$P$10:$P$1009,$Q$7))</f>
        <v/>
      </c>
      <c r="D47" s="186">
        <f>IF($B47="",0,SUMIFS(Журнал!$P$10:$P$1509,Журнал!$D$10:$D$1509,"&lt;&gt;Доход",Журнал!$E$10:$E$1509,$B47,Журнал!$R$10:$R$1509,$Q$8)+SUMIFS(Постоянные!$AC$8:$AC$367,Постоянные!$Z$8:$Z$367,"Расход",Постоянные!$AA$8:$AA$367,$B47,Постоянные!$AD$8:$AD$367,$Q$8)+SUMIFS(Покупки!$S$7:$S$18,Покупки!$D$7:$D$18,$B47,Покупки!$Q$7:$Q$18,$Q$8)+SUMIFS(Операции!$Q$10:$Q$1009,Операции!$D$10:$D$1009,"Расход",Операции!$E$10:$E$1009,$B47,Операции!$P$10:$P$1009,$Q$8))</f>
        <v/>
      </c>
      <c r="E47" s="186">
        <f>IF($B47="",0,SUMIFS(Журнал!$P$10:$P$1509,Журнал!$D$10:$D$1509,"&lt;&gt;Доход",Журнал!$E$10:$E$1509,$B47,Журнал!$R$10:$R$1509,$Q$9)+SUMIFS(Постоянные!$AC$8:$AC$367,Постоянные!$Z$8:$Z$367,"Расход",Постоянные!$AA$8:$AA$367,$B47,Постоянные!$AD$8:$AD$367,$Q$9)+SUMIFS(Покупки!$S$7:$S$18,Покупки!$D$7:$D$18,$B47,Покупки!$Q$7:$Q$18,$Q$9)+SUMIFS(Операции!$Q$10:$Q$1009,Операции!$D$10:$D$1009,"Расход",Операции!$E$10:$E$1009,$B47,Операции!$P$10:$P$1009,$Q$9))</f>
        <v/>
      </c>
      <c r="F47" s="186">
        <f>IF($B47="",0,SUMIFS(Журнал!$P$10:$P$1509,Журнал!$D$10:$D$1509,"&lt;&gt;Доход",Журнал!$E$10:$E$1509,$B47,Журнал!$R$10:$R$1509,$Q$10)+SUMIFS(Постоянные!$AC$8:$AC$367,Постоянные!$Z$8:$Z$367,"Расход",Постоянные!$AA$8:$AA$367,$B47,Постоянные!$AD$8:$AD$367,$Q$10)+SUMIFS(Покупки!$S$7:$S$18,Покупки!$D$7:$D$18,$B47,Покупки!$Q$7:$Q$18,$Q$10)+SUMIFS(Операции!$Q$10:$Q$1009,Операции!$D$10:$D$1009,"Расход",Операции!$E$10:$E$1009,$B47,Операции!$P$10:$P$1009,$Q$10))</f>
        <v/>
      </c>
      <c r="G47" s="186">
        <f>IF($B47="",0,SUMIFS(Журнал!$P$10:$P$1509,Журнал!$D$10:$D$1509,"&lt;&gt;Доход",Журнал!$E$10:$E$1509,$B47,Журнал!$R$10:$R$1509,$Q$11)+SUMIFS(Постоянные!$AC$8:$AC$367,Постоянные!$Z$8:$Z$367,"Расход",Постоянные!$AA$8:$AA$367,$B47,Постоянные!$AD$8:$AD$367,$Q$11)+SUMIFS(Покупки!$S$7:$S$18,Покупки!$D$7:$D$18,$B47,Покупки!$Q$7:$Q$18,$Q$11)+SUMIFS(Операции!$Q$10:$Q$1009,Операции!$D$10:$D$1009,"Расход",Операции!$E$10:$E$1009,$B47,Операции!$P$10:$P$1009,$Q$11))</f>
        <v/>
      </c>
      <c r="H47" s="186">
        <f>IF($B47="",0,SUMIFS(Журнал!$P$10:$P$1509,Журнал!$D$10:$D$1509,"&lt;&gt;Доход",Журнал!$E$10:$E$1509,$B47,Журнал!$R$10:$R$1509,$Q$12)+SUMIFS(Постоянные!$AC$8:$AC$367,Постоянные!$Z$8:$Z$367,"Расход",Постоянные!$AA$8:$AA$367,$B47,Постоянные!$AD$8:$AD$367,$Q$12)+SUMIFS(Покупки!$S$7:$S$18,Покупки!$D$7:$D$18,$B47,Покупки!$Q$7:$Q$18,$Q$12)+SUMIFS(Операции!$Q$10:$Q$1009,Операции!$D$10:$D$1009,"Расход",Операции!$E$10:$E$1009,$B47,Операции!$P$10:$P$1009,$Q$12))</f>
        <v/>
      </c>
      <c r="I47" s="186">
        <f>IF($B47="",0,SUMIFS(Журнал!$P$10:$P$1509,Журнал!$D$10:$D$1509,"&lt;&gt;Доход",Журнал!$E$10:$E$1509,$B47,Журнал!$R$10:$R$1509,$Q$13)+SUMIFS(Постоянные!$AC$8:$AC$367,Постоянные!$Z$8:$Z$367,"Расход",Постоянные!$AA$8:$AA$367,$B47,Постоянные!$AD$8:$AD$367,$Q$13)+SUMIFS(Покупки!$S$7:$S$18,Покупки!$D$7:$D$18,$B47,Покупки!$Q$7:$Q$18,$Q$13)+SUMIFS(Операции!$Q$10:$Q$1009,Операции!$D$10:$D$1009,"Расход",Операции!$E$10:$E$1009,$B47,Операции!$P$10:$P$1009,$Q$13))</f>
        <v/>
      </c>
      <c r="J47" s="186">
        <f>IF($B47="",0,SUMIFS(Журнал!$P$10:$P$1509,Журнал!$D$10:$D$1509,"&lt;&gt;Доход",Журнал!$E$10:$E$1509,$B47,Журнал!$R$10:$R$1509,$Q$14)+SUMIFS(Постоянные!$AC$8:$AC$367,Постоянные!$Z$8:$Z$367,"Расход",Постоянные!$AA$8:$AA$367,$B47,Постоянные!$AD$8:$AD$367,$Q$14)+SUMIFS(Покупки!$S$7:$S$18,Покупки!$D$7:$D$18,$B47,Покупки!$Q$7:$Q$18,$Q$14)+SUMIFS(Операции!$Q$10:$Q$1009,Операции!$D$10:$D$1009,"Расход",Операции!$E$10:$E$1009,$B47,Операции!$P$10:$P$1009,$Q$14))</f>
        <v/>
      </c>
      <c r="K47" s="186">
        <f>IF($B47="",0,SUMIFS(Журнал!$P$10:$P$1509,Журнал!$D$10:$D$1509,"&lt;&gt;Доход",Журнал!$E$10:$E$1509,$B47,Журнал!$R$10:$R$1509,$Q$15)+SUMIFS(Постоянные!$AC$8:$AC$367,Постоянные!$Z$8:$Z$367,"Расход",Постоянные!$AA$8:$AA$367,$B47,Постоянные!$AD$8:$AD$367,$Q$15)+SUMIFS(Покупки!$S$7:$S$18,Покупки!$D$7:$D$18,$B47,Покупки!$Q$7:$Q$18,$Q$15)+SUMIFS(Операции!$Q$10:$Q$1009,Операции!$D$10:$D$1009,"Расход",Операции!$E$10:$E$1009,$B47,Операции!$P$10:$P$1009,$Q$15))</f>
        <v/>
      </c>
      <c r="L47" s="186">
        <f>IF($B47="",0,SUMIFS(Журнал!$P$10:$P$1509,Журнал!$D$10:$D$1509,"&lt;&gt;Доход",Журнал!$E$10:$E$1509,$B47,Журнал!$R$10:$R$1509,$Q$16)+SUMIFS(Постоянные!$AC$8:$AC$367,Постоянные!$Z$8:$Z$367,"Расход",Постоянные!$AA$8:$AA$367,$B47,Постоянные!$AD$8:$AD$367,$Q$16)+SUMIFS(Покупки!$S$7:$S$18,Покупки!$D$7:$D$18,$B47,Покупки!$Q$7:$Q$18,$Q$16)+SUMIFS(Операции!$Q$10:$Q$1009,Операции!$D$10:$D$1009,"Расход",Операции!$E$10:$E$1009,$B47,Операции!$P$10:$P$1009,$Q$16))</f>
        <v/>
      </c>
      <c r="M47" s="186">
        <f>IF($B47="",0,SUMIFS(Журнал!$P$10:$P$1509,Журнал!$D$10:$D$1509,"&lt;&gt;Доход",Журнал!$E$10:$E$1509,$B47,Журнал!$R$10:$R$1509,$Q$17)+SUMIFS(Постоянные!$AC$8:$AC$367,Постоянные!$Z$8:$Z$367,"Расход",Постоянные!$AA$8:$AA$367,$B47,Постоянные!$AD$8:$AD$367,$Q$17)+SUMIFS(Покупки!$S$7:$S$18,Покупки!$D$7:$D$18,$B47,Покупки!$Q$7:$Q$18,$Q$17)+SUMIFS(Операции!$Q$10:$Q$1009,Операции!$D$10:$D$1009,"Расход",Операции!$E$10:$E$1009,$B47,Операции!$P$10:$P$1009,$Q$17))</f>
        <v/>
      </c>
      <c r="N47" s="186">
        <f>IF($B47="",0,SUMIFS(Журнал!$P$10:$P$1509,Журнал!$D$10:$D$1509,"&lt;&gt;Доход",Журнал!$E$10:$E$1509,$B47,Журнал!$R$10:$R$1509,$Q$18)+SUMIFS(Постоянные!$AC$8:$AC$367,Постоянные!$Z$8:$Z$367,"Расход",Постоянные!$AA$8:$AA$367,$B47,Постоянные!$AD$8:$AD$367,$Q$18)+SUMIFS(Покупки!$S$7:$S$18,Покупки!$D$7:$D$18,$B47,Покупки!$Q$7:$Q$18,$Q$18)+SUMIFS(Операции!$Q$10:$Q$1009,Операции!$D$10:$D$1009,"Расход",Операции!$E$10:$E$1009,$B47,Операции!$P$10:$P$1009,$Q$18))</f>
        <v/>
      </c>
      <c r="O47" s="187">
        <f>SUM(C47:N47)</f>
        <v/>
      </c>
      <c r="Z47">
        <f>IF($B47="",-1,N($O47)-ROW()/1000000)</f>
        <v/>
      </c>
    </row>
    <row r="48" ht="18" customHeight="1">
      <c r="B48" s="141">
        <f>IF(Настройки!$J$27="","",Настройки!$J$27)</f>
        <v/>
      </c>
      <c r="C48" s="186">
        <f>IF($B48="",0,SUMIFS(Журнал!$P$10:$P$1509,Журнал!$D$10:$D$1509,"&lt;&gt;Доход",Журнал!$E$10:$E$1509,$B48,Журнал!$R$10:$R$1509,$Q$7)+SUMIFS(Постоянные!$AC$8:$AC$367,Постоянные!$Z$8:$Z$367,"Расход",Постоянные!$AA$8:$AA$367,$B48,Постоянные!$AD$8:$AD$367,$Q$7)+SUMIFS(Покупки!$S$7:$S$18,Покупки!$D$7:$D$18,$B48,Покупки!$Q$7:$Q$18,$Q$7)+SUMIFS(Операции!$Q$10:$Q$1009,Операции!$D$10:$D$1009,"Расход",Операции!$E$10:$E$1009,$B48,Операции!$P$10:$P$1009,$Q$7))</f>
        <v/>
      </c>
      <c r="D48" s="186">
        <f>IF($B48="",0,SUMIFS(Журнал!$P$10:$P$1509,Журнал!$D$10:$D$1509,"&lt;&gt;Доход",Журнал!$E$10:$E$1509,$B48,Журнал!$R$10:$R$1509,$Q$8)+SUMIFS(Постоянные!$AC$8:$AC$367,Постоянные!$Z$8:$Z$367,"Расход",Постоянные!$AA$8:$AA$367,$B48,Постоянные!$AD$8:$AD$367,$Q$8)+SUMIFS(Покупки!$S$7:$S$18,Покупки!$D$7:$D$18,$B48,Покупки!$Q$7:$Q$18,$Q$8)+SUMIFS(Операции!$Q$10:$Q$1009,Операции!$D$10:$D$1009,"Расход",Операции!$E$10:$E$1009,$B48,Операции!$P$10:$P$1009,$Q$8))</f>
        <v/>
      </c>
      <c r="E48" s="186">
        <f>IF($B48="",0,SUMIFS(Журнал!$P$10:$P$1509,Журнал!$D$10:$D$1509,"&lt;&gt;Доход",Журнал!$E$10:$E$1509,$B48,Журнал!$R$10:$R$1509,$Q$9)+SUMIFS(Постоянные!$AC$8:$AC$367,Постоянные!$Z$8:$Z$367,"Расход",Постоянные!$AA$8:$AA$367,$B48,Постоянные!$AD$8:$AD$367,$Q$9)+SUMIFS(Покупки!$S$7:$S$18,Покупки!$D$7:$D$18,$B48,Покупки!$Q$7:$Q$18,$Q$9)+SUMIFS(Операции!$Q$10:$Q$1009,Операции!$D$10:$D$1009,"Расход",Операции!$E$10:$E$1009,$B48,Операции!$P$10:$P$1009,$Q$9))</f>
        <v/>
      </c>
      <c r="F48" s="186">
        <f>IF($B48="",0,SUMIFS(Журнал!$P$10:$P$1509,Журнал!$D$10:$D$1509,"&lt;&gt;Доход",Журнал!$E$10:$E$1509,$B48,Журнал!$R$10:$R$1509,$Q$10)+SUMIFS(Постоянные!$AC$8:$AC$367,Постоянные!$Z$8:$Z$367,"Расход",Постоянные!$AA$8:$AA$367,$B48,Постоянные!$AD$8:$AD$367,$Q$10)+SUMIFS(Покупки!$S$7:$S$18,Покупки!$D$7:$D$18,$B48,Покупки!$Q$7:$Q$18,$Q$10)+SUMIFS(Операции!$Q$10:$Q$1009,Операции!$D$10:$D$1009,"Расход",Операции!$E$10:$E$1009,$B48,Операции!$P$10:$P$1009,$Q$10))</f>
        <v/>
      </c>
      <c r="G48" s="186">
        <f>IF($B48="",0,SUMIFS(Журнал!$P$10:$P$1509,Журнал!$D$10:$D$1509,"&lt;&gt;Доход",Журнал!$E$10:$E$1509,$B48,Журнал!$R$10:$R$1509,$Q$11)+SUMIFS(Постоянные!$AC$8:$AC$367,Постоянные!$Z$8:$Z$367,"Расход",Постоянные!$AA$8:$AA$367,$B48,Постоянные!$AD$8:$AD$367,$Q$11)+SUMIFS(Покупки!$S$7:$S$18,Покупки!$D$7:$D$18,$B48,Покупки!$Q$7:$Q$18,$Q$11)+SUMIFS(Операции!$Q$10:$Q$1009,Операции!$D$10:$D$1009,"Расход",Операции!$E$10:$E$1009,$B48,Операции!$P$10:$P$1009,$Q$11))</f>
        <v/>
      </c>
      <c r="H48" s="186">
        <f>IF($B48="",0,SUMIFS(Журнал!$P$10:$P$1509,Журнал!$D$10:$D$1509,"&lt;&gt;Доход",Журнал!$E$10:$E$1509,$B48,Журнал!$R$10:$R$1509,$Q$12)+SUMIFS(Постоянные!$AC$8:$AC$367,Постоянные!$Z$8:$Z$367,"Расход",Постоянные!$AA$8:$AA$367,$B48,Постоянные!$AD$8:$AD$367,$Q$12)+SUMIFS(Покупки!$S$7:$S$18,Покупки!$D$7:$D$18,$B48,Покупки!$Q$7:$Q$18,$Q$12)+SUMIFS(Операции!$Q$10:$Q$1009,Операции!$D$10:$D$1009,"Расход",Операции!$E$10:$E$1009,$B48,Операции!$P$10:$P$1009,$Q$12))</f>
        <v/>
      </c>
      <c r="I48" s="186">
        <f>IF($B48="",0,SUMIFS(Журнал!$P$10:$P$1509,Журнал!$D$10:$D$1509,"&lt;&gt;Доход",Журнал!$E$10:$E$1509,$B48,Журнал!$R$10:$R$1509,$Q$13)+SUMIFS(Постоянные!$AC$8:$AC$367,Постоянные!$Z$8:$Z$367,"Расход",Постоянные!$AA$8:$AA$367,$B48,Постоянные!$AD$8:$AD$367,$Q$13)+SUMIFS(Покупки!$S$7:$S$18,Покупки!$D$7:$D$18,$B48,Покупки!$Q$7:$Q$18,$Q$13)+SUMIFS(Операции!$Q$10:$Q$1009,Операции!$D$10:$D$1009,"Расход",Операции!$E$10:$E$1009,$B48,Операции!$P$10:$P$1009,$Q$13))</f>
        <v/>
      </c>
      <c r="J48" s="186">
        <f>IF($B48="",0,SUMIFS(Журнал!$P$10:$P$1509,Журнал!$D$10:$D$1509,"&lt;&gt;Доход",Журнал!$E$10:$E$1509,$B48,Журнал!$R$10:$R$1509,$Q$14)+SUMIFS(Постоянные!$AC$8:$AC$367,Постоянные!$Z$8:$Z$367,"Расход",Постоянные!$AA$8:$AA$367,$B48,Постоянные!$AD$8:$AD$367,$Q$14)+SUMIFS(Покупки!$S$7:$S$18,Покупки!$D$7:$D$18,$B48,Покупки!$Q$7:$Q$18,$Q$14)+SUMIFS(Операции!$Q$10:$Q$1009,Операции!$D$10:$D$1009,"Расход",Операции!$E$10:$E$1009,$B48,Операции!$P$10:$P$1009,$Q$14))</f>
        <v/>
      </c>
      <c r="K48" s="186">
        <f>IF($B48="",0,SUMIFS(Журнал!$P$10:$P$1509,Журнал!$D$10:$D$1509,"&lt;&gt;Доход",Журнал!$E$10:$E$1509,$B48,Журнал!$R$10:$R$1509,$Q$15)+SUMIFS(Постоянные!$AC$8:$AC$367,Постоянные!$Z$8:$Z$367,"Расход",Постоянные!$AA$8:$AA$367,$B48,Постоянные!$AD$8:$AD$367,$Q$15)+SUMIFS(Покупки!$S$7:$S$18,Покупки!$D$7:$D$18,$B48,Покупки!$Q$7:$Q$18,$Q$15)+SUMIFS(Операции!$Q$10:$Q$1009,Операции!$D$10:$D$1009,"Расход",Операции!$E$10:$E$1009,$B48,Операции!$P$10:$P$1009,$Q$15))</f>
        <v/>
      </c>
      <c r="L48" s="186">
        <f>IF($B48="",0,SUMIFS(Журнал!$P$10:$P$1509,Журнал!$D$10:$D$1509,"&lt;&gt;Доход",Журнал!$E$10:$E$1509,$B48,Журнал!$R$10:$R$1509,$Q$16)+SUMIFS(Постоянные!$AC$8:$AC$367,Постоянные!$Z$8:$Z$367,"Расход",Постоянные!$AA$8:$AA$367,$B48,Постоянные!$AD$8:$AD$367,$Q$16)+SUMIFS(Покупки!$S$7:$S$18,Покупки!$D$7:$D$18,$B48,Покупки!$Q$7:$Q$18,$Q$16)+SUMIFS(Операции!$Q$10:$Q$1009,Операции!$D$10:$D$1009,"Расход",Операции!$E$10:$E$1009,$B48,Операции!$P$10:$P$1009,$Q$16))</f>
        <v/>
      </c>
      <c r="M48" s="186">
        <f>IF($B48="",0,SUMIFS(Журнал!$P$10:$P$1509,Журнал!$D$10:$D$1509,"&lt;&gt;Доход",Журнал!$E$10:$E$1509,$B48,Журнал!$R$10:$R$1509,$Q$17)+SUMIFS(Постоянные!$AC$8:$AC$367,Постоянные!$Z$8:$Z$367,"Расход",Постоянные!$AA$8:$AA$367,$B48,Постоянные!$AD$8:$AD$367,$Q$17)+SUMIFS(Покупки!$S$7:$S$18,Покупки!$D$7:$D$18,$B48,Покупки!$Q$7:$Q$18,$Q$17)+SUMIFS(Операции!$Q$10:$Q$1009,Операции!$D$10:$D$1009,"Расход",Операции!$E$10:$E$1009,$B48,Операции!$P$10:$P$1009,$Q$17))</f>
        <v/>
      </c>
      <c r="N48" s="186">
        <f>IF($B48="",0,SUMIFS(Журнал!$P$10:$P$1509,Журнал!$D$10:$D$1509,"&lt;&gt;Доход",Журнал!$E$10:$E$1509,$B48,Журнал!$R$10:$R$1509,$Q$18)+SUMIFS(Постоянные!$AC$8:$AC$367,Постоянные!$Z$8:$Z$367,"Расход",Постоянные!$AA$8:$AA$367,$B48,Постоянные!$AD$8:$AD$367,$Q$18)+SUMIFS(Покупки!$S$7:$S$18,Покупки!$D$7:$D$18,$B48,Покупки!$Q$7:$Q$18,$Q$18)+SUMIFS(Операции!$Q$10:$Q$1009,Операции!$D$10:$D$1009,"Расход",Операции!$E$10:$E$1009,$B48,Операции!$P$10:$P$1009,$Q$18))</f>
        <v/>
      </c>
      <c r="O48" s="187">
        <f>SUM(C48:N48)</f>
        <v/>
      </c>
      <c r="Z48">
        <f>IF($B48="",-1,N($O48)-ROW()/1000000)</f>
        <v/>
      </c>
    </row>
    <row r="49" ht="18" customHeight="1">
      <c r="B49" s="141">
        <f>IF(Настройки!$J$28="","",Настройки!$J$28)</f>
        <v/>
      </c>
      <c r="C49" s="186">
        <f>IF($B49="",0,SUMIFS(Журнал!$P$10:$P$1509,Журнал!$D$10:$D$1509,"&lt;&gt;Доход",Журнал!$E$10:$E$1509,$B49,Журнал!$R$10:$R$1509,$Q$7)+SUMIFS(Постоянные!$AC$8:$AC$367,Постоянные!$Z$8:$Z$367,"Расход",Постоянные!$AA$8:$AA$367,$B49,Постоянные!$AD$8:$AD$367,$Q$7)+SUMIFS(Покупки!$S$7:$S$18,Покупки!$D$7:$D$18,$B49,Покупки!$Q$7:$Q$18,$Q$7)+SUMIFS(Операции!$Q$10:$Q$1009,Операции!$D$10:$D$1009,"Расход",Операции!$E$10:$E$1009,$B49,Операции!$P$10:$P$1009,$Q$7))</f>
        <v/>
      </c>
      <c r="D49" s="186">
        <f>IF($B49="",0,SUMIFS(Журнал!$P$10:$P$1509,Журнал!$D$10:$D$1509,"&lt;&gt;Доход",Журнал!$E$10:$E$1509,$B49,Журнал!$R$10:$R$1509,$Q$8)+SUMIFS(Постоянные!$AC$8:$AC$367,Постоянные!$Z$8:$Z$367,"Расход",Постоянные!$AA$8:$AA$367,$B49,Постоянные!$AD$8:$AD$367,$Q$8)+SUMIFS(Покупки!$S$7:$S$18,Покупки!$D$7:$D$18,$B49,Покупки!$Q$7:$Q$18,$Q$8)+SUMIFS(Операции!$Q$10:$Q$1009,Операции!$D$10:$D$1009,"Расход",Операции!$E$10:$E$1009,$B49,Операции!$P$10:$P$1009,$Q$8))</f>
        <v/>
      </c>
      <c r="E49" s="186">
        <f>IF($B49="",0,SUMIFS(Журнал!$P$10:$P$1509,Журнал!$D$10:$D$1509,"&lt;&gt;Доход",Журнал!$E$10:$E$1509,$B49,Журнал!$R$10:$R$1509,$Q$9)+SUMIFS(Постоянные!$AC$8:$AC$367,Постоянные!$Z$8:$Z$367,"Расход",Постоянные!$AA$8:$AA$367,$B49,Постоянные!$AD$8:$AD$367,$Q$9)+SUMIFS(Покупки!$S$7:$S$18,Покупки!$D$7:$D$18,$B49,Покупки!$Q$7:$Q$18,$Q$9)+SUMIFS(Операции!$Q$10:$Q$1009,Операции!$D$10:$D$1009,"Расход",Операции!$E$10:$E$1009,$B49,Операции!$P$10:$P$1009,$Q$9))</f>
        <v/>
      </c>
      <c r="F49" s="186">
        <f>IF($B49="",0,SUMIFS(Журнал!$P$10:$P$1509,Журнал!$D$10:$D$1509,"&lt;&gt;Доход",Журнал!$E$10:$E$1509,$B49,Журнал!$R$10:$R$1509,$Q$10)+SUMIFS(Постоянные!$AC$8:$AC$367,Постоянные!$Z$8:$Z$367,"Расход",Постоянные!$AA$8:$AA$367,$B49,Постоянные!$AD$8:$AD$367,$Q$10)+SUMIFS(Покупки!$S$7:$S$18,Покупки!$D$7:$D$18,$B49,Покупки!$Q$7:$Q$18,$Q$10)+SUMIFS(Операции!$Q$10:$Q$1009,Операции!$D$10:$D$1009,"Расход",Операции!$E$10:$E$1009,$B49,Операции!$P$10:$P$1009,$Q$10))</f>
        <v/>
      </c>
      <c r="G49" s="186">
        <f>IF($B49="",0,SUMIFS(Журнал!$P$10:$P$1509,Журнал!$D$10:$D$1509,"&lt;&gt;Доход",Журнал!$E$10:$E$1509,$B49,Журнал!$R$10:$R$1509,$Q$11)+SUMIFS(Постоянные!$AC$8:$AC$367,Постоянные!$Z$8:$Z$367,"Расход",Постоянные!$AA$8:$AA$367,$B49,Постоянные!$AD$8:$AD$367,$Q$11)+SUMIFS(Покупки!$S$7:$S$18,Покупки!$D$7:$D$18,$B49,Покупки!$Q$7:$Q$18,$Q$11)+SUMIFS(Операции!$Q$10:$Q$1009,Операции!$D$10:$D$1009,"Расход",Операции!$E$10:$E$1009,$B49,Операции!$P$10:$P$1009,$Q$11))</f>
        <v/>
      </c>
      <c r="H49" s="186">
        <f>IF($B49="",0,SUMIFS(Журнал!$P$10:$P$1509,Журнал!$D$10:$D$1509,"&lt;&gt;Доход",Журнал!$E$10:$E$1509,$B49,Журнал!$R$10:$R$1509,$Q$12)+SUMIFS(Постоянные!$AC$8:$AC$367,Постоянные!$Z$8:$Z$367,"Расход",Постоянные!$AA$8:$AA$367,$B49,Постоянные!$AD$8:$AD$367,$Q$12)+SUMIFS(Покупки!$S$7:$S$18,Покупки!$D$7:$D$18,$B49,Покупки!$Q$7:$Q$18,$Q$12)+SUMIFS(Операции!$Q$10:$Q$1009,Операции!$D$10:$D$1009,"Расход",Операции!$E$10:$E$1009,$B49,Операции!$P$10:$P$1009,$Q$12))</f>
        <v/>
      </c>
      <c r="I49" s="186">
        <f>IF($B49="",0,SUMIFS(Журнал!$P$10:$P$1509,Журнал!$D$10:$D$1509,"&lt;&gt;Доход",Журнал!$E$10:$E$1509,$B49,Журнал!$R$10:$R$1509,$Q$13)+SUMIFS(Постоянные!$AC$8:$AC$367,Постоянные!$Z$8:$Z$367,"Расход",Постоянные!$AA$8:$AA$367,$B49,Постоянные!$AD$8:$AD$367,$Q$13)+SUMIFS(Покупки!$S$7:$S$18,Покупки!$D$7:$D$18,$B49,Покупки!$Q$7:$Q$18,$Q$13)+SUMIFS(Операции!$Q$10:$Q$1009,Операции!$D$10:$D$1009,"Расход",Операции!$E$10:$E$1009,$B49,Операции!$P$10:$P$1009,$Q$13))</f>
        <v/>
      </c>
      <c r="J49" s="186">
        <f>IF($B49="",0,SUMIFS(Журнал!$P$10:$P$1509,Журнал!$D$10:$D$1509,"&lt;&gt;Доход",Журнал!$E$10:$E$1509,$B49,Журнал!$R$10:$R$1509,$Q$14)+SUMIFS(Постоянные!$AC$8:$AC$367,Постоянные!$Z$8:$Z$367,"Расход",Постоянные!$AA$8:$AA$367,$B49,Постоянные!$AD$8:$AD$367,$Q$14)+SUMIFS(Покупки!$S$7:$S$18,Покупки!$D$7:$D$18,$B49,Покупки!$Q$7:$Q$18,$Q$14)+SUMIFS(Операции!$Q$10:$Q$1009,Операции!$D$10:$D$1009,"Расход",Операции!$E$10:$E$1009,$B49,Операции!$P$10:$P$1009,$Q$14))</f>
        <v/>
      </c>
      <c r="K49" s="186">
        <f>IF($B49="",0,SUMIFS(Журнал!$P$10:$P$1509,Журнал!$D$10:$D$1509,"&lt;&gt;Доход",Журнал!$E$10:$E$1509,$B49,Журнал!$R$10:$R$1509,$Q$15)+SUMIFS(Постоянные!$AC$8:$AC$367,Постоянные!$Z$8:$Z$367,"Расход",Постоянные!$AA$8:$AA$367,$B49,Постоянные!$AD$8:$AD$367,$Q$15)+SUMIFS(Покупки!$S$7:$S$18,Покупки!$D$7:$D$18,$B49,Покупки!$Q$7:$Q$18,$Q$15)+SUMIFS(Операции!$Q$10:$Q$1009,Операции!$D$10:$D$1009,"Расход",Операции!$E$10:$E$1009,$B49,Операции!$P$10:$P$1009,$Q$15))</f>
        <v/>
      </c>
      <c r="L49" s="186">
        <f>IF($B49="",0,SUMIFS(Журнал!$P$10:$P$1509,Журнал!$D$10:$D$1509,"&lt;&gt;Доход",Журнал!$E$10:$E$1509,$B49,Журнал!$R$10:$R$1509,$Q$16)+SUMIFS(Постоянные!$AC$8:$AC$367,Постоянные!$Z$8:$Z$367,"Расход",Постоянные!$AA$8:$AA$367,$B49,Постоянные!$AD$8:$AD$367,$Q$16)+SUMIFS(Покупки!$S$7:$S$18,Покупки!$D$7:$D$18,$B49,Покупки!$Q$7:$Q$18,$Q$16)+SUMIFS(Операции!$Q$10:$Q$1009,Операции!$D$10:$D$1009,"Расход",Операции!$E$10:$E$1009,$B49,Операции!$P$10:$P$1009,$Q$16))</f>
        <v/>
      </c>
      <c r="M49" s="186">
        <f>IF($B49="",0,SUMIFS(Журнал!$P$10:$P$1509,Журнал!$D$10:$D$1509,"&lt;&gt;Доход",Журнал!$E$10:$E$1509,$B49,Журнал!$R$10:$R$1509,$Q$17)+SUMIFS(Постоянные!$AC$8:$AC$367,Постоянные!$Z$8:$Z$367,"Расход",Постоянные!$AA$8:$AA$367,$B49,Постоянные!$AD$8:$AD$367,$Q$17)+SUMIFS(Покупки!$S$7:$S$18,Покупки!$D$7:$D$18,$B49,Покупки!$Q$7:$Q$18,$Q$17)+SUMIFS(Операции!$Q$10:$Q$1009,Операции!$D$10:$D$1009,"Расход",Операции!$E$10:$E$1009,$B49,Операции!$P$10:$P$1009,$Q$17))</f>
        <v/>
      </c>
      <c r="N49" s="186">
        <f>IF($B49="",0,SUMIFS(Журнал!$P$10:$P$1509,Журнал!$D$10:$D$1509,"&lt;&gt;Доход",Журнал!$E$10:$E$1509,$B49,Журнал!$R$10:$R$1509,$Q$18)+SUMIFS(Постоянные!$AC$8:$AC$367,Постоянные!$Z$8:$Z$367,"Расход",Постоянные!$AA$8:$AA$367,$B49,Постоянные!$AD$8:$AD$367,$Q$18)+SUMIFS(Покупки!$S$7:$S$18,Покупки!$D$7:$D$18,$B49,Покупки!$Q$7:$Q$18,$Q$18)+SUMIFS(Операции!$Q$10:$Q$1009,Операции!$D$10:$D$1009,"Расход",Операции!$E$10:$E$1009,$B49,Операции!$P$10:$P$1009,$Q$18))</f>
        <v/>
      </c>
      <c r="O49" s="187">
        <f>SUM(C49:N49)</f>
        <v/>
      </c>
      <c r="Z49">
        <f>IF($B49="",-1,N($O49)-ROW()/1000000)</f>
        <v/>
      </c>
    </row>
    <row r="50" ht="18" customHeight="1">
      <c r="B50" s="141">
        <f>IF(Настройки!$J$29="","",Настройки!$J$29)</f>
        <v/>
      </c>
      <c r="C50" s="186">
        <f>IF($B50="",0,SUMIFS(Журнал!$P$10:$P$1509,Журнал!$D$10:$D$1509,"&lt;&gt;Доход",Журнал!$E$10:$E$1509,$B50,Журнал!$R$10:$R$1509,$Q$7)+SUMIFS(Постоянные!$AC$8:$AC$367,Постоянные!$Z$8:$Z$367,"Расход",Постоянные!$AA$8:$AA$367,$B50,Постоянные!$AD$8:$AD$367,$Q$7)+SUMIFS(Покупки!$S$7:$S$18,Покупки!$D$7:$D$18,$B50,Покупки!$Q$7:$Q$18,$Q$7)+SUMIFS(Операции!$Q$10:$Q$1009,Операции!$D$10:$D$1009,"Расход",Операции!$E$10:$E$1009,$B50,Операции!$P$10:$P$1009,$Q$7))</f>
        <v/>
      </c>
      <c r="D50" s="186">
        <f>IF($B50="",0,SUMIFS(Журнал!$P$10:$P$1509,Журнал!$D$10:$D$1509,"&lt;&gt;Доход",Журнал!$E$10:$E$1509,$B50,Журнал!$R$10:$R$1509,$Q$8)+SUMIFS(Постоянные!$AC$8:$AC$367,Постоянные!$Z$8:$Z$367,"Расход",Постоянные!$AA$8:$AA$367,$B50,Постоянные!$AD$8:$AD$367,$Q$8)+SUMIFS(Покупки!$S$7:$S$18,Покупки!$D$7:$D$18,$B50,Покупки!$Q$7:$Q$18,$Q$8)+SUMIFS(Операции!$Q$10:$Q$1009,Операции!$D$10:$D$1009,"Расход",Операции!$E$10:$E$1009,$B50,Операции!$P$10:$P$1009,$Q$8))</f>
        <v/>
      </c>
      <c r="E50" s="186">
        <f>IF($B50="",0,SUMIFS(Журнал!$P$10:$P$1509,Журнал!$D$10:$D$1509,"&lt;&gt;Доход",Журнал!$E$10:$E$1509,$B50,Журнал!$R$10:$R$1509,$Q$9)+SUMIFS(Постоянные!$AC$8:$AC$367,Постоянные!$Z$8:$Z$367,"Расход",Постоянные!$AA$8:$AA$367,$B50,Постоянные!$AD$8:$AD$367,$Q$9)+SUMIFS(Покупки!$S$7:$S$18,Покупки!$D$7:$D$18,$B50,Покупки!$Q$7:$Q$18,$Q$9)+SUMIFS(Операции!$Q$10:$Q$1009,Операции!$D$10:$D$1009,"Расход",Операции!$E$10:$E$1009,$B50,Операции!$P$10:$P$1009,$Q$9))</f>
        <v/>
      </c>
      <c r="F50" s="186">
        <f>IF($B50="",0,SUMIFS(Журнал!$P$10:$P$1509,Журнал!$D$10:$D$1509,"&lt;&gt;Доход",Журнал!$E$10:$E$1509,$B50,Журнал!$R$10:$R$1509,$Q$10)+SUMIFS(Постоянные!$AC$8:$AC$367,Постоянные!$Z$8:$Z$367,"Расход",Постоянные!$AA$8:$AA$367,$B50,Постоянные!$AD$8:$AD$367,$Q$10)+SUMIFS(Покупки!$S$7:$S$18,Покупки!$D$7:$D$18,$B50,Покупки!$Q$7:$Q$18,$Q$10)+SUMIFS(Операции!$Q$10:$Q$1009,Операции!$D$10:$D$1009,"Расход",Операции!$E$10:$E$1009,$B50,Операции!$P$10:$P$1009,$Q$10))</f>
        <v/>
      </c>
      <c r="G50" s="186">
        <f>IF($B50="",0,SUMIFS(Журнал!$P$10:$P$1509,Журнал!$D$10:$D$1509,"&lt;&gt;Доход",Журнал!$E$10:$E$1509,$B50,Журнал!$R$10:$R$1509,$Q$11)+SUMIFS(Постоянные!$AC$8:$AC$367,Постоянные!$Z$8:$Z$367,"Расход",Постоянные!$AA$8:$AA$367,$B50,Постоянные!$AD$8:$AD$367,$Q$11)+SUMIFS(Покупки!$S$7:$S$18,Покупки!$D$7:$D$18,$B50,Покупки!$Q$7:$Q$18,$Q$11)+SUMIFS(Операции!$Q$10:$Q$1009,Операции!$D$10:$D$1009,"Расход",Операции!$E$10:$E$1009,$B50,Операции!$P$10:$P$1009,$Q$11))</f>
        <v/>
      </c>
      <c r="H50" s="186">
        <f>IF($B50="",0,SUMIFS(Журнал!$P$10:$P$1509,Журнал!$D$10:$D$1509,"&lt;&gt;Доход",Журнал!$E$10:$E$1509,$B50,Журнал!$R$10:$R$1509,$Q$12)+SUMIFS(Постоянные!$AC$8:$AC$367,Постоянные!$Z$8:$Z$367,"Расход",Постоянные!$AA$8:$AA$367,$B50,Постоянные!$AD$8:$AD$367,$Q$12)+SUMIFS(Покупки!$S$7:$S$18,Покупки!$D$7:$D$18,$B50,Покупки!$Q$7:$Q$18,$Q$12)+SUMIFS(Операции!$Q$10:$Q$1009,Операции!$D$10:$D$1009,"Расход",Операции!$E$10:$E$1009,$B50,Операции!$P$10:$P$1009,$Q$12))</f>
        <v/>
      </c>
      <c r="I50" s="186">
        <f>IF($B50="",0,SUMIFS(Журнал!$P$10:$P$1509,Журнал!$D$10:$D$1509,"&lt;&gt;Доход",Журнал!$E$10:$E$1509,$B50,Журнал!$R$10:$R$1509,$Q$13)+SUMIFS(Постоянные!$AC$8:$AC$367,Постоянные!$Z$8:$Z$367,"Расход",Постоянные!$AA$8:$AA$367,$B50,Постоянные!$AD$8:$AD$367,$Q$13)+SUMIFS(Покупки!$S$7:$S$18,Покупки!$D$7:$D$18,$B50,Покупки!$Q$7:$Q$18,$Q$13)+SUMIFS(Операции!$Q$10:$Q$1009,Операции!$D$10:$D$1009,"Расход",Операции!$E$10:$E$1009,$B50,Операции!$P$10:$P$1009,$Q$13))</f>
        <v/>
      </c>
      <c r="J50" s="186">
        <f>IF($B50="",0,SUMIFS(Журнал!$P$10:$P$1509,Журнал!$D$10:$D$1509,"&lt;&gt;Доход",Журнал!$E$10:$E$1509,$B50,Журнал!$R$10:$R$1509,$Q$14)+SUMIFS(Постоянные!$AC$8:$AC$367,Постоянные!$Z$8:$Z$367,"Расход",Постоянные!$AA$8:$AA$367,$B50,Постоянные!$AD$8:$AD$367,$Q$14)+SUMIFS(Покупки!$S$7:$S$18,Покупки!$D$7:$D$18,$B50,Покупки!$Q$7:$Q$18,$Q$14)+SUMIFS(Операции!$Q$10:$Q$1009,Операции!$D$10:$D$1009,"Расход",Операции!$E$10:$E$1009,$B50,Операции!$P$10:$P$1009,$Q$14))</f>
        <v/>
      </c>
      <c r="K50" s="186">
        <f>IF($B50="",0,SUMIFS(Журнал!$P$10:$P$1509,Журнал!$D$10:$D$1509,"&lt;&gt;Доход",Журнал!$E$10:$E$1509,$B50,Журнал!$R$10:$R$1509,$Q$15)+SUMIFS(Постоянные!$AC$8:$AC$367,Постоянные!$Z$8:$Z$367,"Расход",Постоянные!$AA$8:$AA$367,$B50,Постоянные!$AD$8:$AD$367,$Q$15)+SUMIFS(Покупки!$S$7:$S$18,Покупки!$D$7:$D$18,$B50,Покупки!$Q$7:$Q$18,$Q$15)+SUMIFS(Операции!$Q$10:$Q$1009,Операции!$D$10:$D$1009,"Расход",Операции!$E$10:$E$1009,$B50,Операции!$P$10:$P$1009,$Q$15))</f>
        <v/>
      </c>
      <c r="L50" s="186">
        <f>IF($B50="",0,SUMIFS(Журнал!$P$10:$P$1509,Журнал!$D$10:$D$1509,"&lt;&gt;Доход",Журнал!$E$10:$E$1509,$B50,Журнал!$R$10:$R$1509,$Q$16)+SUMIFS(Постоянные!$AC$8:$AC$367,Постоянные!$Z$8:$Z$367,"Расход",Постоянные!$AA$8:$AA$367,$B50,Постоянные!$AD$8:$AD$367,$Q$16)+SUMIFS(Покупки!$S$7:$S$18,Покупки!$D$7:$D$18,$B50,Покупки!$Q$7:$Q$18,$Q$16)+SUMIFS(Операции!$Q$10:$Q$1009,Операции!$D$10:$D$1009,"Расход",Операции!$E$10:$E$1009,$B50,Операции!$P$10:$P$1009,$Q$16))</f>
        <v/>
      </c>
      <c r="M50" s="186">
        <f>IF($B50="",0,SUMIFS(Журнал!$P$10:$P$1509,Журнал!$D$10:$D$1509,"&lt;&gt;Доход",Журнал!$E$10:$E$1509,$B50,Журнал!$R$10:$R$1509,$Q$17)+SUMIFS(Постоянные!$AC$8:$AC$367,Постоянные!$Z$8:$Z$367,"Расход",Постоянные!$AA$8:$AA$367,$B50,Постоянные!$AD$8:$AD$367,$Q$17)+SUMIFS(Покупки!$S$7:$S$18,Покупки!$D$7:$D$18,$B50,Покупки!$Q$7:$Q$18,$Q$17)+SUMIFS(Операции!$Q$10:$Q$1009,Операции!$D$10:$D$1009,"Расход",Операции!$E$10:$E$1009,$B50,Операции!$P$10:$P$1009,$Q$17))</f>
        <v/>
      </c>
      <c r="N50" s="186">
        <f>IF($B50="",0,SUMIFS(Журнал!$P$10:$P$1509,Журнал!$D$10:$D$1509,"&lt;&gt;Доход",Журнал!$E$10:$E$1509,$B50,Журнал!$R$10:$R$1509,$Q$18)+SUMIFS(Постоянные!$AC$8:$AC$367,Постоянные!$Z$8:$Z$367,"Расход",Постоянные!$AA$8:$AA$367,$B50,Постоянные!$AD$8:$AD$367,$Q$18)+SUMIFS(Покупки!$S$7:$S$18,Покупки!$D$7:$D$18,$B50,Покупки!$Q$7:$Q$18,$Q$18)+SUMIFS(Операции!$Q$10:$Q$1009,Операции!$D$10:$D$1009,"Расход",Операции!$E$10:$E$1009,$B50,Операции!$P$10:$P$1009,$Q$18))</f>
        <v/>
      </c>
      <c r="O50" s="187">
        <f>SUM(C50:N50)</f>
        <v/>
      </c>
      <c r="Z50">
        <f>IF($B50="",-1,N($O50)-ROW()/1000000)</f>
        <v/>
      </c>
    </row>
    <row r="51" ht="18" customHeight="1">
      <c r="B51" s="141">
        <f>IF(Настройки!$J$30="","",Настройки!$J$30)</f>
        <v/>
      </c>
      <c r="C51" s="186">
        <f>IF($B51="",0,SUMIFS(Журнал!$P$10:$P$1509,Журнал!$D$10:$D$1509,"&lt;&gt;Доход",Журнал!$E$10:$E$1509,$B51,Журнал!$R$10:$R$1509,$Q$7)+SUMIFS(Постоянные!$AC$8:$AC$367,Постоянные!$Z$8:$Z$367,"Расход",Постоянные!$AA$8:$AA$367,$B51,Постоянные!$AD$8:$AD$367,$Q$7)+SUMIFS(Покупки!$S$7:$S$18,Покупки!$D$7:$D$18,$B51,Покупки!$Q$7:$Q$18,$Q$7)+SUMIFS(Операции!$Q$10:$Q$1009,Операции!$D$10:$D$1009,"Расход",Операции!$E$10:$E$1009,$B51,Операции!$P$10:$P$1009,$Q$7))</f>
        <v/>
      </c>
      <c r="D51" s="186">
        <f>IF($B51="",0,SUMIFS(Журнал!$P$10:$P$1509,Журнал!$D$10:$D$1509,"&lt;&gt;Доход",Журнал!$E$10:$E$1509,$B51,Журнал!$R$10:$R$1509,$Q$8)+SUMIFS(Постоянные!$AC$8:$AC$367,Постоянные!$Z$8:$Z$367,"Расход",Постоянные!$AA$8:$AA$367,$B51,Постоянные!$AD$8:$AD$367,$Q$8)+SUMIFS(Покупки!$S$7:$S$18,Покупки!$D$7:$D$18,$B51,Покупки!$Q$7:$Q$18,$Q$8)+SUMIFS(Операции!$Q$10:$Q$1009,Операции!$D$10:$D$1009,"Расход",Операции!$E$10:$E$1009,$B51,Операции!$P$10:$P$1009,$Q$8))</f>
        <v/>
      </c>
      <c r="E51" s="186">
        <f>IF($B51="",0,SUMIFS(Журнал!$P$10:$P$1509,Журнал!$D$10:$D$1509,"&lt;&gt;Доход",Журнал!$E$10:$E$1509,$B51,Журнал!$R$10:$R$1509,$Q$9)+SUMIFS(Постоянные!$AC$8:$AC$367,Постоянные!$Z$8:$Z$367,"Расход",Постоянные!$AA$8:$AA$367,$B51,Постоянные!$AD$8:$AD$367,$Q$9)+SUMIFS(Покупки!$S$7:$S$18,Покупки!$D$7:$D$18,$B51,Покупки!$Q$7:$Q$18,$Q$9)+SUMIFS(Операции!$Q$10:$Q$1009,Операции!$D$10:$D$1009,"Расход",Операции!$E$10:$E$1009,$B51,Операции!$P$10:$P$1009,$Q$9))</f>
        <v/>
      </c>
      <c r="F51" s="186">
        <f>IF($B51="",0,SUMIFS(Журнал!$P$10:$P$1509,Журнал!$D$10:$D$1509,"&lt;&gt;Доход",Журнал!$E$10:$E$1509,$B51,Журнал!$R$10:$R$1509,$Q$10)+SUMIFS(Постоянные!$AC$8:$AC$367,Постоянные!$Z$8:$Z$367,"Расход",Постоянные!$AA$8:$AA$367,$B51,Постоянные!$AD$8:$AD$367,$Q$10)+SUMIFS(Покупки!$S$7:$S$18,Покупки!$D$7:$D$18,$B51,Покупки!$Q$7:$Q$18,$Q$10)+SUMIFS(Операции!$Q$10:$Q$1009,Операции!$D$10:$D$1009,"Расход",Операции!$E$10:$E$1009,$B51,Операции!$P$10:$P$1009,$Q$10))</f>
        <v/>
      </c>
      <c r="G51" s="186">
        <f>IF($B51="",0,SUMIFS(Журнал!$P$10:$P$1509,Журнал!$D$10:$D$1509,"&lt;&gt;Доход",Журнал!$E$10:$E$1509,$B51,Журнал!$R$10:$R$1509,$Q$11)+SUMIFS(Постоянные!$AC$8:$AC$367,Постоянные!$Z$8:$Z$367,"Расход",Постоянные!$AA$8:$AA$367,$B51,Постоянные!$AD$8:$AD$367,$Q$11)+SUMIFS(Покупки!$S$7:$S$18,Покупки!$D$7:$D$18,$B51,Покупки!$Q$7:$Q$18,$Q$11)+SUMIFS(Операции!$Q$10:$Q$1009,Операции!$D$10:$D$1009,"Расход",Операции!$E$10:$E$1009,$B51,Операции!$P$10:$P$1009,$Q$11))</f>
        <v/>
      </c>
      <c r="H51" s="186">
        <f>IF($B51="",0,SUMIFS(Журнал!$P$10:$P$1509,Журнал!$D$10:$D$1509,"&lt;&gt;Доход",Журнал!$E$10:$E$1509,$B51,Журнал!$R$10:$R$1509,$Q$12)+SUMIFS(Постоянные!$AC$8:$AC$367,Постоянные!$Z$8:$Z$367,"Расход",Постоянные!$AA$8:$AA$367,$B51,Постоянные!$AD$8:$AD$367,$Q$12)+SUMIFS(Покупки!$S$7:$S$18,Покупки!$D$7:$D$18,$B51,Покупки!$Q$7:$Q$18,$Q$12)+SUMIFS(Операции!$Q$10:$Q$1009,Операции!$D$10:$D$1009,"Расход",Операции!$E$10:$E$1009,$B51,Операции!$P$10:$P$1009,$Q$12))</f>
        <v/>
      </c>
      <c r="I51" s="186">
        <f>IF($B51="",0,SUMIFS(Журнал!$P$10:$P$1509,Журнал!$D$10:$D$1509,"&lt;&gt;Доход",Журнал!$E$10:$E$1509,$B51,Журнал!$R$10:$R$1509,$Q$13)+SUMIFS(Постоянные!$AC$8:$AC$367,Постоянные!$Z$8:$Z$367,"Расход",Постоянные!$AA$8:$AA$367,$B51,Постоянные!$AD$8:$AD$367,$Q$13)+SUMIFS(Покупки!$S$7:$S$18,Покупки!$D$7:$D$18,$B51,Покупки!$Q$7:$Q$18,$Q$13)+SUMIFS(Операции!$Q$10:$Q$1009,Операции!$D$10:$D$1009,"Расход",Операции!$E$10:$E$1009,$B51,Операции!$P$10:$P$1009,$Q$13))</f>
        <v/>
      </c>
      <c r="J51" s="186">
        <f>IF($B51="",0,SUMIFS(Журнал!$P$10:$P$1509,Журнал!$D$10:$D$1509,"&lt;&gt;Доход",Журнал!$E$10:$E$1509,$B51,Журнал!$R$10:$R$1509,$Q$14)+SUMIFS(Постоянные!$AC$8:$AC$367,Постоянные!$Z$8:$Z$367,"Расход",Постоянные!$AA$8:$AA$367,$B51,Постоянные!$AD$8:$AD$367,$Q$14)+SUMIFS(Покупки!$S$7:$S$18,Покупки!$D$7:$D$18,$B51,Покупки!$Q$7:$Q$18,$Q$14)+SUMIFS(Операции!$Q$10:$Q$1009,Операции!$D$10:$D$1009,"Расход",Операции!$E$10:$E$1009,$B51,Операции!$P$10:$P$1009,$Q$14))</f>
        <v/>
      </c>
      <c r="K51" s="186">
        <f>IF($B51="",0,SUMIFS(Журнал!$P$10:$P$1509,Журнал!$D$10:$D$1509,"&lt;&gt;Доход",Журнал!$E$10:$E$1509,$B51,Журнал!$R$10:$R$1509,$Q$15)+SUMIFS(Постоянные!$AC$8:$AC$367,Постоянные!$Z$8:$Z$367,"Расход",Постоянные!$AA$8:$AA$367,$B51,Постоянные!$AD$8:$AD$367,$Q$15)+SUMIFS(Покупки!$S$7:$S$18,Покупки!$D$7:$D$18,$B51,Покупки!$Q$7:$Q$18,$Q$15)+SUMIFS(Операции!$Q$10:$Q$1009,Операции!$D$10:$D$1009,"Расход",Операции!$E$10:$E$1009,$B51,Операции!$P$10:$P$1009,$Q$15))</f>
        <v/>
      </c>
      <c r="L51" s="186">
        <f>IF($B51="",0,SUMIFS(Журнал!$P$10:$P$1509,Журнал!$D$10:$D$1509,"&lt;&gt;Доход",Журнал!$E$10:$E$1509,$B51,Журнал!$R$10:$R$1509,$Q$16)+SUMIFS(Постоянные!$AC$8:$AC$367,Постоянные!$Z$8:$Z$367,"Расход",Постоянные!$AA$8:$AA$367,$B51,Постоянные!$AD$8:$AD$367,$Q$16)+SUMIFS(Покупки!$S$7:$S$18,Покупки!$D$7:$D$18,$B51,Покупки!$Q$7:$Q$18,$Q$16)+SUMIFS(Операции!$Q$10:$Q$1009,Операции!$D$10:$D$1009,"Расход",Операции!$E$10:$E$1009,$B51,Операции!$P$10:$P$1009,$Q$16))</f>
        <v/>
      </c>
      <c r="M51" s="186">
        <f>IF($B51="",0,SUMIFS(Журнал!$P$10:$P$1509,Журнал!$D$10:$D$1509,"&lt;&gt;Доход",Журнал!$E$10:$E$1509,$B51,Журнал!$R$10:$R$1509,$Q$17)+SUMIFS(Постоянные!$AC$8:$AC$367,Постоянные!$Z$8:$Z$367,"Расход",Постоянные!$AA$8:$AA$367,$B51,Постоянные!$AD$8:$AD$367,$Q$17)+SUMIFS(Покупки!$S$7:$S$18,Покупки!$D$7:$D$18,$B51,Покупки!$Q$7:$Q$18,$Q$17)+SUMIFS(Операции!$Q$10:$Q$1009,Операции!$D$10:$D$1009,"Расход",Операции!$E$10:$E$1009,$B51,Операции!$P$10:$P$1009,$Q$17))</f>
        <v/>
      </c>
      <c r="N51" s="186">
        <f>IF($B51="",0,SUMIFS(Журнал!$P$10:$P$1509,Журнал!$D$10:$D$1509,"&lt;&gt;Доход",Журнал!$E$10:$E$1509,$B51,Журнал!$R$10:$R$1509,$Q$18)+SUMIFS(Постоянные!$AC$8:$AC$367,Постоянные!$Z$8:$Z$367,"Расход",Постоянные!$AA$8:$AA$367,$B51,Постоянные!$AD$8:$AD$367,$Q$18)+SUMIFS(Покупки!$S$7:$S$18,Покупки!$D$7:$D$18,$B51,Покупки!$Q$7:$Q$18,$Q$18)+SUMIFS(Операции!$Q$10:$Q$1009,Операции!$D$10:$D$1009,"Расход",Операции!$E$10:$E$1009,$B51,Операции!$P$10:$P$1009,$Q$18))</f>
        <v/>
      </c>
      <c r="O51" s="187">
        <f>SUM(C51:N51)</f>
        <v/>
      </c>
      <c r="Z51">
        <f>IF($B51="",-1,N($O51)-ROW()/1000000)</f>
        <v/>
      </c>
    </row>
    <row r="52" ht="18" customHeight="1">
      <c r="B52" s="141">
        <f>IF(Настройки!$J$31="","",Настройки!$J$31)</f>
        <v/>
      </c>
      <c r="C52" s="186">
        <f>IF($B52="",0,SUMIFS(Журнал!$P$10:$P$1509,Журнал!$D$10:$D$1509,"&lt;&gt;Доход",Журнал!$E$10:$E$1509,$B52,Журнал!$R$10:$R$1509,$Q$7)+SUMIFS(Постоянные!$AC$8:$AC$367,Постоянные!$Z$8:$Z$367,"Расход",Постоянные!$AA$8:$AA$367,$B52,Постоянные!$AD$8:$AD$367,$Q$7)+SUMIFS(Покупки!$S$7:$S$18,Покупки!$D$7:$D$18,$B52,Покупки!$Q$7:$Q$18,$Q$7)+SUMIFS(Операции!$Q$10:$Q$1009,Операции!$D$10:$D$1009,"Расход",Операции!$E$10:$E$1009,$B52,Операции!$P$10:$P$1009,$Q$7))</f>
        <v/>
      </c>
      <c r="D52" s="186">
        <f>IF($B52="",0,SUMIFS(Журнал!$P$10:$P$1509,Журнал!$D$10:$D$1509,"&lt;&gt;Доход",Журнал!$E$10:$E$1509,$B52,Журнал!$R$10:$R$1509,$Q$8)+SUMIFS(Постоянные!$AC$8:$AC$367,Постоянные!$Z$8:$Z$367,"Расход",Постоянные!$AA$8:$AA$367,$B52,Постоянные!$AD$8:$AD$367,$Q$8)+SUMIFS(Покупки!$S$7:$S$18,Покупки!$D$7:$D$18,$B52,Покупки!$Q$7:$Q$18,$Q$8)+SUMIFS(Операции!$Q$10:$Q$1009,Операции!$D$10:$D$1009,"Расход",Операции!$E$10:$E$1009,$B52,Операции!$P$10:$P$1009,$Q$8))</f>
        <v/>
      </c>
      <c r="E52" s="186">
        <f>IF($B52="",0,SUMIFS(Журнал!$P$10:$P$1509,Журнал!$D$10:$D$1509,"&lt;&gt;Доход",Журнал!$E$10:$E$1509,$B52,Журнал!$R$10:$R$1509,$Q$9)+SUMIFS(Постоянные!$AC$8:$AC$367,Постоянные!$Z$8:$Z$367,"Расход",Постоянные!$AA$8:$AA$367,$B52,Постоянные!$AD$8:$AD$367,$Q$9)+SUMIFS(Покупки!$S$7:$S$18,Покупки!$D$7:$D$18,$B52,Покупки!$Q$7:$Q$18,$Q$9)+SUMIFS(Операции!$Q$10:$Q$1009,Операции!$D$10:$D$1009,"Расход",Операции!$E$10:$E$1009,$B52,Операции!$P$10:$P$1009,$Q$9))</f>
        <v/>
      </c>
      <c r="F52" s="186">
        <f>IF($B52="",0,SUMIFS(Журнал!$P$10:$P$1509,Журнал!$D$10:$D$1509,"&lt;&gt;Доход",Журнал!$E$10:$E$1509,$B52,Журнал!$R$10:$R$1509,$Q$10)+SUMIFS(Постоянные!$AC$8:$AC$367,Постоянные!$Z$8:$Z$367,"Расход",Постоянные!$AA$8:$AA$367,$B52,Постоянные!$AD$8:$AD$367,$Q$10)+SUMIFS(Покупки!$S$7:$S$18,Покупки!$D$7:$D$18,$B52,Покупки!$Q$7:$Q$18,$Q$10)+SUMIFS(Операции!$Q$10:$Q$1009,Операции!$D$10:$D$1009,"Расход",Операции!$E$10:$E$1009,$B52,Операции!$P$10:$P$1009,$Q$10))</f>
        <v/>
      </c>
      <c r="G52" s="186">
        <f>IF($B52="",0,SUMIFS(Журнал!$P$10:$P$1509,Журнал!$D$10:$D$1509,"&lt;&gt;Доход",Журнал!$E$10:$E$1509,$B52,Журнал!$R$10:$R$1509,$Q$11)+SUMIFS(Постоянные!$AC$8:$AC$367,Постоянные!$Z$8:$Z$367,"Расход",Постоянные!$AA$8:$AA$367,$B52,Постоянные!$AD$8:$AD$367,$Q$11)+SUMIFS(Покупки!$S$7:$S$18,Покупки!$D$7:$D$18,$B52,Покупки!$Q$7:$Q$18,$Q$11)+SUMIFS(Операции!$Q$10:$Q$1009,Операции!$D$10:$D$1009,"Расход",Операции!$E$10:$E$1009,$B52,Операции!$P$10:$P$1009,$Q$11))</f>
        <v/>
      </c>
      <c r="H52" s="186">
        <f>IF($B52="",0,SUMIFS(Журнал!$P$10:$P$1509,Журнал!$D$10:$D$1509,"&lt;&gt;Доход",Журнал!$E$10:$E$1509,$B52,Журнал!$R$10:$R$1509,$Q$12)+SUMIFS(Постоянные!$AC$8:$AC$367,Постоянные!$Z$8:$Z$367,"Расход",Постоянные!$AA$8:$AA$367,$B52,Постоянные!$AD$8:$AD$367,$Q$12)+SUMIFS(Покупки!$S$7:$S$18,Покупки!$D$7:$D$18,$B52,Покупки!$Q$7:$Q$18,$Q$12)+SUMIFS(Операции!$Q$10:$Q$1009,Операции!$D$10:$D$1009,"Расход",Операции!$E$10:$E$1009,$B52,Операции!$P$10:$P$1009,$Q$12))</f>
        <v/>
      </c>
      <c r="I52" s="186">
        <f>IF($B52="",0,SUMIFS(Журнал!$P$10:$P$1509,Журнал!$D$10:$D$1509,"&lt;&gt;Доход",Журнал!$E$10:$E$1509,$B52,Журнал!$R$10:$R$1509,$Q$13)+SUMIFS(Постоянные!$AC$8:$AC$367,Постоянные!$Z$8:$Z$367,"Расход",Постоянные!$AA$8:$AA$367,$B52,Постоянные!$AD$8:$AD$367,$Q$13)+SUMIFS(Покупки!$S$7:$S$18,Покупки!$D$7:$D$18,$B52,Покупки!$Q$7:$Q$18,$Q$13)+SUMIFS(Операции!$Q$10:$Q$1009,Операции!$D$10:$D$1009,"Расход",Операции!$E$10:$E$1009,$B52,Операции!$P$10:$P$1009,$Q$13))</f>
        <v/>
      </c>
      <c r="J52" s="186">
        <f>IF($B52="",0,SUMIFS(Журнал!$P$10:$P$1509,Журнал!$D$10:$D$1509,"&lt;&gt;Доход",Журнал!$E$10:$E$1509,$B52,Журнал!$R$10:$R$1509,$Q$14)+SUMIFS(Постоянные!$AC$8:$AC$367,Постоянные!$Z$8:$Z$367,"Расход",Постоянные!$AA$8:$AA$367,$B52,Постоянные!$AD$8:$AD$367,$Q$14)+SUMIFS(Покупки!$S$7:$S$18,Покупки!$D$7:$D$18,$B52,Покупки!$Q$7:$Q$18,$Q$14)+SUMIFS(Операции!$Q$10:$Q$1009,Операции!$D$10:$D$1009,"Расход",Операции!$E$10:$E$1009,$B52,Операции!$P$10:$P$1009,$Q$14))</f>
        <v/>
      </c>
      <c r="K52" s="186">
        <f>IF($B52="",0,SUMIFS(Журнал!$P$10:$P$1509,Журнал!$D$10:$D$1509,"&lt;&gt;Доход",Журнал!$E$10:$E$1509,$B52,Журнал!$R$10:$R$1509,$Q$15)+SUMIFS(Постоянные!$AC$8:$AC$367,Постоянные!$Z$8:$Z$367,"Расход",Постоянные!$AA$8:$AA$367,$B52,Постоянные!$AD$8:$AD$367,$Q$15)+SUMIFS(Покупки!$S$7:$S$18,Покупки!$D$7:$D$18,$B52,Покупки!$Q$7:$Q$18,$Q$15)+SUMIFS(Операции!$Q$10:$Q$1009,Операции!$D$10:$D$1009,"Расход",Операции!$E$10:$E$1009,$B52,Операции!$P$10:$P$1009,$Q$15))</f>
        <v/>
      </c>
      <c r="L52" s="186">
        <f>IF($B52="",0,SUMIFS(Журнал!$P$10:$P$1509,Журнал!$D$10:$D$1509,"&lt;&gt;Доход",Журнал!$E$10:$E$1509,$B52,Журнал!$R$10:$R$1509,$Q$16)+SUMIFS(Постоянные!$AC$8:$AC$367,Постоянные!$Z$8:$Z$367,"Расход",Постоянные!$AA$8:$AA$367,$B52,Постоянные!$AD$8:$AD$367,$Q$16)+SUMIFS(Покупки!$S$7:$S$18,Покупки!$D$7:$D$18,$B52,Покупки!$Q$7:$Q$18,$Q$16)+SUMIFS(Операции!$Q$10:$Q$1009,Операции!$D$10:$D$1009,"Расход",Операции!$E$10:$E$1009,$B52,Операции!$P$10:$P$1009,$Q$16))</f>
        <v/>
      </c>
      <c r="M52" s="186">
        <f>IF($B52="",0,SUMIFS(Журнал!$P$10:$P$1509,Журнал!$D$10:$D$1509,"&lt;&gt;Доход",Журнал!$E$10:$E$1509,$B52,Журнал!$R$10:$R$1509,$Q$17)+SUMIFS(Постоянные!$AC$8:$AC$367,Постоянные!$Z$8:$Z$367,"Расход",Постоянные!$AA$8:$AA$367,$B52,Постоянные!$AD$8:$AD$367,$Q$17)+SUMIFS(Покупки!$S$7:$S$18,Покупки!$D$7:$D$18,$B52,Покупки!$Q$7:$Q$18,$Q$17)+SUMIFS(Операции!$Q$10:$Q$1009,Операции!$D$10:$D$1009,"Расход",Операции!$E$10:$E$1009,$B52,Операции!$P$10:$P$1009,$Q$17))</f>
        <v/>
      </c>
      <c r="N52" s="186">
        <f>IF($B52="",0,SUMIFS(Журнал!$P$10:$P$1509,Журнал!$D$10:$D$1509,"&lt;&gt;Доход",Журнал!$E$10:$E$1509,$B52,Журнал!$R$10:$R$1509,$Q$18)+SUMIFS(Постоянные!$AC$8:$AC$367,Постоянные!$Z$8:$Z$367,"Расход",Постоянные!$AA$8:$AA$367,$B52,Постоянные!$AD$8:$AD$367,$Q$18)+SUMIFS(Покупки!$S$7:$S$18,Покупки!$D$7:$D$18,$B52,Покупки!$Q$7:$Q$18,$Q$18)+SUMIFS(Операции!$Q$10:$Q$1009,Операции!$D$10:$D$1009,"Расход",Операции!$E$10:$E$1009,$B52,Операции!$P$10:$P$1009,$Q$18))</f>
        <v/>
      </c>
      <c r="O52" s="187">
        <f>SUM(C52:N52)</f>
        <v/>
      </c>
      <c r="Z52">
        <f>IF($B52="",-1,N($O52)-ROW()/1000000)</f>
        <v/>
      </c>
    </row>
    <row r="53" ht="18" customHeight="1">
      <c r="B53" s="141">
        <f>IF(Настройки!$J$32="","",Настройки!$J$32)</f>
        <v/>
      </c>
      <c r="C53" s="186">
        <f>IF($B53="",0,SUMIFS(Журнал!$P$10:$P$1509,Журнал!$D$10:$D$1509,"&lt;&gt;Доход",Журнал!$E$10:$E$1509,$B53,Журнал!$R$10:$R$1509,$Q$7)+SUMIFS(Постоянные!$AC$8:$AC$367,Постоянные!$Z$8:$Z$367,"Расход",Постоянные!$AA$8:$AA$367,$B53,Постоянные!$AD$8:$AD$367,$Q$7)+SUMIFS(Покупки!$S$7:$S$18,Покупки!$D$7:$D$18,$B53,Покупки!$Q$7:$Q$18,$Q$7)+SUMIFS(Операции!$Q$10:$Q$1009,Операции!$D$10:$D$1009,"Расход",Операции!$E$10:$E$1009,$B53,Операции!$P$10:$P$1009,$Q$7))</f>
        <v/>
      </c>
      <c r="D53" s="186">
        <f>IF($B53="",0,SUMIFS(Журнал!$P$10:$P$1509,Журнал!$D$10:$D$1509,"&lt;&gt;Доход",Журнал!$E$10:$E$1509,$B53,Журнал!$R$10:$R$1509,$Q$8)+SUMIFS(Постоянные!$AC$8:$AC$367,Постоянные!$Z$8:$Z$367,"Расход",Постоянные!$AA$8:$AA$367,$B53,Постоянные!$AD$8:$AD$367,$Q$8)+SUMIFS(Покупки!$S$7:$S$18,Покупки!$D$7:$D$18,$B53,Покупки!$Q$7:$Q$18,$Q$8)+SUMIFS(Операции!$Q$10:$Q$1009,Операции!$D$10:$D$1009,"Расход",Операции!$E$10:$E$1009,$B53,Операции!$P$10:$P$1009,$Q$8))</f>
        <v/>
      </c>
      <c r="E53" s="186">
        <f>IF($B53="",0,SUMIFS(Журнал!$P$10:$P$1509,Журнал!$D$10:$D$1509,"&lt;&gt;Доход",Журнал!$E$10:$E$1509,$B53,Журнал!$R$10:$R$1509,$Q$9)+SUMIFS(Постоянные!$AC$8:$AC$367,Постоянные!$Z$8:$Z$367,"Расход",Постоянные!$AA$8:$AA$367,$B53,Постоянные!$AD$8:$AD$367,$Q$9)+SUMIFS(Покупки!$S$7:$S$18,Покупки!$D$7:$D$18,$B53,Покупки!$Q$7:$Q$18,$Q$9)+SUMIFS(Операции!$Q$10:$Q$1009,Операции!$D$10:$D$1009,"Расход",Операции!$E$10:$E$1009,$B53,Операции!$P$10:$P$1009,$Q$9))</f>
        <v/>
      </c>
      <c r="F53" s="186">
        <f>IF($B53="",0,SUMIFS(Журнал!$P$10:$P$1509,Журнал!$D$10:$D$1509,"&lt;&gt;Доход",Журнал!$E$10:$E$1509,$B53,Журнал!$R$10:$R$1509,$Q$10)+SUMIFS(Постоянные!$AC$8:$AC$367,Постоянные!$Z$8:$Z$367,"Расход",Постоянные!$AA$8:$AA$367,$B53,Постоянные!$AD$8:$AD$367,$Q$10)+SUMIFS(Покупки!$S$7:$S$18,Покупки!$D$7:$D$18,$B53,Покупки!$Q$7:$Q$18,$Q$10)+SUMIFS(Операции!$Q$10:$Q$1009,Операции!$D$10:$D$1009,"Расход",Операции!$E$10:$E$1009,$B53,Операции!$P$10:$P$1009,$Q$10))</f>
        <v/>
      </c>
      <c r="G53" s="186">
        <f>IF($B53="",0,SUMIFS(Журнал!$P$10:$P$1509,Журнал!$D$10:$D$1509,"&lt;&gt;Доход",Журнал!$E$10:$E$1509,$B53,Журнал!$R$10:$R$1509,$Q$11)+SUMIFS(Постоянные!$AC$8:$AC$367,Постоянные!$Z$8:$Z$367,"Расход",Постоянные!$AA$8:$AA$367,$B53,Постоянные!$AD$8:$AD$367,$Q$11)+SUMIFS(Покупки!$S$7:$S$18,Покупки!$D$7:$D$18,$B53,Покупки!$Q$7:$Q$18,$Q$11)+SUMIFS(Операции!$Q$10:$Q$1009,Операции!$D$10:$D$1009,"Расход",Операции!$E$10:$E$1009,$B53,Операции!$P$10:$P$1009,$Q$11))</f>
        <v/>
      </c>
      <c r="H53" s="186">
        <f>IF($B53="",0,SUMIFS(Журнал!$P$10:$P$1509,Журнал!$D$10:$D$1509,"&lt;&gt;Доход",Журнал!$E$10:$E$1509,$B53,Журнал!$R$10:$R$1509,$Q$12)+SUMIFS(Постоянные!$AC$8:$AC$367,Постоянные!$Z$8:$Z$367,"Расход",Постоянные!$AA$8:$AA$367,$B53,Постоянные!$AD$8:$AD$367,$Q$12)+SUMIFS(Покупки!$S$7:$S$18,Покупки!$D$7:$D$18,$B53,Покупки!$Q$7:$Q$18,$Q$12)+SUMIFS(Операции!$Q$10:$Q$1009,Операции!$D$10:$D$1009,"Расход",Операции!$E$10:$E$1009,$B53,Операции!$P$10:$P$1009,$Q$12))</f>
        <v/>
      </c>
      <c r="I53" s="186">
        <f>IF($B53="",0,SUMIFS(Журнал!$P$10:$P$1509,Журнал!$D$10:$D$1509,"&lt;&gt;Доход",Журнал!$E$10:$E$1509,$B53,Журнал!$R$10:$R$1509,$Q$13)+SUMIFS(Постоянные!$AC$8:$AC$367,Постоянные!$Z$8:$Z$367,"Расход",Постоянные!$AA$8:$AA$367,$B53,Постоянные!$AD$8:$AD$367,$Q$13)+SUMIFS(Покупки!$S$7:$S$18,Покупки!$D$7:$D$18,$B53,Покупки!$Q$7:$Q$18,$Q$13)+SUMIFS(Операции!$Q$10:$Q$1009,Операции!$D$10:$D$1009,"Расход",Операции!$E$10:$E$1009,$B53,Операции!$P$10:$P$1009,$Q$13))</f>
        <v/>
      </c>
      <c r="J53" s="186">
        <f>IF($B53="",0,SUMIFS(Журнал!$P$10:$P$1509,Журнал!$D$10:$D$1509,"&lt;&gt;Доход",Журнал!$E$10:$E$1509,$B53,Журнал!$R$10:$R$1509,$Q$14)+SUMIFS(Постоянные!$AC$8:$AC$367,Постоянные!$Z$8:$Z$367,"Расход",Постоянные!$AA$8:$AA$367,$B53,Постоянные!$AD$8:$AD$367,$Q$14)+SUMIFS(Покупки!$S$7:$S$18,Покупки!$D$7:$D$18,$B53,Покупки!$Q$7:$Q$18,$Q$14)+SUMIFS(Операции!$Q$10:$Q$1009,Операции!$D$10:$D$1009,"Расход",Операции!$E$10:$E$1009,$B53,Операции!$P$10:$P$1009,$Q$14))</f>
        <v/>
      </c>
      <c r="K53" s="186">
        <f>IF($B53="",0,SUMIFS(Журнал!$P$10:$P$1509,Журнал!$D$10:$D$1509,"&lt;&gt;Доход",Журнал!$E$10:$E$1509,$B53,Журнал!$R$10:$R$1509,$Q$15)+SUMIFS(Постоянные!$AC$8:$AC$367,Постоянные!$Z$8:$Z$367,"Расход",Постоянные!$AA$8:$AA$367,$B53,Постоянные!$AD$8:$AD$367,$Q$15)+SUMIFS(Покупки!$S$7:$S$18,Покупки!$D$7:$D$18,$B53,Покупки!$Q$7:$Q$18,$Q$15)+SUMIFS(Операции!$Q$10:$Q$1009,Операции!$D$10:$D$1009,"Расход",Операции!$E$10:$E$1009,$B53,Операции!$P$10:$P$1009,$Q$15))</f>
        <v/>
      </c>
      <c r="L53" s="186">
        <f>IF($B53="",0,SUMIFS(Журнал!$P$10:$P$1509,Журнал!$D$10:$D$1509,"&lt;&gt;Доход",Журнал!$E$10:$E$1509,$B53,Журнал!$R$10:$R$1509,$Q$16)+SUMIFS(Постоянные!$AC$8:$AC$367,Постоянные!$Z$8:$Z$367,"Расход",Постоянные!$AA$8:$AA$367,$B53,Постоянные!$AD$8:$AD$367,$Q$16)+SUMIFS(Покупки!$S$7:$S$18,Покупки!$D$7:$D$18,$B53,Покупки!$Q$7:$Q$18,$Q$16)+SUMIFS(Операции!$Q$10:$Q$1009,Операции!$D$10:$D$1009,"Расход",Операции!$E$10:$E$1009,$B53,Операции!$P$10:$P$1009,$Q$16))</f>
        <v/>
      </c>
      <c r="M53" s="186">
        <f>IF($B53="",0,SUMIFS(Журнал!$P$10:$P$1509,Журнал!$D$10:$D$1509,"&lt;&gt;Доход",Журнал!$E$10:$E$1509,$B53,Журнал!$R$10:$R$1509,$Q$17)+SUMIFS(Постоянные!$AC$8:$AC$367,Постоянные!$Z$8:$Z$367,"Расход",Постоянные!$AA$8:$AA$367,$B53,Постоянные!$AD$8:$AD$367,$Q$17)+SUMIFS(Покупки!$S$7:$S$18,Покупки!$D$7:$D$18,$B53,Покупки!$Q$7:$Q$18,$Q$17)+SUMIFS(Операции!$Q$10:$Q$1009,Операции!$D$10:$D$1009,"Расход",Операции!$E$10:$E$1009,$B53,Операции!$P$10:$P$1009,$Q$17))</f>
        <v/>
      </c>
      <c r="N53" s="186">
        <f>IF($B53="",0,SUMIFS(Журнал!$P$10:$P$1509,Журнал!$D$10:$D$1509,"&lt;&gt;Доход",Журнал!$E$10:$E$1509,$B53,Журнал!$R$10:$R$1509,$Q$18)+SUMIFS(Постоянные!$AC$8:$AC$367,Постоянные!$Z$8:$Z$367,"Расход",Постоянные!$AA$8:$AA$367,$B53,Постоянные!$AD$8:$AD$367,$Q$18)+SUMIFS(Покупки!$S$7:$S$18,Покупки!$D$7:$D$18,$B53,Покупки!$Q$7:$Q$18,$Q$18)+SUMIFS(Операции!$Q$10:$Q$1009,Операции!$D$10:$D$1009,"Расход",Операции!$E$10:$E$1009,$B53,Операции!$P$10:$P$1009,$Q$18))</f>
        <v/>
      </c>
      <c r="O53" s="187">
        <f>SUM(C53:N53)</f>
        <v/>
      </c>
      <c r="Z53">
        <f>IF($B53="",-1,N($O53)-ROW()/1000000)</f>
        <v/>
      </c>
    </row>
    <row r="54" ht="18" customHeight="1">
      <c r="B54" s="141">
        <f>IF(Настройки!$J$33="","",Настройки!$J$33)</f>
        <v/>
      </c>
      <c r="C54" s="186">
        <f>IF($B54="",0,SUMIFS(Журнал!$P$10:$P$1509,Журнал!$D$10:$D$1509,"&lt;&gt;Доход",Журнал!$E$10:$E$1509,$B54,Журнал!$R$10:$R$1509,$Q$7)+SUMIFS(Постоянные!$AC$8:$AC$367,Постоянные!$Z$8:$Z$367,"Расход",Постоянные!$AA$8:$AA$367,$B54,Постоянные!$AD$8:$AD$367,$Q$7)+SUMIFS(Покупки!$S$7:$S$18,Покупки!$D$7:$D$18,$B54,Покупки!$Q$7:$Q$18,$Q$7)+SUMIFS(Операции!$Q$10:$Q$1009,Операции!$D$10:$D$1009,"Расход",Операции!$E$10:$E$1009,$B54,Операции!$P$10:$P$1009,$Q$7))</f>
        <v/>
      </c>
      <c r="D54" s="186">
        <f>IF($B54="",0,SUMIFS(Журнал!$P$10:$P$1509,Журнал!$D$10:$D$1509,"&lt;&gt;Доход",Журнал!$E$10:$E$1509,$B54,Журнал!$R$10:$R$1509,$Q$8)+SUMIFS(Постоянные!$AC$8:$AC$367,Постоянные!$Z$8:$Z$367,"Расход",Постоянные!$AA$8:$AA$367,$B54,Постоянные!$AD$8:$AD$367,$Q$8)+SUMIFS(Покупки!$S$7:$S$18,Покупки!$D$7:$D$18,$B54,Покупки!$Q$7:$Q$18,$Q$8)+SUMIFS(Операции!$Q$10:$Q$1009,Операции!$D$10:$D$1009,"Расход",Операции!$E$10:$E$1009,$B54,Операции!$P$10:$P$1009,$Q$8))</f>
        <v/>
      </c>
      <c r="E54" s="186">
        <f>IF($B54="",0,SUMIFS(Журнал!$P$10:$P$1509,Журнал!$D$10:$D$1509,"&lt;&gt;Доход",Журнал!$E$10:$E$1509,$B54,Журнал!$R$10:$R$1509,$Q$9)+SUMIFS(Постоянные!$AC$8:$AC$367,Постоянные!$Z$8:$Z$367,"Расход",Постоянные!$AA$8:$AA$367,$B54,Постоянные!$AD$8:$AD$367,$Q$9)+SUMIFS(Покупки!$S$7:$S$18,Покупки!$D$7:$D$18,$B54,Покупки!$Q$7:$Q$18,$Q$9)+SUMIFS(Операции!$Q$10:$Q$1009,Операции!$D$10:$D$1009,"Расход",Операции!$E$10:$E$1009,$B54,Операции!$P$10:$P$1009,$Q$9))</f>
        <v/>
      </c>
      <c r="F54" s="186">
        <f>IF($B54="",0,SUMIFS(Журнал!$P$10:$P$1509,Журнал!$D$10:$D$1509,"&lt;&gt;Доход",Журнал!$E$10:$E$1509,$B54,Журнал!$R$10:$R$1509,$Q$10)+SUMIFS(Постоянные!$AC$8:$AC$367,Постоянные!$Z$8:$Z$367,"Расход",Постоянные!$AA$8:$AA$367,$B54,Постоянные!$AD$8:$AD$367,$Q$10)+SUMIFS(Покупки!$S$7:$S$18,Покупки!$D$7:$D$18,$B54,Покупки!$Q$7:$Q$18,$Q$10)+SUMIFS(Операции!$Q$10:$Q$1009,Операции!$D$10:$D$1009,"Расход",Операции!$E$10:$E$1009,$B54,Операции!$P$10:$P$1009,$Q$10))</f>
        <v/>
      </c>
      <c r="G54" s="186">
        <f>IF($B54="",0,SUMIFS(Журнал!$P$10:$P$1509,Журнал!$D$10:$D$1509,"&lt;&gt;Доход",Журнал!$E$10:$E$1509,$B54,Журнал!$R$10:$R$1509,$Q$11)+SUMIFS(Постоянные!$AC$8:$AC$367,Постоянные!$Z$8:$Z$367,"Расход",Постоянные!$AA$8:$AA$367,$B54,Постоянные!$AD$8:$AD$367,$Q$11)+SUMIFS(Покупки!$S$7:$S$18,Покупки!$D$7:$D$18,$B54,Покупки!$Q$7:$Q$18,$Q$11)+SUMIFS(Операции!$Q$10:$Q$1009,Операции!$D$10:$D$1009,"Расход",Операции!$E$10:$E$1009,$B54,Операции!$P$10:$P$1009,$Q$11))</f>
        <v/>
      </c>
      <c r="H54" s="186">
        <f>IF($B54="",0,SUMIFS(Журнал!$P$10:$P$1509,Журнал!$D$10:$D$1509,"&lt;&gt;Доход",Журнал!$E$10:$E$1509,$B54,Журнал!$R$10:$R$1509,$Q$12)+SUMIFS(Постоянные!$AC$8:$AC$367,Постоянные!$Z$8:$Z$367,"Расход",Постоянные!$AA$8:$AA$367,$B54,Постоянные!$AD$8:$AD$367,$Q$12)+SUMIFS(Покупки!$S$7:$S$18,Покупки!$D$7:$D$18,$B54,Покупки!$Q$7:$Q$18,$Q$12)+SUMIFS(Операции!$Q$10:$Q$1009,Операции!$D$10:$D$1009,"Расход",Операции!$E$10:$E$1009,$B54,Операции!$P$10:$P$1009,$Q$12))</f>
        <v/>
      </c>
      <c r="I54" s="186">
        <f>IF($B54="",0,SUMIFS(Журнал!$P$10:$P$1509,Журнал!$D$10:$D$1509,"&lt;&gt;Доход",Журнал!$E$10:$E$1509,$B54,Журнал!$R$10:$R$1509,$Q$13)+SUMIFS(Постоянные!$AC$8:$AC$367,Постоянные!$Z$8:$Z$367,"Расход",Постоянные!$AA$8:$AA$367,$B54,Постоянные!$AD$8:$AD$367,$Q$13)+SUMIFS(Покупки!$S$7:$S$18,Покупки!$D$7:$D$18,$B54,Покупки!$Q$7:$Q$18,$Q$13)+SUMIFS(Операции!$Q$10:$Q$1009,Операции!$D$10:$D$1009,"Расход",Операции!$E$10:$E$1009,$B54,Операции!$P$10:$P$1009,$Q$13))</f>
        <v/>
      </c>
      <c r="J54" s="186">
        <f>IF($B54="",0,SUMIFS(Журнал!$P$10:$P$1509,Журнал!$D$10:$D$1509,"&lt;&gt;Доход",Журнал!$E$10:$E$1509,$B54,Журнал!$R$10:$R$1509,$Q$14)+SUMIFS(Постоянные!$AC$8:$AC$367,Постоянные!$Z$8:$Z$367,"Расход",Постоянные!$AA$8:$AA$367,$B54,Постоянные!$AD$8:$AD$367,$Q$14)+SUMIFS(Покупки!$S$7:$S$18,Покупки!$D$7:$D$18,$B54,Покупки!$Q$7:$Q$18,$Q$14)+SUMIFS(Операции!$Q$10:$Q$1009,Операции!$D$10:$D$1009,"Расход",Операции!$E$10:$E$1009,$B54,Операции!$P$10:$P$1009,$Q$14))</f>
        <v/>
      </c>
      <c r="K54" s="186">
        <f>IF($B54="",0,SUMIFS(Журнал!$P$10:$P$1509,Журнал!$D$10:$D$1509,"&lt;&gt;Доход",Журнал!$E$10:$E$1509,$B54,Журнал!$R$10:$R$1509,$Q$15)+SUMIFS(Постоянные!$AC$8:$AC$367,Постоянные!$Z$8:$Z$367,"Расход",Постоянные!$AA$8:$AA$367,$B54,Постоянные!$AD$8:$AD$367,$Q$15)+SUMIFS(Покупки!$S$7:$S$18,Покупки!$D$7:$D$18,$B54,Покупки!$Q$7:$Q$18,$Q$15)+SUMIFS(Операции!$Q$10:$Q$1009,Операции!$D$10:$D$1009,"Расход",Операции!$E$10:$E$1009,$B54,Операции!$P$10:$P$1009,$Q$15))</f>
        <v/>
      </c>
      <c r="L54" s="186">
        <f>IF($B54="",0,SUMIFS(Журнал!$P$10:$P$1509,Журнал!$D$10:$D$1509,"&lt;&gt;Доход",Журнал!$E$10:$E$1509,$B54,Журнал!$R$10:$R$1509,$Q$16)+SUMIFS(Постоянные!$AC$8:$AC$367,Постоянные!$Z$8:$Z$367,"Расход",Постоянные!$AA$8:$AA$367,$B54,Постоянные!$AD$8:$AD$367,$Q$16)+SUMIFS(Покупки!$S$7:$S$18,Покупки!$D$7:$D$18,$B54,Покупки!$Q$7:$Q$18,$Q$16)+SUMIFS(Операции!$Q$10:$Q$1009,Операции!$D$10:$D$1009,"Расход",Операции!$E$10:$E$1009,$B54,Операции!$P$10:$P$1009,$Q$16))</f>
        <v/>
      </c>
      <c r="M54" s="186">
        <f>IF($B54="",0,SUMIFS(Журнал!$P$10:$P$1509,Журнал!$D$10:$D$1509,"&lt;&gt;Доход",Журнал!$E$10:$E$1509,$B54,Журнал!$R$10:$R$1509,$Q$17)+SUMIFS(Постоянные!$AC$8:$AC$367,Постоянные!$Z$8:$Z$367,"Расход",Постоянные!$AA$8:$AA$367,$B54,Постоянные!$AD$8:$AD$367,$Q$17)+SUMIFS(Покупки!$S$7:$S$18,Покупки!$D$7:$D$18,$B54,Покупки!$Q$7:$Q$18,$Q$17)+SUMIFS(Операции!$Q$10:$Q$1009,Операции!$D$10:$D$1009,"Расход",Операции!$E$10:$E$1009,$B54,Операции!$P$10:$P$1009,$Q$17))</f>
        <v/>
      </c>
      <c r="N54" s="186">
        <f>IF($B54="",0,SUMIFS(Журнал!$P$10:$P$1509,Журнал!$D$10:$D$1509,"&lt;&gt;Доход",Журнал!$E$10:$E$1509,$B54,Журнал!$R$10:$R$1509,$Q$18)+SUMIFS(Постоянные!$AC$8:$AC$367,Постоянные!$Z$8:$Z$367,"Расход",Постоянные!$AA$8:$AA$367,$B54,Постоянные!$AD$8:$AD$367,$Q$18)+SUMIFS(Покупки!$S$7:$S$18,Покупки!$D$7:$D$18,$B54,Покупки!$Q$7:$Q$18,$Q$18)+SUMIFS(Операции!$Q$10:$Q$1009,Операции!$D$10:$D$1009,"Расход",Операции!$E$10:$E$1009,$B54,Операции!$P$10:$P$1009,$Q$18))</f>
        <v/>
      </c>
      <c r="O54" s="187">
        <f>SUM(C54:N54)</f>
        <v/>
      </c>
      <c r="Z54">
        <f>IF($B54="",-1,N($O54)-ROW()/1000000)</f>
        <v/>
      </c>
    </row>
    <row r="55" ht="18" customHeight="1">
      <c r="B55" s="141">
        <f>IF(Настройки!$J$34="","",Настройки!$J$34)</f>
        <v/>
      </c>
      <c r="C55" s="186">
        <f>IF($B55="",0,SUMIFS(Журнал!$P$10:$P$1509,Журнал!$D$10:$D$1509,"&lt;&gt;Доход",Журнал!$E$10:$E$1509,$B55,Журнал!$R$10:$R$1509,$Q$7)+SUMIFS(Постоянные!$AC$8:$AC$367,Постоянные!$Z$8:$Z$367,"Расход",Постоянные!$AA$8:$AA$367,$B55,Постоянные!$AD$8:$AD$367,$Q$7)+SUMIFS(Покупки!$S$7:$S$18,Покупки!$D$7:$D$18,$B55,Покупки!$Q$7:$Q$18,$Q$7)+SUMIFS(Операции!$Q$10:$Q$1009,Операции!$D$10:$D$1009,"Расход",Операции!$E$10:$E$1009,$B55,Операции!$P$10:$P$1009,$Q$7))</f>
        <v/>
      </c>
      <c r="D55" s="186">
        <f>IF($B55="",0,SUMIFS(Журнал!$P$10:$P$1509,Журнал!$D$10:$D$1509,"&lt;&gt;Доход",Журнал!$E$10:$E$1509,$B55,Журнал!$R$10:$R$1509,$Q$8)+SUMIFS(Постоянные!$AC$8:$AC$367,Постоянные!$Z$8:$Z$367,"Расход",Постоянные!$AA$8:$AA$367,$B55,Постоянные!$AD$8:$AD$367,$Q$8)+SUMIFS(Покупки!$S$7:$S$18,Покупки!$D$7:$D$18,$B55,Покупки!$Q$7:$Q$18,$Q$8)+SUMIFS(Операции!$Q$10:$Q$1009,Операции!$D$10:$D$1009,"Расход",Операции!$E$10:$E$1009,$B55,Операции!$P$10:$P$1009,$Q$8))</f>
        <v/>
      </c>
      <c r="E55" s="186">
        <f>IF($B55="",0,SUMIFS(Журнал!$P$10:$P$1509,Журнал!$D$10:$D$1509,"&lt;&gt;Доход",Журнал!$E$10:$E$1509,$B55,Журнал!$R$10:$R$1509,$Q$9)+SUMIFS(Постоянные!$AC$8:$AC$367,Постоянные!$Z$8:$Z$367,"Расход",Постоянные!$AA$8:$AA$367,$B55,Постоянные!$AD$8:$AD$367,$Q$9)+SUMIFS(Покупки!$S$7:$S$18,Покупки!$D$7:$D$18,$B55,Покупки!$Q$7:$Q$18,$Q$9)+SUMIFS(Операции!$Q$10:$Q$1009,Операции!$D$10:$D$1009,"Расход",Операции!$E$10:$E$1009,$B55,Операции!$P$10:$P$1009,$Q$9))</f>
        <v/>
      </c>
      <c r="F55" s="186">
        <f>IF($B55="",0,SUMIFS(Журнал!$P$10:$P$1509,Журнал!$D$10:$D$1509,"&lt;&gt;Доход",Журнал!$E$10:$E$1509,$B55,Журнал!$R$10:$R$1509,$Q$10)+SUMIFS(Постоянные!$AC$8:$AC$367,Постоянные!$Z$8:$Z$367,"Расход",Постоянные!$AA$8:$AA$367,$B55,Постоянные!$AD$8:$AD$367,$Q$10)+SUMIFS(Покупки!$S$7:$S$18,Покупки!$D$7:$D$18,$B55,Покупки!$Q$7:$Q$18,$Q$10)+SUMIFS(Операции!$Q$10:$Q$1009,Операции!$D$10:$D$1009,"Расход",Операции!$E$10:$E$1009,$B55,Операции!$P$10:$P$1009,$Q$10))</f>
        <v/>
      </c>
      <c r="G55" s="186">
        <f>IF($B55="",0,SUMIFS(Журнал!$P$10:$P$1509,Журнал!$D$10:$D$1509,"&lt;&gt;Доход",Журнал!$E$10:$E$1509,$B55,Журнал!$R$10:$R$1509,$Q$11)+SUMIFS(Постоянные!$AC$8:$AC$367,Постоянные!$Z$8:$Z$367,"Расход",Постоянные!$AA$8:$AA$367,$B55,Постоянные!$AD$8:$AD$367,$Q$11)+SUMIFS(Покупки!$S$7:$S$18,Покупки!$D$7:$D$18,$B55,Покупки!$Q$7:$Q$18,$Q$11)+SUMIFS(Операции!$Q$10:$Q$1009,Операции!$D$10:$D$1009,"Расход",Операции!$E$10:$E$1009,$B55,Операции!$P$10:$P$1009,$Q$11))</f>
        <v/>
      </c>
      <c r="H55" s="186">
        <f>IF($B55="",0,SUMIFS(Журнал!$P$10:$P$1509,Журнал!$D$10:$D$1509,"&lt;&gt;Доход",Журнал!$E$10:$E$1509,$B55,Журнал!$R$10:$R$1509,$Q$12)+SUMIFS(Постоянные!$AC$8:$AC$367,Постоянные!$Z$8:$Z$367,"Расход",Постоянные!$AA$8:$AA$367,$B55,Постоянные!$AD$8:$AD$367,$Q$12)+SUMIFS(Покупки!$S$7:$S$18,Покупки!$D$7:$D$18,$B55,Покупки!$Q$7:$Q$18,$Q$12)+SUMIFS(Операции!$Q$10:$Q$1009,Операции!$D$10:$D$1009,"Расход",Операции!$E$10:$E$1009,$B55,Операции!$P$10:$P$1009,$Q$12))</f>
        <v/>
      </c>
      <c r="I55" s="186">
        <f>IF($B55="",0,SUMIFS(Журнал!$P$10:$P$1509,Журнал!$D$10:$D$1509,"&lt;&gt;Доход",Журнал!$E$10:$E$1509,$B55,Журнал!$R$10:$R$1509,$Q$13)+SUMIFS(Постоянные!$AC$8:$AC$367,Постоянные!$Z$8:$Z$367,"Расход",Постоянные!$AA$8:$AA$367,$B55,Постоянные!$AD$8:$AD$367,$Q$13)+SUMIFS(Покупки!$S$7:$S$18,Покупки!$D$7:$D$18,$B55,Покупки!$Q$7:$Q$18,$Q$13)+SUMIFS(Операции!$Q$10:$Q$1009,Операции!$D$10:$D$1009,"Расход",Операции!$E$10:$E$1009,$B55,Операции!$P$10:$P$1009,$Q$13))</f>
        <v/>
      </c>
      <c r="J55" s="186">
        <f>IF($B55="",0,SUMIFS(Журнал!$P$10:$P$1509,Журнал!$D$10:$D$1509,"&lt;&gt;Доход",Журнал!$E$10:$E$1509,$B55,Журнал!$R$10:$R$1509,$Q$14)+SUMIFS(Постоянные!$AC$8:$AC$367,Постоянные!$Z$8:$Z$367,"Расход",Постоянные!$AA$8:$AA$367,$B55,Постоянные!$AD$8:$AD$367,$Q$14)+SUMIFS(Покупки!$S$7:$S$18,Покупки!$D$7:$D$18,$B55,Покупки!$Q$7:$Q$18,$Q$14)+SUMIFS(Операции!$Q$10:$Q$1009,Операции!$D$10:$D$1009,"Расход",Операции!$E$10:$E$1009,$B55,Операции!$P$10:$P$1009,$Q$14))</f>
        <v/>
      </c>
      <c r="K55" s="186">
        <f>IF($B55="",0,SUMIFS(Журнал!$P$10:$P$1509,Журнал!$D$10:$D$1509,"&lt;&gt;Доход",Журнал!$E$10:$E$1509,$B55,Журнал!$R$10:$R$1509,$Q$15)+SUMIFS(Постоянные!$AC$8:$AC$367,Постоянные!$Z$8:$Z$367,"Расход",Постоянные!$AA$8:$AA$367,$B55,Постоянные!$AD$8:$AD$367,$Q$15)+SUMIFS(Покупки!$S$7:$S$18,Покупки!$D$7:$D$18,$B55,Покупки!$Q$7:$Q$18,$Q$15)+SUMIFS(Операции!$Q$10:$Q$1009,Операции!$D$10:$D$1009,"Расход",Операции!$E$10:$E$1009,$B55,Операции!$P$10:$P$1009,$Q$15))</f>
        <v/>
      </c>
      <c r="L55" s="186">
        <f>IF($B55="",0,SUMIFS(Журнал!$P$10:$P$1509,Журнал!$D$10:$D$1509,"&lt;&gt;Доход",Журнал!$E$10:$E$1509,$B55,Журнал!$R$10:$R$1509,$Q$16)+SUMIFS(Постоянные!$AC$8:$AC$367,Постоянные!$Z$8:$Z$367,"Расход",Постоянные!$AA$8:$AA$367,$B55,Постоянные!$AD$8:$AD$367,$Q$16)+SUMIFS(Покупки!$S$7:$S$18,Покупки!$D$7:$D$18,$B55,Покупки!$Q$7:$Q$18,$Q$16)+SUMIFS(Операции!$Q$10:$Q$1009,Операции!$D$10:$D$1009,"Расход",Операции!$E$10:$E$1009,$B55,Операции!$P$10:$P$1009,$Q$16))</f>
        <v/>
      </c>
      <c r="M55" s="186">
        <f>IF($B55="",0,SUMIFS(Журнал!$P$10:$P$1509,Журнал!$D$10:$D$1509,"&lt;&gt;Доход",Журнал!$E$10:$E$1509,$B55,Журнал!$R$10:$R$1509,$Q$17)+SUMIFS(Постоянные!$AC$8:$AC$367,Постоянные!$Z$8:$Z$367,"Расход",Постоянные!$AA$8:$AA$367,$B55,Постоянные!$AD$8:$AD$367,$Q$17)+SUMIFS(Покупки!$S$7:$S$18,Покупки!$D$7:$D$18,$B55,Покупки!$Q$7:$Q$18,$Q$17)+SUMIFS(Операции!$Q$10:$Q$1009,Операции!$D$10:$D$1009,"Расход",Операции!$E$10:$E$1009,$B55,Операции!$P$10:$P$1009,$Q$17))</f>
        <v/>
      </c>
      <c r="N55" s="186">
        <f>IF($B55="",0,SUMIFS(Журнал!$P$10:$P$1509,Журнал!$D$10:$D$1509,"&lt;&gt;Доход",Журнал!$E$10:$E$1509,$B55,Журнал!$R$10:$R$1509,$Q$18)+SUMIFS(Постоянные!$AC$8:$AC$367,Постоянные!$Z$8:$Z$367,"Расход",Постоянные!$AA$8:$AA$367,$B55,Постоянные!$AD$8:$AD$367,$Q$18)+SUMIFS(Покупки!$S$7:$S$18,Покупки!$D$7:$D$18,$B55,Покупки!$Q$7:$Q$18,$Q$18)+SUMIFS(Операции!$Q$10:$Q$1009,Операции!$D$10:$D$1009,"Расход",Операции!$E$10:$E$1009,$B55,Операции!$P$10:$P$1009,$Q$18))</f>
        <v/>
      </c>
      <c r="O55" s="187">
        <f>SUM(C55:N55)</f>
        <v/>
      </c>
      <c r="Z55">
        <f>IF($B55="",-1,N($O55)-ROW()/1000000)</f>
        <v/>
      </c>
    </row>
    <row r="56" ht="18" customHeight="1">
      <c r="B56" s="141">
        <f>IF(Настройки!$J$35="","",Настройки!$J$35)</f>
        <v/>
      </c>
      <c r="C56" s="186">
        <f>IF($B56="",0,SUMIFS(Журнал!$P$10:$P$1509,Журнал!$D$10:$D$1509,"&lt;&gt;Доход",Журнал!$E$10:$E$1509,$B56,Журнал!$R$10:$R$1509,$Q$7)+SUMIFS(Постоянные!$AC$8:$AC$367,Постоянные!$Z$8:$Z$367,"Расход",Постоянные!$AA$8:$AA$367,$B56,Постоянные!$AD$8:$AD$367,$Q$7)+SUMIFS(Покупки!$S$7:$S$18,Покупки!$D$7:$D$18,$B56,Покупки!$Q$7:$Q$18,$Q$7)+SUMIFS(Операции!$Q$10:$Q$1009,Операции!$D$10:$D$1009,"Расход",Операции!$E$10:$E$1009,$B56,Операции!$P$10:$P$1009,$Q$7))</f>
        <v/>
      </c>
      <c r="D56" s="186">
        <f>IF($B56="",0,SUMIFS(Журнал!$P$10:$P$1509,Журнал!$D$10:$D$1509,"&lt;&gt;Доход",Журнал!$E$10:$E$1509,$B56,Журнал!$R$10:$R$1509,$Q$8)+SUMIFS(Постоянные!$AC$8:$AC$367,Постоянные!$Z$8:$Z$367,"Расход",Постоянные!$AA$8:$AA$367,$B56,Постоянные!$AD$8:$AD$367,$Q$8)+SUMIFS(Покупки!$S$7:$S$18,Покупки!$D$7:$D$18,$B56,Покупки!$Q$7:$Q$18,$Q$8)+SUMIFS(Операции!$Q$10:$Q$1009,Операции!$D$10:$D$1009,"Расход",Операции!$E$10:$E$1009,$B56,Операции!$P$10:$P$1009,$Q$8))</f>
        <v/>
      </c>
      <c r="E56" s="186">
        <f>IF($B56="",0,SUMIFS(Журнал!$P$10:$P$1509,Журнал!$D$10:$D$1509,"&lt;&gt;Доход",Журнал!$E$10:$E$1509,$B56,Журнал!$R$10:$R$1509,$Q$9)+SUMIFS(Постоянные!$AC$8:$AC$367,Постоянные!$Z$8:$Z$367,"Расход",Постоянные!$AA$8:$AA$367,$B56,Постоянные!$AD$8:$AD$367,$Q$9)+SUMIFS(Покупки!$S$7:$S$18,Покупки!$D$7:$D$18,$B56,Покупки!$Q$7:$Q$18,$Q$9)+SUMIFS(Операции!$Q$10:$Q$1009,Операции!$D$10:$D$1009,"Расход",Операции!$E$10:$E$1009,$B56,Операции!$P$10:$P$1009,$Q$9))</f>
        <v/>
      </c>
      <c r="F56" s="186">
        <f>IF($B56="",0,SUMIFS(Журнал!$P$10:$P$1509,Журнал!$D$10:$D$1509,"&lt;&gt;Доход",Журнал!$E$10:$E$1509,$B56,Журнал!$R$10:$R$1509,$Q$10)+SUMIFS(Постоянные!$AC$8:$AC$367,Постоянные!$Z$8:$Z$367,"Расход",Постоянные!$AA$8:$AA$367,$B56,Постоянные!$AD$8:$AD$367,$Q$10)+SUMIFS(Покупки!$S$7:$S$18,Покупки!$D$7:$D$18,$B56,Покупки!$Q$7:$Q$18,$Q$10)+SUMIFS(Операции!$Q$10:$Q$1009,Операции!$D$10:$D$1009,"Расход",Операции!$E$10:$E$1009,$B56,Операции!$P$10:$P$1009,$Q$10))</f>
        <v/>
      </c>
      <c r="G56" s="186">
        <f>IF($B56="",0,SUMIFS(Журнал!$P$10:$P$1509,Журнал!$D$10:$D$1509,"&lt;&gt;Доход",Журнал!$E$10:$E$1509,$B56,Журнал!$R$10:$R$1509,$Q$11)+SUMIFS(Постоянные!$AC$8:$AC$367,Постоянные!$Z$8:$Z$367,"Расход",Постоянные!$AA$8:$AA$367,$B56,Постоянные!$AD$8:$AD$367,$Q$11)+SUMIFS(Покупки!$S$7:$S$18,Покупки!$D$7:$D$18,$B56,Покупки!$Q$7:$Q$18,$Q$11)+SUMIFS(Операции!$Q$10:$Q$1009,Операции!$D$10:$D$1009,"Расход",Операции!$E$10:$E$1009,$B56,Операции!$P$10:$P$1009,$Q$11))</f>
        <v/>
      </c>
      <c r="H56" s="186">
        <f>IF($B56="",0,SUMIFS(Журнал!$P$10:$P$1509,Журнал!$D$10:$D$1509,"&lt;&gt;Доход",Журнал!$E$10:$E$1509,$B56,Журнал!$R$10:$R$1509,$Q$12)+SUMIFS(Постоянные!$AC$8:$AC$367,Постоянные!$Z$8:$Z$367,"Расход",Постоянные!$AA$8:$AA$367,$B56,Постоянные!$AD$8:$AD$367,$Q$12)+SUMIFS(Покупки!$S$7:$S$18,Покупки!$D$7:$D$18,$B56,Покупки!$Q$7:$Q$18,$Q$12)+SUMIFS(Операции!$Q$10:$Q$1009,Операции!$D$10:$D$1009,"Расход",Операции!$E$10:$E$1009,$B56,Операции!$P$10:$P$1009,$Q$12))</f>
        <v/>
      </c>
      <c r="I56" s="186">
        <f>IF($B56="",0,SUMIFS(Журнал!$P$10:$P$1509,Журнал!$D$10:$D$1509,"&lt;&gt;Доход",Журнал!$E$10:$E$1509,$B56,Журнал!$R$10:$R$1509,$Q$13)+SUMIFS(Постоянные!$AC$8:$AC$367,Постоянные!$Z$8:$Z$367,"Расход",Постоянные!$AA$8:$AA$367,$B56,Постоянные!$AD$8:$AD$367,$Q$13)+SUMIFS(Покупки!$S$7:$S$18,Покупки!$D$7:$D$18,$B56,Покупки!$Q$7:$Q$18,$Q$13)+SUMIFS(Операции!$Q$10:$Q$1009,Операции!$D$10:$D$1009,"Расход",Операции!$E$10:$E$1009,$B56,Операции!$P$10:$P$1009,$Q$13))</f>
        <v/>
      </c>
      <c r="J56" s="186">
        <f>IF($B56="",0,SUMIFS(Журнал!$P$10:$P$1509,Журнал!$D$10:$D$1509,"&lt;&gt;Доход",Журнал!$E$10:$E$1509,$B56,Журнал!$R$10:$R$1509,$Q$14)+SUMIFS(Постоянные!$AC$8:$AC$367,Постоянные!$Z$8:$Z$367,"Расход",Постоянные!$AA$8:$AA$367,$B56,Постоянные!$AD$8:$AD$367,$Q$14)+SUMIFS(Покупки!$S$7:$S$18,Покупки!$D$7:$D$18,$B56,Покупки!$Q$7:$Q$18,$Q$14)+SUMIFS(Операции!$Q$10:$Q$1009,Операции!$D$10:$D$1009,"Расход",Операции!$E$10:$E$1009,$B56,Операции!$P$10:$P$1009,$Q$14))</f>
        <v/>
      </c>
      <c r="K56" s="186">
        <f>IF($B56="",0,SUMIFS(Журнал!$P$10:$P$1509,Журнал!$D$10:$D$1509,"&lt;&gt;Доход",Журнал!$E$10:$E$1509,$B56,Журнал!$R$10:$R$1509,$Q$15)+SUMIFS(Постоянные!$AC$8:$AC$367,Постоянные!$Z$8:$Z$367,"Расход",Постоянные!$AA$8:$AA$367,$B56,Постоянные!$AD$8:$AD$367,$Q$15)+SUMIFS(Покупки!$S$7:$S$18,Покупки!$D$7:$D$18,$B56,Покупки!$Q$7:$Q$18,$Q$15)+SUMIFS(Операции!$Q$10:$Q$1009,Операции!$D$10:$D$1009,"Расход",Операции!$E$10:$E$1009,$B56,Операции!$P$10:$P$1009,$Q$15))</f>
        <v/>
      </c>
      <c r="L56" s="186">
        <f>IF($B56="",0,SUMIFS(Журнал!$P$10:$P$1509,Журнал!$D$10:$D$1509,"&lt;&gt;Доход",Журнал!$E$10:$E$1509,$B56,Журнал!$R$10:$R$1509,$Q$16)+SUMIFS(Постоянные!$AC$8:$AC$367,Постоянные!$Z$8:$Z$367,"Расход",Постоянные!$AA$8:$AA$367,$B56,Постоянные!$AD$8:$AD$367,$Q$16)+SUMIFS(Покупки!$S$7:$S$18,Покупки!$D$7:$D$18,$B56,Покупки!$Q$7:$Q$18,$Q$16)+SUMIFS(Операции!$Q$10:$Q$1009,Операции!$D$10:$D$1009,"Расход",Операции!$E$10:$E$1009,$B56,Операции!$P$10:$P$1009,$Q$16))</f>
        <v/>
      </c>
      <c r="M56" s="186">
        <f>IF($B56="",0,SUMIFS(Журнал!$P$10:$P$1509,Журнал!$D$10:$D$1509,"&lt;&gt;Доход",Журнал!$E$10:$E$1509,$B56,Журнал!$R$10:$R$1509,$Q$17)+SUMIFS(Постоянные!$AC$8:$AC$367,Постоянные!$Z$8:$Z$367,"Расход",Постоянные!$AA$8:$AA$367,$B56,Постоянные!$AD$8:$AD$367,$Q$17)+SUMIFS(Покупки!$S$7:$S$18,Покупки!$D$7:$D$18,$B56,Покупки!$Q$7:$Q$18,$Q$17)+SUMIFS(Операции!$Q$10:$Q$1009,Операции!$D$10:$D$1009,"Расход",Операции!$E$10:$E$1009,$B56,Операции!$P$10:$P$1009,$Q$17))</f>
        <v/>
      </c>
      <c r="N56" s="186">
        <f>IF($B56="",0,SUMIFS(Журнал!$P$10:$P$1509,Журнал!$D$10:$D$1509,"&lt;&gt;Доход",Журнал!$E$10:$E$1509,$B56,Журнал!$R$10:$R$1509,$Q$18)+SUMIFS(Постоянные!$AC$8:$AC$367,Постоянные!$Z$8:$Z$367,"Расход",Постоянные!$AA$8:$AA$367,$B56,Постоянные!$AD$8:$AD$367,$Q$18)+SUMIFS(Покупки!$S$7:$S$18,Покупки!$D$7:$D$18,$B56,Покупки!$Q$7:$Q$18,$Q$18)+SUMIFS(Операции!$Q$10:$Q$1009,Операции!$D$10:$D$1009,"Расход",Операции!$E$10:$E$1009,$B56,Операции!$P$10:$P$1009,$Q$18))</f>
        <v/>
      </c>
      <c r="O56" s="187">
        <f>SUM(C56:N56)</f>
        <v/>
      </c>
      <c r="Z56">
        <f>IF($B56="",-1,N($O56)-ROW()/1000000)</f>
        <v/>
      </c>
    </row>
    <row r="57">
      <c r="B57" s="188" t="inlineStr">
        <is>
          <t>ИТОГО</t>
        </is>
      </c>
      <c r="C57" s="189">
        <f>SUM(C27:C56)</f>
        <v/>
      </c>
      <c r="D57" s="189">
        <f>SUM(D27:D56)</f>
        <v/>
      </c>
      <c r="E57" s="189">
        <f>SUM(E27:E56)</f>
        <v/>
      </c>
      <c r="F57" s="189">
        <f>SUM(F27:F56)</f>
        <v/>
      </c>
      <c r="G57" s="189">
        <f>SUM(G27:G56)</f>
        <v/>
      </c>
      <c r="H57" s="189">
        <f>SUM(H27:H56)</f>
        <v/>
      </c>
      <c r="I57" s="189">
        <f>SUM(I27:I56)</f>
        <v/>
      </c>
      <c r="J57" s="189">
        <f>SUM(J27:J56)</f>
        <v/>
      </c>
      <c r="K57" s="189">
        <f>SUM(K27:K56)</f>
        <v/>
      </c>
      <c r="L57" s="189">
        <f>SUM(L27:L56)</f>
        <v/>
      </c>
      <c r="M57" s="189">
        <f>SUM(M27:M56)</f>
        <v/>
      </c>
      <c r="N57" s="189">
        <f>SUM(N27:N56)</f>
        <v/>
      </c>
      <c r="O57" s="189">
        <f>SUM(O27:O56)</f>
        <v/>
      </c>
    </row>
    <row r="58">
      <c r="B58" s="90" t="inlineStr">
        <is>
          <t>Без категории</t>
        </is>
      </c>
      <c r="C58" s="190">
        <f>F7-C57</f>
        <v/>
      </c>
      <c r="D58" s="190">
        <f>F8-D57</f>
        <v/>
      </c>
      <c r="E58" s="190">
        <f>F9-E57</f>
        <v/>
      </c>
      <c r="F58" s="190">
        <f>F10-F57</f>
        <v/>
      </c>
      <c r="G58" s="190">
        <f>F11-G57</f>
        <v/>
      </c>
      <c r="H58" s="190">
        <f>F12-H57</f>
        <v/>
      </c>
      <c r="I58" s="190">
        <f>F13-I57</f>
        <v/>
      </c>
      <c r="J58" s="190">
        <f>F14-J57</f>
        <v/>
      </c>
      <c r="K58" s="190">
        <f>F15-K57</f>
        <v/>
      </c>
      <c r="L58" s="190">
        <f>F16-L57</f>
        <v/>
      </c>
      <c r="M58" s="190">
        <f>F17-M57</f>
        <v/>
      </c>
      <c r="N58" s="190">
        <f>F18-N57</f>
        <v/>
      </c>
      <c r="O58" s="81" t="n"/>
    </row>
    <row r="61" ht="24" customHeight="1">
      <c r="B61" s="8" t="inlineStr">
        <is>
          <t>Главные статьи за год (факт)</t>
        </is>
      </c>
    </row>
    <row r="62">
      <c r="B62" s="152" t="inlineStr">
        <is>
          <t>Статья</t>
        </is>
      </c>
      <c r="C62" s="152" t="inlineStr">
        <is>
          <t>Факт</t>
        </is>
      </c>
      <c r="D62" s="152" t="inlineStr">
        <is>
          <t>Доля</t>
        </is>
      </c>
    </row>
    <row r="63" ht="20" customHeight="1">
      <c r="B63" s="141">
        <f>IF(INDEX($O$27:$O$56,$Z63)&gt;0,INDEX($B$27:$B$56,$Z63),"")</f>
        <v/>
      </c>
      <c r="C63" s="260">
        <f>IF($B63="",0,INDEX($O$27:$O$56,$Z63))</f>
        <v/>
      </c>
      <c r="D63" s="261">
        <f>IF(OR($C63=0,N($O$57)=0),"",$C63/$O$57)</f>
        <v/>
      </c>
      <c r="Z63">
        <f>MATCH(LARGE($Z$27:$Z$56,1),$Z$27:$Z$56,0)</f>
        <v/>
      </c>
    </row>
    <row r="64" ht="20" customHeight="1">
      <c r="B64" s="141">
        <f>IF(INDEX($O$27:$O$56,$Z64)&gt;0,INDEX($B$27:$B$56,$Z64),"")</f>
        <v/>
      </c>
      <c r="C64" s="260">
        <f>IF($B64="",0,INDEX($O$27:$O$56,$Z64))</f>
        <v/>
      </c>
      <c r="D64" s="261">
        <f>IF(OR($C64=0,N($O$57)=0),"",$C64/$O$57)</f>
        <v/>
      </c>
      <c r="Z64">
        <f>MATCH(LARGE($Z$27:$Z$56,2),$Z$27:$Z$56,0)</f>
        <v/>
      </c>
    </row>
    <row r="65" ht="20" customHeight="1">
      <c r="B65" s="141">
        <f>IF(INDEX($O$27:$O$56,$Z65)&gt;0,INDEX($B$27:$B$56,$Z65),"")</f>
        <v/>
      </c>
      <c r="C65" s="260">
        <f>IF($B65="",0,INDEX($O$27:$O$56,$Z65))</f>
        <v/>
      </c>
      <c r="D65" s="261">
        <f>IF(OR($C65=0,N($O$57)=0),"",$C65/$O$57)</f>
        <v/>
      </c>
      <c r="Z65">
        <f>MATCH(LARGE($Z$27:$Z$56,3),$Z$27:$Z$56,0)</f>
        <v/>
      </c>
    </row>
    <row r="66" ht="20" customHeight="1">
      <c r="B66" s="141">
        <f>IF(INDEX($O$27:$O$56,$Z66)&gt;0,INDEX($B$27:$B$56,$Z66),"")</f>
        <v/>
      </c>
      <c r="C66" s="260">
        <f>IF($B66="",0,INDEX($O$27:$O$56,$Z66))</f>
        <v/>
      </c>
      <c r="D66" s="261">
        <f>IF(OR($C66=0,N($O$57)=0),"",$C66/$O$57)</f>
        <v/>
      </c>
      <c r="Z66">
        <f>MATCH(LARGE($Z$27:$Z$56,4),$Z$27:$Z$56,0)</f>
        <v/>
      </c>
    </row>
    <row r="67" ht="20" customHeight="1">
      <c r="B67" s="141">
        <f>IF(INDEX($O$27:$O$56,$Z67)&gt;0,INDEX($B$27:$B$56,$Z67),"")</f>
        <v/>
      </c>
      <c r="C67" s="260">
        <f>IF($B67="",0,INDEX($O$27:$O$56,$Z67))</f>
        <v/>
      </c>
      <c r="D67" s="261">
        <f>IF(OR($C67=0,N($O$57)=0),"",$C67/$O$57)</f>
        <v/>
      </c>
      <c r="Z67">
        <f>MATCH(LARGE($Z$27:$Z$56,5),$Z$27:$Z$56,0)</f>
        <v/>
      </c>
    </row>
    <row r="68" ht="20" customHeight="1">
      <c r="B68" s="141">
        <f>IF(INDEX($O$27:$O$56,$Z68)&gt;0,INDEX($B$27:$B$56,$Z68),"")</f>
        <v/>
      </c>
      <c r="C68" s="260">
        <f>IF($B68="",0,INDEX($O$27:$O$56,$Z68))</f>
        <v/>
      </c>
      <c r="D68" s="261">
        <f>IF(OR($C68=0,N($O$57)=0),"",$C68/$O$57)</f>
        <v/>
      </c>
      <c r="Z68">
        <f>MATCH(LARGE($Z$27:$Z$56,6),$Z$27:$Z$56,0)</f>
        <v/>
      </c>
    </row>
    <row r="69" ht="20" customHeight="1">
      <c r="B69" s="141">
        <f>IF(INDEX($O$27:$O$56,$Z69)&gt;0,INDEX($B$27:$B$56,$Z69),"")</f>
        <v/>
      </c>
      <c r="C69" s="260">
        <f>IF($B69="",0,INDEX($O$27:$O$56,$Z69))</f>
        <v/>
      </c>
      <c r="D69" s="261">
        <f>IF(OR($C69=0,N($O$57)=0),"",$C69/$O$57)</f>
        <v/>
      </c>
      <c r="Z69">
        <f>MATCH(LARGE($Z$27:$Z$56,7),$Z$27:$Z$56,0)</f>
        <v/>
      </c>
    </row>
    <row r="70" ht="20" customHeight="1">
      <c r="B70" s="22">
        <f>IF(C70&gt;0,"Остальное","")</f>
        <v/>
      </c>
      <c r="C70" s="260">
        <f>MAX(0,$O$57-SUM(C63:C69))</f>
        <v/>
      </c>
      <c r="D70" s="261">
        <f>IF(OR($C70=0,N($O$57)=0),"",$C70/$O$57)</f>
        <v/>
      </c>
    </row>
  </sheetData>
  <mergeCells count="7">
    <mergeCell ref="B61:D61"/>
    <mergeCell ref="C23:E23"/>
    <mergeCell ref="B2:O2"/>
    <mergeCell ref="C22:E22"/>
    <mergeCell ref="B25:O25"/>
    <mergeCell ref="B3:O3"/>
    <mergeCell ref="C21:E21"/>
  </mergeCells>
  <conditionalFormatting sqref="G7:H18">
    <cfRule type="cellIs" priority="1" operator="lessThan" dxfId="15">
      <formula>0</formula>
    </cfRule>
  </conditionalFormatting>
  <conditionalFormatting sqref="I7:I18">
    <cfRule type="cellIs" priority="2" operator="greaterThan" dxfId="3">
      <formula>1</formula>
    </cfRule>
  </conditionalFormatting>
  <conditionalFormatting sqref="C27:N56">
    <cfRule type="expression" priority="3" dxfId="16" stopIfTrue="1">
      <formula>N(C27)=0</formula>
    </cfRule>
    <cfRule type="colorScale" priority="4">
      <colorScale>
        <cfvo type="num" val="0"/>
        <cfvo type="max"/>
        <color rgb="00FFFFFF"/>
        <color rgb="00A5A1F2"/>
      </colorScale>
    </cfRule>
  </conditionalFormatting>
  <conditionalFormatting sqref="D63:D70">
    <cfRule type="dataBar" priority="5">
      <dataBar>
        <cfvo type="num" val="0"/>
        <cfvo type="num" val="1"/>
        <color rgb="00C2870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CE3B3B"/>
    <outlinePr summaryBelow="1" summaryRight="1"/>
    <pageSetUpPr/>
  </sheetPr>
  <dimension ref="B2:L25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18" customWidth="1" min="4" max="4"/>
    <col width="14" customWidth="1" min="5" max="5"/>
    <col width="14" customWidth="1" min="6" max="6"/>
    <col width="14" customWidth="1" min="7" max="7"/>
    <col width="9" customWidth="1" min="8" max="8"/>
    <col width="14" customWidth="1" min="9" max="9"/>
    <col width="13" customWidth="1" min="10" max="10"/>
    <col width="12" customWidth="1" min="11" max="11"/>
    <col width="12" customWidth="1" min="12" max="12"/>
    <col width="2.5" customWidth="1" min="13" max="13"/>
  </cols>
  <sheetData>
    <row r="1" ht="6" customHeight="1"/>
    <row r="2" ht="34" customHeight="1">
      <c r="B2" s="1" t="inlineStr">
        <is>
          <t>Долги и платежи</t>
        </is>
      </c>
    </row>
    <row r="3" ht="20" customHeight="1">
      <c r="B3" s="3" t="inlineStr">
        <is>
          <t>Кредиты, рассрочки и личные долги — с прогрессом погашения</t>
        </is>
      </c>
    </row>
    <row r="6" ht="30" customHeight="1">
      <c r="B6" s="52" t="inlineStr">
        <is>
          <t>№</t>
        </is>
      </c>
      <c r="C6" s="52" t="inlineStr">
        <is>
          <t>Название</t>
        </is>
      </c>
      <c r="D6" s="52" t="inlineStr">
        <is>
          <t>Кому / банк</t>
        </is>
      </c>
      <c r="E6" s="52" t="inlineStr">
        <is>
          <t>Сумма долга</t>
        </is>
      </c>
      <c r="F6" s="52" t="inlineStr">
        <is>
          <t>Выплачено</t>
        </is>
      </c>
      <c r="G6" s="52" t="inlineStr">
        <is>
          <t>Остаток</t>
        </is>
      </c>
      <c r="H6" s="52" t="inlineStr">
        <is>
          <t>Ставка</t>
        </is>
      </c>
      <c r="I6" s="52" t="inlineStr">
        <is>
          <t>Платёж/мес</t>
        </is>
      </c>
      <c r="J6" s="52" t="inlineStr">
        <is>
          <t>След. платёж</t>
        </is>
      </c>
      <c r="K6" s="52" t="inlineStr">
        <is>
          <t>Погашено</t>
        </is>
      </c>
      <c r="L6" s="52" t="inlineStr">
        <is>
          <t>Статус</t>
        </is>
      </c>
    </row>
    <row r="7" ht="20" customHeight="1">
      <c r="B7" s="53" t="n">
        <v>1</v>
      </c>
      <c r="C7" s="56" t="n"/>
      <c r="D7" s="56" t="n"/>
      <c r="E7" s="196" t="n"/>
      <c r="F7" s="196" t="n"/>
      <c r="G7" s="246">
        <f>IF(E7="","",MAX(E7-F7,0))</f>
        <v/>
      </c>
      <c r="H7" s="191" t="n"/>
      <c r="I7" s="196" t="n"/>
      <c r="J7" s="213" t="n"/>
      <c r="K7" s="122">
        <f>IF(E7="","",IFERROR(MIN(F7/E7,1),0))</f>
        <v/>
      </c>
      <c r="L7" s="100">
        <f>IF(E7="","",IF(G7&lt;=0,"Закрыт",IF(F7&gt;0,"В работе","Не начат")))</f>
        <v/>
      </c>
    </row>
    <row r="8" ht="20" customHeight="1">
      <c r="B8" s="53" t="n">
        <v>2</v>
      </c>
      <c r="C8" s="56" t="n"/>
      <c r="D8" s="56" t="n"/>
      <c r="E8" s="196" t="n"/>
      <c r="F8" s="196" t="n"/>
      <c r="G8" s="246">
        <f>IF(E8="","",MAX(E8-F8,0))</f>
        <v/>
      </c>
      <c r="H8" s="191" t="n"/>
      <c r="I8" s="196" t="n"/>
      <c r="J8" s="213" t="n"/>
      <c r="K8" s="122">
        <f>IF(E8="","",IFERROR(MIN(F8/E8,1),0))</f>
        <v/>
      </c>
      <c r="L8" s="100">
        <f>IF(E8="","",IF(G8&lt;=0,"Закрыт",IF(F8&gt;0,"В работе","Не начат")))</f>
        <v/>
      </c>
    </row>
    <row r="9" ht="20" customHeight="1">
      <c r="B9" s="53" t="n">
        <v>3</v>
      </c>
      <c r="C9" s="56" t="n"/>
      <c r="D9" s="56" t="n"/>
      <c r="E9" s="196" t="n"/>
      <c r="F9" s="196" t="n"/>
      <c r="G9" s="246">
        <f>IF(E9="","",MAX(E9-F9,0))</f>
        <v/>
      </c>
      <c r="H9" s="191" t="n"/>
      <c r="I9" s="196" t="n"/>
      <c r="J9" s="213" t="n"/>
      <c r="K9" s="122">
        <f>IF(E9="","",IFERROR(MIN(F9/E9,1),0))</f>
        <v/>
      </c>
      <c r="L9" s="100">
        <f>IF(E9="","",IF(G9&lt;=0,"Закрыт",IF(F9&gt;0,"В работе","Не начат")))</f>
        <v/>
      </c>
    </row>
    <row r="10" ht="20" customHeight="1">
      <c r="B10" s="53" t="n">
        <v>4</v>
      </c>
      <c r="C10" s="56" t="n"/>
      <c r="D10" s="56" t="n"/>
      <c r="E10" s="196" t="n"/>
      <c r="F10" s="196" t="n"/>
      <c r="G10" s="246">
        <f>IF(E10="","",MAX(E10-F10,0))</f>
        <v/>
      </c>
      <c r="H10" s="191" t="n"/>
      <c r="I10" s="196" t="n"/>
      <c r="J10" s="213" t="n"/>
      <c r="K10" s="122">
        <f>IF(E10="","",IFERROR(MIN(F10/E10,1),0))</f>
        <v/>
      </c>
      <c r="L10" s="100">
        <f>IF(E10="","",IF(G10&lt;=0,"Закрыт",IF(F10&gt;0,"В работе","Не начат")))</f>
        <v/>
      </c>
    </row>
    <row r="11" ht="20" customHeight="1">
      <c r="B11" s="53" t="n">
        <v>5</v>
      </c>
      <c r="C11" s="56" t="n"/>
      <c r="D11" s="56" t="n"/>
      <c r="E11" s="196" t="n"/>
      <c r="F11" s="196" t="n"/>
      <c r="G11" s="246">
        <f>IF(E11="","",MAX(E11-F11,0))</f>
        <v/>
      </c>
      <c r="H11" s="191" t="n"/>
      <c r="I11" s="196" t="n"/>
      <c r="J11" s="213" t="n"/>
      <c r="K11" s="122">
        <f>IF(E11="","",IFERROR(MIN(F11/E11,1),0))</f>
        <v/>
      </c>
      <c r="L11" s="100">
        <f>IF(E11="","",IF(G11&lt;=0,"Закрыт",IF(F11&gt;0,"В работе","Не начат")))</f>
        <v/>
      </c>
    </row>
    <row r="12" ht="20" customHeight="1">
      <c r="B12" s="53" t="n">
        <v>6</v>
      </c>
      <c r="C12" s="56" t="n"/>
      <c r="D12" s="56" t="n"/>
      <c r="E12" s="196" t="n"/>
      <c r="F12" s="196" t="n"/>
      <c r="G12" s="246">
        <f>IF(E12="","",MAX(E12-F12,0))</f>
        <v/>
      </c>
      <c r="H12" s="191" t="n"/>
      <c r="I12" s="196" t="n"/>
      <c r="J12" s="213" t="n"/>
      <c r="K12" s="122">
        <f>IF(E12="","",IFERROR(MIN(F12/E12,1),0))</f>
        <v/>
      </c>
      <c r="L12" s="100">
        <f>IF(E12="","",IF(G12&lt;=0,"Закрыт",IF(F12&gt;0,"В работе","Не начат")))</f>
        <v/>
      </c>
    </row>
    <row r="13" ht="20" customHeight="1">
      <c r="B13" s="53" t="n">
        <v>7</v>
      </c>
      <c r="C13" s="56" t="n"/>
      <c r="D13" s="56" t="n"/>
      <c r="E13" s="196" t="n"/>
      <c r="F13" s="196" t="n"/>
      <c r="G13" s="246">
        <f>IF(E13="","",MAX(E13-F13,0))</f>
        <v/>
      </c>
      <c r="H13" s="191" t="n"/>
      <c r="I13" s="196" t="n"/>
      <c r="J13" s="213" t="n"/>
      <c r="K13" s="122">
        <f>IF(E13="","",IFERROR(MIN(F13/E13,1),0))</f>
        <v/>
      </c>
      <c r="L13" s="100">
        <f>IF(E13="","",IF(G13&lt;=0,"Закрыт",IF(F13&gt;0,"В работе","Не начат")))</f>
        <v/>
      </c>
    </row>
    <row r="14" ht="20" customHeight="1">
      <c r="B14" s="53" t="n">
        <v>8</v>
      </c>
      <c r="C14" s="56" t="n"/>
      <c r="D14" s="56" t="n"/>
      <c r="E14" s="196" t="n"/>
      <c r="F14" s="196" t="n"/>
      <c r="G14" s="246">
        <f>IF(E14="","",MAX(E14-F14,0))</f>
        <v/>
      </c>
      <c r="H14" s="191" t="n"/>
      <c r="I14" s="196" t="n"/>
      <c r="J14" s="213" t="n"/>
      <c r="K14" s="122">
        <f>IF(E14="","",IFERROR(MIN(F14/E14,1),0))</f>
        <v/>
      </c>
      <c r="L14" s="100">
        <f>IF(E14="","",IF(G14&lt;=0,"Закрыт",IF(F14&gt;0,"В работе","Не начат")))</f>
        <v/>
      </c>
    </row>
    <row r="15" ht="20" customHeight="1">
      <c r="B15" s="53" t="n">
        <v>9</v>
      </c>
      <c r="C15" s="56" t="n"/>
      <c r="D15" s="56" t="n"/>
      <c r="E15" s="196" t="n"/>
      <c r="F15" s="196" t="n"/>
      <c r="G15" s="246">
        <f>IF(E15="","",MAX(E15-F15,0))</f>
        <v/>
      </c>
      <c r="H15" s="191" t="n"/>
      <c r="I15" s="196" t="n"/>
      <c r="J15" s="213" t="n"/>
      <c r="K15" s="122">
        <f>IF(E15="","",IFERROR(MIN(F15/E15,1),0))</f>
        <v/>
      </c>
      <c r="L15" s="100">
        <f>IF(E15="","",IF(G15&lt;=0,"Закрыт",IF(F15&gt;0,"В работе","Не начат")))</f>
        <v/>
      </c>
    </row>
    <row r="16" ht="20" customHeight="1">
      <c r="B16" s="53" t="n">
        <v>10</v>
      </c>
      <c r="C16" s="56" t="n"/>
      <c r="D16" s="56" t="n"/>
      <c r="E16" s="196" t="n"/>
      <c r="F16" s="196" t="n"/>
      <c r="G16" s="246">
        <f>IF(E16="","",MAX(E16-F16,0))</f>
        <v/>
      </c>
      <c r="H16" s="191" t="n"/>
      <c r="I16" s="196" t="n"/>
      <c r="J16" s="213" t="n"/>
      <c r="K16" s="122">
        <f>IF(E16="","",IFERROR(MIN(F16/E16,1),0))</f>
        <v/>
      </c>
      <c r="L16" s="100">
        <f>IF(E16="","",IF(G16&lt;=0,"Закрыт",IF(F16&gt;0,"В работе","Не начат")))</f>
        <v/>
      </c>
    </row>
    <row r="17" ht="20" customHeight="1">
      <c r="B17" s="53" t="n">
        <v>11</v>
      </c>
      <c r="C17" s="56" t="n"/>
      <c r="D17" s="56" t="n"/>
      <c r="E17" s="196" t="n"/>
      <c r="F17" s="196" t="n"/>
      <c r="G17" s="246">
        <f>IF(E17="","",MAX(E17-F17,0))</f>
        <v/>
      </c>
      <c r="H17" s="191" t="n"/>
      <c r="I17" s="196" t="n"/>
      <c r="J17" s="213" t="n"/>
      <c r="K17" s="122">
        <f>IF(E17="","",IFERROR(MIN(F17/E17,1),0))</f>
        <v/>
      </c>
      <c r="L17" s="100">
        <f>IF(E17="","",IF(G17&lt;=0,"Закрыт",IF(F17&gt;0,"В работе","Не начат")))</f>
        <v/>
      </c>
    </row>
    <row r="18" ht="20" customHeight="1">
      <c r="B18" s="53" t="n">
        <v>12</v>
      </c>
      <c r="C18" s="56" t="n"/>
      <c r="D18" s="56" t="n"/>
      <c r="E18" s="196" t="n"/>
      <c r="F18" s="196" t="n"/>
      <c r="G18" s="246">
        <f>IF(E18="","",MAX(E18-F18,0))</f>
        <v/>
      </c>
      <c r="H18" s="191" t="n"/>
      <c r="I18" s="196" t="n"/>
      <c r="J18" s="213" t="n"/>
      <c r="K18" s="122">
        <f>IF(E18="","",IFERROR(MIN(F18/E18,1),0))</f>
        <v/>
      </c>
      <c r="L18" s="100">
        <f>IF(E18="","",IF(G18&lt;=0,"Закрыт",IF(F18&gt;0,"В работе","Не начат")))</f>
        <v/>
      </c>
    </row>
    <row r="19" ht="20" customHeight="1">
      <c r="B19" s="53" t="n">
        <v>13</v>
      </c>
      <c r="C19" s="56" t="n"/>
      <c r="D19" s="56" t="n"/>
      <c r="E19" s="196" t="n"/>
      <c r="F19" s="196" t="n"/>
      <c r="G19" s="246">
        <f>IF(E19="","",MAX(E19-F19,0))</f>
        <v/>
      </c>
      <c r="H19" s="191" t="n"/>
      <c r="I19" s="196" t="n"/>
      <c r="J19" s="213" t="n"/>
      <c r="K19" s="122">
        <f>IF(E19="","",IFERROR(MIN(F19/E19,1),0))</f>
        <v/>
      </c>
      <c r="L19" s="100">
        <f>IF(E19="","",IF(G19&lt;=0,"Закрыт",IF(F19&gt;0,"В работе","Не начат")))</f>
        <v/>
      </c>
    </row>
    <row r="20" ht="20" customHeight="1">
      <c r="B20" s="53" t="n">
        <v>14</v>
      </c>
      <c r="C20" s="56" t="n"/>
      <c r="D20" s="56" t="n"/>
      <c r="E20" s="196" t="n"/>
      <c r="F20" s="196" t="n"/>
      <c r="G20" s="246">
        <f>IF(E20="","",MAX(E20-F20,0))</f>
        <v/>
      </c>
      <c r="H20" s="191" t="n"/>
      <c r="I20" s="196" t="n"/>
      <c r="J20" s="213" t="n"/>
      <c r="K20" s="122">
        <f>IF(E20="","",IFERROR(MIN(F20/E20,1),0))</f>
        <v/>
      </c>
      <c r="L20" s="100">
        <f>IF(E20="","",IF(G20&lt;=0,"Закрыт",IF(F20&gt;0,"В работе","Не начат")))</f>
        <v/>
      </c>
    </row>
    <row r="21" ht="20" customHeight="1">
      <c r="B21" s="53" t="n">
        <v>15</v>
      </c>
      <c r="C21" s="56" t="n"/>
      <c r="D21" s="56" t="n"/>
      <c r="E21" s="196" t="n"/>
      <c r="F21" s="196" t="n"/>
      <c r="G21" s="246">
        <f>IF(E21="","",MAX(E21-F21,0))</f>
        <v/>
      </c>
      <c r="H21" s="191" t="n"/>
      <c r="I21" s="196" t="n"/>
      <c r="J21" s="213" t="n"/>
      <c r="K21" s="122">
        <f>IF(E21="","",IFERROR(MIN(F21/E21,1),0))</f>
        <v/>
      </c>
      <c r="L21" s="100">
        <f>IF(E21="","",IF(G21&lt;=0,"Закрыт",IF(F21&gt;0,"В работе","Не начат")))</f>
        <v/>
      </c>
    </row>
    <row r="22" ht="20" customHeight="1">
      <c r="B22" s="53" t="n">
        <v>16</v>
      </c>
      <c r="C22" s="56" t="n"/>
      <c r="D22" s="56" t="n"/>
      <c r="E22" s="196" t="n"/>
      <c r="F22" s="196" t="n"/>
      <c r="G22" s="246">
        <f>IF(E22="","",MAX(E22-F22,0))</f>
        <v/>
      </c>
      <c r="H22" s="191" t="n"/>
      <c r="I22" s="196" t="n"/>
      <c r="J22" s="213" t="n"/>
      <c r="K22" s="122">
        <f>IF(E22="","",IFERROR(MIN(F22/E22,1),0))</f>
        <v/>
      </c>
      <c r="L22" s="100">
        <f>IF(E22="","",IF(G22&lt;=0,"Закрыт",IF(F22&gt;0,"В работе","Не начат")))</f>
        <v/>
      </c>
    </row>
    <row r="23" ht="20" customHeight="1">
      <c r="B23" s="53" t="n">
        <v>17</v>
      </c>
      <c r="C23" s="56" t="n"/>
      <c r="D23" s="56" t="n"/>
      <c r="E23" s="196" t="n"/>
      <c r="F23" s="196" t="n"/>
      <c r="G23" s="246">
        <f>IF(E23="","",MAX(E23-F23,0))</f>
        <v/>
      </c>
      <c r="H23" s="191" t="n"/>
      <c r="I23" s="196" t="n"/>
      <c r="J23" s="213" t="n"/>
      <c r="K23" s="122">
        <f>IF(E23="","",IFERROR(MIN(F23/E23,1),0))</f>
        <v/>
      </c>
      <c r="L23" s="100">
        <f>IF(E23="","",IF(G23&lt;=0,"Закрыт",IF(F23&gt;0,"В работе","Не начат")))</f>
        <v/>
      </c>
    </row>
    <row r="24" ht="20" customHeight="1">
      <c r="B24" s="53" t="n">
        <v>18</v>
      </c>
      <c r="C24" s="56" t="n"/>
      <c r="D24" s="56" t="n"/>
      <c r="E24" s="196" t="n"/>
      <c r="F24" s="196" t="n"/>
      <c r="G24" s="246">
        <f>IF(E24="","",MAX(E24-F24,0))</f>
        <v/>
      </c>
      <c r="H24" s="191" t="n"/>
      <c r="I24" s="196" t="n"/>
      <c r="J24" s="213" t="n"/>
      <c r="K24" s="122">
        <f>IF(E24="","",IFERROR(MIN(F24/E24,1),0))</f>
        <v/>
      </c>
      <c r="L24" s="100">
        <f>IF(E24="","",IF(G24&lt;=0,"Закрыт",IF(F24&gt;0,"В работе","Не начат")))</f>
        <v/>
      </c>
    </row>
    <row r="25">
      <c r="B25" s="192" t="inlineStr">
        <is>
          <t>ИТОГО</t>
        </is>
      </c>
      <c r="E25" s="248">
        <f>SUM(E7:E24)</f>
        <v/>
      </c>
      <c r="F25" s="248">
        <f>SUM(F7:F24)</f>
        <v/>
      </c>
      <c r="G25" s="248">
        <f>SUM(G7:G24)</f>
        <v/>
      </c>
      <c r="H25" s="2" t="n"/>
      <c r="I25" s="248">
        <f>SUM(I7:I24)</f>
        <v/>
      </c>
      <c r="J25" s="2" t="n"/>
      <c r="K25" s="193">
        <f>IFERROR(F25/E25,0)</f>
        <v/>
      </c>
      <c r="L25" s="2" t="n"/>
    </row>
  </sheetData>
  <mergeCells count="3">
    <mergeCell ref="B2:L2"/>
    <mergeCell ref="B25:D25"/>
    <mergeCell ref="B3:L3"/>
  </mergeCells>
  <conditionalFormatting sqref="K7:K24">
    <cfRule type="dataBar" priority="1">
      <dataBar>
        <cfvo type="num" val="0"/>
        <cfvo type="num" val="1"/>
        <color rgb="000E9F6E"/>
      </dataBar>
    </cfRule>
  </conditionalFormatting>
  <conditionalFormatting sqref="J7:J24">
    <cfRule type="expression" priority="2" dxfId="4">
      <formula>AND($J7&lt;&gt;"",$J7&lt;TODAY()+3,N($G7)&gt;0)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2026-09-29T22:42:13Z</dcterms:created>
  <dcterms:modified xsi:type="dcterms:W3CDTF">2026-09-29T22:42:19Z</dcterms:modified>
</cp:coreProperties>
</file>